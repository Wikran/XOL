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TML\XOL\"/>
    </mc:Choice>
  </mc:AlternateContent>
  <xr:revisionPtr revIDLastSave="0" documentId="13_ncr:1_{75826CD4-AA45-47F0-A4DF-C2AD4EFF9FB8}" xr6:coauthVersionLast="47" xr6:coauthVersionMax="47" xr10:uidLastSave="{00000000-0000-0000-0000-000000000000}"/>
  <bookViews>
    <workbookView xWindow="-120" yWindow="-120" windowWidth="29040" windowHeight="16440" tabRatio="209" xr2:uid="{7A562CF1-0A4D-4E83-8DC1-DF54055387F7}"/>
  </bookViews>
  <sheets>
    <sheet name="Defect Issue" sheetId="1" r:id="rId1"/>
    <sheet name="Reason Code" sheetId="5" r:id="rId2"/>
  </sheets>
  <definedNames>
    <definedName name="_xlnm._FilterDatabase" localSheetId="0" hidden="1">'Defect Issue'!$C$5:$T$47</definedName>
    <definedName name="Excel_BuiltIn__FilterDatabase_1">#REF!</definedName>
    <definedName name="Excel_BuiltIn__FilterDatabase_3_1">#REF!</definedName>
    <definedName name="Excel_BuiltIn__FilterDatabase_3_1_1">#REF!</definedName>
    <definedName name="Excel_BuiltIn__FilterDatabase_3_1_1_1">#REF!</definedName>
    <definedName name="Excel_BuiltIn__FilterDatabase_4">#REF!</definedName>
    <definedName name="Excel_BuiltIn__FilterDatabase_4_6">#REF!</definedName>
    <definedName name="Text1">#REF!</definedName>
    <definedName name="z_date_version_1">#REF!</definedName>
    <definedName name="z_number_1">#REF!</definedName>
    <definedName name="z_number_1_6">#REF!</definedName>
    <definedName name="z_status_1">#REF!</definedName>
    <definedName name="z_version_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F4" i="1" s="1"/>
  <c r="E4" i="1" s="1"/>
  <c r="G4" i="1"/>
</calcChain>
</file>

<file path=xl/sharedStrings.xml><?xml version="1.0" encoding="utf-8"?>
<sst xmlns="http://schemas.openxmlformats.org/spreadsheetml/2006/main" count="333" uniqueCount="179">
  <si>
    <t>Issue Description</t>
  </si>
  <si>
    <t>Reason</t>
  </si>
  <si>
    <t>Serverity</t>
  </si>
  <si>
    <t>Priority</t>
  </si>
  <si>
    <t>Fixed Date</t>
  </si>
  <si>
    <t>Retest Date</t>
  </si>
  <si>
    <t>Re-Opened No.</t>
  </si>
  <si>
    <t>Re-Opened Date</t>
  </si>
  <si>
    <t>Closed Date</t>
  </si>
  <si>
    <t>Remark</t>
  </si>
  <si>
    <t>Expense Reimbursement</t>
  </si>
  <si>
    <t>Function</t>
  </si>
  <si>
    <t>Chanidapa</t>
  </si>
  <si>
    <t>Raised By</t>
  </si>
  <si>
    <t>Assigned To</t>
  </si>
  <si>
    <t>Reason Code (QC)</t>
  </si>
  <si>
    <t>Reason Code</t>
  </si>
  <si>
    <t>Reason Name</t>
  </si>
  <si>
    <t>Description</t>
  </si>
  <si>
    <t>01</t>
  </si>
  <si>
    <t>Coding error (D)</t>
  </si>
  <si>
    <t xml:space="preserve">ข้อผิดพลาดของโปรแกรม (Programming mistakes or coding errors)  </t>
  </si>
  <si>
    <t>02</t>
  </si>
  <si>
    <t>Deployment error (D)</t>
  </si>
  <si>
    <r>
      <t>ลงโปรแกรมผิดพลาด เช่น ลงไม่ครบ หรือลงผิดเวอร์ชั่น</t>
    </r>
    <r>
      <rPr>
        <sz val="14"/>
        <color rgb="FF000000"/>
        <rFont val="Browallia New"/>
        <family val="2"/>
      </rPr>
      <t>(There are some mistakes due to human errors, for example, did not get all parts to be deployed, deploy wrong version)</t>
    </r>
  </si>
  <si>
    <t>03</t>
  </si>
  <si>
    <t>Environment (D)</t>
  </si>
  <si>
    <r>
      <t>Setup Environment ไม่ครบถ้วน , Environment ที่ใช้ทดสอบไม่รองรับ</t>
    </r>
    <r>
      <rPr>
        <sz val="14"/>
        <color rgb="FF000000"/>
        <rFont val="Browallia New"/>
        <family val="2"/>
      </rPr>
      <t>(Error is occurred since environment set up)</t>
    </r>
  </si>
  <si>
    <t>04</t>
  </si>
  <si>
    <t>Wrong configuration parameter (D)</t>
  </si>
  <si>
    <r>
      <t>Setup Parameter ไม่ถูกต้อง</t>
    </r>
    <r>
      <rPr>
        <sz val="14"/>
        <color rgb="FF000000"/>
        <rFont val="Browallia New"/>
        <family val="2"/>
      </rPr>
      <t>(Parameter was set up wrongly)</t>
    </r>
  </si>
  <si>
    <t>05</t>
  </si>
  <si>
    <t>Test data incomplete (D)</t>
  </si>
  <si>
    <t>Data required ที่ IT เตรียมให้ทดสอบ ไม่ถูกต้องหรือสมบูรณ์( Incorrect data or test data mismatched)</t>
  </si>
  <si>
    <t>06</t>
  </si>
  <si>
    <t>Duplicate defect (N)</t>
  </si>
  <si>
    <t>ปัญหาเดิมที่เคยแจ้งไปแล้ว (Same Problem had been raised)</t>
  </si>
  <si>
    <t>07</t>
  </si>
  <si>
    <t>Misunderstanding on requirement &amp;design (N)</t>
  </si>
  <si>
    <t>มีความเข้าใจใน Requirement &amp; design ไม่ตรงกันระหว่าง user and developer(Misunderstanding on requirement and design between user and developer)</t>
  </si>
  <si>
    <t>08</t>
  </si>
  <si>
    <t> Wrong Testing data (N)</t>
  </si>
  <si>
    <t>ข้อมูลที่นำมาใช้ทดสอบไม่ถูกต้องสมบูรณ์ (incorrect test data /data mismatched)</t>
  </si>
  <si>
    <t>09</t>
  </si>
  <si>
    <t>Issue (N)</t>
  </si>
  <si>
    <t xml:space="preserve">ปัญหาที่เกิดขึ้น รอการตัดสินใจ(Problem has been raised during the project, it must be resolved as soon as possible)  </t>
  </si>
  <si>
    <t>Requirement Gap (N)</t>
  </si>
  <si>
    <t>ประเด็นในการให้  Requirement  (Requirement scope need to clarify)</t>
  </si>
  <si>
    <t xml:space="preserve">Wrong Testing steps (N) </t>
  </si>
  <si>
    <t>ทดสอบผิดขั้นตอน (Wrong steps/procedure during the test)</t>
  </si>
  <si>
    <t>01-Coding error (D)</t>
  </si>
  <si>
    <t>02-Deployment error (D)</t>
  </si>
  <si>
    <t>03-Environment (D)</t>
  </si>
  <si>
    <t>04-Wrong configuration parameter (D)</t>
  </si>
  <si>
    <t>05-Test data incomplete (D)</t>
  </si>
  <si>
    <t>06-Duplicate defect (N)</t>
  </si>
  <si>
    <t>07-Misunderstanding on requirement &amp;design (N)</t>
  </si>
  <si>
    <t>08-Wrong Testing data (N)</t>
  </si>
  <si>
    <t>09-Issue (N)</t>
  </si>
  <si>
    <t>10-Requirement Gap (N)</t>
  </si>
  <si>
    <t>11-Wrong Testing steps (N)</t>
  </si>
  <si>
    <t>Target Fix Date</t>
  </si>
  <si>
    <t>Target Retest Date</t>
  </si>
  <si>
    <t>Medical Expenses</t>
  </si>
  <si>
    <t>หน้าจอการเบิก Medical Expenses
ไม่สามารถคีย์ Disease ได้</t>
  </si>
  <si>
    <t>หน้าจอการเบิก Medical Expenses
ระบบไม่แสดงจำนวนสิทธิ์ที่พนักงานสามารถเบิกได้ (พนักงานดังกล่าวมีการ Setup limit ไว้แล้ว)</t>
  </si>
  <si>
    <t>หน้าจอการเบิก Medical Expenses
กรณีทำการเบิกใหม่ หน้าจอทำรายการเบิก ระบบไม่แสดงปุ่ม Confirm , Exit</t>
  </si>
  <si>
    <t>หน้าจอการเบิก Feet Card Expenses
กรณีทำการเบิกใหม่ หน้าจอทำรายการเบิก ระบบไม่แสดงปุ่ม Confirm , Exit</t>
  </si>
  <si>
    <t>หน้าจอเบิก Other Expenses
กรณีคีย์เบิกใหม่ หลังจากคีย์ฟิลด์ Vendor Name แล้ว ไม่สามารถคีย์ Bill No. ต่อได้
(ต้องคีย์ฟิลด์สุดท้าย หลังจากคีย์จำนวนเงินเรียบร้อยแล้ว ถึงสามารถคีย์ Bill No. ได้)</t>
  </si>
  <si>
    <t>หน้าจอ All Transaction
หลังรายการสุดท้าย (หน้าสุดท้าย) ระบบแสดงบรรทัดว่างเกินมา 1 บรรทัด</t>
  </si>
  <si>
    <t>กรณี HOD ทำการ Approve รายการเบิก Other Expenses ระบบไม่มีอีเมลแจ้ง</t>
  </si>
  <si>
    <t>Feet Card Expenses</t>
  </si>
  <si>
    <t>Other Expenses</t>
  </si>
  <si>
    <t>All Transaction</t>
  </si>
  <si>
    <t>Travel &amp; Entertainment</t>
  </si>
  <si>
    <t>DF001</t>
  </si>
  <si>
    <t>DF002</t>
  </si>
  <si>
    <t>DF003</t>
  </si>
  <si>
    <t>DF004</t>
  </si>
  <si>
    <t>DF005</t>
  </si>
  <si>
    <t>DF006</t>
  </si>
  <si>
    <t>DF007</t>
  </si>
  <si>
    <t>DF008</t>
  </si>
  <si>
    <t>DF009</t>
  </si>
  <si>
    <t>K.Wikran</t>
  </si>
  <si>
    <t>Raised Date</t>
  </si>
  <si>
    <t>Defect 
No.</t>
  </si>
  <si>
    <t>Defect Status</t>
  </si>
  <si>
    <t xml:space="preserve">สำหรับ Wording ในส่วนของการตีกลับเพื่อแก้ไข ขอใช้เป็น Return to Edit and Resend ในข้อ 8 แทนคำว่า Rejected เพื่อป้องกันไม่ให้ User สับสนกับอีเมล Denied นะคะ  รวมถึงเปลี่ยนปุ่มสีฟ้า   เป็น Return &amp; Send Email </t>
  </si>
  <si>
    <t>HR Approve</t>
  </si>
  <si>
    <t>Phannarai</t>
  </si>
  <si>
    <t>Revise Wording Email - HR Approve</t>
  </si>
  <si>
    <t>DF010</t>
  </si>
  <si>
    <t>DF011</t>
  </si>
  <si>
    <t>Revise Wording Remark หน้า Report ปะหน้า
"โปรดแนบเอกสารใบเสร็จรับเงินและใบรับรองแพทย์ต้นฉบับ โดยเรียงตามลำดับรายการให้ครบถ้วนและนำส่งให้ HR ทันที"</t>
  </si>
  <si>
    <t xml:space="preserve">การล็อควันที่เบิกรายการที่เกิน 3 เดือน ไม่ให้คีย์เบิกได้ อ้างอิงตามระเบียบการเบิกจ่ายเงินสดย่อยและการเบิกคืนค่าใช้จ่ายต่างๆประจำเดือน  </t>
  </si>
  <si>
    <t>DF012</t>
  </si>
  <si>
    <t>DF013</t>
  </si>
  <si>
    <t>DF014</t>
  </si>
  <si>
    <t>DF015</t>
  </si>
  <si>
    <t>DF016</t>
  </si>
  <si>
    <t>DF017</t>
  </si>
  <si>
    <t>DF018</t>
  </si>
  <si>
    <t>DF019</t>
  </si>
  <si>
    <t>หน้าจอเบิก Medical Expense
แก้ไข คอลัมน์ Bill Date -&gt; Treatment Date</t>
  </si>
  <si>
    <t>My Benefit: ขอสลับช่องแสดงข้อมูลโดยโยก Limit per time แทนที Maternity และระบุเป็น Medical Limit per time</t>
  </si>
  <si>
    <t>ตัดวงเงิน Surplus ใน Benefit Level ออกทุกรายการ</t>
  </si>
  <si>
    <t>Benefit Level</t>
  </si>
  <si>
    <t>ยังไม่สามารถลองส่งอีเมลเพื่อ Test ได้</t>
  </si>
  <si>
    <t>Closed</t>
  </si>
  <si>
    <r>
      <t xml:space="preserve">หน้าจอการเบิก Medical Expenses
ฟิลด์ Bill Date ควร Default เป็นวันที่ปัจจุบัน
เนื่องจากเวลาเลือกปฏิทินต้องทำการย้อนปีกลับมาปีปัจจุบันใช้เวลานานมาก
</t>
    </r>
    <r>
      <rPr>
        <sz val="9"/>
        <color rgb="FFFF0000"/>
        <rFont val="Tahoma"/>
        <family val="2"/>
      </rPr>
      <t>*[08/11/2022] มีปุ่ม Today ให้</t>
    </r>
  </si>
  <si>
    <t>หน้าจอเบิก Medical Expense
หน้าต่างการเลือกวันที่เหมือนทับซ้อนกับคอลัมน์อื่น ทำให้กดยาก</t>
  </si>
  <si>
    <t>ข้อมูลของกลุ่มที่มี Limit per Time พบว่า คีย์เกิน Limit per time ได้ , ไม่มี pop-up message แจ้งเตือน</t>
  </si>
  <si>
    <t>หัว Subject อีเมลที่เด้งหา user / HR ตามตารางที่ทาง HR แจ้ง</t>
  </si>
  <si>
    <t>DF020</t>
  </si>
  <si>
    <t>DF021</t>
  </si>
  <si>
    <t>DF022</t>
  </si>
  <si>
    <t xml:space="preserve">อีเมล return to edit &amp; resend  สลับผู้รับ/ผู้ส่ง  เนื่องจากพรรณราย (HR) กด return ให้เกียรติศักดิ์ (user) แก้ไข แต่กลายเป็น To:พรรณราย  Fr:เกียรติศักดิ์ </t>
  </si>
  <si>
    <t>4-Low</t>
  </si>
  <si>
    <t>DF023</t>
  </si>
  <si>
    <t>DF024</t>
  </si>
  <si>
    <t>DF025</t>
  </si>
  <si>
    <t>DF026</t>
  </si>
  <si>
    <t>DF027</t>
  </si>
  <si>
    <t>DF028</t>
  </si>
  <si>
    <t>หน้าจอเบิก Feet Card
ต้องกด Confirm to HOD 2 ครั้ง</t>
  </si>
  <si>
    <t>หน้าจอเบิก Travel &amp; Entertainment
กรณีกดเพิ่มรายการ ระบบแสดงลำดับไม่ถูกต้อง</t>
  </si>
  <si>
    <t>หน้าจอเบิก Other Expense
กรณีกดเพิ่มรายการ ระบบแสดงลำดับไม่ถูกต้อง</t>
  </si>
  <si>
    <t>Medical Expenses หลัง HR Approve มีอีเมลแจ้งให้ทาง F&amp;A รับทราบเพื่อเข้าไป Approve</t>
  </si>
  <si>
    <t>Feet Card/Travel &amp; Entertainment/Other Expenses หลัง HOD Approve มีอีเมลแจ้งให้ทาง F&amp;A รับทราบเพื่อเข้าไป Approve</t>
  </si>
  <si>
    <t>HOD Approve</t>
  </si>
  <si>
    <t>Suporn</t>
  </si>
  <si>
    <t>Cancelled</t>
  </si>
  <si>
    <t>Cancelled เนื่องจากทาง BA เข้าใจผิดเอง ทาง F&amp;A ต้องการอีเมลเฉพาะ Medical ที่ HR Approve เท่านั้น</t>
  </si>
  <si>
    <t>หน้าจอ HR Approve
ระบบแสดงข้อมูล Submitted Date ไม่ถูกต้อง กรณีพนักงาน Draft ค้างไว้ แล้วมากดส่งภายหลัง</t>
  </si>
  <si>
    <t>หน้าจอ My Benefits
เปลี่ยนชื่อหัว Column Usage เป็น Actual Amount</t>
  </si>
  <si>
    <t xml:space="preserve">หน้าจอ My Benefits
จำนวนรวม (Total) ของ Usage ไม่ตรงกับ Actual Amount </t>
  </si>
  <si>
    <t>หน้าจอ My Benefits					
รบกวนเรียงลำดับตาราง ดังนี้					
Expense ,Year,Limit Amount,Usage &gt;&gt; Actual Amount,Reimbursement,Remained</t>
  </si>
  <si>
    <t>อีเมลที่กดจากไอคอนอีเมล บนหน้าจอ HR Approve
รบกวนเปลี่ยนสีหัวตารางจากสีส้ม เป็น สีแดง ให้ด้วยค่ะ</t>
  </si>
  <si>
    <t xml:space="preserve"> เวลาที่ User ได้รับตีกลับ แล้วเข้าไปแก้ไขข้อมูล พอกดส่งใหม่อีกครั้ง แล้วกด confirm จากข้างใน ข้อมูลที่แก้ไขไม่อัพเดทเวลาที่รายการเด้งมาที่ HR      </t>
  </si>
  <si>
    <t>กรณีพนักงานทำการแก้ไขข้อมูล หลังจาก HR Reject
ระบบไม่ทำการ Update ฟิลด์ Disease ให้</t>
  </si>
  <si>
    <t>My Benefits</t>
  </si>
  <si>
    <t>DF029</t>
  </si>
  <si>
    <t>DF030</t>
  </si>
  <si>
    <t>DF031</t>
  </si>
  <si>
    <t>DF032</t>
  </si>
  <si>
    <t>DF033</t>
  </si>
  <si>
    <t>DF034</t>
  </si>
  <si>
    <t>DF035</t>
  </si>
  <si>
    <t>DF036</t>
  </si>
  <si>
    <t>DF037</t>
  </si>
  <si>
    <t>DF038</t>
  </si>
  <si>
    <t>DF039</t>
  </si>
  <si>
    <r>
      <t xml:space="preserve">เมื่อตีกลับให้ User แก้ไข แล้ว User ส่ง submit confirm กลับมาอีกครั้ง – ไม่มีอีเมลแจ้งถึง HR
</t>
    </r>
    <r>
      <rPr>
        <sz val="9"/>
        <color rgb="FFFF0000"/>
        <rFont val="Tahoma"/>
        <family val="2"/>
      </rPr>
      <t>**[10/11/2022] คุณภัทรมน Confirm : ให้ทำการแจ้ง mail ให้ทาง HR ตั้งแต่ Requester มีการส่งการเบิกตั้งแต่ครั้งที่ 2,…</t>
    </r>
    <r>
      <rPr>
        <sz val="9"/>
        <color theme="1"/>
        <rFont val="Tahoma"/>
        <family val="2"/>
      </rPr>
      <t xml:space="preserve"> </t>
    </r>
    <r>
      <rPr>
        <sz val="9"/>
        <color rgb="FFFF0000"/>
        <rFont val="Tahoma"/>
        <family val="2"/>
      </rPr>
      <t>เป็นต้นไป</t>
    </r>
  </si>
  <si>
    <r>
      <t xml:space="preserve">หน้าจอ My Benefits
User : chanraem ไม่สามารถทำการคีย์เบิก Dental(SSO) ได้
ภายใน Drop down list ของ Exp Type : Detal(SSO) เป็น Disable
</t>
    </r>
    <r>
      <rPr>
        <sz val="9"/>
        <color rgb="FFFF0000"/>
        <rFont val="Tahoma"/>
        <family val="2"/>
      </rPr>
      <t>#1 11/11/2022 ยังคง Detal(SSO) เป็น Disable</t>
    </r>
  </si>
  <si>
    <t xml:space="preserve">หน้าจอ HR Approve แก้ไขชื่อปุ่ม Reject &amp; Send Email  เป็น  Return &amp; Send Email </t>
  </si>
  <si>
    <r>
      <t xml:space="preserve">Question: User จะได้รับอีเมลในกรณีที่ HR Approve แล้ว และ FA Approve เพื่อแสดงว่ารายการเสร็จสมบูรณ์หรือไม่คะ?
Choice1: ได้รับ 2 ฉบับ (1) HR กด Approve ไปหน้า FA , (2) FA กด Approve อนุมัติการจ่าย
Choice2: ได้รับ 1 ฉบับ (1) FA กด Approve อนุมัติการจ่าย
** [10/11/2022] คุณภัทรมน Confirm : ให้มีการส่งอีเมลตาม Choice 1 คือ Requester จะได้รับอีเมล ทั้งเมื่อ HR Approve และ FA Approve
</t>
    </r>
    <r>
      <rPr>
        <sz val="9"/>
        <color rgb="FFFF0000"/>
        <rFont val="Tahoma"/>
        <family val="2"/>
      </rPr>
      <t>#1 [11/11/2022] อีเมล FA Approve ไม่มีการส่งแจ้งพนักงาน (แต่ HR Approve มีอีเมลแจ้งพนักงานค่ะ)</t>
    </r>
  </si>
  <si>
    <r>
      <t xml:space="preserve">กรณีมีการเปลี่ยนข้อมูล Benefit Level ให้ระบบช่วยทำการ Mapping เปลี่ยนข้อมูลในหน้าจอ Limit ให้ด้วยค่ะ
</t>
    </r>
    <r>
      <rPr>
        <sz val="9"/>
        <color rgb="FFFF0000"/>
        <rFont val="Tahoma"/>
        <family val="2"/>
      </rPr>
      <t>** ทำใน Phase ถัดไป</t>
    </r>
  </si>
  <si>
    <t>รบกวนช่วยเปลี่ยนหัวตารางของอีเมลในส่วน Medical Reimbursement ตามตาราง</t>
  </si>
  <si>
    <t>DF040</t>
  </si>
  <si>
    <t>DF041</t>
  </si>
  <si>
    <t>DF042</t>
  </si>
  <si>
    <r>
      <t xml:space="preserve">หน้าจอ HR All Transaction กดปุ่ม Pivot ให้ระบบแสดง
Monthly Medical Expense Summary Report for HODs
</t>
    </r>
    <r>
      <rPr>
        <sz val="9"/>
        <color rgb="FFFF0000"/>
        <rFont val="Tahoma"/>
        <family val="2"/>
      </rPr>
      <t>** ทำใน Phase ถัดไป</t>
    </r>
  </si>
  <si>
    <t>หน้าจอ HR Approve
ขอเพิ่มปุ่ม Denied กรณี HR ทำการไม่อนุมัติการเบิกค่ารักษาพยาบาลครั้งนั้นๆ
โดยหลังจากทำการกดปุ่ม Denied ให้ระบบแสดงสถานะเป็น HR Denied</t>
  </si>
  <si>
    <r>
      <t xml:space="preserve">อีเมลแจ้ง Approve ของรายการเบิก Travel &amp; Entertainment
แสดง Subject , ประเภทรายการ ที่อนุมัติไม่ถูกต้อง
</t>
    </r>
    <r>
      <rPr>
        <sz val="9"/>
        <color rgb="FFFF0000"/>
        <rFont val="Tahoma"/>
        <family val="2"/>
      </rPr>
      <t>#1 11/11/2022 ยังคงไม่ถูกต้องเหมือนเดิมค่ะ</t>
    </r>
  </si>
  <si>
    <r>
      <t xml:space="preserve">อีเมลแจ้ง Approve ของรายการเบิก Other Expenses
แสดง Subject , ประเภทรายการ ที่อนุมัติไม่ถูกต้อง
</t>
    </r>
    <r>
      <rPr>
        <sz val="9"/>
        <color rgb="FFFF0000"/>
        <rFont val="Tahoma"/>
        <family val="2"/>
      </rPr>
      <t>#1 11/11/2022 ยังคงไม่ถูกต้องเหมือนเดิมค่ะ</t>
    </r>
  </si>
  <si>
    <r>
      <t>ถูกต้องแล้ว</t>
    </r>
    <r>
      <rPr>
        <b/>
        <sz val="9"/>
        <color theme="4" tint="-0.499984740745262"/>
        <rFont val="Tahoma"/>
        <family val="2"/>
      </rPr>
      <t xml:space="preserve"> DONE</t>
    </r>
  </si>
  <si>
    <t xml:space="preserve">FA Approve </t>
  </si>
  <si>
    <t>{ as of } 11/11/2022</t>
  </si>
  <si>
    <t>{ go to } Expenses Reimbursement Project</t>
  </si>
  <si>
    <t>{ project name }</t>
  </si>
  <si>
    <r>
      <t xml:space="preserve">HR Approve  </t>
    </r>
    <r>
      <rPr>
        <b/>
        <sz val="9"/>
        <color theme="8" tint="-0.499984740745262"/>
        <rFont val="Tahoma"/>
        <family val="2"/>
      </rPr>
      <t>DONE</t>
    </r>
    <r>
      <rPr>
        <sz val="9"/>
        <color theme="1"/>
        <rFont val="Tahoma"/>
        <family val="2"/>
      </rPr>
      <t xml:space="preserve">
1 Send mail to Requester {OK}
2 Send mail to FA {OK}
load FA Email ** +add more process time</t>
    </r>
  </si>
  <si>
    <r>
      <t xml:space="preserve">แก้ไขแล้ว </t>
    </r>
    <r>
      <rPr>
        <b/>
        <sz val="9"/>
        <color theme="8" tint="-0.499984740745262"/>
        <rFont val="Tahoma"/>
        <family val="2"/>
      </rPr>
      <t xml:space="preserve">DONE 
</t>
    </r>
    <r>
      <rPr>
        <sz val="9"/>
        <rFont val="Tahoma"/>
        <family val="2"/>
      </rPr>
      <t>แก้ที่วิธีการ กำหนด disable = true</t>
    </r>
    <r>
      <rPr>
        <sz val="9"/>
        <color theme="1"/>
        <rFont val="Tahoma"/>
        <family val="2"/>
      </rPr>
      <t xml:space="preserve">
</t>
    </r>
  </si>
  <si>
    <r>
      <rPr>
        <sz val="9"/>
        <color rgb="FFFF0000"/>
        <rFont val="Tahoma"/>
        <family val="2"/>
      </rPr>
      <t xml:space="preserve">Next Phase </t>
    </r>
    <r>
      <rPr>
        <sz val="9"/>
        <color theme="1"/>
        <rFont val="Tahoma"/>
        <family val="2"/>
      </rPr>
      <t xml:space="preserve">New Requirement
เปลี่ยนสีตามตาราง เรียบร้ยบร้อยแล้ว
เปลี่ยน HR Approved mail เป็น </t>
    </r>
    <r>
      <rPr>
        <b/>
        <sz val="9"/>
        <color theme="9"/>
        <rFont val="Tahoma"/>
        <family val="2"/>
      </rPr>
      <t>สีเขียวแล้ว</t>
    </r>
  </si>
  <si>
    <r>
      <t xml:space="preserve">Next Phase
</t>
    </r>
    <r>
      <rPr>
        <sz val="9"/>
        <rFont val="Tahoma"/>
        <family val="2"/>
      </rPr>
      <t>- Batch Update form Benefits Level to Limitation</t>
    </r>
  </si>
  <si>
    <r>
      <t xml:space="preserve">Next Phase
</t>
    </r>
    <r>
      <rPr>
        <sz val="9"/>
        <rFont val="Tahoma"/>
        <family val="2"/>
      </rPr>
      <t>- Report (Datagrid) to PDF, EXCEL</t>
    </r>
  </si>
  <si>
    <t>New Requirement
- Status = HR Denied 
- Reimbursement = 0
- Take out form the summary for every Types.
- Take out Confirm Button</t>
  </si>
  <si>
    <r>
      <t xml:space="preserve">Next Phase
</t>
    </r>
    <r>
      <rPr>
        <sz val="9"/>
        <rFont val="Tahoma"/>
        <family val="2"/>
      </rPr>
      <t>Chagne Submit date to today.</t>
    </r>
    <r>
      <rPr>
        <sz val="9"/>
        <color rgb="FFFF0000"/>
        <rFont val="Tahoma"/>
        <family val="2"/>
      </rPr>
      <t xml:space="preserve"> </t>
    </r>
    <r>
      <rPr>
        <b/>
        <sz val="9"/>
        <color theme="8" tint="-0.499984740745262"/>
        <rFont val="Tahoma"/>
        <family val="2"/>
      </rPr>
      <t>DONE</t>
    </r>
    <r>
      <rPr>
        <sz val="9"/>
        <color rgb="FFFF0000"/>
        <rFont val="Tahoma"/>
        <family val="2"/>
      </rPr>
      <t xml:space="preserve">
If Today - Treatment date &gt;3 Months (color change to RED)</t>
    </r>
  </si>
  <si>
    <r>
      <t>HR check for FA Approve</t>
    </r>
    <r>
      <rPr>
        <b/>
        <sz val="9"/>
        <rFont val="Tahoma"/>
        <family val="2"/>
      </rPr>
      <t xml:space="preserve"> DONE</t>
    </r>
    <r>
      <rPr>
        <sz val="9"/>
        <color theme="1"/>
        <rFont val="Tahoma"/>
        <family val="2"/>
      </rPr>
      <t xml:space="preserve">
Menu - FA Approve เดิม (ทำได้อยู่แล้ว)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</si>
</sst>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Tahoma"/>
      <family val="2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sz val="10"/>
      <name val="Arial"/>
      <family val="2"/>
      <charset val="222"/>
    </font>
    <font>
      <sz val="10"/>
      <name val="Calibri"/>
      <family val="2"/>
      <scheme val="minor"/>
    </font>
    <font>
      <b/>
      <sz val="16"/>
      <color theme="1"/>
      <name val="Browallia New"/>
      <family val="2"/>
    </font>
    <font>
      <sz val="14"/>
      <color theme="1"/>
      <name val="Browallia New"/>
      <family val="2"/>
    </font>
    <font>
      <b/>
      <sz val="14"/>
      <color rgb="FF000000"/>
      <name val="Browallia New"/>
      <family val="2"/>
    </font>
    <font>
      <sz val="14"/>
      <color rgb="FF000000"/>
      <name val="Browallia New"/>
      <family val="2"/>
    </font>
    <font>
      <sz val="10"/>
      <name val="Arial"/>
      <family val="2"/>
    </font>
    <font>
      <sz val="9"/>
      <color theme="1"/>
      <name val="Tahoma"/>
      <family val="2"/>
    </font>
    <font>
      <b/>
      <sz val="10"/>
      <color theme="1"/>
      <name val="Tahoma"/>
      <family val="2"/>
    </font>
    <font>
      <sz val="8"/>
      <name val="Calibri"/>
      <family val="2"/>
      <scheme val="minor"/>
    </font>
    <font>
      <sz val="9"/>
      <name val="Tahoma"/>
      <family val="2"/>
    </font>
    <font>
      <sz val="9"/>
      <color rgb="FFFF000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4" tint="-0.499984740745262"/>
      <name val="Tahoma"/>
      <family val="2"/>
    </font>
    <font>
      <b/>
      <sz val="12"/>
      <color theme="1"/>
      <name val="Tahoma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Tahoma"/>
      <family val="2"/>
    </font>
    <font>
      <b/>
      <sz val="9"/>
      <color theme="8" tint="-0.499984740745262"/>
      <name val="Tahoma"/>
      <family val="2"/>
    </font>
    <font>
      <b/>
      <sz val="9"/>
      <color theme="9"/>
      <name val="Tahoma"/>
      <family val="2"/>
    </font>
    <font>
      <b/>
      <sz val="9"/>
      <name val="Tahoma"/>
      <family val="2"/>
    </font>
    <font>
      <b/>
      <sz val="10"/>
      <color rgb="FF0000FF"/>
      <name val="Tahoma"/>
      <family val="2"/>
    </font>
    <font>
      <b/>
      <sz val="16"/>
      <color rgb="FF92D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ck">
        <color theme="1"/>
      </bottom>
      <diagonal/>
    </border>
    <border>
      <left/>
      <right/>
      <top style="thin">
        <color theme="0"/>
      </top>
      <bottom style="thick">
        <color theme="1"/>
      </bottom>
      <diagonal/>
    </border>
    <border>
      <left/>
      <right style="thin">
        <color indexed="64"/>
      </right>
      <top style="thin">
        <color theme="0"/>
      </top>
      <bottom style="thick">
        <color theme="1"/>
      </bottom>
      <diagonal/>
    </border>
    <border>
      <left style="thin">
        <color rgb="FFE7E200"/>
      </left>
      <right style="thin">
        <color rgb="FFE7E200"/>
      </right>
      <top style="thin">
        <color theme="0"/>
      </top>
      <bottom style="thick">
        <color indexed="64"/>
      </bottom>
      <diagonal/>
    </border>
    <border>
      <left style="thin">
        <color rgb="FFE7E200"/>
      </left>
      <right style="thin">
        <color rgb="FFE7E200"/>
      </right>
      <top style="thin">
        <color theme="0"/>
      </top>
      <bottom style="thick">
        <color theme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5" fillId="0" borderId="0"/>
    <xf numFmtId="0" fontId="5" fillId="0" borderId="0"/>
    <xf numFmtId="9" fontId="17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7" fillId="0" borderId="2" xfId="3" applyFont="1" applyBorder="1"/>
    <xf numFmtId="0" fontId="8" fillId="0" borderId="2" xfId="3" applyFont="1" applyBorder="1"/>
    <xf numFmtId="0" fontId="5" fillId="0" borderId="0" xfId="3"/>
    <xf numFmtId="0" fontId="9" fillId="3" borderId="3" xfId="3" applyFont="1" applyFill="1" applyBorder="1" applyAlignment="1">
      <alignment horizontal="center" vertical="top" wrapText="1"/>
    </xf>
    <xf numFmtId="0" fontId="9" fillId="3" borderId="4" xfId="3" applyFont="1" applyFill="1" applyBorder="1" applyAlignment="1">
      <alignment horizontal="center" vertical="top" wrapText="1"/>
    </xf>
    <xf numFmtId="49" fontId="8" fillId="0" borderId="5" xfId="3" applyNumberFormat="1" applyFont="1" applyBorder="1" applyAlignment="1">
      <alignment horizontal="center" vertical="top" wrapText="1"/>
    </xf>
    <xf numFmtId="0" fontId="8" fillId="0" borderId="6" xfId="3" applyFont="1" applyBorder="1" applyAlignment="1">
      <alignment vertical="top" wrapText="1"/>
    </xf>
    <xf numFmtId="49" fontId="8" fillId="0" borderId="7" xfId="3" applyNumberFormat="1" applyFont="1" applyBorder="1" applyAlignment="1">
      <alignment horizontal="center" vertical="top" wrapText="1"/>
    </xf>
    <xf numFmtId="0" fontId="8" fillId="0" borderId="8" xfId="3" applyFont="1" applyBorder="1" applyAlignment="1">
      <alignment vertical="top" wrapText="1"/>
    </xf>
    <xf numFmtId="0" fontId="10" fillId="0" borderId="8" xfId="3" applyFont="1" applyBorder="1" applyAlignment="1">
      <alignment vertical="top" wrapText="1"/>
    </xf>
    <xf numFmtId="0" fontId="11" fillId="0" borderId="0" xfId="2" applyFont="1" applyAlignment="1">
      <alignment horizontal="left"/>
    </xf>
    <xf numFmtId="0" fontId="12" fillId="0" borderId="0" xfId="0" applyFont="1" applyAlignment="1">
      <alignment vertical="top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4" borderId="16" xfId="0" applyFont="1" applyFill="1" applyBorder="1"/>
    <xf numFmtId="0" fontId="4" fillId="4" borderId="14" xfId="0" applyFont="1" applyFill="1" applyBorder="1"/>
    <xf numFmtId="0" fontId="2" fillId="4" borderId="14" xfId="0" applyFont="1" applyFill="1" applyBorder="1" applyAlignment="1">
      <alignment vertical="center"/>
    </xf>
    <xf numFmtId="0" fontId="13" fillId="4" borderId="14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top"/>
    </xf>
    <xf numFmtId="0" fontId="4" fillId="4" borderId="0" xfId="0" applyFont="1" applyFill="1"/>
    <xf numFmtId="0" fontId="2" fillId="4" borderId="0" xfId="0" applyFont="1" applyFill="1" applyAlignment="1">
      <alignment vertical="center"/>
    </xf>
    <xf numFmtId="0" fontId="13" fillId="4" borderId="0" xfId="0" applyFont="1" applyFill="1" applyAlignment="1">
      <alignment horizontal="center" vertical="center"/>
    </xf>
    <xf numFmtId="0" fontId="4" fillId="4" borderId="15" xfId="0" applyFont="1" applyFill="1" applyBorder="1" applyAlignment="1">
      <alignment horizontal="left" vertical="center" indent="1"/>
    </xf>
    <xf numFmtId="0" fontId="4" fillId="4" borderId="15" xfId="0" applyFont="1" applyFill="1" applyBorder="1"/>
    <xf numFmtId="0" fontId="4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vertical="center"/>
    </xf>
    <xf numFmtId="14" fontId="3" fillId="4" borderId="0" xfId="0" applyNumberFormat="1" applyFont="1" applyFill="1" applyAlignment="1">
      <alignment vertical="center"/>
    </xf>
    <xf numFmtId="0" fontId="20" fillId="4" borderId="0" xfId="0" applyFont="1" applyFill="1" applyAlignment="1">
      <alignment horizontal="right"/>
    </xf>
    <xf numFmtId="0" fontId="4" fillId="5" borderId="0" xfId="0" applyFont="1" applyFill="1"/>
    <xf numFmtId="0" fontId="4" fillId="5" borderId="13" xfId="0" applyFont="1" applyFill="1" applyBorder="1"/>
    <xf numFmtId="0" fontId="4" fillId="5" borderId="13" xfId="0" applyFont="1" applyFill="1" applyBorder="1" applyAlignment="1">
      <alignment horizontal="left" vertical="center" indent="1"/>
    </xf>
    <xf numFmtId="14" fontId="2" fillId="4" borderId="0" xfId="0" applyNumberFormat="1" applyFont="1" applyFill="1" applyAlignment="1">
      <alignment vertical="center"/>
    </xf>
    <xf numFmtId="14" fontId="3" fillId="4" borderId="0" xfId="0" applyNumberFormat="1" applyFont="1" applyFill="1" applyAlignment="1">
      <alignment horizontal="left" vertical="center"/>
    </xf>
    <xf numFmtId="0" fontId="21" fillId="4" borderId="0" xfId="0" applyFont="1" applyFill="1" applyAlignment="1">
      <alignment horizontal="right"/>
    </xf>
    <xf numFmtId="0" fontId="22" fillId="4" borderId="0" xfId="0" applyFont="1" applyFill="1" applyAlignment="1">
      <alignment horizontal="left" indent="1"/>
    </xf>
    <xf numFmtId="0" fontId="15" fillId="0" borderId="12" xfId="1" applyFont="1" applyBorder="1" applyAlignment="1" applyProtection="1">
      <alignment horizontal="left" vertical="top" indent="1"/>
      <protection locked="0"/>
    </xf>
    <xf numFmtId="14" fontId="12" fillId="0" borderId="12" xfId="0" applyNumberFormat="1" applyFont="1" applyBorder="1" applyAlignment="1" applyProtection="1">
      <alignment horizontal="center" vertical="top"/>
      <protection locked="0"/>
    </xf>
    <xf numFmtId="0" fontId="12" fillId="0" borderId="12" xfId="0" applyFont="1" applyBorder="1" applyAlignment="1" applyProtection="1">
      <alignment horizontal="center" vertical="top"/>
      <protection locked="0"/>
    </xf>
    <xf numFmtId="0" fontId="12" fillId="0" borderId="12" xfId="0" applyFont="1" applyBorder="1" applyAlignment="1" applyProtection="1">
      <alignment vertical="top" wrapText="1"/>
      <protection locked="0"/>
    </xf>
    <xf numFmtId="0" fontId="12" fillId="0" borderId="12" xfId="0" applyFont="1" applyBorder="1" applyAlignment="1" applyProtection="1">
      <alignment horizontal="left" vertical="top" wrapText="1" indent="1"/>
      <protection locked="0"/>
    </xf>
    <xf numFmtId="0" fontId="13" fillId="2" borderId="19" xfId="0" applyFont="1" applyFill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vertical="top"/>
      <protection locked="0"/>
    </xf>
    <xf numFmtId="0" fontId="6" fillId="0" borderId="12" xfId="2" applyFont="1" applyBorder="1" applyAlignment="1" applyProtection="1">
      <alignment horizontal="left" vertical="top" wrapText="1"/>
      <protection locked="0"/>
    </xf>
    <xf numFmtId="0" fontId="12" fillId="0" borderId="12" xfId="0" applyFont="1" applyBorder="1" applyAlignment="1" applyProtection="1">
      <alignment horizontal="left" vertical="top" indent="1"/>
      <protection locked="0"/>
    </xf>
    <xf numFmtId="0" fontId="12" fillId="0" borderId="1" xfId="0" applyFont="1" applyBorder="1" applyAlignment="1" applyProtection="1">
      <alignment horizontal="left" vertical="top" wrapText="1" indent="1"/>
      <protection locked="0"/>
    </xf>
    <xf numFmtId="0" fontId="15" fillId="0" borderId="1" xfId="1" applyFont="1" applyBorder="1" applyAlignment="1" applyProtection="1">
      <alignment horizontal="left" vertical="top" indent="1"/>
      <protection locked="0"/>
    </xf>
    <xf numFmtId="14" fontId="12" fillId="0" borderId="1" xfId="0" applyNumberFormat="1" applyFont="1" applyBorder="1" applyAlignment="1" applyProtection="1">
      <alignment horizontal="center" vertical="top"/>
      <protection locked="0"/>
    </xf>
    <xf numFmtId="0" fontId="12" fillId="0" borderId="1" xfId="0" applyFont="1" applyBorder="1" applyAlignment="1" applyProtection="1">
      <alignment horizontal="center" vertical="top"/>
      <protection locked="0"/>
    </xf>
    <xf numFmtId="0" fontId="12" fillId="0" borderId="1" xfId="0" applyFont="1" applyBorder="1" applyAlignment="1" applyProtection="1">
      <alignment vertical="top" wrapText="1"/>
      <protection locked="0"/>
    </xf>
    <xf numFmtId="0" fontId="12" fillId="0" borderId="1" xfId="0" applyFont="1" applyBorder="1" applyAlignment="1" applyProtection="1">
      <alignment vertical="top"/>
      <protection locked="0"/>
    </xf>
    <xf numFmtId="0" fontId="6" fillId="0" borderId="1" xfId="2" applyFont="1" applyBorder="1" applyAlignment="1" applyProtection="1">
      <alignment horizontal="left" vertical="top" wrapText="1"/>
      <protection locked="0"/>
    </xf>
    <xf numFmtId="0" fontId="12" fillId="0" borderId="1" xfId="0" applyFont="1" applyBorder="1" applyAlignment="1" applyProtection="1">
      <alignment horizontal="left" vertical="top" indent="1"/>
      <protection locked="0"/>
    </xf>
    <xf numFmtId="14" fontId="12" fillId="0" borderId="17" xfId="0" applyNumberFormat="1" applyFont="1" applyBorder="1" applyAlignment="1" applyProtection="1">
      <alignment horizontal="center" vertical="top"/>
      <protection locked="0"/>
    </xf>
    <xf numFmtId="0" fontId="12" fillId="0" borderId="17" xfId="0" applyFont="1" applyBorder="1" applyAlignment="1" applyProtection="1">
      <alignment horizontal="center" vertical="top"/>
      <protection locked="0"/>
    </xf>
    <xf numFmtId="0" fontId="12" fillId="0" borderId="17" xfId="0" applyFont="1" applyBorder="1" applyAlignment="1" applyProtection="1">
      <alignment vertical="top" wrapText="1"/>
      <protection locked="0"/>
    </xf>
    <xf numFmtId="0" fontId="12" fillId="0" borderId="21" xfId="0" applyFont="1" applyBorder="1" applyAlignment="1" applyProtection="1">
      <alignment horizontal="left" vertical="top" wrapText="1" indent="1"/>
      <protection locked="0"/>
    </xf>
    <xf numFmtId="0" fontId="12" fillId="0" borderId="10" xfId="0" applyFont="1" applyBorder="1" applyAlignment="1" applyProtection="1">
      <alignment vertical="top"/>
      <protection locked="0"/>
    </xf>
    <xf numFmtId="0" fontId="6" fillId="0" borderId="9" xfId="2" applyFont="1" applyBorder="1" applyAlignment="1" applyProtection="1">
      <alignment horizontal="left" vertical="top" wrapText="1"/>
      <protection locked="0"/>
    </xf>
    <xf numFmtId="0" fontId="12" fillId="0" borderId="20" xfId="0" applyFont="1" applyBorder="1" applyAlignment="1" applyProtection="1">
      <alignment horizontal="left" vertical="top" indent="1"/>
      <protection locked="0"/>
    </xf>
    <xf numFmtId="0" fontId="12" fillId="0" borderId="11" xfId="0" applyFont="1" applyBorder="1" applyAlignment="1" applyProtection="1">
      <alignment vertical="top"/>
      <protection locked="0"/>
    </xf>
    <xf numFmtId="14" fontId="12" fillId="0" borderId="20" xfId="0" applyNumberFormat="1" applyFont="1" applyBorder="1" applyAlignment="1" applyProtection="1">
      <alignment horizontal="center" vertical="top"/>
      <protection locked="0"/>
    </xf>
    <xf numFmtId="0" fontId="12" fillId="0" borderId="11" xfId="0" applyFont="1" applyBorder="1" applyAlignment="1" applyProtection="1">
      <alignment horizontal="center" vertical="top"/>
      <protection locked="0"/>
    </xf>
    <xf numFmtId="0" fontId="12" fillId="0" borderId="10" xfId="0" applyFont="1" applyBorder="1" applyAlignment="1" applyProtection="1">
      <alignment horizontal="center" vertical="top"/>
      <protection locked="0"/>
    </xf>
    <xf numFmtId="0" fontId="12" fillId="0" borderId="9" xfId="0" applyFont="1" applyBorder="1" applyAlignment="1" applyProtection="1">
      <alignment horizontal="center" vertical="top"/>
      <protection locked="0"/>
    </xf>
    <xf numFmtId="0" fontId="12" fillId="0" borderId="9" xfId="0" applyFont="1" applyBorder="1" applyAlignment="1" applyProtection="1">
      <alignment horizontal="left" vertical="top" wrapText="1" indent="1"/>
      <protection locked="0"/>
    </xf>
    <xf numFmtId="0" fontId="15" fillId="0" borderId="17" xfId="1" applyFont="1" applyBorder="1" applyAlignment="1" applyProtection="1">
      <alignment horizontal="left" vertical="top" indent="1"/>
      <protection locked="0"/>
    </xf>
    <xf numFmtId="0" fontId="12" fillId="0" borderId="22" xfId="0" applyFont="1" applyBorder="1" applyAlignment="1" applyProtection="1">
      <alignment vertical="top"/>
      <protection locked="0"/>
    </xf>
    <xf numFmtId="0" fontId="12" fillId="0" borderId="17" xfId="0" applyFont="1" applyBorder="1" applyAlignment="1" applyProtection="1">
      <alignment vertical="top"/>
      <protection locked="0"/>
    </xf>
    <xf numFmtId="0" fontId="6" fillId="0" borderId="21" xfId="2" applyFont="1" applyBorder="1" applyAlignment="1" applyProtection="1">
      <alignment horizontal="left" vertical="top" wrapText="1"/>
      <protection locked="0"/>
    </xf>
    <xf numFmtId="0" fontId="12" fillId="0" borderId="17" xfId="0" applyFont="1" applyBorder="1" applyAlignment="1" applyProtection="1">
      <alignment horizontal="left" vertical="top" indent="1"/>
      <protection locked="0"/>
    </xf>
    <xf numFmtId="0" fontId="12" fillId="0" borderId="23" xfId="0" applyFont="1" applyBorder="1" applyAlignment="1" applyProtection="1">
      <alignment vertical="top"/>
      <protection locked="0"/>
    </xf>
    <xf numFmtId="0" fontId="12" fillId="0" borderId="23" xfId="0" applyFont="1" applyBorder="1" applyAlignment="1" applyProtection="1">
      <alignment horizontal="center" vertical="top"/>
      <protection locked="0"/>
    </xf>
    <xf numFmtId="0" fontId="12" fillId="0" borderId="22" xfId="0" applyFont="1" applyBorder="1" applyAlignment="1" applyProtection="1">
      <alignment horizontal="center" vertical="top"/>
      <protection locked="0"/>
    </xf>
    <xf numFmtId="0" fontId="12" fillId="0" borderId="17" xfId="0" applyFont="1" applyBorder="1" applyAlignment="1" applyProtection="1">
      <alignment horizontal="left" vertical="top" wrapText="1" indent="1"/>
      <protection locked="0"/>
    </xf>
    <xf numFmtId="0" fontId="16" fillId="0" borderId="1" xfId="0" applyFont="1" applyBorder="1" applyAlignment="1" applyProtection="1">
      <alignment horizontal="left" vertical="top" wrapText="1" indent="1"/>
      <protection locked="0"/>
    </xf>
    <xf numFmtId="0" fontId="18" fillId="4" borderId="0" xfId="1" applyFont="1" applyFill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23" fillId="4" borderId="0" xfId="0" applyFont="1" applyFill="1"/>
    <xf numFmtId="9" fontId="23" fillId="4" borderId="0" xfId="4" applyFont="1" applyFill="1"/>
    <xf numFmtId="0" fontId="27" fillId="6" borderId="18" xfId="0" applyFont="1" applyFill="1" applyBorder="1" applyAlignment="1">
      <alignment horizontal="center" vertical="center" wrapText="1"/>
    </xf>
    <xf numFmtId="0" fontId="27" fillId="6" borderId="27" xfId="0" applyFont="1" applyFill="1" applyBorder="1" applyAlignment="1">
      <alignment horizontal="center" vertical="center"/>
    </xf>
    <xf numFmtId="0" fontId="27" fillId="6" borderId="28" xfId="0" applyFont="1" applyFill="1" applyBorder="1" applyAlignment="1">
      <alignment horizontal="center" vertical="center"/>
    </xf>
    <xf numFmtId="0" fontId="27" fillId="6" borderId="26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left" indent="1"/>
    </xf>
  </cellXfs>
  <cellStyles count="5">
    <cellStyle name="Hyperlink" xfId="1" builtinId="8"/>
    <cellStyle name="Normal" xfId="0" builtinId="0"/>
    <cellStyle name="Normal 2" xfId="3" xr:uid="{6E798DC6-E2E8-4650-A524-1B3C5B2F6F02}"/>
    <cellStyle name="Normal_Defect_Log" xfId="2" xr:uid="{40C3CF9D-391B-4BB5-92B6-81C5D10882B6}"/>
    <cellStyle name="Percent" xfId="4" builtinId="5"/>
  </cellStyles>
  <dxfs count="4">
    <dxf>
      <fill>
        <patternFill>
          <bgColor rgb="FFEFF9FF"/>
        </patternFill>
      </fill>
    </dxf>
    <dxf>
      <fill>
        <patternFill>
          <bgColor rgb="FFEFF9FF"/>
        </patternFill>
      </fill>
    </dxf>
    <dxf>
      <fill>
        <patternFill>
          <bgColor rgb="FFEFF9FF"/>
        </patternFill>
      </fill>
    </dxf>
    <dxf>
      <fill>
        <patternFill>
          <bgColor rgb="FFEFF9FF"/>
        </patternFill>
      </fill>
    </dxf>
  </dxfs>
  <tableStyles count="0" defaultTableStyle="TableStyleMedium2" defaultPivotStyle="PivotStyleLight16"/>
  <colors>
    <mruColors>
      <color rgb="FF0000FF"/>
      <color rgb="FFE7E200"/>
      <color rgb="FFFFFFCC"/>
      <color rgb="FFEFF9FF"/>
      <color rgb="FFEFFFFF"/>
      <color rgb="FFF6FA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avante.biz/black-sky-wallpapers-37-wallpapers/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1</xdr:row>
      <xdr:rowOff>28575</xdr:rowOff>
    </xdr:from>
    <xdr:to>
      <xdr:col>3</xdr:col>
      <xdr:colOff>710444</xdr:colOff>
      <xdr:row>3</xdr:row>
      <xdr:rowOff>1010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F8285F-0216-9AC1-12D5-7C08E2D6D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219075"/>
          <a:ext cx="1215269" cy="55346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457200</xdr:colOff>
      <xdr:row>0</xdr:row>
      <xdr:rowOff>38100</xdr:rowOff>
    </xdr:from>
    <xdr:to>
      <xdr:col>19</xdr:col>
      <xdr:colOff>2695575</xdr:colOff>
      <xdr:row>3</xdr:row>
      <xdr:rowOff>123824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2096A65-0603-6263-A41A-931832861C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rcRect t="-3448" r="-2579"/>
        <a:stretch/>
      </xdr:blipFill>
      <xdr:spPr>
        <a:xfrm>
          <a:off x="8953500" y="38100"/>
          <a:ext cx="6448425" cy="857249"/>
        </a:xfrm>
        <a:prstGeom prst="rect">
          <a:avLst/>
        </a:prstGeom>
      </xdr:spPr>
    </xdr:pic>
    <xdr:clientData/>
  </xdr:twoCellAnchor>
  <xdr:oneCellAnchor>
    <xdr:from>
      <xdr:col>19</xdr:col>
      <xdr:colOff>1628775</xdr:colOff>
      <xdr:row>2</xdr:row>
      <xdr:rowOff>285751</xdr:rowOff>
    </xdr:from>
    <xdr:ext cx="1390650" cy="266700"/>
    <xdr:sp macro="" textlink="$H$3">
      <xdr:nvSpPr>
        <xdr:cNvPr id="11" name="TextBox 10">
          <a:extLst>
            <a:ext uri="{FF2B5EF4-FFF2-40B4-BE49-F238E27FC236}">
              <a16:creationId xmlns:a16="http://schemas.microsoft.com/office/drawing/2014/main" id="{88936DA5-B4FA-0F18-871B-E8C69D66456E}"/>
            </a:ext>
          </a:extLst>
        </xdr:cNvPr>
        <xdr:cNvSpPr txBox="1"/>
      </xdr:nvSpPr>
      <xdr:spPr>
        <a:xfrm>
          <a:off x="14335125" y="657226"/>
          <a:ext cx="139065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2785875A-B043-49A4-8655-9FA6309D9891}" type="TxLink">
            <a:rPr lang="en-US" sz="1100" b="1" i="0" u="none" strike="noStrike">
              <a:solidFill>
                <a:schemeClr val="bg1"/>
              </a:solidFill>
              <a:latin typeface="+mn-lt"/>
              <a:ea typeface="Tahoma"/>
              <a:cs typeface="Tahoma"/>
            </a:rPr>
            <a:pPr algn="l"/>
            <a:t>{ as of } 11/11/2022</a:t>
          </a:fld>
          <a:endParaRPr lang="en-GB" sz="900">
            <a:solidFill>
              <a:schemeClr val="bg1"/>
            </a:solidFill>
            <a:latin typeface="+mn-lt"/>
          </a:endParaRPr>
        </a:p>
      </xdr:txBody>
    </xdr:sp>
    <xdr:clientData/>
  </xdr:oneCellAnchor>
  <xdr:twoCellAnchor>
    <xdr:from>
      <xdr:col>2</xdr:col>
      <xdr:colOff>9526</xdr:colOff>
      <xdr:row>3</xdr:row>
      <xdr:rowOff>152402</xdr:rowOff>
    </xdr:from>
    <xdr:to>
      <xdr:col>20</xdr:col>
      <xdr:colOff>1</xdr:colOff>
      <xdr:row>4</xdr:row>
      <xdr:rowOff>123825</xdr:rowOff>
    </xdr:to>
    <xdr:sp macro="" textlink="">
      <xdr:nvSpPr>
        <xdr:cNvPr id="12" name="Rectangle: Top Corners Rounded 11">
          <a:extLst>
            <a:ext uri="{FF2B5EF4-FFF2-40B4-BE49-F238E27FC236}">
              <a16:creationId xmlns:a16="http://schemas.microsoft.com/office/drawing/2014/main" id="{2B145E25-E9E0-7C9C-1CFE-5C9FE3DF70DB}"/>
            </a:ext>
          </a:extLst>
        </xdr:cNvPr>
        <xdr:cNvSpPr/>
      </xdr:nvSpPr>
      <xdr:spPr>
        <a:xfrm>
          <a:off x="314326" y="923927"/>
          <a:ext cx="15278100" cy="152398"/>
        </a:xfrm>
        <a:prstGeom prst="round2SameRect">
          <a:avLst/>
        </a:prstGeom>
        <a:solidFill>
          <a:srgbClr val="FFFFCC"/>
        </a:solidFill>
        <a:ln>
          <a:noFill/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19</xdr:col>
      <xdr:colOff>390525</xdr:colOff>
      <xdr:row>2</xdr:row>
      <xdr:rowOff>285750</xdr:rowOff>
    </xdr:from>
    <xdr:ext cx="1400175" cy="271356"/>
    <xdr:sp macro="" textlink="$E$4">
      <xdr:nvSpPr>
        <xdr:cNvPr id="13" name="TextBox 12">
          <a:extLst>
            <a:ext uri="{FF2B5EF4-FFF2-40B4-BE49-F238E27FC236}">
              <a16:creationId xmlns:a16="http://schemas.microsoft.com/office/drawing/2014/main" id="{BE556290-4629-C56B-19AE-C1C6139F5F71}"/>
            </a:ext>
          </a:extLst>
        </xdr:cNvPr>
        <xdr:cNvSpPr txBox="1"/>
      </xdr:nvSpPr>
      <xdr:spPr>
        <a:xfrm>
          <a:off x="13096875" y="657225"/>
          <a:ext cx="1400175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7F6D28A6-1137-4AB4-BB17-12B396F856C8}" type="TxLink">
            <a:rPr lang="en-US" sz="1050" b="0" i="0" u="none" strike="noStrike">
              <a:solidFill>
                <a:srgbClr val="FFFF00"/>
              </a:solidFill>
              <a:latin typeface="Tahoma"/>
              <a:ea typeface="Tahoma"/>
              <a:cs typeface="Tahoma"/>
            </a:rPr>
            <a:pPr/>
            <a:t>{ progress } 100%</a:t>
          </a:fld>
          <a:endParaRPr lang="en-GB" sz="1050">
            <a:solidFill>
              <a:srgbClr val="FFFF00"/>
            </a:solidFill>
          </a:endParaRPr>
        </a:p>
      </xdr:txBody>
    </xdr:sp>
    <xdr:clientData/>
  </xdr:oneCellAnchor>
  <xdr:twoCellAnchor editAs="oneCell">
    <xdr:from>
      <xdr:col>3</xdr:col>
      <xdr:colOff>334250</xdr:colOff>
      <xdr:row>53</xdr:row>
      <xdr:rowOff>46829</xdr:rowOff>
    </xdr:from>
    <xdr:to>
      <xdr:col>3</xdr:col>
      <xdr:colOff>743727</xdr:colOff>
      <xdr:row>55</xdr:row>
      <xdr:rowOff>84831</xdr:rowOff>
    </xdr:to>
    <xdr:pic>
      <xdr:nvPicPr>
        <xdr:cNvPr id="3" name="Graphic 2" descr="UFO Invasion with solid fill">
          <a:extLst>
            <a:ext uri="{FF2B5EF4-FFF2-40B4-BE49-F238E27FC236}">
              <a16:creationId xmlns:a16="http://schemas.microsoft.com/office/drawing/2014/main" id="{7407C8F9-5B75-EB19-68AE-C63F3ED35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458200" y="9086054"/>
          <a:ext cx="409477" cy="409477"/>
        </a:xfrm>
        <a:prstGeom prst="rect">
          <a:avLst/>
        </a:prstGeom>
      </xdr:spPr>
    </xdr:pic>
    <xdr:clientData/>
  </xdr:twoCellAnchor>
  <xdr:twoCellAnchor editAs="oneCell">
    <xdr:from>
      <xdr:col>18</xdr:col>
      <xdr:colOff>415135</xdr:colOff>
      <xdr:row>2</xdr:row>
      <xdr:rowOff>75862</xdr:rowOff>
    </xdr:from>
    <xdr:to>
      <xdr:col>19</xdr:col>
      <xdr:colOff>193461</xdr:colOff>
      <xdr:row>2</xdr:row>
      <xdr:rowOff>268980</xdr:rowOff>
    </xdr:to>
    <xdr:pic>
      <xdr:nvPicPr>
        <xdr:cNvPr id="6" name="Graphic 5" descr="UFO Invasion with solid fill">
          <a:extLst>
            <a:ext uri="{FF2B5EF4-FFF2-40B4-BE49-F238E27FC236}">
              <a16:creationId xmlns:a16="http://schemas.microsoft.com/office/drawing/2014/main" id="{0E62267B-D202-EB05-2E62-4F18EBFF67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rcRect b="62500"/>
        <a:stretch/>
      </xdr:blipFill>
      <xdr:spPr>
        <a:xfrm rot="661665">
          <a:off x="12340435" y="447337"/>
          <a:ext cx="559376" cy="193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bsdev2.locktonwattana.com/XOL/index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0803-8005-4334-86AF-2CEB917F8848}">
  <sheetPr filterMode="1"/>
  <dimension ref="A1:W57"/>
  <sheetViews>
    <sheetView showGridLines="0" showRowColHeaders="0" tabSelected="1" workbookViewId="0">
      <pane ySplit="5" topLeftCell="A13" activePane="bottomLeft" state="frozen"/>
      <selection pane="bottomLeft" activeCell="H42" sqref="H42"/>
    </sheetView>
  </sheetViews>
  <sheetFormatPr defaultColWidth="0" defaultRowHeight="14.25" zeroHeight="1" x14ac:dyDescent="0.2"/>
  <cols>
    <col min="1" max="1" width="0.42578125" style="2" customWidth="1"/>
    <col min="2" max="2" width="4.140625" style="2" customWidth="1"/>
    <col min="3" max="3" width="12.28515625" style="16" bestFit="1" customWidth="1"/>
    <col min="4" max="4" width="12.42578125" style="2" customWidth="1"/>
    <col min="5" max="5" width="11.140625" style="2" customWidth="1"/>
    <col min="6" max="6" width="25.28515625" style="2" bestFit="1" customWidth="1"/>
    <col min="7" max="7" width="46" style="2" customWidth="1"/>
    <col min="8" max="8" width="15.7109375" style="2" customWidth="1"/>
    <col min="9" max="9" width="15.28515625" style="2" hidden="1" customWidth="1"/>
    <col min="10" max="10" width="11.5703125" style="2" customWidth="1"/>
    <col min="11" max="11" width="13.140625" style="2" hidden="1" customWidth="1"/>
    <col min="12" max="12" width="12.5703125" style="2" customWidth="1"/>
    <col min="13" max="13" width="19.7109375" style="2" hidden="1" customWidth="1"/>
    <col min="14" max="14" width="14.140625" style="2" customWidth="1"/>
    <col min="15" max="15" width="23.85546875" style="2" hidden="1" customWidth="1"/>
    <col min="16" max="16" width="13.140625" style="2" customWidth="1"/>
    <col min="17" max="17" width="19.42578125" style="2" hidden="1" customWidth="1"/>
    <col min="18" max="18" width="16.42578125" style="2" hidden="1" customWidth="1"/>
    <col min="19" max="19" width="11.7109375" style="2" customWidth="1"/>
    <col min="20" max="20" width="43.28515625" style="2" customWidth="1"/>
    <col min="21" max="21" width="4.28515625" style="2" customWidth="1"/>
    <col min="22" max="22" width="0.28515625" style="2" customWidth="1"/>
    <col min="23" max="23" width="5.28515625" style="2" hidden="1" customWidth="1"/>
    <col min="24" max="16384" width="8.7109375" style="2" hidden="1"/>
  </cols>
  <sheetData>
    <row r="1" spans="1:22" ht="15" thickTop="1" x14ac:dyDescent="0.2">
      <c r="A1" s="22"/>
      <c r="B1" s="25"/>
      <c r="C1" s="25"/>
      <c r="D1" s="26"/>
      <c r="E1" s="26"/>
      <c r="F1" s="26"/>
      <c r="G1" s="26"/>
      <c r="H1" s="26"/>
      <c r="I1" s="22"/>
      <c r="J1" s="22"/>
      <c r="K1" s="22"/>
      <c r="L1" s="26"/>
      <c r="M1" s="22"/>
      <c r="N1" s="26"/>
      <c r="O1" s="22"/>
      <c r="P1" s="26"/>
      <c r="Q1" s="22"/>
      <c r="R1" s="22"/>
      <c r="S1" s="26"/>
      <c r="T1" s="26"/>
      <c r="U1" s="26"/>
      <c r="V1" s="17"/>
    </row>
    <row r="2" spans="1:22" x14ac:dyDescent="0.2">
      <c r="A2" s="22"/>
      <c r="B2" s="22"/>
      <c r="C2" s="27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18"/>
    </row>
    <row r="3" spans="1:22" s="1" customFormat="1" ht="32.1" customHeight="1" x14ac:dyDescent="0.35">
      <c r="A3" s="23"/>
      <c r="B3" s="23"/>
      <c r="C3" s="28"/>
      <c r="D3" s="29"/>
      <c r="E3" s="29"/>
      <c r="F3" s="37" t="s">
        <v>170</v>
      </c>
      <c r="G3" s="89" t="s">
        <v>10</v>
      </c>
      <c r="H3" s="30" t="s">
        <v>168</v>
      </c>
      <c r="I3" s="35"/>
      <c r="J3" s="23"/>
      <c r="K3" s="36"/>
      <c r="L3" s="30"/>
      <c r="M3" s="36"/>
      <c r="N3" s="30"/>
      <c r="O3" s="30"/>
      <c r="P3" s="30"/>
      <c r="Q3" s="30"/>
      <c r="R3" s="30"/>
      <c r="S3" s="23"/>
      <c r="T3" s="38"/>
      <c r="U3" s="31"/>
      <c r="V3" s="19"/>
    </row>
    <row r="4" spans="1:22" x14ac:dyDescent="0.2">
      <c r="A4" s="22"/>
      <c r="B4" s="22"/>
      <c r="C4" s="27"/>
      <c r="D4" s="22"/>
      <c r="E4" s="83" t="str">
        <f>+"{ progress } "&amp;TEXT(F4,"###%")</f>
        <v>{ progress } 100%</v>
      </c>
      <c r="F4" s="84">
        <f>(+G4-H4)/G4</f>
        <v>1</v>
      </c>
      <c r="G4" s="83">
        <f>COUNTA(C6:C55)</f>
        <v>42</v>
      </c>
      <c r="H4" s="83">
        <f>COUNTIF(H6:H55,"Opened")+COUNTIF(H6:H55,"Re-Opened")</f>
        <v>0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18"/>
    </row>
    <row r="5" spans="1:22" s="15" customFormat="1" ht="40.5" customHeight="1" thickBot="1" x14ac:dyDescent="0.3">
      <c r="A5" s="24"/>
      <c r="B5" s="24"/>
      <c r="C5" s="85" t="s">
        <v>86</v>
      </c>
      <c r="D5" s="86" t="s">
        <v>85</v>
      </c>
      <c r="E5" s="86" t="s">
        <v>13</v>
      </c>
      <c r="F5" s="86" t="s">
        <v>11</v>
      </c>
      <c r="G5" s="86" t="s">
        <v>0</v>
      </c>
      <c r="H5" s="87" t="s">
        <v>87</v>
      </c>
      <c r="I5" s="81" t="s">
        <v>2</v>
      </c>
      <c r="J5" s="87" t="s">
        <v>1</v>
      </c>
      <c r="K5" s="81" t="s">
        <v>3</v>
      </c>
      <c r="L5" s="87" t="s">
        <v>14</v>
      </c>
      <c r="M5" s="81" t="s">
        <v>61</v>
      </c>
      <c r="N5" s="87" t="s">
        <v>4</v>
      </c>
      <c r="O5" s="81" t="s">
        <v>62</v>
      </c>
      <c r="P5" s="87" t="s">
        <v>5</v>
      </c>
      <c r="Q5" s="82" t="s">
        <v>6</v>
      </c>
      <c r="R5" s="80" t="s">
        <v>7</v>
      </c>
      <c r="S5" s="87" t="s">
        <v>8</v>
      </c>
      <c r="T5" s="88" t="s">
        <v>9</v>
      </c>
      <c r="U5" s="24"/>
      <c r="V5" s="20"/>
    </row>
    <row r="6" spans="1:22" s="14" customFormat="1" ht="61.5" hidden="1" customHeight="1" thickTop="1" thickBot="1" x14ac:dyDescent="0.3">
      <c r="A6" s="21"/>
      <c r="B6" s="21"/>
      <c r="C6" s="39" t="s">
        <v>75</v>
      </c>
      <c r="D6" s="40">
        <v>44872</v>
      </c>
      <c r="E6" s="41" t="s">
        <v>12</v>
      </c>
      <c r="F6" s="42" t="s">
        <v>63</v>
      </c>
      <c r="G6" s="43" t="s">
        <v>110</v>
      </c>
      <c r="H6" s="39" t="s">
        <v>109</v>
      </c>
      <c r="I6" s="44"/>
      <c r="J6" s="45"/>
      <c r="K6" s="46"/>
      <c r="L6" s="47" t="s">
        <v>84</v>
      </c>
      <c r="M6" s="45"/>
      <c r="N6" s="40">
        <v>44873</v>
      </c>
      <c r="O6" s="41"/>
      <c r="P6" s="40">
        <v>44874</v>
      </c>
      <c r="Q6" s="41"/>
      <c r="R6" s="41"/>
      <c r="S6" s="40">
        <v>44873</v>
      </c>
      <c r="T6" s="48"/>
      <c r="U6" s="21"/>
      <c r="V6" s="21"/>
    </row>
    <row r="7" spans="1:22" s="14" customFormat="1" ht="32.25" hidden="1" customHeight="1" thickTop="1" thickBot="1" x14ac:dyDescent="0.3">
      <c r="A7" s="21"/>
      <c r="B7" s="21"/>
      <c r="C7" s="49" t="s">
        <v>76</v>
      </c>
      <c r="D7" s="50">
        <v>44872</v>
      </c>
      <c r="E7" s="51" t="s">
        <v>12</v>
      </c>
      <c r="F7" s="52" t="s">
        <v>63</v>
      </c>
      <c r="G7" s="48" t="s">
        <v>64</v>
      </c>
      <c r="H7" s="49" t="s">
        <v>109</v>
      </c>
      <c r="I7" s="44"/>
      <c r="J7" s="45"/>
      <c r="K7" s="46"/>
      <c r="L7" s="47" t="s">
        <v>84</v>
      </c>
      <c r="M7" s="45"/>
      <c r="N7" s="40">
        <v>44873</v>
      </c>
      <c r="O7" s="41"/>
      <c r="P7" s="40">
        <v>44874</v>
      </c>
      <c r="Q7" s="41"/>
      <c r="R7" s="41"/>
      <c r="S7" s="40">
        <v>44874</v>
      </c>
      <c r="T7" s="48"/>
      <c r="U7" s="21"/>
      <c r="V7" s="21"/>
    </row>
    <row r="8" spans="1:22" s="14" customFormat="1" ht="46.5" hidden="1" customHeight="1" thickTop="1" x14ac:dyDescent="0.25">
      <c r="A8" s="21"/>
      <c r="B8" s="21"/>
      <c r="C8" s="49" t="s">
        <v>77</v>
      </c>
      <c r="D8" s="50">
        <v>44872</v>
      </c>
      <c r="E8" s="51" t="s">
        <v>12</v>
      </c>
      <c r="F8" s="52" t="s">
        <v>63</v>
      </c>
      <c r="G8" s="48" t="s">
        <v>65</v>
      </c>
      <c r="H8" s="49" t="s">
        <v>109</v>
      </c>
      <c r="I8" s="53"/>
      <c r="J8" s="45"/>
      <c r="K8" s="46"/>
      <c r="L8" s="47" t="s">
        <v>84</v>
      </c>
      <c r="M8" s="45"/>
      <c r="N8" s="40">
        <v>44873</v>
      </c>
      <c r="O8" s="41"/>
      <c r="P8" s="40">
        <v>44874</v>
      </c>
      <c r="Q8" s="41"/>
      <c r="R8" s="41"/>
      <c r="S8" s="40">
        <v>44874</v>
      </c>
      <c r="T8" s="48"/>
      <c r="U8" s="21"/>
      <c r="V8" s="21"/>
    </row>
    <row r="9" spans="1:22" s="14" customFormat="1" ht="42.75" hidden="1" customHeight="1" x14ac:dyDescent="0.25">
      <c r="A9" s="21"/>
      <c r="B9" s="21"/>
      <c r="C9" s="49" t="s">
        <v>78</v>
      </c>
      <c r="D9" s="50">
        <v>44872</v>
      </c>
      <c r="E9" s="51" t="s">
        <v>12</v>
      </c>
      <c r="F9" s="52" t="s">
        <v>63</v>
      </c>
      <c r="G9" s="48" t="s">
        <v>66</v>
      </c>
      <c r="H9" s="49" t="s">
        <v>109</v>
      </c>
      <c r="I9" s="53"/>
      <c r="J9" s="53"/>
      <c r="K9" s="54"/>
      <c r="L9" s="55" t="s">
        <v>84</v>
      </c>
      <c r="M9" s="53"/>
      <c r="N9" s="50">
        <v>44873</v>
      </c>
      <c r="O9" s="51"/>
      <c r="P9" s="50">
        <v>44874</v>
      </c>
      <c r="Q9" s="51"/>
      <c r="R9" s="51"/>
      <c r="S9" s="50">
        <v>44874</v>
      </c>
      <c r="T9" s="48"/>
      <c r="U9" s="21"/>
      <c r="V9" s="21"/>
    </row>
    <row r="10" spans="1:22" s="14" customFormat="1" ht="36" hidden="1" customHeight="1" x14ac:dyDescent="0.25">
      <c r="A10" s="21"/>
      <c r="B10" s="21"/>
      <c r="C10" s="49" t="s">
        <v>79</v>
      </c>
      <c r="D10" s="50">
        <v>44872</v>
      </c>
      <c r="E10" s="51" t="s">
        <v>12</v>
      </c>
      <c r="F10" s="52" t="s">
        <v>71</v>
      </c>
      <c r="G10" s="48" t="s">
        <v>67</v>
      </c>
      <c r="H10" s="49" t="s">
        <v>109</v>
      </c>
      <c r="I10" s="53"/>
      <c r="J10" s="53"/>
      <c r="K10" s="54"/>
      <c r="L10" s="55" t="s">
        <v>84</v>
      </c>
      <c r="M10" s="53"/>
      <c r="N10" s="50">
        <v>44873</v>
      </c>
      <c r="O10" s="51"/>
      <c r="P10" s="50">
        <v>44874</v>
      </c>
      <c r="Q10" s="51"/>
      <c r="R10" s="51"/>
      <c r="S10" s="50">
        <v>44874</v>
      </c>
      <c r="T10" s="48"/>
      <c r="U10" s="21"/>
      <c r="V10" s="21"/>
    </row>
    <row r="11" spans="1:22" s="14" customFormat="1" ht="57" hidden="1" thickTop="1" x14ac:dyDescent="0.25">
      <c r="A11" s="21"/>
      <c r="B11" s="21"/>
      <c r="C11" s="49" t="s">
        <v>80</v>
      </c>
      <c r="D11" s="50">
        <v>44872</v>
      </c>
      <c r="E11" s="51" t="s">
        <v>12</v>
      </c>
      <c r="F11" s="52" t="s">
        <v>72</v>
      </c>
      <c r="G11" s="48" t="s">
        <v>68</v>
      </c>
      <c r="H11" s="49" t="s">
        <v>109</v>
      </c>
      <c r="I11" s="53"/>
      <c r="J11" s="53"/>
      <c r="K11" s="54"/>
      <c r="L11" s="55" t="s">
        <v>84</v>
      </c>
      <c r="M11" s="53"/>
      <c r="N11" s="50">
        <v>44875</v>
      </c>
      <c r="O11" s="51"/>
      <c r="P11" s="50">
        <v>44875</v>
      </c>
      <c r="Q11" s="51"/>
      <c r="R11" s="51"/>
      <c r="S11" s="50">
        <v>44875</v>
      </c>
      <c r="T11" s="48"/>
      <c r="U11" s="21"/>
      <c r="V11" s="21"/>
    </row>
    <row r="12" spans="1:22" s="14" customFormat="1" ht="35.25" hidden="1" customHeight="1" x14ac:dyDescent="0.25">
      <c r="A12" s="21"/>
      <c r="B12" s="21"/>
      <c r="C12" s="49" t="s">
        <v>81</v>
      </c>
      <c r="D12" s="50">
        <v>44872</v>
      </c>
      <c r="E12" s="51" t="s">
        <v>12</v>
      </c>
      <c r="F12" s="52" t="s">
        <v>73</v>
      </c>
      <c r="G12" s="48" t="s">
        <v>69</v>
      </c>
      <c r="H12" s="49" t="s">
        <v>109</v>
      </c>
      <c r="I12" s="53" t="s">
        <v>118</v>
      </c>
      <c r="J12" s="53"/>
      <c r="K12" s="54"/>
      <c r="L12" s="55" t="s">
        <v>84</v>
      </c>
      <c r="M12" s="53"/>
      <c r="N12" s="50"/>
      <c r="O12" s="51"/>
      <c r="P12" s="50">
        <v>44874</v>
      </c>
      <c r="Q12" s="51"/>
      <c r="R12" s="51"/>
      <c r="S12" s="50">
        <v>44874</v>
      </c>
      <c r="T12" s="48"/>
      <c r="U12" s="21"/>
      <c r="V12" s="21"/>
    </row>
    <row r="13" spans="1:22" s="14" customFormat="1" ht="43.5" customHeight="1" thickTop="1" x14ac:dyDescent="0.25">
      <c r="A13" s="21"/>
      <c r="B13" s="21"/>
      <c r="C13" s="49" t="s">
        <v>82</v>
      </c>
      <c r="D13" s="50">
        <v>44872</v>
      </c>
      <c r="E13" s="51" t="s">
        <v>12</v>
      </c>
      <c r="F13" s="52" t="s">
        <v>74</v>
      </c>
      <c r="G13" s="48" t="s">
        <v>164</v>
      </c>
      <c r="H13" s="49" t="s">
        <v>109</v>
      </c>
      <c r="I13" s="53"/>
      <c r="J13" s="53"/>
      <c r="K13" s="61"/>
      <c r="L13" s="62" t="s">
        <v>84</v>
      </c>
      <c r="M13" s="63"/>
      <c r="N13" s="64">
        <v>44875</v>
      </c>
      <c r="O13" s="65"/>
      <c r="P13" s="64">
        <v>44876</v>
      </c>
      <c r="Q13" s="66"/>
      <c r="R13" s="67"/>
      <c r="S13" s="64">
        <v>44876</v>
      </c>
      <c r="T13" s="48" t="s">
        <v>166</v>
      </c>
      <c r="U13" s="21"/>
      <c r="V13" s="21"/>
    </row>
    <row r="14" spans="1:22" s="14" customFormat="1" ht="33.75" hidden="1" customHeight="1" x14ac:dyDescent="0.25">
      <c r="A14" s="21"/>
      <c r="B14" s="21"/>
      <c r="C14" s="39" t="s">
        <v>83</v>
      </c>
      <c r="D14" s="40">
        <v>44872</v>
      </c>
      <c r="E14" s="41" t="s">
        <v>12</v>
      </c>
      <c r="F14" s="42" t="s">
        <v>72</v>
      </c>
      <c r="G14" s="43" t="s">
        <v>70</v>
      </c>
      <c r="H14" s="39" t="s">
        <v>109</v>
      </c>
      <c r="I14" s="45"/>
      <c r="J14" s="45"/>
      <c r="K14" s="54"/>
      <c r="L14" s="47" t="s">
        <v>84</v>
      </c>
      <c r="M14" s="53"/>
      <c r="N14" s="40">
        <v>44873</v>
      </c>
      <c r="O14" s="51"/>
      <c r="P14" s="40">
        <v>44874</v>
      </c>
      <c r="Q14" s="51"/>
      <c r="R14" s="51"/>
      <c r="S14" s="40">
        <v>44874</v>
      </c>
      <c r="T14" s="48"/>
      <c r="U14" s="21"/>
      <c r="V14" s="21"/>
    </row>
    <row r="15" spans="1:22" s="14" customFormat="1" ht="45" hidden="1" x14ac:dyDescent="0.25">
      <c r="A15" s="21"/>
      <c r="B15" s="21"/>
      <c r="C15" s="49" t="s">
        <v>92</v>
      </c>
      <c r="D15" s="50">
        <v>44872</v>
      </c>
      <c r="E15" s="51" t="s">
        <v>90</v>
      </c>
      <c r="F15" s="52" t="s">
        <v>89</v>
      </c>
      <c r="G15" s="48" t="s">
        <v>88</v>
      </c>
      <c r="H15" s="49" t="s">
        <v>109</v>
      </c>
      <c r="I15" s="53"/>
      <c r="J15" s="53"/>
      <c r="K15" s="54"/>
      <c r="L15" s="55" t="s">
        <v>84</v>
      </c>
      <c r="M15" s="53"/>
      <c r="N15" s="50"/>
      <c r="O15" s="51"/>
      <c r="P15" s="50"/>
      <c r="Q15" s="51"/>
      <c r="R15" s="51"/>
      <c r="S15" s="50">
        <v>44874</v>
      </c>
      <c r="T15" s="48"/>
      <c r="U15" s="21"/>
      <c r="V15" s="21"/>
    </row>
    <row r="16" spans="1:22" s="14" customFormat="1" ht="24.75" hidden="1" customHeight="1" x14ac:dyDescent="0.25">
      <c r="A16" s="21"/>
      <c r="B16" s="21"/>
      <c r="C16" s="49" t="s">
        <v>93</v>
      </c>
      <c r="D16" s="50">
        <v>44872</v>
      </c>
      <c r="E16" s="51" t="s">
        <v>90</v>
      </c>
      <c r="F16" s="52" t="s">
        <v>89</v>
      </c>
      <c r="G16" s="48" t="s">
        <v>91</v>
      </c>
      <c r="H16" s="49" t="s">
        <v>109</v>
      </c>
      <c r="I16" s="53"/>
      <c r="J16" s="53"/>
      <c r="K16" s="54"/>
      <c r="L16" s="55" t="s">
        <v>84</v>
      </c>
      <c r="M16" s="53"/>
      <c r="N16" s="50"/>
      <c r="O16" s="51"/>
      <c r="P16" s="50"/>
      <c r="Q16" s="51"/>
      <c r="R16" s="51"/>
      <c r="S16" s="50">
        <v>44874</v>
      </c>
      <c r="T16" s="48"/>
      <c r="U16" s="21"/>
      <c r="V16" s="21"/>
    </row>
    <row r="17" spans="1:22" s="14" customFormat="1" ht="33.75" hidden="1" x14ac:dyDescent="0.25">
      <c r="A17" s="21"/>
      <c r="B17" s="21"/>
      <c r="C17" s="49" t="s">
        <v>96</v>
      </c>
      <c r="D17" s="50">
        <v>44872</v>
      </c>
      <c r="E17" s="51" t="s">
        <v>90</v>
      </c>
      <c r="F17" s="52" t="s">
        <v>63</v>
      </c>
      <c r="G17" s="48" t="s">
        <v>94</v>
      </c>
      <c r="H17" s="49" t="s">
        <v>109</v>
      </c>
      <c r="I17" s="53"/>
      <c r="J17" s="53"/>
      <c r="K17" s="54"/>
      <c r="L17" s="55" t="s">
        <v>84</v>
      </c>
      <c r="M17" s="53"/>
      <c r="N17" s="50"/>
      <c r="O17" s="51"/>
      <c r="P17" s="50"/>
      <c r="Q17" s="51"/>
      <c r="R17" s="51"/>
      <c r="S17" s="50">
        <v>44874</v>
      </c>
      <c r="T17" s="48"/>
      <c r="U17" s="21"/>
      <c r="V17" s="21"/>
    </row>
    <row r="18" spans="1:22" s="14" customFormat="1" ht="22.5" hidden="1" x14ac:dyDescent="0.25">
      <c r="A18" s="21"/>
      <c r="B18" s="21"/>
      <c r="C18" s="49" t="s">
        <v>97</v>
      </c>
      <c r="D18" s="50">
        <v>44872</v>
      </c>
      <c r="E18" s="51" t="s">
        <v>90</v>
      </c>
      <c r="F18" s="52" t="s">
        <v>63</v>
      </c>
      <c r="G18" s="48" t="s">
        <v>104</v>
      </c>
      <c r="H18" s="49" t="s">
        <v>109</v>
      </c>
      <c r="I18" s="53"/>
      <c r="J18" s="53"/>
      <c r="K18" s="54"/>
      <c r="L18" s="55" t="s">
        <v>84</v>
      </c>
      <c r="M18" s="53"/>
      <c r="N18" s="50"/>
      <c r="O18" s="51"/>
      <c r="P18" s="50"/>
      <c r="Q18" s="51"/>
      <c r="R18" s="51"/>
      <c r="S18" s="50">
        <v>44874</v>
      </c>
      <c r="T18" s="48"/>
      <c r="U18" s="21"/>
      <c r="V18" s="21"/>
    </row>
    <row r="19" spans="1:22" s="14" customFormat="1" ht="33.75" hidden="1" x14ac:dyDescent="0.25">
      <c r="A19" s="21"/>
      <c r="B19" s="21"/>
      <c r="C19" s="49" t="s">
        <v>98</v>
      </c>
      <c r="D19" s="50">
        <v>44872</v>
      </c>
      <c r="E19" s="51" t="s">
        <v>90</v>
      </c>
      <c r="F19" s="52" t="s">
        <v>63</v>
      </c>
      <c r="G19" s="48" t="s">
        <v>111</v>
      </c>
      <c r="H19" s="49" t="s">
        <v>109</v>
      </c>
      <c r="I19" s="53"/>
      <c r="J19" s="53"/>
      <c r="K19" s="54"/>
      <c r="L19" s="55" t="s">
        <v>84</v>
      </c>
      <c r="M19" s="53"/>
      <c r="N19" s="50"/>
      <c r="O19" s="51"/>
      <c r="P19" s="50"/>
      <c r="Q19" s="51"/>
      <c r="R19" s="51"/>
      <c r="S19" s="50">
        <v>44874</v>
      </c>
      <c r="T19" s="48"/>
      <c r="U19" s="21"/>
      <c r="V19" s="21"/>
    </row>
    <row r="20" spans="1:22" s="14" customFormat="1" ht="45" x14ac:dyDescent="0.25">
      <c r="A20" s="21"/>
      <c r="B20" s="21"/>
      <c r="C20" s="49" t="s">
        <v>99</v>
      </c>
      <c r="D20" s="50">
        <v>44872</v>
      </c>
      <c r="E20" s="51" t="s">
        <v>90</v>
      </c>
      <c r="F20" s="52" t="s">
        <v>63</v>
      </c>
      <c r="G20" s="48" t="s">
        <v>95</v>
      </c>
      <c r="H20" s="49" t="s">
        <v>109</v>
      </c>
      <c r="I20" s="60"/>
      <c r="J20" s="53" t="s">
        <v>44</v>
      </c>
      <c r="K20" s="61"/>
      <c r="L20" s="55" t="s">
        <v>84</v>
      </c>
      <c r="M20" s="63"/>
      <c r="N20" s="50">
        <v>44875</v>
      </c>
      <c r="O20" s="65"/>
      <c r="P20" s="50"/>
      <c r="Q20" s="66"/>
      <c r="R20" s="51"/>
      <c r="S20" s="50"/>
      <c r="T20" s="78" t="s">
        <v>177</v>
      </c>
      <c r="U20" s="21"/>
      <c r="V20" s="21"/>
    </row>
    <row r="21" spans="1:22" s="14" customFormat="1" ht="22.5" hidden="1" x14ac:dyDescent="0.25">
      <c r="A21" s="21"/>
      <c r="B21" s="21"/>
      <c r="C21" s="49" t="s">
        <v>100</v>
      </c>
      <c r="D21" s="50">
        <v>44872</v>
      </c>
      <c r="E21" s="51" t="s">
        <v>90</v>
      </c>
      <c r="F21" s="52" t="s">
        <v>63</v>
      </c>
      <c r="G21" s="48" t="s">
        <v>105</v>
      </c>
      <c r="H21" s="49" t="s">
        <v>109</v>
      </c>
      <c r="I21" s="53"/>
      <c r="J21" s="53"/>
      <c r="K21" s="54"/>
      <c r="L21" s="47" t="s">
        <v>84</v>
      </c>
      <c r="M21" s="53"/>
      <c r="N21" s="40">
        <v>44875</v>
      </c>
      <c r="O21" s="51"/>
      <c r="P21" s="40">
        <v>44876</v>
      </c>
      <c r="Q21" s="51"/>
      <c r="R21" s="41"/>
      <c r="S21" s="40">
        <v>44876</v>
      </c>
      <c r="T21" s="48"/>
      <c r="U21" s="21"/>
      <c r="V21" s="21"/>
    </row>
    <row r="22" spans="1:22" s="14" customFormat="1" ht="12.75" hidden="1" x14ac:dyDescent="0.25">
      <c r="A22" s="21"/>
      <c r="B22" s="21"/>
      <c r="C22" s="49" t="s">
        <v>101</v>
      </c>
      <c r="D22" s="50">
        <v>44872</v>
      </c>
      <c r="E22" s="51" t="s">
        <v>90</v>
      </c>
      <c r="F22" s="52" t="s">
        <v>107</v>
      </c>
      <c r="G22" s="48" t="s">
        <v>106</v>
      </c>
      <c r="H22" s="49" t="s">
        <v>109</v>
      </c>
      <c r="I22" s="53"/>
      <c r="J22" s="53"/>
      <c r="K22" s="54"/>
      <c r="L22" s="55" t="s">
        <v>84</v>
      </c>
      <c r="M22" s="53"/>
      <c r="N22" s="50"/>
      <c r="O22" s="51"/>
      <c r="P22" s="50"/>
      <c r="Q22" s="51"/>
      <c r="R22" s="51"/>
      <c r="S22" s="50">
        <v>44874</v>
      </c>
      <c r="T22" s="48"/>
      <c r="U22" s="21"/>
      <c r="V22" s="21"/>
    </row>
    <row r="23" spans="1:22" s="14" customFormat="1" ht="12.75" hidden="1" x14ac:dyDescent="0.25">
      <c r="A23" s="21"/>
      <c r="B23" s="21"/>
      <c r="C23" s="49" t="s">
        <v>102</v>
      </c>
      <c r="D23" s="50">
        <v>44872</v>
      </c>
      <c r="E23" s="51" t="s">
        <v>90</v>
      </c>
      <c r="F23" s="52" t="s">
        <v>89</v>
      </c>
      <c r="G23" s="48" t="s">
        <v>108</v>
      </c>
      <c r="H23" s="49" t="s">
        <v>109</v>
      </c>
      <c r="I23" s="53"/>
      <c r="J23" s="53"/>
      <c r="K23" s="54"/>
      <c r="L23" s="55" t="s">
        <v>84</v>
      </c>
      <c r="M23" s="53"/>
      <c r="N23" s="50"/>
      <c r="O23" s="51"/>
      <c r="P23" s="50"/>
      <c r="Q23" s="51"/>
      <c r="R23" s="51"/>
      <c r="S23" s="50">
        <v>44874</v>
      </c>
      <c r="T23" s="48"/>
      <c r="U23" s="21"/>
      <c r="V23" s="21"/>
    </row>
    <row r="24" spans="1:22" s="14" customFormat="1" ht="22.5" hidden="1" x14ac:dyDescent="0.25">
      <c r="A24" s="21"/>
      <c r="B24" s="21"/>
      <c r="C24" s="49" t="s">
        <v>103</v>
      </c>
      <c r="D24" s="50">
        <v>44874</v>
      </c>
      <c r="E24" s="51" t="s">
        <v>90</v>
      </c>
      <c r="F24" s="52" t="s">
        <v>63</v>
      </c>
      <c r="G24" s="48" t="s">
        <v>155</v>
      </c>
      <c r="H24" s="49" t="s">
        <v>109</v>
      </c>
      <c r="I24" s="53"/>
      <c r="J24" s="53"/>
      <c r="K24" s="54"/>
      <c r="L24" s="55" t="s">
        <v>84</v>
      </c>
      <c r="M24" s="53"/>
      <c r="N24" s="50">
        <v>44875</v>
      </c>
      <c r="O24" s="51"/>
      <c r="P24" s="50">
        <v>44876</v>
      </c>
      <c r="Q24" s="51"/>
      <c r="R24" s="51"/>
      <c r="S24" s="50">
        <v>44876</v>
      </c>
      <c r="T24" s="48"/>
      <c r="U24" s="21"/>
      <c r="V24" s="21"/>
    </row>
    <row r="25" spans="1:22" s="14" customFormat="1" ht="22.5" hidden="1" x14ac:dyDescent="0.25">
      <c r="A25" s="21"/>
      <c r="B25" s="21"/>
      <c r="C25" s="49" t="s">
        <v>114</v>
      </c>
      <c r="D25" s="50">
        <v>44874</v>
      </c>
      <c r="E25" s="51" t="s">
        <v>90</v>
      </c>
      <c r="F25" s="52" t="s">
        <v>63</v>
      </c>
      <c r="G25" s="48" t="s">
        <v>112</v>
      </c>
      <c r="H25" s="49" t="s">
        <v>109</v>
      </c>
      <c r="I25" s="53"/>
      <c r="J25" s="53"/>
      <c r="K25" s="54"/>
      <c r="L25" s="55" t="s">
        <v>84</v>
      </c>
      <c r="M25" s="53"/>
      <c r="N25" s="50">
        <v>44875</v>
      </c>
      <c r="O25" s="51"/>
      <c r="P25" s="50">
        <v>44876</v>
      </c>
      <c r="Q25" s="51"/>
      <c r="R25" s="51"/>
      <c r="S25" s="50">
        <v>44876</v>
      </c>
      <c r="T25" s="48"/>
      <c r="U25" s="21"/>
      <c r="V25" s="21"/>
    </row>
    <row r="26" spans="1:22" s="14" customFormat="1" ht="33.75" hidden="1" x14ac:dyDescent="0.25">
      <c r="A26" s="21"/>
      <c r="B26" s="21"/>
      <c r="C26" s="49" t="s">
        <v>115</v>
      </c>
      <c r="D26" s="50">
        <v>44874</v>
      </c>
      <c r="E26" s="51" t="s">
        <v>90</v>
      </c>
      <c r="F26" s="52" t="s">
        <v>63</v>
      </c>
      <c r="G26" s="48" t="s">
        <v>117</v>
      </c>
      <c r="H26" s="49" t="s">
        <v>109</v>
      </c>
      <c r="I26" s="53"/>
      <c r="J26" s="53"/>
      <c r="K26" s="54"/>
      <c r="L26" s="55" t="s">
        <v>84</v>
      </c>
      <c r="M26" s="53"/>
      <c r="N26" s="50">
        <v>44875</v>
      </c>
      <c r="O26" s="51"/>
      <c r="P26" s="50">
        <v>44875</v>
      </c>
      <c r="Q26" s="51"/>
      <c r="R26" s="51"/>
      <c r="S26" s="50">
        <v>44875</v>
      </c>
      <c r="T26" s="48"/>
      <c r="U26" s="21"/>
      <c r="V26" s="21"/>
    </row>
    <row r="27" spans="1:22" s="14" customFormat="1" ht="22.5" hidden="1" x14ac:dyDescent="0.25">
      <c r="A27" s="21"/>
      <c r="B27" s="21"/>
      <c r="C27" s="49" t="s">
        <v>116</v>
      </c>
      <c r="D27" s="50">
        <v>44874</v>
      </c>
      <c r="E27" s="51" t="s">
        <v>90</v>
      </c>
      <c r="F27" s="52" t="s">
        <v>89</v>
      </c>
      <c r="G27" s="48" t="s">
        <v>113</v>
      </c>
      <c r="H27" s="49" t="s">
        <v>109</v>
      </c>
      <c r="I27" s="53"/>
      <c r="J27" s="53"/>
      <c r="K27" s="54"/>
      <c r="L27" s="55" t="s">
        <v>84</v>
      </c>
      <c r="M27" s="53"/>
      <c r="N27" s="50">
        <v>44875</v>
      </c>
      <c r="O27" s="51"/>
      <c r="P27" s="50">
        <v>44875</v>
      </c>
      <c r="Q27" s="51"/>
      <c r="R27" s="51"/>
      <c r="S27" s="50">
        <v>44875</v>
      </c>
      <c r="T27" s="48"/>
      <c r="U27" s="21"/>
      <c r="V27" s="21"/>
    </row>
    <row r="28" spans="1:22" s="14" customFormat="1" ht="22.5" hidden="1" x14ac:dyDescent="0.25">
      <c r="A28" s="21"/>
      <c r="B28" s="21"/>
      <c r="C28" s="49" t="s">
        <v>119</v>
      </c>
      <c r="D28" s="50">
        <v>44874</v>
      </c>
      <c r="E28" s="51" t="s">
        <v>12</v>
      </c>
      <c r="F28" s="52" t="s">
        <v>71</v>
      </c>
      <c r="G28" s="48" t="s">
        <v>125</v>
      </c>
      <c r="H28" s="49" t="s">
        <v>109</v>
      </c>
      <c r="I28" s="53"/>
      <c r="J28" s="53"/>
      <c r="K28" s="54"/>
      <c r="L28" s="55" t="s">
        <v>84</v>
      </c>
      <c r="M28" s="53"/>
      <c r="N28" s="50">
        <v>44875</v>
      </c>
      <c r="O28" s="51"/>
      <c r="P28" s="50">
        <v>44876</v>
      </c>
      <c r="Q28" s="51"/>
      <c r="R28" s="51"/>
      <c r="S28" s="50">
        <v>44876</v>
      </c>
      <c r="T28" s="48"/>
      <c r="U28" s="21"/>
      <c r="V28" s="21"/>
    </row>
    <row r="29" spans="1:22" s="14" customFormat="1" ht="22.5" hidden="1" x14ac:dyDescent="0.25">
      <c r="A29" s="21"/>
      <c r="B29" s="21"/>
      <c r="C29" s="49" t="s">
        <v>120</v>
      </c>
      <c r="D29" s="50">
        <v>44874</v>
      </c>
      <c r="E29" s="51" t="s">
        <v>12</v>
      </c>
      <c r="F29" s="52" t="s">
        <v>74</v>
      </c>
      <c r="G29" s="48" t="s">
        <v>126</v>
      </c>
      <c r="H29" s="49" t="s">
        <v>109</v>
      </c>
      <c r="I29" s="53"/>
      <c r="J29" s="53"/>
      <c r="K29" s="54"/>
      <c r="L29" s="55" t="s">
        <v>84</v>
      </c>
      <c r="M29" s="53"/>
      <c r="N29" s="50">
        <v>44875</v>
      </c>
      <c r="O29" s="51"/>
      <c r="P29" s="50">
        <v>44876</v>
      </c>
      <c r="Q29" s="51"/>
      <c r="R29" s="51"/>
      <c r="S29" s="50">
        <v>44876</v>
      </c>
      <c r="T29" s="48"/>
      <c r="U29" s="21"/>
      <c r="V29" s="21"/>
    </row>
    <row r="30" spans="1:22" s="14" customFormat="1" ht="22.5" hidden="1" x14ac:dyDescent="0.25">
      <c r="A30" s="21"/>
      <c r="B30" s="21"/>
      <c r="C30" s="49" t="s">
        <v>121</v>
      </c>
      <c r="D30" s="50">
        <v>44874</v>
      </c>
      <c r="E30" s="51" t="s">
        <v>12</v>
      </c>
      <c r="F30" s="52" t="s">
        <v>72</v>
      </c>
      <c r="G30" s="48" t="s">
        <v>127</v>
      </c>
      <c r="H30" s="49" t="s">
        <v>109</v>
      </c>
      <c r="I30" s="53"/>
      <c r="J30" s="53"/>
      <c r="K30" s="54"/>
      <c r="L30" s="55" t="s">
        <v>84</v>
      </c>
      <c r="M30" s="53"/>
      <c r="N30" s="50">
        <v>44875</v>
      </c>
      <c r="O30" s="51"/>
      <c r="P30" s="50">
        <v>44876</v>
      </c>
      <c r="Q30" s="51"/>
      <c r="R30" s="51"/>
      <c r="S30" s="50">
        <v>44876</v>
      </c>
      <c r="T30" s="48"/>
      <c r="U30" s="21"/>
      <c r="V30" s="21"/>
    </row>
    <row r="31" spans="1:22" s="14" customFormat="1" ht="33.75" x14ac:dyDescent="0.25">
      <c r="A31" s="21"/>
      <c r="B31" s="21"/>
      <c r="C31" s="49" t="s">
        <v>122</v>
      </c>
      <c r="D31" s="50">
        <v>44874</v>
      </c>
      <c r="E31" s="51" t="s">
        <v>12</v>
      </c>
      <c r="F31" s="52" t="s">
        <v>72</v>
      </c>
      <c r="G31" s="68" t="s">
        <v>165</v>
      </c>
      <c r="H31" s="49" t="s">
        <v>109</v>
      </c>
      <c r="I31" s="60"/>
      <c r="J31" s="53"/>
      <c r="K31" s="61"/>
      <c r="L31" s="55" t="s">
        <v>84</v>
      </c>
      <c r="M31" s="63"/>
      <c r="N31" s="50">
        <v>44875</v>
      </c>
      <c r="O31" s="65"/>
      <c r="P31" s="50">
        <v>44876</v>
      </c>
      <c r="Q31" s="66"/>
      <c r="R31" s="51"/>
      <c r="S31" s="50">
        <v>44876</v>
      </c>
      <c r="T31" s="48" t="s">
        <v>166</v>
      </c>
      <c r="U31" s="21"/>
      <c r="V31" s="21"/>
    </row>
    <row r="32" spans="1:22" s="14" customFormat="1" ht="69.75" customHeight="1" x14ac:dyDescent="0.25">
      <c r="A32" s="21"/>
      <c r="B32" s="21"/>
      <c r="C32" s="49" t="s">
        <v>123</v>
      </c>
      <c r="D32" s="50">
        <v>44874</v>
      </c>
      <c r="E32" s="51" t="s">
        <v>131</v>
      </c>
      <c r="F32" s="52" t="s">
        <v>89</v>
      </c>
      <c r="G32" s="48" t="s">
        <v>128</v>
      </c>
      <c r="H32" s="49" t="s">
        <v>109</v>
      </c>
      <c r="I32" s="60"/>
      <c r="J32" s="53"/>
      <c r="K32" s="61"/>
      <c r="L32" s="55" t="s">
        <v>84</v>
      </c>
      <c r="M32" s="63"/>
      <c r="N32" s="50">
        <v>44875</v>
      </c>
      <c r="O32" s="65"/>
      <c r="P32" s="50"/>
      <c r="Q32" s="66"/>
      <c r="R32" s="51"/>
      <c r="S32" s="50">
        <v>44877</v>
      </c>
      <c r="T32" s="48" t="s">
        <v>171</v>
      </c>
      <c r="U32" s="21"/>
      <c r="V32" s="21"/>
    </row>
    <row r="33" spans="1:22" s="14" customFormat="1" ht="51" hidden="1" customHeight="1" x14ac:dyDescent="0.25">
      <c r="A33" s="21"/>
      <c r="B33" s="21"/>
      <c r="C33" s="49" t="s">
        <v>124</v>
      </c>
      <c r="D33" s="40">
        <v>44874</v>
      </c>
      <c r="E33" s="41" t="s">
        <v>131</v>
      </c>
      <c r="F33" s="42" t="s">
        <v>130</v>
      </c>
      <c r="G33" s="43" t="s">
        <v>129</v>
      </c>
      <c r="H33" s="39" t="s">
        <v>132</v>
      </c>
      <c r="I33" s="53"/>
      <c r="J33" s="53"/>
      <c r="K33" s="54"/>
      <c r="L33" s="47" t="s">
        <v>84</v>
      </c>
      <c r="M33" s="53"/>
      <c r="N33" s="40"/>
      <c r="O33" s="51"/>
      <c r="P33" s="40"/>
      <c r="Q33" s="51"/>
      <c r="R33" s="41"/>
      <c r="S33" s="40"/>
      <c r="T33" s="48" t="s">
        <v>133</v>
      </c>
      <c r="U33" s="21"/>
      <c r="V33" s="21"/>
    </row>
    <row r="34" spans="1:22" s="14" customFormat="1" ht="51" hidden="1" customHeight="1" x14ac:dyDescent="0.25">
      <c r="A34" s="21"/>
      <c r="B34" s="21"/>
      <c r="C34" s="49" t="s">
        <v>142</v>
      </c>
      <c r="D34" s="50">
        <v>44875</v>
      </c>
      <c r="E34" s="51" t="s">
        <v>90</v>
      </c>
      <c r="F34" s="52" t="s">
        <v>89</v>
      </c>
      <c r="G34" s="48" t="s">
        <v>134</v>
      </c>
      <c r="H34" s="49" t="s">
        <v>109</v>
      </c>
      <c r="I34" s="53"/>
      <c r="J34" s="53"/>
      <c r="K34" s="54"/>
      <c r="L34" s="55" t="s">
        <v>84</v>
      </c>
      <c r="M34" s="53">
        <v>44875</v>
      </c>
      <c r="N34" s="50">
        <v>44875</v>
      </c>
      <c r="O34" s="51"/>
      <c r="P34" s="50">
        <v>44876</v>
      </c>
      <c r="Q34" s="51">
        <v>44876</v>
      </c>
      <c r="R34" s="51">
        <v>44876</v>
      </c>
      <c r="S34" s="50">
        <v>44876</v>
      </c>
      <c r="T34" s="48"/>
      <c r="U34" s="21"/>
      <c r="V34" s="21"/>
    </row>
    <row r="35" spans="1:22" s="14" customFormat="1" ht="67.5" x14ac:dyDescent="0.25">
      <c r="A35" s="21"/>
      <c r="B35" s="21"/>
      <c r="C35" s="49" t="s">
        <v>143</v>
      </c>
      <c r="D35" s="50">
        <v>44875</v>
      </c>
      <c r="E35" s="51" t="s">
        <v>90</v>
      </c>
      <c r="F35" s="52" t="s">
        <v>141</v>
      </c>
      <c r="G35" s="48" t="s">
        <v>154</v>
      </c>
      <c r="H35" s="49" t="s">
        <v>109</v>
      </c>
      <c r="I35" s="60"/>
      <c r="J35" s="53"/>
      <c r="K35" s="61"/>
      <c r="L35" s="55" t="s">
        <v>84</v>
      </c>
      <c r="M35" s="63"/>
      <c r="N35" s="50">
        <v>44875</v>
      </c>
      <c r="O35" s="65"/>
      <c r="P35" s="50"/>
      <c r="Q35" s="66"/>
      <c r="R35" s="51"/>
      <c r="S35" s="50">
        <v>44877</v>
      </c>
      <c r="T35" s="48" t="s">
        <v>172</v>
      </c>
      <c r="U35" s="21"/>
      <c r="V35" s="21"/>
    </row>
    <row r="36" spans="1:22" s="14" customFormat="1" ht="22.5" hidden="1" x14ac:dyDescent="0.25">
      <c r="A36" s="21"/>
      <c r="B36" s="21"/>
      <c r="C36" s="49" t="s">
        <v>144</v>
      </c>
      <c r="D36" s="40">
        <v>44875</v>
      </c>
      <c r="E36" s="41" t="s">
        <v>90</v>
      </c>
      <c r="F36" s="42" t="s">
        <v>141</v>
      </c>
      <c r="G36" s="43" t="s">
        <v>135</v>
      </c>
      <c r="H36" s="39" t="s">
        <v>109</v>
      </c>
      <c r="I36" s="53"/>
      <c r="J36" s="53"/>
      <c r="K36" s="54"/>
      <c r="L36" s="47" t="s">
        <v>84</v>
      </c>
      <c r="M36" s="53"/>
      <c r="N36" s="40">
        <v>44876</v>
      </c>
      <c r="O36" s="51"/>
      <c r="P36" s="40">
        <v>44876</v>
      </c>
      <c r="Q36" s="51"/>
      <c r="R36" s="41"/>
      <c r="S36" s="40">
        <v>44876</v>
      </c>
      <c r="T36" s="48"/>
      <c r="U36" s="21"/>
      <c r="V36" s="21"/>
    </row>
    <row r="37" spans="1:22" s="14" customFormat="1" ht="22.5" hidden="1" x14ac:dyDescent="0.25">
      <c r="A37" s="21"/>
      <c r="B37" s="21"/>
      <c r="C37" s="49" t="s">
        <v>145</v>
      </c>
      <c r="D37" s="50">
        <v>44875</v>
      </c>
      <c r="E37" s="51" t="s">
        <v>90</v>
      </c>
      <c r="F37" s="52" t="s">
        <v>141</v>
      </c>
      <c r="G37" s="48" t="s">
        <v>136</v>
      </c>
      <c r="H37" s="49" t="s">
        <v>109</v>
      </c>
      <c r="I37" s="53"/>
      <c r="J37" s="53"/>
      <c r="K37" s="54"/>
      <c r="L37" s="55" t="s">
        <v>84</v>
      </c>
      <c r="M37" s="53"/>
      <c r="N37" s="50">
        <v>44875</v>
      </c>
      <c r="O37" s="51"/>
      <c r="P37" s="50">
        <v>44875</v>
      </c>
      <c r="Q37" s="51"/>
      <c r="R37" s="51"/>
      <c r="S37" s="50">
        <v>44875</v>
      </c>
      <c r="T37" s="48"/>
      <c r="U37" s="21"/>
      <c r="V37" s="21"/>
    </row>
    <row r="38" spans="1:22" s="14" customFormat="1" ht="45" hidden="1" x14ac:dyDescent="0.25">
      <c r="A38" s="21"/>
      <c r="B38" s="21"/>
      <c r="C38" s="49" t="s">
        <v>146</v>
      </c>
      <c r="D38" s="50">
        <v>44875</v>
      </c>
      <c r="E38" s="51" t="s">
        <v>90</v>
      </c>
      <c r="F38" s="52" t="s">
        <v>141</v>
      </c>
      <c r="G38" s="48" t="s">
        <v>137</v>
      </c>
      <c r="H38" s="49" t="s">
        <v>109</v>
      </c>
      <c r="I38" s="53"/>
      <c r="J38" s="53"/>
      <c r="K38" s="54"/>
      <c r="L38" s="55" t="s">
        <v>84</v>
      </c>
      <c r="M38" s="53"/>
      <c r="N38" s="50">
        <v>44875</v>
      </c>
      <c r="O38" s="51"/>
      <c r="P38" s="50">
        <v>44875</v>
      </c>
      <c r="Q38" s="51"/>
      <c r="R38" s="51"/>
      <c r="S38" s="50">
        <v>44875</v>
      </c>
      <c r="T38" s="48"/>
      <c r="U38" s="21"/>
      <c r="V38" s="21"/>
    </row>
    <row r="39" spans="1:22" s="14" customFormat="1" ht="22.5" hidden="1" x14ac:dyDescent="0.25">
      <c r="A39" s="21"/>
      <c r="B39" s="21"/>
      <c r="C39" s="49" t="s">
        <v>147</v>
      </c>
      <c r="D39" s="50">
        <v>44875</v>
      </c>
      <c r="E39" s="51" t="s">
        <v>90</v>
      </c>
      <c r="F39" s="52" t="s">
        <v>63</v>
      </c>
      <c r="G39" s="48" t="s">
        <v>138</v>
      </c>
      <c r="H39" s="49" t="s">
        <v>109</v>
      </c>
      <c r="I39" s="53"/>
      <c r="J39" s="53"/>
      <c r="K39" s="54"/>
      <c r="L39" s="55" t="s">
        <v>84</v>
      </c>
      <c r="M39" s="53"/>
      <c r="N39" s="50">
        <v>44875</v>
      </c>
      <c r="O39" s="51"/>
      <c r="P39" s="50">
        <v>44875</v>
      </c>
      <c r="Q39" s="51"/>
      <c r="R39" s="51"/>
      <c r="S39" s="50">
        <v>44875</v>
      </c>
      <c r="T39" s="48"/>
      <c r="U39" s="21"/>
      <c r="V39" s="21"/>
    </row>
    <row r="40" spans="1:22" s="14" customFormat="1" ht="56.25" hidden="1" x14ac:dyDescent="0.25">
      <c r="A40" s="21"/>
      <c r="B40" s="21"/>
      <c r="C40" s="49" t="s">
        <v>148</v>
      </c>
      <c r="D40" s="50">
        <v>44875</v>
      </c>
      <c r="E40" s="51" t="s">
        <v>90</v>
      </c>
      <c r="F40" s="52" t="s">
        <v>63</v>
      </c>
      <c r="G40" s="48" t="s">
        <v>153</v>
      </c>
      <c r="H40" s="49" t="s">
        <v>109</v>
      </c>
      <c r="I40" s="53"/>
      <c r="J40" s="53"/>
      <c r="K40" s="54"/>
      <c r="L40" s="55" t="s">
        <v>84</v>
      </c>
      <c r="M40" s="53"/>
      <c r="N40" s="50">
        <v>44876</v>
      </c>
      <c r="O40" s="51"/>
      <c r="P40" s="50">
        <v>44876</v>
      </c>
      <c r="Q40" s="51"/>
      <c r="R40" s="51"/>
      <c r="S40" s="50">
        <v>44876</v>
      </c>
      <c r="T40" s="48"/>
      <c r="U40" s="21"/>
      <c r="V40" s="21"/>
    </row>
    <row r="41" spans="1:22" s="14" customFormat="1" ht="38.25" hidden="1" customHeight="1" x14ac:dyDescent="0.25">
      <c r="A41" s="21"/>
      <c r="B41" s="21"/>
      <c r="C41" s="49" t="s">
        <v>149</v>
      </c>
      <c r="D41" s="50">
        <v>44875</v>
      </c>
      <c r="E41" s="51" t="s">
        <v>90</v>
      </c>
      <c r="F41" s="52" t="s">
        <v>63</v>
      </c>
      <c r="G41" s="48" t="s">
        <v>139</v>
      </c>
      <c r="H41" s="49" t="s">
        <v>109</v>
      </c>
      <c r="I41" s="53"/>
      <c r="J41" s="53"/>
      <c r="K41" s="54"/>
      <c r="L41" s="55" t="s">
        <v>84</v>
      </c>
      <c r="M41" s="53"/>
      <c r="N41" s="50">
        <v>44875</v>
      </c>
      <c r="O41" s="51"/>
      <c r="P41" s="50">
        <v>44875</v>
      </c>
      <c r="Q41" s="51"/>
      <c r="R41" s="51"/>
      <c r="S41" s="50">
        <v>44875</v>
      </c>
      <c r="T41" s="48"/>
      <c r="U41" s="21"/>
      <c r="V41" s="21"/>
    </row>
    <row r="42" spans="1:22" s="14" customFormat="1" ht="112.5" x14ac:dyDescent="0.25">
      <c r="A42" s="21"/>
      <c r="B42" s="21"/>
      <c r="C42" s="49" t="s">
        <v>150</v>
      </c>
      <c r="D42" s="50">
        <v>44875</v>
      </c>
      <c r="E42" s="51" t="s">
        <v>90</v>
      </c>
      <c r="F42" s="52" t="s">
        <v>167</v>
      </c>
      <c r="G42" s="48" t="s">
        <v>156</v>
      </c>
      <c r="H42" s="49" t="s">
        <v>109</v>
      </c>
      <c r="I42" s="60"/>
      <c r="J42" s="53"/>
      <c r="K42" s="61"/>
      <c r="L42" s="55" t="s">
        <v>84</v>
      </c>
      <c r="M42" s="63"/>
      <c r="N42" s="50">
        <v>44876</v>
      </c>
      <c r="O42" s="65"/>
      <c r="P42" s="50">
        <v>44876</v>
      </c>
      <c r="Q42" s="66"/>
      <c r="R42" s="51"/>
      <c r="S42" s="50">
        <v>44879</v>
      </c>
      <c r="T42" s="48" t="s">
        <v>178</v>
      </c>
      <c r="U42" s="21"/>
      <c r="V42" s="21"/>
    </row>
    <row r="43" spans="1:22" s="14" customFormat="1" ht="22.5" hidden="1" x14ac:dyDescent="0.25">
      <c r="A43" s="21"/>
      <c r="B43" s="21"/>
      <c r="C43" s="49" t="s">
        <v>151</v>
      </c>
      <c r="D43" s="40">
        <v>44875</v>
      </c>
      <c r="E43" s="41" t="s">
        <v>12</v>
      </c>
      <c r="F43" s="42" t="s">
        <v>63</v>
      </c>
      <c r="G43" s="43" t="s">
        <v>140</v>
      </c>
      <c r="H43" s="39" t="s">
        <v>109</v>
      </c>
      <c r="I43" s="53"/>
      <c r="J43" s="53"/>
      <c r="K43" s="54"/>
      <c r="L43" s="47" t="s">
        <v>84</v>
      </c>
      <c r="M43" s="53"/>
      <c r="N43" s="40">
        <v>44876</v>
      </c>
      <c r="O43" s="51"/>
      <c r="P43" s="40">
        <v>44876</v>
      </c>
      <c r="Q43" s="51"/>
      <c r="R43" s="41"/>
      <c r="S43" s="40">
        <v>44876</v>
      </c>
      <c r="T43" s="48"/>
      <c r="U43" s="21"/>
      <c r="V43" s="21"/>
    </row>
    <row r="44" spans="1:22" s="14" customFormat="1" ht="33.75" x14ac:dyDescent="0.25">
      <c r="A44" s="21"/>
      <c r="B44" s="21"/>
      <c r="C44" s="49" t="s">
        <v>152</v>
      </c>
      <c r="D44" s="50">
        <v>44875</v>
      </c>
      <c r="E44" s="51" t="s">
        <v>90</v>
      </c>
      <c r="F44" s="52" t="s">
        <v>63</v>
      </c>
      <c r="G44" s="68" t="s">
        <v>157</v>
      </c>
      <c r="H44" s="49" t="s">
        <v>109</v>
      </c>
      <c r="I44" s="60"/>
      <c r="J44" s="53"/>
      <c r="K44" s="61"/>
      <c r="L44" s="55" t="s">
        <v>84</v>
      </c>
      <c r="M44" s="63"/>
      <c r="N44" s="50"/>
      <c r="O44" s="65"/>
      <c r="P44" s="50"/>
      <c r="Q44" s="66"/>
      <c r="R44" s="51"/>
      <c r="S44" s="50"/>
      <c r="T44" s="78" t="s">
        <v>174</v>
      </c>
      <c r="U44" s="21"/>
      <c r="V44" s="21"/>
    </row>
    <row r="45" spans="1:22" s="14" customFormat="1" ht="33.75" x14ac:dyDescent="0.25">
      <c r="A45" s="21"/>
      <c r="B45" s="21"/>
      <c r="C45" s="49" t="s">
        <v>159</v>
      </c>
      <c r="D45" s="50">
        <v>44876</v>
      </c>
      <c r="E45" s="51" t="s">
        <v>90</v>
      </c>
      <c r="F45" s="52" t="s">
        <v>63</v>
      </c>
      <c r="G45" s="68" t="s">
        <v>162</v>
      </c>
      <c r="H45" s="49" t="s">
        <v>109</v>
      </c>
      <c r="I45" s="60"/>
      <c r="J45" s="53"/>
      <c r="K45" s="61"/>
      <c r="L45" s="55" t="s">
        <v>84</v>
      </c>
      <c r="M45" s="63"/>
      <c r="N45" s="50"/>
      <c r="O45" s="65"/>
      <c r="P45" s="50"/>
      <c r="Q45" s="66"/>
      <c r="R45" s="51"/>
      <c r="S45" s="50"/>
      <c r="T45" s="78" t="s">
        <v>175</v>
      </c>
      <c r="U45" s="21"/>
      <c r="V45" s="21"/>
    </row>
    <row r="46" spans="1:22" s="14" customFormat="1" ht="33.75" x14ac:dyDescent="0.25">
      <c r="A46" s="21"/>
      <c r="B46" s="21"/>
      <c r="C46" s="49" t="s">
        <v>160</v>
      </c>
      <c r="D46" s="50">
        <v>44876</v>
      </c>
      <c r="E46" s="51" t="s">
        <v>90</v>
      </c>
      <c r="F46" s="52" t="s">
        <v>63</v>
      </c>
      <c r="G46" s="68" t="s">
        <v>158</v>
      </c>
      <c r="H46" s="49" t="s">
        <v>109</v>
      </c>
      <c r="I46" s="60"/>
      <c r="J46" s="53"/>
      <c r="K46" s="61"/>
      <c r="L46" s="55" t="s">
        <v>84</v>
      </c>
      <c r="M46" s="63"/>
      <c r="N46" s="50">
        <v>44878</v>
      </c>
      <c r="O46" s="65"/>
      <c r="P46" s="50"/>
      <c r="Q46" s="66"/>
      <c r="R46" s="51"/>
      <c r="S46" s="50">
        <v>44878</v>
      </c>
      <c r="T46" s="48" t="s">
        <v>173</v>
      </c>
      <c r="U46" s="21"/>
      <c r="V46" s="21"/>
    </row>
    <row r="47" spans="1:22" s="14" customFormat="1" ht="56.25" x14ac:dyDescent="0.25">
      <c r="A47" s="21"/>
      <c r="B47" s="21"/>
      <c r="C47" s="49" t="s">
        <v>161</v>
      </c>
      <c r="D47" s="50">
        <v>44876</v>
      </c>
      <c r="E47" s="51" t="s">
        <v>90</v>
      </c>
      <c r="F47" s="52" t="s">
        <v>63</v>
      </c>
      <c r="G47" s="68" t="s">
        <v>163</v>
      </c>
      <c r="H47" s="49" t="s">
        <v>109</v>
      </c>
      <c r="I47" s="60"/>
      <c r="J47" s="53"/>
      <c r="K47" s="61"/>
      <c r="L47" s="55" t="s">
        <v>84</v>
      </c>
      <c r="M47" s="63"/>
      <c r="N47" s="50">
        <v>44878</v>
      </c>
      <c r="O47" s="65"/>
      <c r="P47" s="50"/>
      <c r="Q47" s="66"/>
      <c r="R47" s="51"/>
      <c r="S47" s="50">
        <v>44878</v>
      </c>
      <c r="T47" s="48" t="s">
        <v>176</v>
      </c>
      <c r="U47" s="21"/>
      <c r="V47" s="21"/>
    </row>
    <row r="48" spans="1:22" s="14" customFormat="1" ht="12.75" x14ac:dyDescent="0.25">
      <c r="A48" s="21"/>
      <c r="B48" s="21"/>
      <c r="C48" s="49"/>
      <c r="D48" s="50"/>
      <c r="E48" s="51"/>
      <c r="F48" s="52"/>
      <c r="G48" s="68"/>
      <c r="H48" s="49"/>
      <c r="I48" s="60"/>
      <c r="J48" s="53"/>
      <c r="K48" s="61"/>
      <c r="L48" s="55"/>
      <c r="M48" s="63"/>
      <c r="N48" s="50"/>
      <c r="O48" s="65"/>
      <c r="P48" s="50"/>
      <c r="Q48" s="66"/>
      <c r="R48" s="51"/>
      <c r="S48" s="50"/>
      <c r="T48" s="48"/>
      <c r="U48" s="21"/>
      <c r="V48" s="21"/>
    </row>
    <row r="49" spans="1:22" s="14" customFormat="1" ht="12.75" x14ac:dyDescent="0.25">
      <c r="A49" s="21"/>
      <c r="B49" s="21"/>
      <c r="C49" s="49"/>
      <c r="D49" s="50"/>
      <c r="E49" s="51"/>
      <c r="F49" s="52"/>
      <c r="G49" s="68"/>
      <c r="H49" s="49"/>
      <c r="I49" s="60"/>
      <c r="J49" s="53"/>
      <c r="K49" s="61"/>
      <c r="L49" s="55"/>
      <c r="M49" s="63"/>
      <c r="N49" s="50"/>
      <c r="O49" s="65"/>
      <c r="P49" s="50"/>
      <c r="Q49" s="66"/>
      <c r="R49" s="51"/>
      <c r="S49" s="50"/>
      <c r="T49" s="48"/>
      <c r="U49" s="21"/>
      <c r="V49" s="21"/>
    </row>
    <row r="50" spans="1:22" s="14" customFormat="1" ht="12.75" x14ac:dyDescent="0.25">
      <c r="A50" s="21"/>
      <c r="B50" s="21"/>
      <c r="C50" s="49"/>
      <c r="D50" s="50"/>
      <c r="E50" s="51"/>
      <c r="F50" s="52"/>
      <c r="G50" s="68"/>
      <c r="H50" s="49"/>
      <c r="I50" s="60"/>
      <c r="J50" s="53"/>
      <c r="K50" s="61"/>
      <c r="L50" s="55"/>
      <c r="M50" s="63"/>
      <c r="N50" s="50"/>
      <c r="O50" s="65"/>
      <c r="P50" s="50"/>
      <c r="Q50" s="66"/>
      <c r="R50" s="51"/>
      <c r="S50" s="50"/>
      <c r="T50" s="48"/>
      <c r="U50" s="21"/>
      <c r="V50" s="21"/>
    </row>
    <row r="51" spans="1:22" s="14" customFormat="1" ht="12.75" x14ac:dyDescent="0.25">
      <c r="A51" s="21"/>
      <c r="B51" s="21"/>
      <c r="C51" s="49"/>
      <c r="D51" s="50"/>
      <c r="E51" s="51"/>
      <c r="F51" s="52"/>
      <c r="G51" s="68"/>
      <c r="H51" s="49"/>
      <c r="I51" s="60"/>
      <c r="J51" s="53"/>
      <c r="K51" s="61"/>
      <c r="L51" s="55"/>
      <c r="M51" s="63"/>
      <c r="N51" s="50"/>
      <c r="O51" s="65"/>
      <c r="P51" s="50"/>
      <c r="Q51" s="66"/>
      <c r="R51" s="51"/>
      <c r="S51" s="50"/>
      <c r="T51" s="48"/>
      <c r="U51" s="21"/>
      <c r="V51" s="21"/>
    </row>
    <row r="52" spans="1:22" s="14" customFormat="1" ht="12.75" x14ac:dyDescent="0.25">
      <c r="A52" s="21"/>
      <c r="B52" s="21"/>
      <c r="C52" s="69"/>
      <c r="D52" s="56"/>
      <c r="E52" s="57"/>
      <c r="F52" s="58"/>
      <c r="G52" s="59"/>
      <c r="H52" s="69"/>
      <c r="I52" s="70"/>
      <c r="J52" s="71"/>
      <c r="K52" s="72"/>
      <c r="L52" s="73"/>
      <c r="M52" s="74"/>
      <c r="N52" s="56"/>
      <c r="O52" s="75"/>
      <c r="P52" s="56"/>
      <c r="Q52" s="76"/>
      <c r="R52" s="57"/>
      <c r="S52" s="56"/>
      <c r="T52" s="77"/>
      <c r="U52" s="21"/>
      <c r="V52" s="21"/>
    </row>
    <row r="53" spans="1:22" x14ac:dyDescent="0.2">
      <c r="A53" s="22"/>
      <c r="B53" s="22"/>
      <c r="C53" s="27"/>
      <c r="D53" s="22"/>
      <c r="E53" s="22"/>
      <c r="F53" s="22"/>
      <c r="G53" s="22"/>
      <c r="H53" s="22"/>
      <c r="I53" s="32"/>
      <c r="J53" s="22"/>
      <c r="K53" s="32"/>
      <c r="L53" s="22"/>
      <c r="M53" s="32"/>
      <c r="N53" s="22"/>
      <c r="O53" s="32"/>
      <c r="P53" s="22"/>
      <c r="Q53" s="32"/>
      <c r="R53" s="32"/>
      <c r="S53" s="22"/>
      <c r="T53" s="22"/>
      <c r="U53" s="22"/>
      <c r="V53" s="22"/>
    </row>
    <row r="54" spans="1:22" x14ac:dyDescent="0.2">
      <c r="A54" s="22"/>
      <c r="B54" s="22"/>
      <c r="C54" s="27"/>
      <c r="D54" s="22"/>
      <c r="E54" s="22"/>
      <c r="F54" s="22"/>
      <c r="G54" s="22"/>
      <c r="H54" s="22"/>
      <c r="I54" s="32"/>
      <c r="J54" s="22"/>
      <c r="K54" s="32"/>
      <c r="L54" s="22"/>
      <c r="M54" s="32"/>
      <c r="N54" s="22"/>
      <c r="O54" s="32"/>
      <c r="P54" s="22"/>
      <c r="Q54" s="32"/>
      <c r="R54" s="32"/>
      <c r="S54" s="22"/>
      <c r="T54" s="22"/>
      <c r="U54" s="22"/>
      <c r="V54" s="22"/>
    </row>
    <row r="55" spans="1:22" ht="15" x14ac:dyDescent="0.2">
      <c r="A55" s="22"/>
      <c r="B55" s="22"/>
      <c r="C55" s="27"/>
      <c r="D55" s="22"/>
      <c r="E55" s="22"/>
      <c r="F55" s="22"/>
      <c r="G55" s="22"/>
      <c r="H55" s="22"/>
      <c r="I55" s="32"/>
      <c r="J55" s="22"/>
      <c r="K55" s="32"/>
      <c r="L55" s="22"/>
      <c r="M55" s="32"/>
      <c r="N55" s="22"/>
      <c r="O55" s="32"/>
      <c r="P55" s="22"/>
      <c r="Q55" s="32"/>
      <c r="R55" s="32"/>
      <c r="S55" s="22"/>
      <c r="T55" s="79" t="s">
        <v>169</v>
      </c>
      <c r="U55" s="22"/>
      <c r="V55" s="22"/>
    </row>
    <row r="56" spans="1:22" x14ac:dyDescent="0.2">
      <c r="A56" s="22"/>
      <c r="B56" s="22"/>
      <c r="C56" s="27"/>
      <c r="D56" s="22"/>
      <c r="E56" s="22"/>
      <c r="F56" s="22"/>
      <c r="G56" s="22"/>
      <c r="H56" s="22"/>
      <c r="I56" s="32"/>
      <c r="J56" s="22"/>
      <c r="K56" s="32"/>
      <c r="L56" s="22"/>
      <c r="M56" s="32"/>
      <c r="N56" s="22"/>
      <c r="O56" s="32"/>
      <c r="P56" s="22"/>
      <c r="Q56" s="32"/>
      <c r="R56" s="32"/>
      <c r="S56" s="22"/>
      <c r="T56" s="22"/>
      <c r="U56" s="22"/>
      <c r="V56" s="22"/>
    </row>
    <row r="57" spans="1:22" ht="15" thickBot="1" x14ac:dyDescent="0.25">
      <c r="A57" s="22"/>
      <c r="B57" s="33"/>
      <c r="C57" s="34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22"/>
    </row>
  </sheetData>
  <sheetProtection sheet="1" objects="1" scenarios="1" formatCells="0" insertRows="0" selectLockedCells="1" sort="0" autoFilter="0"/>
  <autoFilter ref="C5:T47" xr:uid="{FF8F0803-8005-4334-86AF-2CEB917F8848}">
    <filterColumn colId="5">
      <filters>
        <filter val="Opened"/>
        <filter val="Re-Opened"/>
      </filters>
    </filterColumn>
  </autoFilter>
  <phoneticPr fontId="14" type="noConversion"/>
  <conditionalFormatting sqref="C6:H6 D13:T13 C14:T52">
    <cfRule type="expression" dxfId="3" priority="5">
      <formula>$H6="Closed"</formula>
    </cfRule>
  </conditionalFormatting>
  <conditionalFormatting sqref="C9:T12 C7:H7 C8:S8 T6:T52">
    <cfRule type="expression" dxfId="2" priority="4">
      <formula>$H6="Closed"</formula>
    </cfRule>
  </conditionalFormatting>
  <conditionalFormatting sqref="J6:S7">
    <cfRule type="expression" dxfId="1" priority="2">
      <formula>$H6="Closed"</formula>
    </cfRule>
  </conditionalFormatting>
  <conditionalFormatting sqref="C13">
    <cfRule type="expression" dxfId="0" priority="1">
      <formula>$H13="Closed"</formula>
    </cfRule>
  </conditionalFormatting>
  <dataValidations count="3">
    <dataValidation type="list" allowBlank="1" showInputMessage="1" showErrorMessage="1" sqref="I6:I52" xr:uid="{F9203C0B-95F7-407D-BB9D-3067D71D9D1B}">
      <formula1>"1-Critical,2-High,3-Medium,4-Low"</formula1>
    </dataValidation>
    <dataValidation type="list" operator="equal" showErrorMessage="1" sqref="H6:I52" xr:uid="{8AC28790-D0B0-4698-918C-0F547EF49607}">
      <formula1>"New,Opened,Fixed,Retest,Re-Opened,Closed,Cancelled"</formula1>
    </dataValidation>
    <dataValidation type="list" operator="equal" showErrorMessage="1" sqref="K6:K52" xr:uid="{C560AD89-13C1-4F0B-A907-7E595B3F3966}">
      <formula1>" 1-High,2-Medium,3-Low"</formula1>
    </dataValidation>
  </dataValidations>
  <hyperlinks>
    <hyperlink ref="T55" r:id="rId1" display="Expenses Reimbursement Project" xr:uid="{25CC9454-30EF-46C7-9A77-EA40AC56A371}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ACA91C-1793-4B66-9990-192289742544}">
          <x14:formula1>
            <xm:f>'Reason Code'!$B$3:$B$13</xm:f>
          </x14:formula1>
          <xm:sqref>J6:J52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D153-7C9D-493A-AEAF-A7122DD9806E}">
  <sheetPr>
    <tabColor theme="9" tint="-0.249977111117893"/>
  </sheetPr>
  <dimension ref="A1:C37"/>
  <sheetViews>
    <sheetView zoomScale="115" zoomScaleNormal="115" workbookViewId="0">
      <selection activeCell="C7" sqref="C7"/>
    </sheetView>
  </sheetViews>
  <sheetFormatPr defaultColWidth="8.7109375" defaultRowHeight="27.75" customHeight="1" x14ac:dyDescent="0.2"/>
  <cols>
    <col min="1" max="1" width="16.42578125" style="5" customWidth="1"/>
    <col min="2" max="2" width="28.85546875" style="5" customWidth="1"/>
    <col min="3" max="3" width="91.42578125" style="5" customWidth="1"/>
    <col min="4" max="16384" width="8.7109375" style="5"/>
  </cols>
  <sheetData>
    <row r="1" spans="1:3" ht="27.75" customHeight="1" thickBot="1" x14ac:dyDescent="0.55000000000000004">
      <c r="A1" s="3" t="s">
        <v>15</v>
      </c>
      <c r="B1" s="4"/>
    </row>
    <row r="2" spans="1:3" ht="27.75" customHeight="1" thickBot="1" x14ac:dyDescent="0.25">
      <c r="A2" s="6" t="s">
        <v>16</v>
      </c>
      <c r="B2" s="7" t="s">
        <v>17</v>
      </c>
      <c r="C2" s="7" t="s">
        <v>18</v>
      </c>
    </row>
    <row r="3" spans="1:3" ht="27.75" customHeight="1" thickBot="1" x14ac:dyDescent="0.25">
      <c r="A3" s="8" t="s">
        <v>19</v>
      </c>
      <c r="B3" s="9" t="s">
        <v>20</v>
      </c>
      <c r="C3" s="9" t="s">
        <v>21</v>
      </c>
    </row>
    <row r="4" spans="1:3" ht="27.75" customHeight="1" thickBot="1" x14ac:dyDescent="0.25">
      <c r="A4" s="10" t="s">
        <v>22</v>
      </c>
      <c r="B4" s="11" t="s">
        <v>23</v>
      </c>
      <c r="C4" s="11" t="s">
        <v>24</v>
      </c>
    </row>
    <row r="5" spans="1:3" ht="27.75" customHeight="1" thickBot="1" x14ac:dyDescent="0.25">
      <c r="A5" s="10" t="s">
        <v>25</v>
      </c>
      <c r="B5" s="11" t="s">
        <v>26</v>
      </c>
      <c r="C5" s="11" t="s">
        <v>27</v>
      </c>
    </row>
    <row r="6" spans="1:3" ht="27.75" customHeight="1" thickBot="1" x14ac:dyDescent="0.25">
      <c r="A6" s="10" t="s">
        <v>28</v>
      </c>
      <c r="B6" s="11" t="s">
        <v>29</v>
      </c>
      <c r="C6" s="11" t="s">
        <v>30</v>
      </c>
    </row>
    <row r="7" spans="1:3" ht="27.75" customHeight="1" thickBot="1" x14ac:dyDescent="0.25">
      <c r="A7" s="10" t="s">
        <v>31</v>
      </c>
      <c r="B7" s="11" t="s">
        <v>32</v>
      </c>
      <c r="C7" s="11" t="s">
        <v>33</v>
      </c>
    </row>
    <row r="8" spans="1:3" ht="27.75" customHeight="1" thickBot="1" x14ac:dyDescent="0.25">
      <c r="A8" s="10" t="s">
        <v>34</v>
      </c>
      <c r="B8" s="11" t="s">
        <v>35</v>
      </c>
      <c r="C8" s="11" t="s">
        <v>36</v>
      </c>
    </row>
    <row r="9" spans="1:3" ht="27.75" customHeight="1" thickBot="1" x14ac:dyDescent="0.25">
      <c r="A9" s="10" t="s">
        <v>37</v>
      </c>
      <c r="B9" s="11" t="s">
        <v>38</v>
      </c>
      <c r="C9" s="11" t="s">
        <v>39</v>
      </c>
    </row>
    <row r="10" spans="1:3" ht="27.75" customHeight="1" thickBot="1" x14ac:dyDescent="0.25">
      <c r="A10" s="10" t="s">
        <v>40</v>
      </c>
      <c r="B10" s="12" t="s">
        <v>41</v>
      </c>
      <c r="C10" s="12" t="s">
        <v>42</v>
      </c>
    </row>
    <row r="11" spans="1:3" ht="27.75" customHeight="1" thickBot="1" x14ac:dyDescent="0.25">
      <c r="A11" s="10" t="s">
        <v>43</v>
      </c>
      <c r="B11" s="11" t="s">
        <v>44</v>
      </c>
      <c r="C11" s="11" t="s">
        <v>45</v>
      </c>
    </row>
    <row r="12" spans="1:3" ht="27.75" customHeight="1" thickBot="1" x14ac:dyDescent="0.25">
      <c r="A12" s="10">
        <v>10</v>
      </c>
      <c r="B12" s="11" t="s">
        <v>46</v>
      </c>
      <c r="C12" s="11" t="s">
        <v>47</v>
      </c>
    </row>
    <row r="13" spans="1:3" ht="27.75" customHeight="1" thickBot="1" x14ac:dyDescent="0.25">
      <c r="A13" s="10">
        <v>11</v>
      </c>
      <c r="B13" s="11" t="s">
        <v>48</v>
      </c>
      <c r="C13" s="11" t="s">
        <v>49</v>
      </c>
    </row>
    <row r="18" spans="2:2" ht="12.75" x14ac:dyDescent="0.2"/>
    <row r="19" spans="2:2" ht="12.75" x14ac:dyDescent="0.2"/>
    <row r="20" spans="2:2" ht="12.75" x14ac:dyDescent="0.2"/>
    <row r="21" spans="2:2" ht="12.75" x14ac:dyDescent="0.2"/>
    <row r="22" spans="2:2" ht="12.75" x14ac:dyDescent="0.2"/>
    <row r="23" spans="2:2" ht="12.75" x14ac:dyDescent="0.2"/>
    <row r="24" spans="2:2" ht="12.75" x14ac:dyDescent="0.2"/>
    <row r="25" spans="2:2" ht="12.75" x14ac:dyDescent="0.2"/>
    <row r="26" spans="2:2" ht="12.75" x14ac:dyDescent="0.2"/>
    <row r="27" spans="2:2" ht="12.75" x14ac:dyDescent="0.2">
      <c r="B27" s="13" t="s">
        <v>50</v>
      </c>
    </row>
    <row r="28" spans="2:2" ht="12.75" x14ac:dyDescent="0.2">
      <c r="B28" s="13" t="s">
        <v>51</v>
      </c>
    </row>
    <row r="29" spans="2:2" ht="12.75" x14ac:dyDescent="0.2">
      <c r="B29" s="13" t="s">
        <v>52</v>
      </c>
    </row>
    <row r="30" spans="2:2" ht="12.75" x14ac:dyDescent="0.2">
      <c r="B30" s="13" t="s">
        <v>53</v>
      </c>
    </row>
    <row r="31" spans="2:2" ht="27.75" customHeight="1" x14ac:dyDescent="0.2">
      <c r="B31" s="13" t="s">
        <v>54</v>
      </c>
    </row>
    <row r="32" spans="2:2" ht="27.75" customHeight="1" x14ac:dyDescent="0.2">
      <c r="B32" s="13" t="s">
        <v>55</v>
      </c>
    </row>
    <row r="33" spans="2:2" ht="27.75" customHeight="1" x14ac:dyDescent="0.2">
      <c r="B33" s="13" t="s">
        <v>56</v>
      </c>
    </row>
    <row r="34" spans="2:2" ht="27.75" customHeight="1" x14ac:dyDescent="0.2">
      <c r="B34" s="13" t="s">
        <v>57</v>
      </c>
    </row>
    <row r="35" spans="2:2" ht="27.75" customHeight="1" x14ac:dyDescent="0.2">
      <c r="B35" s="13" t="s">
        <v>58</v>
      </c>
    </row>
    <row r="36" spans="2:2" ht="27.75" customHeight="1" x14ac:dyDescent="0.2">
      <c r="B36" s="13" t="s">
        <v>59</v>
      </c>
    </row>
    <row r="37" spans="2:2" ht="27.75" customHeight="1" x14ac:dyDescent="0.2">
      <c r="B37" s="13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Issue</vt:lpstr>
      <vt:lpstr>Reason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Chanidapa Opassupakkul</dc:creator>
  <cp:lastModifiedBy>Wikran Intaraprajaks</cp:lastModifiedBy>
  <dcterms:created xsi:type="dcterms:W3CDTF">2022-09-28T05:07:04Z</dcterms:created>
  <dcterms:modified xsi:type="dcterms:W3CDTF">2022-11-14T01:04:13Z</dcterms:modified>
</cp:coreProperties>
</file>