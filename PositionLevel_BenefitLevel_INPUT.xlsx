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HTML\XOL\"/>
    </mc:Choice>
  </mc:AlternateContent>
  <xr:revisionPtr revIDLastSave="0" documentId="13_ncr:1_{E418259F-E497-47A9-BC77-B3067F252244}" xr6:coauthVersionLast="47" xr6:coauthVersionMax="47" xr10:uidLastSave="{00000000-0000-0000-0000-000000000000}"/>
  <bookViews>
    <workbookView xWindow="-120" yWindow="-120" windowWidth="29040" windowHeight="16440" xr2:uid="{9595FF99-561D-41AA-A7A4-4F3861BE086E}"/>
  </bookViews>
  <sheets>
    <sheet name="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9" i="1" l="1"/>
  <c r="S30" i="1" s="1"/>
  <c r="S31" i="1" s="1"/>
  <c r="S23" i="1"/>
  <c r="S24" i="1" s="1"/>
  <c r="Y14" i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S14" i="1"/>
  <c r="S15" i="1" s="1"/>
</calcChain>
</file>

<file path=xl/sharedStrings.xml><?xml version="1.0" encoding="utf-8"?>
<sst xmlns="http://schemas.openxmlformats.org/spreadsheetml/2006/main" count="329" uniqueCount="101">
  <si>
    <t>Database Name</t>
  </si>
  <si>
    <t>ExtraOnLine</t>
  </si>
  <si>
    <t>Table Name</t>
  </si>
  <si>
    <t>PositionLevel</t>
  </si>
  <si>
    <t>Positions</t>
  </si>
  <si>
    <t>PositionLevelBenefits</t>
  </si>
  <si>
    <t>PositionBenefitsLevel</t>
  </si>
  <si>
    <t>Master Table for PositionLevel (Position Group)</t>
  </si>
  <si>
    <t>The Table for Grouping the Position Name by Position Level (Position Group)</t>
  </si>
  <si>
    <t>Table for Match Position Level (Position Group) With Benefits (can't Duplicate)</t>
  </si>
  <si>
    <t>Presented Table for Benefits Details</t>
  </si>
  <si>
    <t>1 : 1</t>
  </si>
  <si>
    <t>Data for Setting the Master Table for PositionLevel, Positions, PositionLevelBenefits</t>
  </si>
  <si>
    <t>Remark</t>
  </si>
  <si>
    <t>PositionName</t>
  </si>
  <si>
    <t>BenefitLevel</t>
  </si>
  <si>
    <t>REMARK</t>
  </si>
  <si>
    <t>Position</t>
  </si>
  <si>
    <t>NO</t>
  </si>
  <si>
    <t>ACTIVE</t>
  </si>
  <si>
    <t>Assistant Division Manager</t>
  </si>
  <si>
    <t>-</t>
  </si>
  <si>
    <t>OPD 40K/40K, NoFleetCard</t>
  </si>
  <si>
    <t>OPD 40K/40K, FleetCard 12K</t>
  </si>
  <si>
    <t>NoMed, NoFleetCard</t>
  </si>
  <si>
    <t>Associate Director</t>
  </si>
  <si>
    <t>Accountant</t>
  </si>
  <si>
    <t>OPD 40K/40K, FleetCard 15K</t>
  </si>
  <si>
    <t>OPD 40K/40K, FleetCard 13.5K</t>
  </si>
  <si>
    <t>OPD 40K/40K, NoFamily, NoFleetCard</t>
  </si>
  <si>
    <t>TABLE NAME</t>
  </si>
  <si>
    <t>PositionBenefitLevel</t>
  </si>
  <si>
    <t>Department Manager</t>
  </si>
  <si>
    <t>Administration Officer</t>
  </si>
  <si>
    <t>FIELDNAME</t>
  </si>
  <si>
    <t>SIZE</t>
  </si>
  <si>
    <t>TYPE</t>
  </si>
  <si>
    <t>Director</t>
  </si>
  <si>
    <t>Advisor</t>
  </si>
  <si>
    <t>OPD 40K/40K, FleetCard 15K, NoSSO</t>
  </si>
  <si>
    <t>varchar</t>
  </si>
  <si>
    <t>IDNO</t>
  </si>
  <si>
    <t>Division Manager</t>
  </si>
  <si>
    <t>Assistant  Division Manager</t>
  </si>
  <si>
    <t>OPD 40K/40K, FleetCard 18K</t>
  </si>
  <si>
    <t>Driver</t>
  </si>
  <si>
    <t>OPD 40K/40K, NoFamily, NoMaternity, NoFleetCard</t>
  </si>
  <si>
    <t>OPD unlimited, FleetCard 18K, NoSSO</t>
  </si>
  <si>
    <t>FamilyReimbursement</t>
  </si>
  <si>
    <t>bit</t>
  </si>
  <si>
    <t>Executive Chairman</t>
  </si>
  <si>
    <t>Assistant Division Manager &amp; Secretary to Director</t>
  </si>
  <si>
    <t>OPD unlimited, FleetCard 45K, No SSO</t>
  </si>
  <si>
    <t>OPD unlimited, FleetCard 45K, NoSSO</t>
  </si>
  <si>
    <t>Others</t>
  </si>
  <si>
    <t>AllowSSO</t>
  </si>
  <si>
    <t>Maid</t>
  </si>
  <si>
    <t>OPDLimitperrequest</t>
  </si>
  <si>
    <t>float</t>
  </si>
  <si>
    <t>Senior Department Manager</t>
  </si>
  <si>
    <t>Business Analyst</t>
  </si>
  <si>
    <t>OPDLimitperyear</t>
  </si>
  <si>
    <t>Senior Director</t>
  </si>
  <si>
    <t>Business Development Officer</t>
  </si>
  <si>
    <t>MaternityLimitperyear</t>
  </si>
  <si>
    <t>Senior Division Manager</t>
  </si>
  <si>
    <t>Car Pool`s Driver</t>
  </si>
  <si>
    <t>OPD 40K/40K, NoFamily, NoMaternity, NoFleetCard, NoSSO</t>
  </si>
  <si>
    <t>IPDLimitpercase</t>
  </si>
  <si>
    <t>Claims Officer</t>
  </si>
  <si>
    <t>OPD 40K/40K, NoFamily, NoMaternity, FleetCard 12K, NoSSO</t>
  </si>
  <si>
    <t>FleetLimit</t>
  </si>
  <si>
    <t>Collection Officer</t>
  </si>
  <si>
    <t>NoMed, FleetCard 15K, NoSSO</t>
  </si>
  <si>
    <t>PositionGroup</t>
  </si>
  <si>
    <t>Collections Officer</t>
  </si>
  <si>
    <t>NoMed, FleetCard 45K</t>
  </si>
  <si>
    <t>NOTE</t>
  </si>
  <si>
    <t>Coordinator</t>
  </si>
  <si>
    <t>EntryBy</t>
  </si>
  <si>
    <t>EntryDate</t>
  </si>
  <si>
    <t>datetime</t>
  </si>
  <si>
    <t xml:space="preserve"> 1:1</t>
  </si>
  <si>
    <t>Director – Business Development</t>
  </si>
  <si>
    <t>Division Manager - Finance</t>
  </si>
  <si>
    <t>NoMed, FleetCard 15K, No SSO</t>
  </si>
  <si>
    <t>Division Manager–Web Developer/Analyst</t>
  </si>
  <si>
    <t>Finance Officer</t>
  </si>
  <si>
    <t>Khun Julio`s Driver</t>
  </si>
  <si>
    <t>Khun Suradee`s Driver</t>
  </si>
  <si>
    <t>OPD 40K/40K, FleetCard 15K, No SSO</t>
  </si>
  <si>
    <t>Management Trainee</t>
  </si>
  <si>
    <t>Operations Officer</t>
  </si>
  <si>
    <t>Personal Assistant to CEO</t>
  </si>
  <si>
    <t>Programmer</t>
  </si>
  <si>
    <t>Risk Engineer</t>
  </si>
  <si>
    <t>Senior Division Manager - Accounting</t>
  </si>
  <si>
    <t>Senior Division Manager - Finance</t>
  </si>
  <si>
    <t>Senior Finance Officer</t>
  </si>
  <si>
    <t>System Coordinator</t>
  </si>
  <si>
    <r>
      <t xml:space="preserve">** กรุณา เติมและปรับปรุงข้อมูล เฉพาะที่เป็น </t>
    </r>
    <r>
      <rPr>
        <b/>
        <sz val="11"/>
        <color rgb="FFC00000"/>
        <rFont val="Aptos Narrow"/>
        <family val="2"/>
        <scheme val="minor"/>
      </rPr>
      <t>NEW</t>
    </r>
    <r>
      <rPr>
        <b/>
        <sz val="11"/>
        <color theme="1"/>
        <rFont val="Aptos Narrow"/>
        <family val="2"/>
        <scheme val="minor"/>
      </rPr>
      <t xml:space="preserve"> (ข้อมูลที่มีอยู่เป็นข้อมูลที่อาจไม่ถูกต้อง ดำเนินการไว้เพื่อเป็นข้อมูลเบื้องต้น)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</si>
</sst>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charset val="222"/>
      <scheme val="minor"/>
    </font>
    <font>
      <sz val="10.5"/>
      <color theme="1"/>
      <name val="Aptos Narrow"/>
      <family val="2"/>
      <scheme val="minor"/>
    </font>
    <font>
      <b/>
      <sz val="10.5"/>
      <color rgb="FFC00000"/>
      <name val="Aptos Narrow"/>
      <family val="2"/>
      <scheme val="minor"/>
    </font>
    <font>
      <b/>
      <sz val="10.5"/>
      <color rgb="FF002060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.5"/>
      <color rgb="FFC00000"/>
      <name val="Aptos Narrow"/>
      <family val="2"/>
      <scheme val="minor"/>
    </font>
    <font>
      <sz val="10.5"/>
      <color rgb="FF7030A0"/>
      <name val="Aptos Narrow"/>
      <family val="2"/>
      <scheme val="minor"/>
    </font>
    <font>
      <sz val="10.5"/>
      <name val="Aptos Narrow"/>
      <family val="2"/>
      <scheme val="minor"/>
    </font>
    <font>
      <b/>
      <sz val="10.5"/>
      <name val="Aptos Narrow"/>
      <family val="2"/>
      <scheme val="minor"/>
    </font>
    <font>
      <b/>
      <sz val="10.5"/>
      <color rgb="FF7030A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CD48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left" vertical="center" indent="2"/>
    </xf>
    <xf numFmtId="0" fontId="1" fillId="0" borderId="1" xfId="0" applyFont="1" applyBorder="1"/>
    <xf numFmtId="0" fontId="1" fillId="0" borderId="0" xfId="0" applyFont="1"/>
    <xf numFmtId="0" fontId="1" fillId="3" borderId="1" xfId="0" applyFont="1" applyFill="1" applyBorder="1" applyAlignment="1">
      <alignment horizontal="left" vertical="center" indent="2"/>
    </xf>
    <xf numFmtId="0" fontId="1" fillId="4" borderId="1" xfId="0" applyFont="1" applyFill="1" applyBorder="1" applyAlignment="1">
      <alignment horizontal="left" vertical="center" indent="2"/>
    </xf>
    <xf numFmtId="0" fontId="1" fillId="5" borderId="1" xfId="0" applyFont="1" applyFill="1" applyBorder="1" applyAlignment="1">
      <alignment horizontal="left" vertical="center" indent="2"/>
    </xf>
    <xf numFmtId="0" fontId="2" fillId="0" borderId="1" xfId="0" applyFont="1" applyBorder="1"/>
    <xf numFmtId="0" fontId="3" fillId="0" borderId="1" xfId="0" applyFont="1" applyBorder="1"/>
    <xf numFmtId="0" fontId="4" fillId="6" borderId="1" xfId="0" applyFont="1" applyFill="1" applyBorder="1" applyAlignment="1">
      <alignment horizontal="left" vertical="center" indent="2"/>
    </xf>
    <xf numFmtId="0" fontId="5" fillId="3" borderId="1" xfId="0" applyFont="1" applyFill="1" applyBorder="1" applyAlignment="1">
      <alignment horizontal="left" vertical="center" indent="2"/>
    </xf>
    <xf numFmtId="0" fontId="4" fillId="4" borderId="1" xfId="0" applyFont="1" applyFill="1" applyBorder="1" applyAlignment="1">
      <alignment horizontal="left" vertical="center" indent="2"/>
    </xf>
    <xf numFmtId="0" fontId="6" fillId="0" borderId="0" xfId="0" quotePrefix="1" applyFont="1" applyAlignment="1">
      <alignment horizontal="left" vertical="center" indent="1"/>
    </xf>
    <xf numFmtId="0" fontId="7" fillId="2" borderId="2" xfId="0" applyFont="1" applyFill="1" applyBorder="1" applyAlignment="1">
      <alignment horizontal="left" vertical="center" indent="1"/>
    </xf>
    <xf numFmtId="0" fontId="8" fillId="2" borderId="3" xfId="0" applyFont="1" applyFill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9" fillId="3" borderId="2" xfId="0" applyFont="1" applyFill="1" applyBorder="1" applyAlignment="1">
      <alignment horizontal="left" vertical="center" indent="1"/>
    </xf>
    <xf numFmtId="0" fontId="10" fillId="3" borderId="3" xfId="0" applyFont="1" applyFill="1" applyBorder="1" applyAlignment="1">
      <alignment horizontal="left" vertical="center" indent="1"/>
    </xf>
    <xf numFmtId="0" fontId="7" fillId="7" borderId="4" xfId="0" applyFont="1" applyFill="1" applyBorder="1" applyAlignment="1">
      <alignment horizontal="left" vertical="center" indent="1"/>
    </xf>
    <xf numFmtId="0" fontId="8" fillId="8" borderId="0" xfId="0" applyFont="1" applyFill="1" applyAlignment="1">
      <alignment horizontal="left" vertical="center" indent="1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indent="1"/>
    </xf>
    <xf numFmtId="0" fontId="11" fillId="0" borderId="1" xfId="0" applyFont="1" applyBorder="1"/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indent="1"/>
    </xf>
    <xf numFmtId="0" fontId="0" fillId="0" borderId="5" xfId="0" applyBorder="1"/>
    <xf numFmtId="0" fontId="1" fillId="0" borderId="1" xfId="0" applyFont="1" applyBorder="1" applyAlignment="1">
      <alignment horizontal="left" indent="1"/>
    </xf>
    <xf numFmtId="0" fontId="5" fillId="1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3" fillId="0" borderId="1" xfId="0" applyFont="1" applyBorder="1"/>
    <xf numFmtId="0" fontId="13" fillId="0" borderId="0" xfId="0" applyFont="1"/>
    <xf numFmtId="0" fontId="0" fillId="0" borderId="5" xfId="0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1" fillId="0" borderId="10" xfId="0" applyFont="1" applyBorder="1"/>
    <xf numFmtId="0" fontId="1" fillId="0" borderId="10" xfId="0" applyFont="1" applyBorder="1" applyAlignment="1">
      <alignment horizontal="left" indent="1"/>
    </xf>
    <xf numFmtId="0" fontId="1" fillId="0" borderId="11" xfId="0" applyFont="1" applyBorder="1"/>
    <xf numFmtId="0" fontId="8" fillId="7" borderId="3" xfId="0" applyFont="1" applyFill="1" applyBorder="1" applyAlignment="1">
      <alignment horizontal="left" vertical="center" inden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indent="1"/>
    </xf>
    <xf numFmtId="0" fontId="14" fillId="9" borderId="2" xfId="0" applyFont="1" applyFill="1" applyBorder="1" applyAlignment="1">
      <alignment horizontal="left" vertical="center" wrapText="1"/>
    </xf>
    <xf numFmtId="0" fontId="14" fillId="9" borderId="4" xfId="0" applyFont="1" applyFill="1" applyBorder="1" applyAlignment="1">
      <alignment horizontal="left" vertical="center" wrapText="1"/>
    </xf>
    <xf numFmtId="0" fontId="14" fillId="9" borderId="3" xfId="0" applyFont="1" applyFill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4" fillId="5" borderId="6" xfId="0" applyFont="1" applyFill="1" applyBorder="1" applyAlignment="1">
      <alignment horizontal="left" vertical="center" indent="2"/>
    </xf>
    <xf numFmtId="0" fontId="4" fillId="5" borderId="5" xfId="0" applyFont="1" applyFill="1" applyBorder="1" applyAlignment="1">
      <alignment horizontal="left" vertical="center" indent="2"/>
    </xf>
    <xf numFmtId="0" fontId="1" fillId="0" borderId="0" xfId="0" applyFont="1" applyBorder="1"/>
  </cellXfs>
  <cellStyles count="1">
    <cellStyle name="Normal" xfId="0" builtinId="0"/>
  </cellStyles>
  <dxfs count="30"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Aptos Narrow"/>
        <family val="2"/>
        <scheme val="minor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Aptos Narrow"/>
        <family val="2"/>
        <scheme val="minor"/>
      </font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26</xdr:col>
      <xdr:colOff>619125</xdr:colOff>
      <xdr:row>12</xdr:row>
      <xdr:rowOff>123825</xdr:rowOff>
    </xdr:from>
    <xdr:to>
      <xdr:col>26</xdr:col>
      <xdr:colOff>933452</xdr:colOff>
      <xdr:row>14</xdr:row>
      <xdr:rowOff>19052</xdr:rowOff>
    </xdr:to>
    <xdr:pic>
      <xdr:nvPicPr>
        <xdr:cNvPr id="11" name="Graphic 10" descr="Key with solid fill">
          <a:extLst>
            <a:ext uri="{FF2B5EF4-FFF2-40B4-BE49-F238E27FC236}">
              <a16:creationId xmlns:a16="http://schemas.microsoft.com/office/drawing/2014/main" id="{840DADEF-C356-4C1F-8EB2-13A849F28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30975300" y="1990725"/>
          <a:ext cx="314327" cy="314327"/>
        </a:xfrm>
        <a:prstGeom prst="rect">
          <a:avLst/>
        </a:prstGeom>
      </xdr:spPr>
    </xdr:pic>
    <xdr:clientData/>
  </xdr:twoCellAnchor>
  <xdr:twoCellAnchor editAs="absolute">
    <xdr:from>
      <xdr:col>20</xdr:col>
      <xdr:colOff>552450</xdr:colOff>
      <xdr:row>12</xdr:row>
      <xdr:rowOff>123825</xdr:rowOff>
    </xdr:from>
    <xdr:to>
      <xdr:col>20</xdr:col>
      <xdr:colOff>866777</xdr:colOff>
      <xdr:row>14</xdr:row>
      <xdr:rowOff>76202</xdr:rowOff>
    </xdr:to>
    <xdr:pic>
      <xdr:nvPicPr>
        <xdr:cNvPr id="12" name="Graphic 11" descr="Key with solid fill">
          <a:extLst>
            <a:ext uri="{FF2B5EF4-FFF2-40B4-BE49-F238E27FC236}">
              <a16:creationId xmlns:a16="http://schemas.microsoft.com/office/drawing/2014/main" id="{4DBEF69F-173C-4BAA-848B-711B55338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26536650" y="1990725"/>
          <a:ext cx="314327" cy="314327"/>
        </a:xfrm>
        <a:prstGeom prst="rect">
          <a:avLst/>
        </a:prstGeom>
      </xdr:spPr>
    </xdr:pic>
    <xdr:clientData/>
  </xdr:twoCellAnchor>
  <xdr:twoCellAnchor editAs="absolute">
    <xdr:from>
      <xdr:col>20</xdr:col>
      <xdr:colOff>552450</xdr:colOff>
      <xdr:row>27</xdr:row>
      <xdr:rowOff>114300</xdr:rowOff>
    </xdr:from>
    <xdr:to>
      <xdr:col>20</xdr:col>
      <xdr:colOff>866777</xdr:colOff>
      <xdr:row>29</xdr:row>
      <xdr:rowOff>66677</xdr:rowOff>
    </xdr:to>
    <xdr:pic>
      <xdr:nvPicPr>
        <xdr:cNvPr id="13" name="Graphic 12" descr="Key with solid fill">
          <a:extLst>
            <a:ext uri="{FF2B5EF4-FFF2-40B4-BE49-F238E27FC236}">
              <a16:creationId xmlns:a16="http://schemas.microsoft.com/office/drawing/2014/main" id="{75E90FDD-1959-4386-B01C-5AEC16804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26536650" y="4695825"/>
          <a:ext cx="314327" cy="314327"/>
        </a:xfrm>
        <a:prstGeom prst="rect">
          <a:avLst/>
        </a:prstGeom>
      </xdr:spPr>
    </xdr:pic>
    <xdr:clientData/>
  </xdr:twoCellAnchor>
  <xdr:twoCellAnchor editAs="absolute">
    <xdr:from>
      <xdr:col>20</xdr:col>
      <xdr:colOff>533400</xdr:colOff>
      <xdr:row>19</xdr:row>
      <xdr:rowOff>123825</xdr:rowOff>
    </xdr:from>
    <xdr:to>
      <xdr:col>20</xdr:col>
      <xdr:colOff>847727</xdr:colOff>
      <xdr:row>21</xdr:row>
      <xdr:rowOff>76202</xdr:rowOff>
    </xdr:to>
    <xdr:pic>
      <xdr:nvPicPr>
        <xdr:cNvPr id="14" name="Graphic 13" descr="Key with solid fill">
          <a:extLst>
            <a:ext uri="{FF2B5EF4-FFF2-40B4-BE49-F238E27FC236}">
              <a16:creationId xmlns:a16="http://schemas.microsoft.com/office/drawing/2014/main" id="{4A86048F-207D-4899-8C13-FF6A4F068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26517600" y="3257550"/>
          <a:ext cx="314327" cy="314327"/>
        </a:xfrm>
        <a:prstGeom prst="rect">
          <a:avLst/>
        </a:prstGeom>
      </xdr:spPr>
    </xdr:pic>
    <xdr:clientData/>
  </xdr:twoCellAnchor>
  <xdr:twoCellAnchor>
    <xdr:from>
      <xdr:col>22</xdr:col>
      <xdr:colOff>447675</xdr:colOff>
      <xdr:row>14</xdr:row>
      <xdr:rowOff>114301</xdr:rowOff>
    </xdr:from>
    <xdr:to>
      <xdr:col>23</xdr:col>
      <xdr:colOff>600077</xdr:colOff>
      <xdr:row>29</xdr:row>
      <xdr:rowOff>104776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3843734E-3725-4FED-A75B-3CBAC970CC16}"/>
            </a:ext>
          </a:extLst>
        </xdr:cNvPr>
        <xdr:cNvCxnSpPr/>
      </xdr:nvCxnSpPr>
      <xdr:spPr>
        <a:xfrm rot="5400000">
          <a:off x="28141614" y="3348037"/>
          <a:ext cx="2705100" cy="676277"/>
        </a:xfrm>
        <a:prstGeom prst="bentConnector3">
          <a:avLst>
            <a:gd name="adj1" fmla="val -352"/>
          </a:avLst>
        </a:prstGeom>
        <a:ln>
          <a:solidFill>
            <a:schemeClr val="accent6">
              <a:lumMod val="75000"/>
            </a:schemeClr>
          </a:solidFill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29</xdr:row>
      <xdr:rowOff>95250</xdr:rowOff>
    </xdr:from>
    <xdr:to>
      <xdr:col>22</xdr:col>
      <xdr:colOff>447675</xdr:colOff>
      <xdr:row>29</xdr:row>
      <xdr:rowOff>95250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3745D9A4-10C8-4B21-B159-BF6A11DA3F3D}"/>
            </a:ext>
          </a:extLst>
        </xdr:cNvPr>
        <xdr:cNvCxnSpPr/>
      </xdr:nvCxnSpPr>
      <xdr:spPr>
        <a:xfrm flipH="1">
          <a:off x="28708350" y="5029200"/>
          <a:ext cx="447675" cy="0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228600</xdr:colOff>
      <xdr:row>13</xdr:row>
      <xdr:rowOff>104776</xdr:rowOff>
    </xdr:from>
    <xdr:to>
      <xdr:col>17</xdr:col>
      <xdr:colOff>581025</xdr:colOff>
      <xdr:row>22</xdr:row>
      <xdr:rowOff>95251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134B0421-A606-4FE2-877F-72D21785FDA6}"/>
            </a:ext>
          </a:extLst>
        </xdr:cNvPr>
        <xdr:cNvCxnSpPr/>
      </xdr:nvCxnSpPr>
      <xdr:spPr>
        <a:xfrm rot="5400000">
          <a:off x="24388763" y="2776538"/>
          <a:ext cx="1619250" cy="352425"/>
        </a:xfrm>
        <a:prstGeom prst="bentConnector3">
          <a:avLst>
            <a:gd name="adj1" fmla="val 0"/>
          </a:avLst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228600</xdr:colOff>
      <xdr:row>22</xdr:row>
      <xdr:rowOff>85725</xdr:rowOff>
    </xdr:from>
    <xdr:to>
      <xdr:col>17</xdr:col>
      <xdr:colOff>581025</xdr:colOff>
      <xdr:row>22</xdr:row>
      <xdr:rowOff>95250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F090058-296C-451E-AB2F-947EE2F33534}"/>
            </a:ext>
          </a:extLst>
        </xdr:cNvPr>
        <xdr:cNvCxnSpPr/>
      </xdr:nvCxnSpPr>
      <xdr:spPr>
        <a:xfrm flipV="1">
          <a:off x="25022175" y="3752850"/>
          <a:ext cx="352425" cy="95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295276</xdr:colOff>
      <xdr:row>13</xdr:row>
      <xdr:rowOff>161928</xdr:rowOff>
    </xdr:from>
    <xdr:to>
      <xdr:col>17</xdr:col>
      <xdr:colOff>571502</xdr:colOff>
      <xdr:row>28</xdr:row>
      <xdr:rowOff>152402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A69F77E6-0F6F-42D5-BB91-7EBB81CA06E8}"/>
            </a:ext>
          </a:extLst>
        </xdr:cNvPr>
        <xdr:cNvCxnSpPr/>
      </xdr:nvCxnSpPr>
      <xdr:spPr>
        <a:xfrm rot="5400000">
          <a:off x="23874414" y="3414715"/>
          <a:ext cx="2705099" cy="276226"/>
        </a:xfrm>
        <a:prstGeom prst="bentConnector3">
          <a:avLst>
            <a:gd name="adj1" fmla="val 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295275</xdr:colOff>
      <xdr:row>28</xdr:row>
      <xdr:rowOff>152400</xdr:rowOff>
    </xdr:from>
    <xdr:to>
      <xdr:col>18</xdr:col>
      <xdr:colOff>0</xdr:colOff>
      <xdr:row>28</xdr:row>
      <xdr:rowOff>152400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9200F0BE-E03C-4271-A8BB-931C658B79CB}"/>
            </a:ext>
          </a:extLst>
        </xdr:cNvPr>
        <xdr:cNvCxnSpPr/>
      </xdr:nvCxnSpPr>
      <xdr:spPr>
        <a:xfrm>
          <a:off x="25088850" y="4905375"/>
          <a:ext cx="31432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absolute">
    <xdr:from>
      <xdr:col>19</xdr:col>
      <xdr:colOff>971549</xdr:colOff>
      <xdr:row>9</xdr:row>
      <xdr:rowOff>0</xdr:rowOff>
    </xdr:from>
    <xdr:to>
      <xdr:col>20</xdr:col>
      <xdr:colOff>476250</xdr:colOff>
      <xdr:row>10</xdr:row>
      <xdr:rowOff>123824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672DDA3F-1DD1-4908-81F7-C9B666E8759D}"/>
            </a:ext>
          </a:extLst>
        </xdr:cNvPr>
        <xdr:cNvGrpSpPr/>
      </xdr:nvGrpSpPr>
      <xdr:grpSpPr>
        <a:xfrm>
          <a:off x="25774649" y="1638300"/>
          <a:ext cx="762001" cy="352424"/>
          <a:chOff x="4229100" y="19051"/>
          <a:chExt cx="717715" cy="352424"/>
        </a:xfrm>
      </xdr:grpSpPr>
      <xdr:pic>
        <xdr:nvPicPr>
          <xdr:cNvPr id="22" name="Graphic 21" descr="Checkbox Checked with solid fill">
            <a:extLst>
              <a:ext uri="{FF2B5EF4-FFF2-40B4-BE49-F238E27FC236}">
                <a16:creationId xmlns:a16="http://schemas.microsoft.com/office/drawing/2014/main" id="{E9E0D337-34C7-EEF0-D645-B14D94667F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229100" y="19051"/>
            <a:ext cx="352424" cy="352424"/>
          </a:xfrm>
          <a:prstGeom prst="rect">
            <a:avLst/>
          </a:prstGeom>
        </xdr:spPr>
      </xdr:pic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250FBDCB-6349-A614-4F22-1FF42301DEB9}"/>
              </a:ext>
            </a:extLst>
          </xdr:cNvPr>
          <xdr:cNvSpPr txBox="1"/>
        </xdr:nvSpPr>
        <xdr:spPr>
          <a:xfrm>
            <a:off x="4476750" y="66675"/>
            <a:ext cx="47006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>
                <a:solidFill>
                  <a:srgbClr val="FF0000"/>
                </a:solidFill>
              </a:rPr>
              <a:t>NEW</a:t>
            </a:r>
            <a:endParaRPr lang="LID4096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 editAs="absolute">
    <xdr:from>
      <xdr:col>19</xdr:col>
      <xdr:colOff>990599</xdr:colOff>
      <xdr:row>15</xdr:row>
      <xdr:rowOff>171450</xdr:rowOff>
    </xdr:from>
    <xdr:to>
      <xdr:col>20</xdr:col>
      <xdr:colOff>495300</xdr:colOff>
      <xdr:row>17</xdr:row>
      <xdr:rowOff>161924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DD1DCBFC-7A6A-48E8-A790-7E2EA4785665}"/>
            </a:ext>
          </a:extLst>
        </xdr:cNvPr>
        <xdr:cNvGrpSpPr/>
      </xdr:nvGrpSpPr>
      <xdr:grpSpPr>
        <a:xfrm>
          <a:off x="25793699" y="2943225"/>
          <a:ext cx="762001" cy="352424"/>
          <a:chOff x="4229100" y="19051"/>
          <a:chExt cx="717715" cy="352424"/>
        </a:xfrm>
      </xdr:grpSpPr>
      <xdr:pic>
        <xdr:nvPicPr>
          <xdr:cNvPr id="31" name="Graphic 30" descr="Checkbox Checked with solid fill">
            <a:extLst>
              <a:ext uri="{FF2B5EF4-FFF2-40B4-BE49-F238E27FC236}">
                <a16:creationId xmlns:a16="http://schemas.microsoft.com/office/drawing/2014/main" id="{6C342F5B-5A74-B507-F1D2-BE164DC887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229100" y="19051"/>
            <a:ext cx="352424" cy="352424"/>
          </a:xfrm>
          <a:prstGeom prst="rect">
            <a:avLst/>
          </a:prstGeom>
        </xdr:spPr>
      </xdr:pic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4B85AD67-B98A-B429-07F1-8649C2244F0B}"/>
              </a:ext>
            </a:extLst>
          </xdr:cNvPr>
          <xdr:cNvSpPr txBox="1"/>
        </xdr:nvSpPr>
        <xdr:spPr>
          <a:xfrm>
            <a:off x="4476750" y="66675"/>
            <a:ext cx="47006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>
                <a:solidFill>
                  <a:srgbClr val="FF0000"/>
                </a:solidFill>
              </a:rPr>
              <a:t>NEW</a:t>
            </a:r>
            <a:endParaRPr lang="LID4096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 editAs="absolute">
    <xdr:from>
      <xdr:col>19</xdr:col>
      <xdr:colOff>1000124</xdr:colOff>
      <xdr:row>24</xdr:row>
      <xdr:rowOff>0</xdr:rowOff>
    </xdr:from>
    <xdr:to>
      <xdr:col>20</xdr:col>
      <xdr:colOff>504825</xdr:colOff>
      <xdr:row>25</xdr:row>
      <xdr:rowOff>171449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D48D00FE-2AC1-40F0-9B82-3AF82EC0E462}"/>
            </a:ext>
          </a:extLst>
        </xdr:cNvPr>
        <xdr:cNvGrpSpPr/>
      </xdr:nvGrpSpPr>
      <xdr:grpSpPr>
        <a:xfrm>
          <a:off x="25803224" y="4400550"/>
          <a:ext cx="762001" cy="352424"/>
          <a:chOff x="4229100" y="19051"/>
          <a:chExt cx="717715" cy="352424"/>
        </a:xfrm>
      </xdr:grpSpPr>
      <xdr:pic>
        <xdr:nvPicPr>
          <xdr:cNvPr id="34" name="Graphic 33" descr="Checkbox Checked with solid fill">
            <a:extLst>
              <a:ext uri="{FF2B5EF4-FFF2-40B4-BE49-F238E27FC236}">
                <a16:creationId xmlns:a16="http://schemas.microsoft.com/office/drawing/2014/main" id="{38EA6120-D439-7669-3883-DF8F3CE1FD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229100" y="19051"/>
            <a:ext cx="352424" cy="352424"/>
          </a:xfrm>
          <a:prstGeom prst="rect">
            <a:avLst/>
          </a:prstGeom>
        </xdr:spPr>
      </xdr:pic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35EFCAE-9DB2-44E1-B5A9-B6A2D1B81951}"/>
              </a:ext>
            </a:extLst>
          </xdr:cNvPr>
          <xdr:cNvSpPr txBox="1"/>
        </xdr:nvSpPr>
        <xdr:spPr>
          <a:xfrm>
            <a:off x="4476750" y="66675"/>
            <a:ext cx="47006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>
                <a:solidFill>
                  <a:srgbClr val="FF0000"/>
                </a:solidFill>
              </a:rPr>
              <a:t>NEW</a:t>
            </a:r>
            <a:endParaRPr lang="LID4096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 editAs="absolute">
    <xdr:from>
      <xdr:col>1</xdr:col>
      <xdr:colOff>247650</xdr:colOff>
      <xdr:row>3</xdr:row>
      <xdr:rowOff>28575</xdr:rowOff>
    </xdr:from>
    <xdr:to>
      <xdr:col>1</xdr:col>
      <xdr:colOff>1009651</xdr:colOff>
      <xdr:row>5</xdr:row>
      <xdr:rowOff>19049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20424353-729B-47E3-8962-45F1BE205DE7}"/>
            </a:ext>
          </a:extLst>
        </xdr:cNvPr>
        <xdr:cNvGrpSpPr/>
      </xdr:nvGrpSpPr>
      <xdr:grpSpPr>
        <a:xfrm>
          <a:off x="438150" y="581025"/>
          <a:ext cx="762001" cy="352424"/>
          <a:chOff x="4229100" y="19051"/>
          <a:chExt cx="717715" cy="352424"/>
        </a:xfrm>
      </xdr:grpSpPr>
      <xdr:pic>
        <xdr:nvPicPr>
          <xdr:cNvPr id="37" name="Graphic 36" descr="Checkbox Checked with solid fill">
            <a:extLst>
              <a:ext uri="{FF2B5EF4-FFF2-40B4-BE49-F238E27FC236}">
                <a16:creationId xmlns:a16="http://schemas.microsoft.com/office/drawing/2014/main" id="{2C6F2AB5-D8B8-0E93-38B6-8F5B34FB1D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229100" y="19051"/>
            <a:ext cx="352424" cy="352424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133EB604-6E19-141D-71C5-2504A093F56C}"/>
              </a:ext>
            </a:extLst>
          </xdr:cNvPr>
          <xdr:cNvSpPr txBox="1"/>
        </xdr:nvSpPr>
        <xdr:spPr>
          <a:xfrm>
            <a:off x="4476750" y="66675"/>
            <a:ext cx="47006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>
                <a:solidFill>
                  <a:srgbClr val="FF0000"/>
                </a:solidFill>
              </a:rPr>
              <a:t>NEW</a:t>
            </a:r>
            <a:endParaRPr lang="LID4096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 editAs="absolute">
    <xdr:from>
      <xdr:col>4</xdr:col>
      <xdr:colOff>342900</xdr:colOff>
      <xdr:row>3</xdr:row>
      <xdr:rowOff>19050</xdr:rowOff>
    </xdr:from>
    <xdr:to>
      <xdr:col>4</xdr:col>
      <xdr:colOff>1104901</xdr:colOff>
      <xdr:row>5</xdr:row>
      <xdr:rowOff>9524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78F1D4AC-E18F-4B5B-A674-DACE8B730603}"/>
            </a:ext>
          </a:extLst>
        </xdr:cNvPr>
        <xdr:cNvGrpSpPr/>
      </xdr:nvGrpSpPr>
      <xdr:grpSpPr>
        <a:xfrm>
          <a:off x="3790950" y="571500"/>
          <a:ext cx="762001" cy="352424"/>
          <a:chOff x="4229100" y="19051"/>
          <a:chExt cx="717715" cy="352424"/>
        </a:xfrm>
      </xdr:grpSpPr>
      <xdr:pic>
        <xdr:nvPicPr>
          <xdr:cNvPr id="40" name="Graphic 39" descr="Checkbox Checked with solid fill">
            <a:extLst>
              <a:ext uri="{FF2B5EF4-FFF2-40B4-BE49-F238E27FC236}">
                <a16:creationId xmlns:a16="http://schemas.microsoft.com/office/drawing/2014/main" id="{0B225466-FF70-36BB-E5CA-FC48CA8BF72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229100" y="19051"/>
            <a:ext cx="352424" cy="352424"/>
          </a:xfrm>
          <a:prstGeom prst="rect">
            <a:avLst/>
          </a:prstGeom>
        </xdr:spPr>
      </xdr:pic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9299C00D-80C2-73E0-DC22-990EC1E431B8}"/>
              </a:ext>
            </a:extLst>
          </xdr:cNvPr>
          <xdr:cNvSpPr txBox="1"/>
        </xdr:nvSpPr>
        <xdr:spPr>
          <a:xfrm>
            <a:off x="4476750" y="66675"/>
            <a:ext cx="47006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>
                <a:solidFill>
                  <a:srgbClr val="FF0000"/>
                </a:solidFill>
              </a:rPr>
              <a:t>NEW</a:t>
            </a:r>
            <a:endParaRPr lang="LID4096" sz="1100" b="1">
              <a:solidFill>
                <a:srgbClr val="FF0000"/>
              </a:solidFill>
            </a:endParaRPr>
          </a:p>
        </xdr:txBody>
      </xdr:sp>
    </xdr:grpSp>
    <xdr:clientData/>
  </xdr:twoCellAnchor>
  <xdr:twoCellAnchor editAs="absolute">
    <xdr:from>
      <xdr:col>7</xdr:col>
      <xdr:colOff>485775</xdr:colOff>
      <xdr:row>3</xdr:row>
      <xdr:rowOff>19050</xdr:rowOff>
    </xdr:from>
    <xdr:to>
      <xdr:col>7</xdr:col>
      <xdr:colOff>1247776</xdr:colOff>
      <xdr:row>5</xdr:row>
      <xdr:rowOff>9524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0975644F-B1B7-4B3B-B762-ED9E1C1F487A}"/>
            </a:ext>
          </a:extLst>
        </xdr:cNvPr>
        <xdr:cNvGrpSpPr/>
      </xdr:nvGrpSpPr>
      <xdr:grpSpPr>
        <a:xfrm>
          <a:off x="8486775" y="571500"/>
          <a:ext cx="762001" cy="352424"/>
          <a:chOff x="4229100" y="19051"/>
          <a:chExt cx="717715" cy="352424"/>
        </a:xfrm>
      </xdr:grpSpPr>
      <xdr:pic>
        <xdr:nvPicPr>
          <xdr:cNvPr id="43" name="Graphic 42" descr="Checkbox Checked with solid fill">
            <a:extLst>
              <a:ext uri="{FF2B5EF4-FFF2-40B4-BE49-F238E27FC236}">
                <a16:creationId xmlns:a16="http://schemas.microsoft.com/office/drawing/2014/main" id="{B6740C11-EAA1-D7D4-9435-BC65DA9D369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229100" y="19051"/>
            <a:ext cx="352424" cy="352424"/>
          </a:xfrm>
          <a:prstGeom prst="rect">
            <a:avLst/>
          </a:prstGeom>
        </xdr:spPr>
      </xdr:pic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F9299CEA-1D2A-6F9B-85C5-C81B42E8D848}"/>
              </a:ext>
            </a:extLst>
          </xdr:cNvPr>
          <xdr:cNvSpPr txBox="1"/>
        </xdr:nvSpPr>
        <xdr:spPr>
          <a:xfrm>
            <a:off x="4476750" y="66675"/>
            <a:ext cx="47006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>
                <a:solidFill>
                  <a:srgbClr val="FF0000"/>
                </a:solidFill>
              </a:rPr>
              <a:t>NEW</a:t>
            </a:r>
            <a:endParaRPr lang="LID4096" sz="11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9F6057-3746-4867-993E-C541D8E769B5}" name="Positions" displayName="Positions" ref="E10:F62" totalsRowShown="0" headerRowBorderDxfId="8" tableBorderDxfId="29" totalsRowBorderDxfId="28">
  <autoFilter ref="E10:F62" xr:uid="{9D9F6057-3746-4867-993E-C541D8E769B5}"/>
  <tableColumns count="2">
    <tableColumn id="1" xr3:uid="{1F343594-B107-4E03-A41F-10CC580784D9}" name="PositionName" dataDxfId="7"/>
    <tableColumn id="2" xr3:uid="{7CFA10E7-FE84-4BE1-91F7-982C225B8E0A}" name="PositionLevel" dataDxfId="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D4B8E6-40AC-4F1D-A9AB-755CC1717B50}" name="PositionLevelBenefits" displayName="PositionLevelBenefits" ref="H10:I62" totalsRowShown="0" headerRowBorderDxfId="11" tableBorderDxfId="12">
  <autoFilter ref="H10:I62" xr:uid="{96D4B8E6-40AC-4F1D-A9AB-755CC1717B50}"/>
  <sortState xmlns:xlrd2="http://schemas.microsoft.com/office/spreadsheetml/2017/richdata2" ref="H11:I62">
    <sortCondition ref="H11:H62"/>
  </sortState>
  <tableColumns count="2">
    <tableColumn id="1" xr3:uid="{A1326E12-5ACA-45FD-B068-3C239F8DE674}" name="PositionLevel" dataDxfId="10"/>
    <tableColumn id="2" xr3:uid="{74CD3A2B-4E53-4CD3-BD78-2B45028BEAAD}" name="BenefitLevel" dataDxfId="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B5FA02-C89B-44CC-A197-5A75388EE34A}" name="PositionLevelT" displayName="PositionLevelT" ref="B10:C62" totalsRowShown="0" headerRowBorderDxfId="15" tableBorderDxfId="16" totalsRowBorderDxfId="25">
  <autoFilter ref="B10:C62" xr:uid="{6CB5FA02-C89B-44CC-A197-5A75388EE34A}"/>
  <sortState xmlns:xlrd2="http://schemas.microsoft.com/office/spreadsheetml/2017/richdata2" ref="B11:C62">
    <sortCondition ref="B10:B62"/>
  </sortState>
  <tableColumns count="2">
    <tableColumn id="1" xr3:uid="{954E63D5-CB57-48CA-A32E-7B609E2680BD}" name="PositionLevel" dataDxfId="14"/>
    <tableColumn id="2" xr3:uid="{BD2A84D4-CCE9-4079-A62D-B68A2D6B95B1}" name="Remark" dataDxfId="13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6ED4FB-6A6D-49BD-B028-61BBACE15048}" name="Table5" displayName="Table5" ref="K10:L26" totalsRowShown="0" headerRowDxfId="17" tableBorderDxfId="20">
  <autoFilter ref="K10:L26" xr:uid="{046ED4FB-6A6D-49BD-B028-61BBACE15048}"/>
  <tableColumns count="2">
    <tableColumn id="1" xr3:uid="{FDA50C72-1BE8-4031-A2AE-F96D8155B503}" name="BenefitLevel" dataDxfId="19"/>
    <tableColumn id="2" xr3:uid="{3E7DD28B-C437-48FD-A95A-9E898121BBF1}" name="REMARK" dataDxfId="18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E939AA4-FC82-430E-8C01-EE08FDEDDBA3}" name="Table6" displayName="Table6" ref="N10:Q68" totalsRowShown="0" headerRowDxfId="1" dataDxfId="0" headerRowBorderDxfId="21" tableBorderDxfId="22" totalsRowBorderDxfId="23">
  <autoFilter ref="N10:Q68" xr:uid="{6E939AA4-FC82-430E-8C01-EE08FDEDDBA3}"/>
  <tableColumns count="4">
    <tableColumn id="1" xr3:uid="{67B443AD-EC0A-4678-A71E-026AAB760691}" name="Position" dataDxfId="5"/>
    <tableColumn id="2" xr3:uid="{371C0C0C-9E71-4651-99B7-21A108DB805F}" name="BenefitLevel" dataDxfId="4"/>
    <tableColumn id="3" xr3:uid="{3A1E3CD8-E1B5-4E3A-B8CE-1D0D0F5C9995}" name="NO" dataDxfId="3"/>
    <tableColumn id="4" xr3:uid="{95E93178-E1EB-48CA-89C8-03A11763CE71}" name="ACTIV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9489-CC66-418C-A5D5-7019C146E1AF}">
  <sheetPr codeName="Sheet1"/>
  <dimension ref="B2:AB111"/>
  <sheetViews>
    <sheetView showGridLines="0" tabSelected="1" workbookViewId="0"/>
  </sheetViews>
  <sheetFormatPr defaultRowHeight="14.25" x14ac:dyDescent="0.25"/>
  <cols>
    <col min="1" max="1" width="2.5" style="3" customWidth="1"/>
    <col min="2" max="2" width="21.75" style="3" customWidth="1"/>
    <col min="3" max="3" width="19" style="3" customWidth="1"/>
    <col min="4" max="4" width="2" style="3" customWidth="1"/>
    <col min="5" max="5" width="37" style="3" customWidth="1"/>
    <col min="6" max="6" width="20.125" style="3" customWidth="1"/>
    <col min="7" max="7" width="2.625" style="3" customWidth="1"/>
    <col min="8" max="8" width="20.25" style="3" customWidth="1"/>
    <col min="9" max="9" width="39.25" style="3" customWidth="1"/>
    <col min="10" max="10" width="2.625" style="3" customWidth="1"/>
    <col min="11" max="11" width="37.5" style="3" customWidth="1"/>
    <col min="12" max="12" width="17.5" style="3" customWidth="1"/>
    <col min="13" max="13" width="3.875" style="3" customWidth="1"/>
    <col min="14" max="14" width="33.625" style="42" bestFit="1" customWidth="1"/>
    <col min="15" max="15" width="41" style="42" bestFit="1" customWidth="1"/>
    <col min="16" max="16" width="5" style="42" bestFit="1" customWidth="1"/>
    <col min="17" max="17" width="7.75" style="42" bestFit="1" customWidth="1"/>
    <col min="18" max="18" width="9" style="3"/>
    <col min="19" max="19" width="3.125" style="3" bestFit="1" customWidth="1"/>
    <col min="20" max="20" width="16.5" style="3" bestFit="1" customWidth="1"/>
    <col min="21" max="21" width="16.875" style="3" bestFit="1" customWidth="1"/>
    <col min="22" max="22" width="6.875" style="3" bestFit="1" customWidth="1"/>
    <col min="23" max="23" width="6.875" style="3" customWidth="1"/>
    <col min="24" max="24" width="8.125" style="3" customWidth="1"/>
    <col min="25" max="25" width="3.125" style="3" bestFit="1" customWidth="1"/>
    <col min="26" max="26" width="16.5" style="3" bestFit="1" customWidth="1"/>
    <col min="27" max="27" width="16.125" style="3" bestFit="1" customWidth="1"/>
    <col min="28" max="28" width="6.875" style="3" bestFit="1" customWidth="1"/>
    <col min="29" max="16384" width="9" style="3"/>
  </cols>
  <sheetData>
    <row r="2" spans="2:28" ht="15" x14ac:dyDescent="0.25">
      <c r="B2" s="55" t="s">
        <v>100</v>
      </c>
    </row>
    <row r="6" spans="2:28" x14ac:dyDescent="0.25">
      <c r="B6" s="1" t="s">
        <v>0</v>
      </c>
      <c r="C6" s="2" t="s">
        <v>1</v>
      </c>
      <c r="E6" s="4" t="s">
        <v>0</v>
      </c>
      <c r="F6" s="2" t="s">
        <v>1</v>
      </c>
      <c r="H6" s="5" t="s">
        <v>0</v>
      </c>
      <c r="I6" s="2" t="s">
        <v>1</v>
      </c>
      <c r="K6" s="6" t="s">
        <v>0</v>
      </c>
      <c r="L6" s="2" t="s">
        <v>1</v>
      </c>
      <c r="N6" s="43"/>
      <c r="O6" s="43"/>
      <c r="P6" s="43"/>
      <c r="Q6" s="43"/>
    </row>
    <row r="7" spans="2:28" x14ac:dyDescent="0.25">
      <c r="B7" s="1" t="s">
        <v>2</v>
      </c>
      <c r="C7" s="7" t="s">
        <v>3</v>
      </c>
      <c r="E7" s="4" t="s">
        <v>2</v>
      </c>
      <c r="F7" s="8" t="s">
        <v>4</v>
      </c>
      <c r="H7" s="5" t="s">
        <v>2</v>
      </c>
      <c r="I7" s="8" t="s">
        <v>5</v>
      </c>
      <c r="K7" s="6" t="s">
        <v>2</v>
      </c>
      <c r="L7" s="2" t="s">
        <v>6</v>
      </c>
      <c r="N7" s="44"/>
      <c r="O7" s="44"/>
      <c r="P7" s="44"/>
      <c r="Q7" s="44"/>
    </row>
    <row r="8" spans="2:28" x14ac:dyDescent="0.25">
      <c r="B8" s="9" t="s">
        <v>7</v>
      </c>
      <c r="C8" s="9"/>
      <c r="E8" s="10" t="s">
        <v>8</v>
      </c>
      <c r="F8" s="10"/>
      <c r="H8" s="11" t="s">
        <v>9</v>
      </c>
      <c r="I8" s="11"/>
      <c r="K8" s="56" t="s">
        <v>10</v>
      </c>
      <c r="L8" s="57"/>
      <c r="N8" s="44"/>
      <c r="O8" s="44"/>
      <c r="P8" s="44"/>
      <c r="Q8" s="44"/>
    </row>
    <row r="9" spans="2:28" x14ac:dyDescent="0.25">
      <c r="H9" s="12" t="s">
        <v>11</v>
      </c>
      <c r="I9" s="37"/>
      <c r="J9" s="58"/>
      <c r="N9" s="45" t="s">
        <v>12</v>
      </c>
      <c r="O9" s="45"/>
      <c r="P9" s="45"/>
      <c r="Q9" s="45"/>
    </row>
    <row r="10" spans="2:28" s="15" customFormat="1" ht="18" customHeight="1" x14ac:dyDescent="0.3">
      <c r="B10" s="13" t="s">
        <v>3</v>
      </c>
      <c r="C10" s="14" t="s">
        <v>13</v>
      </c>
      <c r="E10" s="16" t="s">
        <v>14</v>
      </c>
      <c r="F10" s="17" t="s">
        <v>3</v>
      </c>
      <c r="H10" s="18" t="s">
        <v>3</v>
      </c>
      <c r="I10" s="41" t="s">
        <v>15</v>
      </c>
      <c r="K10" s="19" t="s">
        <v>15</v>
      </c>
      <c r="L10" s="19" t="s">
        <v>16</v>
      </c>
      <c r="N10" s="46" t="s">
        <v>17</v>
      </c>
      <c r="O10" s="47" t="s">
        <v>15</v>
      </c>
      <c r="P10" s="47" t="s">
        <v>18</v>
      </c>
      <c r="Q10" s="48" t="s">
        <v>19</v>
      </c>
    </row>
    <row r="11" spans="2:28" ht="14.25" customHeight="1" x14ac:dyDescent="0.25">
      <c r="B11" s="20" t="s">
        <v>20</v>
      </c>
      <c r="C11" s="21"/>
      <c r="E11" s="20" t="s">
        <v>21</v>
      </c>
      <c r="F11" s="22"/>
      <c r="H11" s="20" t="s">
        <v>20</v>
      </c>
      <c r="I11" s="21" t="s">
        <v>22</v>
      </c>
      <c r="K11" s="23" t="s">
        <v>23</v>
      </c>
      <c r="L11" s="24">
        <v>1</v>
      </c>
      <c r="N11" s="49" t="s">
        <v>21</v>
      </c>
      <c r="O11" s="50" t="s">
        <v>24</v>
      </c>
      <c r="P11" s="50">
        <v>1</v>
      </c>
      <c r="Q11" s="51">
        <v>1</v>
      </c>
    </row>
    <row r="12" spans="2:28" ht="14.25" customHeight="1" x14ac:dyDescent="0.3">
      <c r="B12" s="20" t="s">
        <v>25</v>
      </c>
      <c r="C12" s="21"/>
      <c r="E12" s="20" t="s">
        <v>26</v>
      </c>
      <c r="F12" s="22"/>
      <c r="H12" s="20" t="s">
        <v>25</v>
      </c>
      <c r="I12" s="21" t="s">
        <v>27</v>
      </c>
      <c r="K12" s="25" t="s">
        <v>28</v>
      </c>
      <c r="L12" s="24">
        <v>2</v>
      </c>
      <c r="N12" s="49" t="s">
        <v>26</v>
      </c>
      <c r="O12" s="50" t="s">
        <v>29</v>
      </c>
      <c r="P12" s="50">
        <v>2</v>
      </c>
      <c r="Q12" s="51">
        <v>0</v>
      </c>
      <c r="S12"/>
      <c r="T12" s="26" t="s">
        <v>30</v>
      </c>
      <c r="U12" s="27" t="s">
        <v>3</v>
      </c>
      <c r="V12" s="28"/>
      <c r="W12"/>
      <c r="Y12"/>
      <c r="Z12" s="26" t="s">
        <v>30</v>
      </c>
      <c r="AA12" s="27" t="s">
        <v>31</v>
      </c>
      <c r="AB12" s="28"/>
    </row>
    <row r="13" spans="2:28" ht="14.25" customHeight="1" x14ac:dyDescent="0.25">
      <c r="B13" s="20" t="s">
        <v>32</v>
      </c>
      <c r="C13" s="21"/>
      <c r="E13" s="20" t="s">
        <v>33</v>
      </c>
      <c r="F13" s="22"/>
      <c r="H13" s="20" t="s">
        <v>32</v>
      </c>
      <c r="I13" s="21" t="s">
        <v>23</v>
      </c>
      <c r="K13" s="25" t="s">
        <v>27</v>
      </c>
      <c r="L13" s="29">
        <v>3</v>
      </c>
      <c r="N13" s="49" t="s">
        <v>26</v>
      </c>
      <c r="O13" s="50" t="s">
        <v>22</v>
      </c>
      <c r="P13" s="50">
        <v>2</v>
      </c>
      <c r="Q13" s="51">
        <v>0</v>
      </c>
      <c r="S13" s="30" t="s">
        <v>18</v>
      </c>
      <c r="T13" s="30" t="s">
        <v>34</v>
      </c>
      <c r="U13" s="30" t="s">
        <v>35</v>
      </c>
      <c r="V13" s="30" t="s">
        <v>36</v>
      </c>
      <c r="W13" s="31"/>
      <c r="Y13" s="30" t="s">
        <v>18</v>
      </c>
      <c r="Z13" s="30" t="s">
        <v>34</v>
      </c>
      <c r="AA13" s="30" t="s">
        <v>35</v>
      </c>
      <c r="AB13" s="30" t="s">
        <v>36</v>
      </c>
    </row>
    <row r="14" spans="2:28" ht="14.25" customHeight="1" x14ac:dyDescent="0.25">
      <c r="B14" s="20" t="s">
        <v>37</v>
      </c>
      <c r="C14" s="21"/>
      <c r="E14" s="20" t="s">
        <v>38</v>
      </c>
      <c r="F14" s="22"/>
      <c r="H14" s="20" t="s">
        <v>37</v>
      </c>
      <c r="I14" s="21" t="s">
        <v>27</v>
      </c>
      <c r="K14" s="25" t="s">
        <v>39</v>
      </c>
      <c r="L14" s="29">
        <v>4</v>
      </c>
      <c r="N14" s="49" t="s">
        <v>33</v>
      </c>
      <c r="O14" s="50" t="s">
        <v>29</v>
      </c>
      <c r="P14" s="50">
        <v>2</v>
      </c>
      <c r="Q14" s="51">
        <v>0</v>
      </c>
      <c r="S14" s="32">
        <f>IF(T14=0,"",1)</f>
        <v>1</v>
      </c>
      <c r="T14" s="33" t="s">
        <v>3</v>
      </c>
      <c r="U14" s="33">
        <v>300</v>
      </c>
      <c r="V14" s="33" t="s">
        <v>40</v>
      </c>
      <c r="W14" s="34"/>
      <c r="Y14" s="32">
        <f>IF(Z14=0,"",1)</f>
        <v>1</v>
      </c>
      <c r="Z14" s="33" t="s">
        <v>41</v>
      </c>
      <c r="AA14" s="33">
        <v>15</v>
      </c>
      <c r="AB14" s="33" t="s">
        <v>40</v>
      </c>
    </row>
    <row r="15" spans="2:28" ht="14.25" customHeight="1" x14ac:dyDescent="0.25">
      <c r="B15" s="20" t="s">
        <v>42</v>
      </c>
      <c r="C15" s="21"/>
      <c r="E15" s="20" t="s">
        <v>43</v>
      </c>
      <c r="F15" s="22" t="s">
        <v>20</v>
      </c>
      <c r="H15" s="20" t="s">
        <v>42</v>
      </c>
      <c r="I15" s="21" t="s">
        <v>22</v>
      </c>
      <c r="K15" s="25" t="s">
        <v>44</v>
      </c>
      <c r="L15" s="29">
        <v>5</v>
      </c>
      <c r="N15" s="49" t="s">
        <v>33</v>
      </c>
      <c r="O15" s="50" t="s">
        <v>22</v>
      </c>
      <c r="P15" s="50">
        <v>2</v>
      </c>
      <c r="Q15" s="51">
        <v>0</v>
      </c>
      <c r="S15" s="32">
        <f>IF(T15=0,"",+S14+1)</f>
        <v>2</v>
      </c>
      <c r="T15" s="33" t="s">
        <v>13</v>
      </c>
      <c r="U15" s="33">
        <v>500</v>
      </c>
      <c r="V15" s="33" t="s">
        <v>40</v>
      </c>
      <c r="W15" s="34"/>
      <c r="Y15" s="32">
        <f>IF(Z15=0,"",+Y14+1)</f>
        <v>2</v>
      </c>
      <c r="Z15" s="33" t="s">
        <v>15</v>
      </c>
      <c r="AA15" s="33">
        <v>500</v>
      </c>
      <c r="AB15" s="33" t="s">
        <v>40</v>
      </c>
    </row>
    <row r="16" spans="2:28" ht="14.25" customHeight="1" x14ac:dyDescent="0.25">
      <c r="B16" s="20" t="s">
        <v>45</v>
      </c>
      <c r="C16" s="21"/>
      <c r="E16" s="20" t="s">
        <v>20</v>
      </c>
      <c r="F16" s="22" t="s">
        <v>20</v>
      </c>
      <c r="H16" s="20" t="s">
        <v>45</v>
      </c>
      <c r="I16" s="21" t="s">
        <v>46</v>
      </c>
      <c r="K16" s="25" t="s">
        <v>47</v>
      </c>
      <c r="L16" s="29">
        <v>6</v>
      </c>
      <c r="N16" s="49" t="s">
        <v>38</v>
      </c>
      <c r="O16" s="50" t="s">
        <v>47</v>
      </c>
      <c r="P16" s="50">
        <v>2</v>
      </c>
      <c r="Q16" s="51">
        <v>0</v>
      </c>
      <c r="Y16" s="32">
        <f t="shared" ref="Y16:Y26" si="0">IF(Z16=0,"",+Y15+1)</f>
        <v>3</v>
      </c>
      <c r="Z16" s="33" t="s">
        <v>48</v>
      </c>
      <c r="AA16" s="33"/>
      <c r="AB16" s="33" t="s">
        <v>49</v>
      </c>
    </row>
    <row r="17" spans="2:28" ht="14.25" customHeight="1" x14ac:dyDescent="0.25">
      <c r="B17" s="20" t="s">
        <v>50</v>
      </c>
      <c r="C17" s="21"/>
      <c r="E17" s="20" t="s">
        <v>51</v>
      </c>
      <c r="F17" s="22" t="s">
        <v>20</v>
      </c>
      <c r="H17" s="20" t="s">
        <v>50</v>
      </c>
      <c r="I17" s="21" t="s">
        <v>52</v>
      </c>
      <c r="K17" s="25" t="s">
        <v>53</v>
      </c>
      <c r="L17" s="29">
        <v>7</v>
      </c>
      <c r="N17" s="49" t="s">
        <v>38</v>
      </c>
      <c r="O17" s="50" t="s">
        <v>54</v>
      </c>
      <c r="P17" s="50">
        <v>2</v>
      </c>
      <c r="Q17" s="51">
        <v>0</v>
      </c>
      <c r="Y17" s="32">
        <f t="shared" si="0"/>
        <v>4</v>
      </c>
      <c r="Z17" s="33" t="s">
        <v>55</v>
      </c>
      <c r="AA17" s="33"/>
      <c r="AB17" s="33" t="s">
        <v>49</v>
      </c>
    </row>
    <row r="18" spans="2:28" ht="14.25" customHeight="1" x14ac:dyDescent="0.25">
      <c r="B18" s="20" t="s">
        <v>56</v>
      </c>
      <c r="C18" s="21"/>
      <c r="E18" s="20" t="s">
        <v>25</v>
      </c>
      <c r="F18" s="22" t="s">
        <v>25</v>
      </c>
      <c r="H18" s="20" t="s">
        <v>56</v>
      </c>
      <c r="I18" s="21" t="s">
        <v>46</v>
      </c>
      <c r="K18" s="25" t="s">
        <v>22</v>
      </c>
      <c r="L18" s="29">
        <v>8</v>
      </c>
      <c r="N18" s="49" t="s">
        <v>20</v>
      </c>
      <c r="O18" s="50" t="s">
        <v>22</v>
      </c>
      <c r="P18" s="50">
        <v>1</v>
      </c>
      <c r="Q18" s="51">
        <v>1</v>
      </c>
      <c r="Y18" s="32">
        <f t="shared" si="0"/>
        <v>5</v>
      </c>
      <c r="Z18" s="33" t="s">
        <v>57</v>
      </c>
      <c r="AA18" s="33"/>
      <c r="AB18" s="33" t="s">
        <v>58</v>
      </c>
    </row>
    <row r="19" spans="2:28" ht="14.25" customHeight="1" x14ac:dyDescent="0.3">
      <c r="B19" s="20" t="s">
        <v>59</v>
      </c>
      <c r="C19" s="21"/>
      <c r="E19" s="20" t="s">
        <v>60</v>
      </c>
      <c r="F19" s="22"/>
      <c r="H19" s="20" t="s">
        <v>59</v>
      </c>
      <c r="I19" s="21" t="s">
        <v>23</v>
      </c>
      <c r="K19" s="25" t="s">
        <v>29</v>
      </c>
      <c r="L19" s="29">
        <v>9</v>
      </c>
      <c r="N19" s="49" t="s">
        <v>51</v>
      </c>
      <c r="O19" s="50" t="s">
        <v>22</v>
      </c>
      <c r="P19" s="50">
        <v>1</v>
      </c>
      <c r="Q19" s="51">
        <v>1</v>
      </c>
      <c r="S19"/>
      <c r="T19" s="26" t="s">
        <v>30</v>
      </c>
      <c r="U19" s="27" t="s">
        <v>4</v>
      </c>
      <c r="V19" s="28"/>
      <c r="W19"/>
      <c r="Y19" s="32">
        <f t="shared" si="0"/>
        <v>6</v>
      </c>
      <c r="Z19" s="33" t="s">
        <v>61</v>
      </c>
      <c r="AA19" s="33"/>
      <c r="AB19" s="33" t="s">
        <v>58</v>
      </c>
    </row>
    <row r="20" spans="2:28" ht="14.25" customHeight="1" x14ac:dyDescent="0.25">
      <c r="B20" s="20" t="s">
        <v>62</v>
      </c>
      <c r="C20" s="21"/>
      <c r="E20" s="20" t="s">
        <v>63</v>
      </c>
      <c r="F20" s="22"/>
      <c r="H20" s="20" t="s">
        <v>62</v>
      </c>
      <c r="I20" s="21" t="s">
        <v>44</v>
      </c>
      <c r="K20" s="25" t="s">
        <v>46</v>
      </c>
      <c r="L20" s="29">
        <v>10</v>
      </c>
      <c r="N20" s="49" t="s">
        <v>25</v>
      </c>
      <c r="O20" s="50" t="s">
        <v>28</v>
      </c>
      <c r="P20" s="50">
        <v>3</v>
      </c>
      <c r="Q20" s="51">
        <v>0</v>
      </c>
      <c r="S20" s="30" t="s">
        <v>18</v>
      </c>
      <c r="T20" s="30" t="s">
        <v>34</v>
      </c>
      <c r="U20" s="30" t="s">
        <v>35</v>
      </c>
      <c r="V20" s="30" t="s">
        <v>36</v>
      </c>
      <c r="W20" s="31"/>
      <c r="Y20" s="32">
        <f t="shared" si="0"/>
        <v>7</v>
      </c>
      <c r="Z20" s="33" t="s">
        <v>64</v>
      </c>
      <c r="AA20" s="33"/>
      <c r="AB20" s="33" t="s">
        <v>58</v>
      </c>
    </row>
    <row r="21" spans="2:28" ht="14.25" customHeight="1" x14ac:dyDescent="0.25">
      <c r="B21" s="20" t="s">
        <v>65</v>
      </c>
      <c r="C21" s="21"/>
      <c r="E21" s="20" t="s">
        <v>66</v>
      </c>
      <c r="F21" s="22" t="s">
        <v>45</v>
      </c>
      <c r="H21" s="20" t="s">
        <v>65</v>
      </c>
      <c r="I21" s="21" t="s">
        <v>22</v>
      </c>
      <c r="K21" s="25" t="s">
        <v>67</v>
      </c>
      <c r="L21" s="29">
        <v>11</v>
      </c>
      <c r="N21" s="49" t="s">
        <v>25</v>
      </c>
      <c r="O21" s="50" t="s">
        <v>27</v>
      </c>
      <c r="P21" s="50">
        <v>3</v>
      </c>
      <c r="Q21" s="51">
        <v>0</v>
      </c>
      <c r="S21" s="32">
        <v>1</v>
      </c>
      <c r="T21" s="33" t="s">
        <v>41</v>
      </c>
      <c r="U21" s="33">
        <v>15</v>
      </c>
      <c r="V21" s="33" t="s">
        <v>40</v>
      </c>
      <c r="W21" s="34"/>
      <c r="Y21" s="32">
        <f t="shared" si="0"/>
        <v>8</v>
      </c>
      <c r="Z21" s="33" t="s">
        <v>68</v>
      </c>
      <c r="AA21" s="33"/>
      <c r="AB21" s="33" t="s">
        <v>58</v>
      </c>
    </row>
    <row r="22" spans="2:28" ht="14.25" customHeight="1" x14ac:dyDescent="0.25">
      <c r="B22" s="20"/>
      <c r="C22" s="21"/>
      <c r="E22" s="20" t="s">
        <v>69</v>
      </c>
      <c r="F22" s="22"/>
      <c r="H22" s="20"/>
      <c r="I22" s="21"/>
      <c r="K22" s="25" t="s">
        <v>70</v>
      </c>
      <c r="L22" s="29">
        <v>12</v>
      </c>
      <c r="N22" s="49" t="s">
        <v>25</v>
      </c>
      <c r="O22" s="50" t="s">
        <v>22</v>
      </c>
      <c r="P22" s="50">
        <v>3</v>
      </c>
      <c r="Q22" s="51">
        <v>0</v>
      </c>
      <c r="S22" s="32">
        <v>2</v>
      </c>
      <c r="T22" s="33" t="s">
        <v>14</v>
      </c>
      <c r="U22" s="33">
        <v>300</v>
      </c>
      <c r="V22" s="33" t="s">
        <v>40</v>
      </c>
      <c r="W22" s="34"/>
      <c r="Y22" s="32">
        <f t="shared" si="0"/>
        <v>9</v>
      </c>
      <c r="Z22" s="33" t="s">
        <v>71</v>
      </c>
      <c r="AA22" s="33"/>
      <c r="AB22" s="33" t="s">
        <v>58</v>
      </c>
    </row>
    <row r="23" spans="2:28" ht="14.25" customHeight="1" x14ac:dyDescent="0.25">
      <c r="B23" s="20"/>
      <c r="C23" s="21"/>
      <c r="E23" s="20" t="s">
        <v>72</v>
      </c>
      <c r="F23" s="22"/>
      <c r="H23" s="20"/>
      <c r="I23" s="21"/>
      <c r="K23" s="25" t="s">
        <v>73</v>
      </c>
      <c r="L23" s="29">
        <v>13</v>
      </c>
      <c r="N23" s="49" t="s">
        <v>60</v>
      </c>
      <c r="O23" s="50" t="s">
        <v>22</v>
      </c>
      <c r="P23" s="50">
        <v>1</v>
      </c>
      <c r="Q23" s="51">
        <v>1</v>
      </c>
      <c r="S23" s="32">
        <f>IF(T23=0,"",+S22+1)</f>
        <v>3</v>
      </c>
      <c r="T23" s="33" t="s">
        <v>3</v>
      </c>
      <c r="U23" s="33">
        <v>300</v>
      </c>
      <c r="V23" s="33" t="s">
        <v>40</v>
      </c>
      <c r="W23" s="34"/>
      <c r="Y23" s="32">
        <f t="shared" si="0"/>
        <v>10</v>
      </c>
      <c r="Z23" s="33" t="s">
        <v>74</v>
      </c>
      <c r="AA23" s="33">
        <v>5000</v>
      </c>
      <c r="AB23" s="33" t="s">
        <v>40</v>
      </c>
    </row>
    <row r="24" spans="2:28" ht="14.25" customHeight="1" x14ac:dyDescent="0.25">
      <c r="B24" s="20"/>
      <c r="C24" s="21"/>
      <c r="E24" s="20" t="s">
        <v>75</v>
      </c>
      <c r="F24" s="22"/>
      <c r="H24" s="20"/>
      <c r="I24" s="21"/>
      <c r="K24" s="25" t="s">
        <v>76</v>
      </c>
      <c r="L24" s="29">
        <v>14</v>
      </c>
      <c r="N24" s="49" t="s">
        <v>63</v>
      </c>
      <c r="O24" s="50" t="s">
        <v>29</v>
      </c>
      <c r="P24" s="50">
        <v>1</v>
      </c>
      <c r="Q24" s="51">
        <v>1</v>
      </c>
      <c r="S24" s="32">
        <f t="shared" ref="S24" si="1">IF(T24=0,"",+S23+1)</f>
        <v>4</v>
      </c>
      <c r="T24" s="33" t="s">
        <v>13</v>
      </c>
      <c r="U24" s="33">
        <v>500</v>
      </c>
      <c r="V24" s="33" t="s">
        <v>40</v>
      </c>
      <c r="W24" s="34"/>
      <c r="Y24" s="32">
        <f t="shared" si="0"/>
        <v>11</v>
      </c>
      <c r="Z24" s="33" t="s">
        <v>77</v>
      </c>
      <c r="AA24" s="33">
        <v>9999</v>
      </c>
      <c r="AB24" s="33" t="s">
        <v>40</v>
      </c>
    </row>
    <row r="25" spans="2:28" ht="14.25" customHeight="1" x14ac:dyDescent="0.25">
      <c r="B25" s="20"/>
      <c r="C25" s="21"/>
      <c r="E25" s="20" t="s">
        <v>78</v>
      </c>
      <c r="F25" s="22"/>
      <c r="H25" s="20"/>
      <c r="I25" s="21"/>
      <c r="K25" s="25" t="s">
        <v>24</v>
      </c>
      <c r="L25" s="29">
        <v>15</v>
      </c>
      <c r="N25" s="49" t="s">
        <v>66</v>
      </c>
      <c r="O25" s="50" t="s">
        <v>46</v>
      </c>
      <c r="P25" s="50">
        <v>1</v>
      </c>
      <c r="Q25" s="51">
        <v>1</v>
      </c>
      <c r="Y25" s="32">
        <f t="shared" si="0"/>
        <v>12</v>
      </c>
      <c r="Z25" s="33" t="s">
        <v>79</v>
      </c>
      <c r="AA25" s="33">
        <v>20</v>
      </c>
      <c r="AB25" s="33" t="s">
        <v>40</v>
      </c>
    </row>
    <row r="26" spans="2:28" ht="14.25" customHeight="1" x14ac:dyDescent="0.25">
      <c r="B26" s="20"/>
      <c r="C26" s="21"/>
      <c r="E26" s="20" t="s">
        <v>32</v>
      </c>
      <c r="F26" s="22" t="s">
        <v>32</v>
      </c>
      <c r="H26" s="20"/>
      <c r="I26" s="21"/>
      <c r="K26" s="38" t="s">
        <v>54</v>
      </c>
      <c r="L26" s="39">
        <v>16</v>
      </c>
      <c r="N26" s="49" t="s">
        <v>69</v>
      </c>
      <c r="O26" s="50" t="s">
        <v>22</v>
      </c>
      <c r="P26" s="50">
        <v>1</v>
      </c>
      <c r="Q26" s="51">
        <v>1</v>
      </c>
      <c r="Y26" s="32">
        <f t="shared" si="0"/>
        <v>13</v>
      </c>
      <c r="Z26" s="33" t="s">
        <v>80</v>
      </c>
      <c r="AA26" s="33"/>
      <c r="AB26" s="33" t="s">
        <v>81</v>
      </c>
    </row>
    <row r="27" spans="2:28" ht="14.25" customHeight="1" x14ac:dyDescent="0.3">
      <c r="B27" s="20"/>
      <c r="C27" s="21"/>
      <c r="E27" s="20" t="s">
        <v>37</v>
      </c>
      <c r="F27" s="22" t="s">
        <v>37</v>
      </c>
      <c r="H27" s="20"/>
      <c r="I27" s="21"/>
      <c r="N27" s="49" t="s">
        <v>72</v>
      </c>
      <c r="O27" s="50" t="s">
        <v>29</v>
      </c>
      <c r="P27" s="50">
        <v>2</v>
      </c>
      <c r="Q27" s="51">
        <v>0</v>
      </c>
      <c r="S27"/>
      <c r="T27" s="26" t="s">
        <v>30</v>
      </c>
      <c r="U27" s="27" t="s">
        <v>5</v>
      </c>
      <c r="V27" s="35" t="s">
        <v>82</v>
      </c>
      <c r="W27"/>
    </row>
    <row r="28" spans="2:28" ht="14.25" customHeight="1" x14ac:dyDescent="0.25">
      <c r="B28" s="20"/>
      <c r="C28" s="21"/>
      <c r="E28" s="20" t="s">
        <v>83</v>
      </c>
      <c r="F28" s="22" t="s">
        <v>37</v>
      </c>
      <c r="H28" s="20"/>
      <c r="I28" s="21"/>
      <c r="N28" s="49" t="s">
        <v>72</v>
      </c>
      <c r="O28" s="50" t="s">
        <v>22</v>
      </c>
      <c r="P28" s="50">
        <v>2</v>
      </c>
      <c r="Q28" s="51">
        <v>0</v>
      </c>
      <c r="S28" s="30" t="s">
        <v>18</v>
      </c>
      <c r="T28" s="30" t="s">
        <v>34</v>
      </c>
      <c r="U28" s="30" t="s">
        <v>35</v>
      </c>
      <c r="V28" s="30" t="s">
        <v>36</v>
      </c>
      <c r="W28" s="31"/>
    </row>
    <row r="29" spans="2:28" ht="14.25" customHeight="1" x14ac:dyDescent="0.25">
      <c r="B29" s="20"/>
      <c r="C29" s="21"/>
      <c r="E29" s="20" t="s">
        <v>42</v>
      </c>
      <c r="F29" s="22" t="s">
        <v>42</v>
      </c>
      <c r="H29" s="20"/>
      <c r="I29" s="21"/>
      <c r="N29" s="49" t="s">
        <v>75</v>
      </c>
      <c r="O29" s="50" t="s">
        <v>22</v>
      </c>
      <c r="P29" s="50">
        <v>1</v>
      </c>
      <c r="Q29" s="51">
        <v>1</v>
      </c>
      <c r="S29" s="32">
        <f>IF(T29=0,"",1)</f>
        <v>1</v>
      </c>
      <c r="T29" s="33" t="s">
        <v>3</v>
      </c>
      <c r="U29" s="33">
        <v>300</v>
      </c>
      <c r="V29" s="33" t="s">
        <v>40</v>
      </c>
      <c r="W29" s="34"/>
    </row>
    <row r="30" spans="2:28" ht="14.25" customHeight="1" x14ac:dyDescent="0.25">
      <c r="B30" s="20"/>
      <c r="C30" s="21"/>
      <c r="E30" s="20" t="s">
        <v>84</v>
      </c>
      <c r="F30" s="22" t="s">
        <v>42</v>
      </c>
      <c r="H30" s="20"/>
      <c r="I30" s="21"/>
      <c r="N30" s="49" t="s">
        <v>78</v>
      </c>
      <c r="O30" s="50" t="s">
        <v>85</v>
      </c>
      <c r="P30" s="50">
        <v>1</v>
      </c>
      <c r="Q30" s="51">
        <v>1</v>
      </c>
      <c r="S30" s="32">
        <f>IF(T30=0,"",+S29+1)</f>
        <v>2</v>
      </c>
      <c r="T30" s="33" t="s">
        <v>15</v>
      </c>
      <c r="U30" s="33">
        <v>500</v>
      </c>
      <c r="V30" s="33" t="s">
        <v>40</v>
      </c>
      <c r="W30" s="34"/>
    </row>
    <row r="31" spans="2:28" ht="14.25" customHeight="1" x14ac:dyDescent="0.25">
      <c r="B31" s="20"/>
      <c r="C31" s="21"/>
      <c r="E31" s="20" t="s">
        <v>86</v>
      </c>
      <c r="F31" s="22" t="s">
        <v>42</v>
      </c>
      <c r="H31" s="20"/>
      <c r="I31" s="21"/>
      <c r="N31" s="49" t="s">
        <v>32</v>
      </c>
      <c r="O31" s="50" t="s">
        <v>23</v>
      </c>
      <c r="P31" s="50">
        <v>2</v>
      </c>
      <c r="Q31" s="51">
        <v>0</v>
      </c>
      <c r="S31" s="32">
        <f t="shared" ref="S31" si="2">IF(T31=0,"",+S30+1)</f>
        <v>3</v>
      </c>
      <c r="T31" s="33" t="s">
        <v>13</v>
      </c>
      <c r="U31" s="33">
        <v>500</v>
      </c>
      <c r="V31" s="33" t="s">
        <v>40</v>
      </c>
      <c r="W31" s="34"/>
    </row>
    <row r="32" spans="2:28" ht="14.25" customHeight="1" x14ac:dyDescent="0.25">
      <c r="B32" s="20"/>
      <c r="C32" s="21"/>
      <c r="E32" s="20" t="s">
        <v>45</v>
      </c>
      <c r="F32" s="21" t="s">
        <v>45</v>
      </c>
      <c r="H32" s="20"/>
      <c r="I32" s="21"/>
      <c r="N32" s="49" t="s">
        <v>32</v>
      </c>
      <c r="O32" s="50" t="s">
        <v>22</v>
      </c>
      <c r="P32" s="50">
        <v>2</v>
      </c>
      <c r="Q32" s="51">
        <v>0</v>
      </c>
    </row>
    <row r="33" spans="2:17" ht="14.25" customHeight="1" x14ac:dyDescent="0.25">
      <c r="B33" s="20"/>
      <c r="C33" s="21"/>
      <c r="E33" s="20" t="s">
        <v>50</v>
      </c>
      <c r="F33" s="22" t="s">
        <v>50</v>
      </c>
      <c r="H33" s="20"/>
      <c r="I33" s="21"/>
      <c r="N33" s="49" t="s">
        <v>37</v>
      </c>
      <c r="O33" s="50" t="s">
        <v>85</v>
      </c>
      <c r="P33" s="50">
        <v>3</v>
      </c>
      <c r="Q33" s="51">
        <v>0</v>
      </c>
    </row>
    <row r="34" spans="2:17" ht="14.25" customHeight="1" x14ac:dyDescent="0.25">
      <c r="B34" s="20"/>
      <c r="C34" s="21"/>
      <c r="E34" s="20" t="s">
        <v>87</v>
      </c>
      <c r="F34" s="22"/>
      <c r="H34" s="20"/>
      <c r="I34" s="21"/>
      <c r="N34" s="49" t="s">
        <v>37</v>
      </c>
      <c r="O34" s="50" t="s">
        <v>27</v>
      </c>
      <c r="P34" s="50">
        <v>3</v>
      </c>
      <c r="Q34" s="51">
        <v>0</v>
      </c>
    </row>
    <row r="35" spans="2:17" ht="14.25" customHeight="1" x14ac:dyDescent="0.25">
      <c r="B35" s="20"/>
      <c r="C35" s="21"/>
      <c r="E35" s="20" t="s">
        <v>88</v>
      </c>
      <c r="F35" s="21" t="s">
        <v>45</v>
      </c>
      <c r="H35" s="20"/>
      <c r="I35" s="21"/>
      <c r="N35" s="49" t="s">
        <v>37</v>
      </c>
      <c r="O35" s="50" t="s">
        <v>54</v>
      </c>
      <c r="P35" s="50">
        <v>3</v>
      </c>
      <c r="Q35" s="51">
        <v>0</v>
      </c>
    </row>
    <row r="36" spans="2:17" ht="14.25" customHeight="1" x14ac:dyDescent="0.25">
      <c r="B36" s="20"/>
      <c r="C36" s="21"/>
      <c r="E36" s="20" t="s">
        <v>89</v>
      </c>
      <c r="F36" s="21" t="s">
        <v>45</v>
      </c>
      <c r="H36" s="20"/>
      <c r="I36" s="21"/>
      <c r="N36" s="49" t="s">
        <v>83</v>
      </c>
      <c r="O36" s="50" t="s">
        <v>90</v>
      </c>
      <c r="P36" s="50">
        <v>1</v>
      </c>
      <c r="Q36" s="51">
        <v>1</v>
      </c>
    </row>
    <row r="37" spans="2:17" ht="14.25" customHeight="1" x14ac:dyDescent="0.25">
      <c r="B37" s="20"/>
      <c r="C37" s="21"/>
      <c r="E37" s="20" t="s">
        <v>56</v>
      </c>
      <c r="F37" s="22" t="s">
        <v>56</v>
      </c>
      <c r="H37" s="20"/>
      <c r="I37" s="21"/>
      <c r="N37" s="49" t="s">
        <v>42</v>
      </c>
      <c r="O37" s="50" t="s">
        <v>22</v>
      </c>
      <c r="P37" s="50">
        <v>2</v>
      </c>
      <c r="Q37" s="51">
        <v>0</v>
      </c>
    </row>
    <row r="38" spans="2:17" ht="14.25" customHeight="1" x14ac:dyDescent="0.25">
      <c r="B38" s="20"/>
      <c r="C38" s="21"/>
      <c r="E38" s="20" t="s">
        <v>91</v>
      </c>
      <c r="F38" s="22"/>
      <c r="H38" s="20"/>
      <c r="I38" s="21"/>
      <c r="N38" s="49" t="s">
        <v>42</v>
      </c>
      <c r="O38" s="50" t="s">
        <v>54</v>
      </c>
      <c r="P38" s="50">
        <v>2</v>
      </c>
      <c r="Q38" s="51">
        <v>0</v>
      </c>
    </row>
    <row r="39" spans="2:17" ht="14.25" customHeight="1" x14ac:dyDescent="0.25">
      <c r="B39" s="20"/>
      <c r="C39" s="21"/>
      <c r="E39" s="20" t="s">
        <v>92</v>
      </c>
      <c r="F39" s="22"/>
      <c r="H39" s="20"/>
      <c r="I39" s="21"/>
      <c r="N39" s="49" t="s">
        <v>84</v>
      </c>
      <c r="O39" s="50" t="s">
        <v>22</v>
      </c>
      <c r="P39" s="50">
        <v>1</v>
      </c>
      <c r="Q39" s="51">
        <v>1</v>
      </c>
    </row>
    <row r="40" spans="2:17" ht="14.25" customHeight="1" x14ac:dyDescent="0.25">
      <c r="B40" s="20"/>
      <c r="C40" s="21"/>
      <c r="E40" s="20" t="s">
        <v>93</v>
      </c>
      <c r="F40" s="22"/>
      <c r="H40" s="20"/>
      <c r="I40" s="21"/>
      <c r="N40" s="49" t="s">
        <v>86</v>
      </c>
      <c r="O40" s="50" t="s">
        <v>22</v>
      </c>
      <c r="P40" s="50">
        <v>1</v>
      </c>
      <c r="Q40" s="51">
        <v>1</v>
      </c>
    </row>
    <row r="41" spans="2:17" ht="14.25" customHeight="1" x14ac:dyDescent="0.25">
      <c r="B41" s="20"/>
      <c r="C41" s="21"/>
      <c r="E41" s="20" t="s">
        <v>94</v>
      </c>
      <c r="F41" s="22"/>
      <c r="H41" s="20"/>
      <c r="I41" s="21"/>
      <c r="N41" s="49" t="s">
        <v>45</v>
      </c>
      <c r="O41" s="50" t="s">
        <v>46</v>
      </c>
      <c r="P41" s="50">
        <v>1</v>
      </c>
      <c r="Q41" s="51">
        <v>1</v>
      </c>
    </row>
    <row r="42" spans="2:17" ht="14.25" customHeight="1" x14ac:dyDescent="0.25">
      <c r="B42" s="20"/>
      <c r="C42" s="21"/>
      <c r="E42" s="20" t="s">
        <v>95</v>
      </c>
      <c r="F42" s="22"/>
      <c r="H42" s="20"/>
      <c r="I42" s="21"/>
      <c r="N42" s="49" t="s">
        <v>50</v>
      </c>
      <c r="O42" s="50" t="s">
        <v>52</v>
      </c>
      <c r="P42" s="50">
        <v>1</v>
      </c>
      <c r="Q42" s="51">
        <v>1</v>
      </c>
    </row>
    <row r="43" spans="2:17" ht="14.25" customHeight="1" x14ac:dyDescent="0.25">
      <c r="B43" s="20"/>
      <c r="C43" s="21"/>
      <c r="E43" s="20" t="s">
        <v>59</v>
      </c>
      <c r="F43" s="22" t="s">
        <v>59</v>
      </c>
      <c r="H43" s="20"/>
      <c r="I43" s="21"/>
      <c r="N43" s="49" t="s">
        <v>87</v>
      </c>
      <c r="O43" s="50" t="s">
        <v>29</v>
      </c>
      <c r="P43" s="50">
        <v>2</v>
      </c>
      <c r="Q43" s="51">
        <v>0</v>
      </c>
    </row>
    <row r="44" spans="2:17" ht="14.25" customHeight="1" x14ac:dyDescent="0.25">
      <c r="B44" s="20"/>
      <c r="C44" s="21"/>
      <c r="E44" s="20" t="s">
        <v>62</v>
      </c>
      <c r="F44" s="22" t="s">
        <v>62</v>
      </c>
      <c r="H44" s="20"/>
      <c r="I44" s="21"/>
      <c r="N44" s="49" t="s">
        <v>87</v>
      </c>
      <c r="O44" s="50" t="s">
        <v>22</v>
      </c>
      <c r="P44" s="50">
        <v>2</v>
      </c>
      <c r="Q44" s="51">
        <v>0</v>
      </c>
    </row>
    <row r="45" spans="2:17" ht="14.25" customHeight="1" x14ac:dyDescent="0.25">
      <c r="B45" s="20"/>
      <c r="C45" s="21"/>
      <c r="E45" s="20" t="s">
        <v>65</v>
      </c>
      <c r="F45" s="22" t="s">
        <v>65</v>
      </c>
      <c r="H45" s="20"/>
      <c r="I45" s="21"/>
      <c r="N45" s="49" t="s">
        <v>88</v>
      </c>
      <c r="O45" s="50" t="s">
        <v>46</v>
      </c>
      <c r="P45" s="50">
        <v>1</v>
      </c>
      <c r="Q45" s="51">
        <v>1</v>
      </c>
    </row>
    <row r="46" spans="2:17" ht="14.25" customHeight="1" x14ac:dyDescent="0.25">
      <c r="B46" s="20"/>
      <c r="C46" s="21"/>
      <c r="E46" s="20" t="s">
        <v>96</v>
      </c>
      <c r="F46" s="22" t="s">
        <v>65</v>
      </c>
      <c r="H46" s="20"/>
      <c r="I46" s="21"/>
      <c r="N46" s="49" t="s">
        <v>89</v>
      </c>
      <c r="O46" s="50" t="s">
        <v>46</v>
      </c>
      <c r="P46" s="50">
        <v>1</v>
      </c>
      <c r="Q46" s="51">
        <v>1</v>
      </c>
    </row>
    <row r="47" spans="2:17" ht="14.25" customHeight="1" x14ac:dyDescent="0.25">
      <c r="B47" s="20"/>
      <c r="C47" s="21"/>
      <c r="E47" s="20" t="s">
        <v>97</v>
      </c>
      <c r="F47" s="22" t="s">
        <v>65</v>
      </c>
      <c r="H47" s="20"/>
      <c r="I47" s="21"/>
      <c r="N47" s="49" t="s">
        <v>56</v>
      </c>
      <c r="O47" s="50" t="s">
        <v>46</v>
      </c>
      <c r="P47" s="50">
        <v>1</v>
      </c>
      <c r="Q47" s="51">
        <v>1</v>
      </c>
    </row>
    <row r="48" spans="2:17" ht="14.25" customHeight="1" x14ac:dyDescent="0.25">
      <c r="B48" s="20"/>
      <c r="C48" s="21"/>
      <c r="E48" s="20" t="s">
        <v>98</v>
      </c>
      <c r="F48" s="22"/>
      <c r="H48" s="20"/>
      <c r="I48" s="21"/>
      <c r="N48" s="49" t="s">
        <v>91</v>
      </c>
      <c r="O48" s="50" t="s">
        <v>29</v>
      </c>
      <c r="P48" s="50">
        <v>1</v>
      </c>
      <c r="Q48" s="51">
        <v>1</v>
      </c>
    </row>
    <row r="49" spans="2:17" ht="14.25" customHeight="1" x14ac:dyDescent="0.25">
      <c r="B49" s="20"/>
      <c r="C49" s="21"/>
      <c r="E49" s="20" t="s">
        <v>99</v>
      </c>
      <c r="F49" s="22"/>
      <c r="H49" s="20"/>
      <c r="I49" s="21"/>
      <c r="N49" s="49" t="s">
        <v>92</v>
      </c>
      <c r="O49" s="50" t="s">
        <v>29</v>
      </c>
      <c r="P49" s="50">
        <v>2</v>
      </c>
      <c r="Q49" s="51">
        <v>0</v>
      </c>
    </row>
    <row r="50" spans="2:17" ht="14.25" customHeight="1" x14ac:dyDescent="0.25">
      <c r="B50" s="20"/>
      <c r="C50" s="21"/>
      <c r="E50" s="20"/>
      <c r="F50" s="22"/>
      <c r="H50" s="20"/>
      <c r="I50" s="21"/>
      <c r="N50" s="49" t="s">
        <v>92</v>
      </c>
      <c r="O50" s="50" t="s">
        <v>22</v>
      </c>
      <c r="P50" s="50">
        <v>2</v>
      </c>
      <c r="Q50" s="51">
        <v>0</v>
      </c>
    </row>
    <row r="51" spans="2:17" ht="14.25" customHeight="1" x14ac:dyDescent="0.25">
      <c r="B51" s="20"/>
      <c r="C51" s="21"/>
      <c r="E51" s="20"/>
      <c r="F51" s="22"/>
      <c r="H51" s="20"/>
      <c r="I51" s="21"/>
      <c r="N51" s="49" t="s">
        <v>93</v>
      </c>
      <c r="O51" s="50" t="s">
        <v>22</v>
      </c>
      <c r="P51" s="50">
        <v>1</v>
      </c>
      <c r="Q51" s="51">
        <v>1</v>
      </c>
    </row>
    <row r="52" spans="2:17" ht="14.25" customHeight="1" x14ac:dyDescent="0.25">
      <c r="B52" s="20"/>
      <c r="C52" s="21"/>
      <c r="E52" s="20"/>
      <c r="F52" s="22"/>
      <c r="H52" s="20"/>
      <c r="I52" s="21"/>
      <c r="N52" s="49" t="s">
        <v>94</v>
      </c>
      <c r="O52" s="50" t="s">
        <v>29</v>
      </c>
      <c r="P52" s="50">
        <v>1</v>
      </c>
      <c r="Q52" s="51">
        <v>1</v>
      </c>
    </row>
    <row r="53" spans="2:17" ht="14.25" customHeight="1" x14ac:dyDescent="0.25">
      <c r="B53" s="20"/>
      <c r="C53" s="21"/>
      <c r="E53" s="20"/>
      <c r="F53" s="22"/>
      <c r="H53" s="20"/>
      <c r="I53" s="21"/>
      <c r="N53" s="49" t="s">
        <v>95</v>
      </c>
      <c r="O53" s="50" t="s">
        <v>23</v>
      </c>
      <c r="P53" s="50">
        <v>3</v>
      </c>
      <c r="Q53" s="51">
        <v>0</v>
      </c>
    </row>
    <row r="54" spans="2:17" ht="14.25" customHeight="1" x14ac:dyDescent="0.25">
      <c r="B54" s="20"/>
      <c r="C54" s="21"/>
      <c r="E54" s="20"/>
      <c r="F54" s="22"/>
      <c r="H54" s="20"/>
      <c r="I54" s="21"/>
      <c r="N54" s="49" t="s">
        <v>95</v>
      </c>
      <c r="O54" s="50" t="s">
        <v>29</v>
      </c>
      <c r="P54" s="50">
        <v>3</v>
      </c>
      <c r="Q54" s="51">
        <v>0</v>
      </c>
    </row>
    <row r="55" spans="2:17" ht="14.25" customHeight="1" x14ac:dyDescent="0.25">
      <c r="B55" s="20"/>
      <c r="C55" s="21"/>
      <c r="E55" s="20"/>
      <c r="F55" s="22"/>
      <c r="H55" s="20"/>
      <c r="I55" s="21"/>
      <c r="N55" s="49" t="s">
        <v>95</v>
      </c>
      <c r="O55" s="50" t="s">
        <v>22</v>
      </c>
      <c r="P55" s="50">
        <v>3</v>
      </c>
      <c r="Q55" s="51">
        <v>0</v>
      </c>
    </row>
    <row r="56" spans="2:17" ht="14.25" customHeight="1" x14ac:dyDescent="0.25">
      <c r="B56" s="20"/>
      <c r="C56" s="21"/>
      <c r="E56" s="20"/>
      <c r="F56" s="22"/>
      <c r="H56" s="20"/>
      <c r="I56" s="21"/>
      <c r="N56" s="49" t="s">
        <v>59</v>
      </c>
      <c r="O56" s="50" t="s">
        <v>23</v>
      </c>
      <c r="P56" s="50">
        <v>4</v>
      </c>
      <c r="Q56" s="51">
        <v>0</v>
      </c>
    </row>
    <row r="57" spans="2:17" ht="14.25" customHeight="1" x14ac:dyDescent="0.25">
      <c r="B57" s="20"/>
      <c r="C57" s="21"/>
      <c r="E57" s="20"/>
      <c r="F57" s="22"/>
      <c r="H57" s="20"/>
      <c r="I57" s="21"/>
      <c r="N57" s="49" t="s">
        <v>59</v>
      </c>
      <c r="O57" s="50" t="s">
        <v>70</v>
      </c>
      <c r="P57" s="50">
        <v>4</v>
      </c>
      <c r="Q57" s="51">
        <v>0</v>
      </c>
    </row>
    <row r="58" spans="2:17" ht="14.25" customHeight="1" x14ac:dyDescent="0.25">
      <c r="B58" s="20"/>
      <c r="C58" s="21"/>
      <c r="E58" s="20"/>
      <c r="F58" s="22"/>
      <c r="H58" s="20"/>
      <c r="I58" s="21"/>
      <c r="N58" s="49" t="s">
        <v>59</v>
      </c>
      <c r="O58" s="50" t="s">
        <v>67</v>
      </c>
      <c r="P58" s="50">
        <v>4</v>
      </c>
      <c r="Q58" s="51">
        <v>0</v>
      </c>
    </row>
    <row r="59" spans="2:17" ht="14.25" customHeight="1" x14ac:dyDescent="0.25">
      <c r="B59" s="20"/>
      <c r="C59" s="21"/>
      <c r="E59" s="20"/>
      <c r="F59" s="22"/>
      <c r="H59" s="20"/>
      <c r="I59" s="21"/>
      <c r="N59" s="49" t="s">
        <v>59</v>
      </c>
      <c r="O59" s="50" t="s">
        <v>22</v>
      </c>
      <c r="P59" s="50">
        <v>4</v>
      </c>
      <c r="Q59" s="51">
        <v>0</v>
      </c>
    </row>
    <row r="60" spans="2:17" ht="14.25" customHeight="1" x14ac:dyDescent="0.25">
      <c r="B60" s="20"/>
      <c r="C60" s="21"/>
      <c r="E60" s="20"/>
      <c r="F60" s="22"/>
      <c r="H60" s="20"/>
      <c r="I60" s="21"/>
      <c r="N60" s="49" t="s">
        <v>62</v>
      </c>
      <c r="O60" s="50" t="s">
        <v>44</v>
      </c>
      <c r="P60" s="50">
        <v>3</v>
      </c>
      <c r="Q60" s="51">
        <v>0</v>
      </c>
    </row>
    <row r="61" spans="2:17" ht="14.25" customHeight="1" x14ac:dyDescent="0.25">
      <c r="B61" s="20"/>
      <c r="C61" s="21"/>
      <c r="E61" s="20"/>
      <c r="F61" s="22"/>
      <c r="H61" s="20"/>
      <c r="I61" s="21"/>
      <c r="N61" s="49" t="s">
        <v>62</v>
      </c>
      <c r="O61" s="50" t="s">
        <v>22</v>
      </c>
      <c r="P61" s="50">
        <v>3</v>
      </c>
      <c r="Q61" s="51">
        <v>0</v>
      </c>
    </row>
    <row r="62" spans="2:17" ht="14.25" customHeight="1" x14ac:dyDescent="0.25">
      <c r="B62" s="36"/>
      <c r="C62" s="40"/>
      <c r="E62" s="36"/>
      <c r="F62" s="37"/>
      <c r="H62" s="36"/>
      <c r="I62" s="40"/>
      <c r="N62" s="49" t="s">
        <v>62</v>
      </c>
      <c r="O62" s="50" t="s">
        <v>54</v>
      </c>
      <c r="P62" s="50">
        <v>3</v>
      </c>
      <c r="Q62" s="51">
        <v>0</v>
      </c>
    </row>
    <row r="63" spans="2:17" ht="14.25" customHeight="1" x14ac:dyDescent="0.25">
      <c r="N63" s="49" t="s">
        <v>65</v>
      </c>
      <c r="O63" s="50" t="s">
        <v>22</v>
      </c>
      <c r="P63" s="50">
        <v>2</v>
      </c>
      <c r="Q63" s="51">
        <v>0</v>
      </c>
    </row>
    <row r="64" spans="2:17" ht="14.25" customHeight="1" x14ac:dyDescent="0.25">
      <c r="N64" s="49" t="s">
        <v>65</v>
      </c>
      <c r="O64" s="50" t="s">
        <v>54</v>
      </c>
      <c r="P64" s="50">
        <v>2</v>
      </c>
      <c r="Q64" s="51">
        <v>0</v>
      </c>
    </row>
    <row r="65" spans="14:17" ht="14.25" customHeight="1" x14ac:dyDescent="0.25">
      <c r="N65" s="49" t="s">
        <v>96</v>
      </c>
      <c r="O65" s="50" t="s">
        <v>22</v>
      </c>
      <c r="P65" s="50">
        <v>1</v>
      </c>
      <c r="Q65" s="51">
        <v>1</v>
      </c>
    </row>
    <row r="66" spans="14:17" ht="14.25" customHeight="1" x14ac:dyDescent="0.25">
      <c r="N66" s="49" t="s">
        <v>97</v>
      </c>
      <c r="O66" s="50" t="s">
        <v>22</v>
      </c>
      <c r="P66" s="50">
        <v>1</v>
      </c>
      <c r="Q66" s="51">
        <v>1</v>
      </c>
    </row>
    <row r="67" spans="14:17" ht="14.25" customHeight="1" x14ac:dyDescent="0.25">
      <c r="N67" s="49" t="s">
        <v>98</v>
      </c>
      <c r="O67" s="50" t="s">
        <v>22</v>
      </c>
      <c r="P67" s="50">
        <v>1</v>
      </c>
      <c r="Q67" s="51">
        <v>1</v>
      </c>
    </row>
    <row r="68" spans="14:17" ht="14.25" customHeight="1" x14ac:dyDescent="0.25">
      <c r="N68" s="52" t="s">
        <v>99</v>
      </c>
      <c r="O68" s="53" t="s">
        <v>22</v>
      </c>
      <c r="P68" s="53">
        <v>1</v>
      </c>
      <c r="Q68" s="54">
        <v>1</v>
      </c>
    </row>
    <row r="69" spans="14:17" ht="14.25" customHeight="1" x14ac:dyDescent="0.25"/>
    <row r="70" spans="14:17" ht="14.25" customHeight="1" x14ac:dyDescent="0.25"/>
    <row r="71" spans="14:17" ht="14.25" customHeight="1" x14ac:dyDescent="0.25"/>
    <row r="72" spans="14:17" ht="14.25" customHeight="1" x14ac:dyDescent="0.25"/>
    <row r="73" spans="14:17" ht="14.25" customHeight="1" x14ac:dyDescent="0.25"/>
    <row r="74" spans="14:17" ht="14.25" customHeight="1" x14ac:dyDescent="0.25"/>
    <row r="75" spans="14:17" ht="14.25" customHeight="1" x14ac:dyDescent="0.25"/>
    <row r="76" spans="14:17" ht="14.25" customHeight="1" x14ac:dyDescent="0.25"/>
    <row r="77" spans="14:17" ht="14.25" customHeight="1" x14ac:dyDescent="0.25"/>
    <row r="78" spans="14:17" ht="14.25" customHeight="1" x14ac:dyDescent="0.25"/>
    <row r="79" spans="14:17" ht="14.25" customHeight="1" x14ac:dyDescent="0.25"/>
    <row r="80" spans="14:17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</sheetData>
  <mergeCells count="5">
    <mergeCell ref="B8:C8"/>
    <mergeCell ref="E8:F8"/>
    <mergeCell ref="H8:I8"/>
    <mergeCell ref="N9:Q9"/>
    <mergeCell ref="K8:L8"/>
  </mergeCells>
  <dataValidations count="2">
    <dataValidation type="list" allowBlank="1" showInputMessage="1" showErrorMessage="1" sqref="I11:I62" xr:uid="{68559ED4-528D-49CD-AD79-4F752874E398}">
      <formula1>$K$11:$K$26</formula1>
    </dataValidation>
    <dataValidation type="list" allowBlank="1" showInputMessage="1" showErrorMessage="1" sqref="F33:F34 F11:F31 F37:F62 H11:H62" xr:uid="{56626B01-6985-4C1F-8EE5-6934C9F3BFBF}">
      <formula1>$B$11:$B$62</formula1>
    </dataValidation>
  </dataValidations>
  <pageMargins left="0.7" right="0.7" top="0.75" bottom="0.75" header="0.3" footer="0.3"/>
  <ignoredErrors>
    <ignoredError sqref="I17" listDataValidation="1"/>
  </ignoredErrors>
  <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Wikran Intaraprajaks</dc:creator>
  <cp:lastModifiedBy>Wikran Intaraprajaks</cp:lastModifiedBy>
  <dcterms:created xsi:type="dcterms:W3CDTF">2024-09-13T04:24:55Z</dcterms:created>
  <dcterms:modified xsi:type="dcterms:W3CDTF">2024-09-13T04:49:37Z</dcterms:modified>
</cp:coreProperties>
</file>