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filterPrivacy="1"/>
  <xr:revisionPtr revIDLastSave="0" documentId="8_{33B4F3E9-0C4E-4887-83D4-6C43E3CF2C7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definedNames>
    <definedName name="_xlnm._FilterDatabase" localSheetId="0" hidden="1">DATA!$A$1:$F$34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64" i="1"/>
  <c r="H58" i="1"/>
  <c r="C58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89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41" i="1"/>
</calcChain>
</file>

<file path=xl/sharedStrings.xml><?xml version="1.0" encoding="utf-8"?>
<sst xmlns="http://schemas.openxmlformats.org/spreadsheetml/2006/main" count="295" uniqueCount="143">
  <si>
    <t>Accounting Code</t>
  </si>
  <si>
    <t>Description (THA)</t>
  </si>
  <si>
    <t>Description (ENG)</t>
  </si>
  <si>
    <t>Exp Group</t>
  </si>
  <si>
    <t>Exp Desc</t>
  </si>
  <si>
    <t>Used</t>
  </si>
  <si>
    <t>1000502001</t>
  </si>
  <si>
    <t>เงินฝากออมทรัพย์ธ.ซิตี้แบงก์ - บาท - 5116258023</t>
  </si>
  <si>
    <t>CTB Non IBA Sav THB 5116258023</t>
  </si>
  <si>
    <t/>
  </si>
  <si>
    <t>5101110001</t>
  </si>
  <si>
    <t>ค่าโดยสาร - ต่างประเทศ</t>
  </si>
  <si>
    <t>O/Seas Trav-Air Fares</t>
  </si>
  <si>
    <t>400</t>
  </si>
  <si>
    <t>5101130001</t>
  </si>
  <si>
    <t>ค่าที่พัก - ต่างประเทศ</t>
  </si>
  <si>
    <t>O/Seas Trav-Accom.</t>
  </si>
  <si>
    <t>5101140001</t>
  </si>
  <si>
    <t>รายการที่ใบเสร็จไม่สมบูรณ์</t>
  </si>
  <si>
    <t>Expenses - no recipt</t>
  </si>
  <si>
    <t>5101150001</t>
  </si>
  <si>
    <t>ค่าใช้จ่ายเบ็ดเตล็ด - ต่างประเทศ</t>
  </si>
  <si>
    <t>O/Seas Trav-Sundry exp</t>
  </si>
  <si>
    <t>5101150003</t>
  </si>
  <si>
    <t>ค่าที่พักเดินทางในประเทศ</t>
  </si>
  <si>
    <t>Local Travel</t>
  </si>
  <si>
    <t>5101150004</t>
  </si>
  <si>
    <t>ค่าแท็กซี่ในประเทศ</t>
  </si>
  <si>
    <t>Local Taxi Costs</t>
  </si>
  <si>
    <t>5102300001</t>
  </si>
  <si>
    <t>ยานพาหนะ - ค่าน้ำมัน</t>
  </si>
  <si>
    <t>MV-Fuel Costs</t>
  </si>
  <si>
    <t>5104150001</t>
  </si>
  <si>
    <t>ค่าจัดประชุม</t>
  </si>
  <si>
    <t>5105100001</t>
  </si>
  <si>
    <t>ค่ารับรอง</t>
  </si>
  <si>
    <t>Entertainment-In Town</t>
  </si>
  <si>
    <t>5107100001</t>
  </si>
  <si>
    <t>ค่าไปรษณีย์ด่วน</t>
  </si>
  <si>
    <t>Courier Services Cost</t>
  </si>
  <si>
    <t>5107200001</t>
  </si>
  <si>
    <t>ค่าไปรษณีย์</t>
  </si>
  <si>
    <t>Postage</t>
  </si>
  <si>
    <t>5203100001</t>
  </si>
  <si>
    <t>เงินสมทบกองทุนประกันสังคม</t>
  </si>
  <si>
    <t>Other - National Insurance</t>
  </si>
  <si>
    <t>5204100003</t>
  </si>
  <si>
    <t>ค่ารักษาพยาบาล</t>
  </si>
  <si>
    <t>Sickness &amp; Maternity</t>
  </si>
  <si>
    <t>5204100004</t>
  </si>
  <si>
    <t>ค่าผลประโยชน์อื่นๆ</t>
  </si>
  <si>
    <t>Other Staff Benefits</t>
  </si>
  <si>
    <t>5206100001</t>
  </si>
  <si>
    <t>ค่าอาหารพนักงาน</t>
  </si>
  <si>
    <t>Staff Lunches/Dinner</t>
  </si>
  <si>
    <t>5207400001</t>
  </si>
  <si>
    <t>ค่าฝึกอบรม - ภายนอก</t>
  </si>
  <si>
    <t>Training External</t>
  </si>
  <si>
    <t>5301400002</t>
  </si>
  <si>
    <t>ค่าเช่าที่จอดรถ</t>
  </si>
  <si>
    <t>Premises - Rates</t>
  </si>
  <si>
    <t>5302500001</t>
  </si>
  <si>
    <t>ค่าซ่อมแซม - อุปกรณ์สำนักงาน</t>
  </si>
  <si>
    <t>Equip-Maintenance</t>
  </si>
  <si>
    <t>5303600001</t>
  </si>
  <si>
    <t>ค่าซ่อมแซม - เครื่องคอมพิวเตอร์</t>
  </si>
  <si>
    <t>Hardware Maintenance</t>
  </si>
  <si>
    <t>5303700001</t>
  </si>
  <si>
    <t>อุปกรณ์สำนักงาน</t>
  </si>
  <si>
    <t>Minor Assets under THB 1K</t>
  </si>
  <si>
    <t>5303700002</t>
  </si>
  <si>
    <t>อุปกรณ์ที่เกี่ยวกับคอมพิวเตอร์</t>
  </si>
  <si>
    <t>Hardware &lt; THB1000</t>
  </si>
  <si>
    <t>5304100001</t>
  </si>
  <si>
    <t>ค่าโทรศัพท์มือถือ</t>
  </si>
  <si>
    <t>Cellular Phone Expenses</t>
  </si>
  <si>
    <t>5401100001</t>
  </si>
  <si>
    <t>ค่าการพิมพ์ - ทั่วไป</t>
  </si>
  <si>
    <t>Printing-General</t>
  </si>
  <si>
    <t>5401100002</t>
  </si>
  <si>
    <t>ค่าการพิมพ์ - ถ่ายเอกสาร</t>
  </si>
  <si>
    <t>Printing-Photocopying</t>
  </si>
  <si>
    <t>5401100003</t>
  </si>
  <si>
    <t>ค่าอุปกรณ์สำนักงาน</t>
  </si>
  <si>
    <t>Stationery-Purchases</t>
  </si>
  <si>
    <t>5402200001</t>
  </si>
  <si>
    <t>ค่าสมาชิกสิ่งพิมพ์</t>
  </si>
  <si>
    <t>Institute Subscriptions</t>
  </si>
  <si>
    <t>5402200002</t>
  </si>
  <si>
    <t>ค่าสมาชิกอื่นๆ</t>
  </si>
  <si>
    <t>Subscriptions - Others</t>
  </si>
  <si>
    <t>5402200003</t>
  </si>
  <si>
    <t>ค่าหนังสือ</t>
  </si>
  <si>
    <t>Books &amp; Periodicals</t>
  </si>
  <si>
    <t>5505200002</t>
  </si>
  <si>
    <t>ค่าเงินบริจาค</t>
  </si>
  <si>
    <t>Corporate Gifts And Donations</t>
  </si>
  <si>
    <t>5506100001</t>
  </si>
  <si>
    <t>ค่าธรรมเนียมธนาคาร</t>
  </si>
  <si>
    <t>Bank Charges</t>
  </si>
  <si>
    <t>5506200001</t>
  </si>
  <si>
    <t>ค่าใช้จ่ายเบ็ดเตล็ด</t>
  </si>
  <si>
    <t>Misc Expenses - Vatable</t>
  </si>
  <si>
    <t>32 Items</t>
  </si>
  <si>
    <t>XX</t>
  </si>
  <si>
    <t>Conference Costs</t>
  </si>
  <si>
    <t>        ];        </t>
  </si>
  <si>
    <t xml:space="preserve">        ]; </t>
  </si>
  <si>
    <t>        const aaSubGroupNM = [</t>
  </si>
  <si>
    <t xml:space="preserve">                "Gift/Other given to customer", </t>
  </si>
  <si>
    <t>                "Entertainment",</t>
  </si>
  <si>
    <t xml:space="preserve">                "Taxi/Local Travelling/Car Parking", </t>
  </si>
  <si>
    <t xml:space="preserve">                "Local Travel", </t>
  </si>
  <si>
    <t>                "Expressway",</t>
  </si>
  <si>
    <t>                "Hotel (Room&amp;Tax Only)",</t>
  </si>
  <si>
    <t>                "Breakfast/Lunch/Dinner-Oversea Trip",</t>
  </si>
  <si>
    <t xml:space="preserve">                "Oversea Expense -Misc", </t>
  </si>
  <si>
    <t xml:space="preserve">                "Per diem", </t>
  </si>
  <si>
    <t>        const aaSubGroup = [</t>
  </si>
  <si>
    <t>            { ExpSubGroup: "Gift/Other given to customer", ACCCode: "5505200002" },</t>
  </si>
  <si>
    <t>            { ExpSubGroup: "Entertainment", ACCCode: "5105100001" },</t>
  </si>
  <si>
    <t>            { ExpSubGroup: "Taxi/Local Travelling/Car Parking", ACCCode: "5101150004" },</t>
  </si>
  <si>
    <t>            { ExpSubGroup: "Local Travel", ACCCode: "5101150003" },</t>
  </si>
  <si>
    <t>            { ExpSubGroup: "Expressway", ACCCode: "5102300001" },</t>
  </si>
  <si>
    <t>            { ExpSubGroup: "Hotel (Room&amp;Tax Only)", ACCCode: "5101130001" },</t>
  </si>
  <si>
    <t>            { ExpSubGroup: "Breakfast/Lunch/Dinner-Oversea Trip", ACCCode: "5101110001" },</t>
  </si>
  <si>
    <t>            { ExpSubGroup: "Oversea Expense -Misc", ACCCode: "5101150001" },</t>
  </si>
  <si>
    <t>            { ExpSubGroup: "Per diem", ACCCode: "5204100004" },</t>
  </si>
  <si>
    <t>        const aaACCountRC = [</t>
  </si>
  <si>
    <t>            "5505200002" ,</t>
  </si>
  <si>
    <t>            "5105100001" ,</t>
  </si>
  <si>
    <t>            "5101150004" ,</t>
  </si>
  <si>
    <t>            "5101150003" ,</t>
  </si>
  <si>
    <t>            "5102300001" ,</t>
  </si>
  <si>
    <t>            "5101130001" ,</t>
  </si>
  <si>
    <t>            "5101110001" ,</t>
  </si>
  <si>
    <t>            "5101150001" ,</t>
  </si>
  <si>
    <t>            "5204100004" ,</t>
  </si>
  <si>
    <t>const aaSubGroupNM = [</t>
  </si>
  <si>
    <t>];        </t>
  </si>
  <si>
    <t>const aaSubGroup = [</t>
  </si>
  <si>
    <t>const aaACCountRC = [</t>
  </si>
  <si>
    <t xml:space="preserve">];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</si>
</sst>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I107"/>
  <sheetViews>
    <sheetView tabSelected="1" topLeftCell="B1" workbookViewId="0">
      <pane ySplit="1" topLeftCell="A49" activePane="bottomLeft" state="frozen"/>
      <selection pane="bottomLeft" activeCell="B81" sqref="B81"/>
    </sheetView>
  </sheetViews>
  <sheetFormatPr defaultRowHeight="15" x14ac:dyDescent="0.25"/>
  <cols>
    <col min="1" max="1" width="14.28515625" customWidth="1"/>
    <col min="2" max="2" width="107.140625" bestFit="1" customWidth="1"/>
    <col min="3" max="3" width="81.42578125" bestFit="1" customWidth="1"/>
    <col min="4" max="4" width="14.28515625" customWidth="1"/>
    <col min="5" max="5" width="29.28515625" bestFit="1" customWidth="1"/>
    <col min="6" max="6" width="25" bestFit="1" customWidth="1"/>
    <col min="8" max="8" width="3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s="2" t="s">
        <v>6</v>
      </c>
      <c r="B2" s="2" t="s">
        <v>7</v>
      </c>
      <c r="C2" s="2" t="s">
        <v>8</v>
      </c>
      <c r="D2" s="2" t="s">
        <v>104</v>
      </c>
      <c r="E2" s="2" t="s">
        <v>9</v>
      </c>
      <c r="F2" s="3" t="b">
        <v>0</v>
      </c>
    </row>
    <row r="3" spans="1:6" hidden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3" t="b">
        <v>1</v>
      </c>
    </row>
    <row r="4" spans="1:6" hidden="1" x14ac:dyDescent="0.25">
      <c r="A4" s="2" t="s">
        <v>14</v>
      </c>
      <c r="B4" s="2" t="s">
        <v>15</v>
      </c>
      <c r="C4" s="2" t="s">
        <v>16</v>
      </c>
      <c r="D4" s="2" t="s">
        <v>13</v>
      </c>
      <c r="E4" s="2" t="s">
        <v>9</v>
      </c>
      <c r="F4" s="3" t="b">
        <v>1</v>
      </c>
    </row>
    <row r="5" spans="1:6" hidden="1" x14ac:dyDescent="0.25">
      <c r="A5" s="2" t="s">
        <v>17</v>
      </c>
      <c r="B5" s="2" t="s">
        <v>18</v>
      </c>
      <c r="C5" s="2" t="s">
        <v>19</v>
      </c>
      <c r="D5" s="2" t="s">
        <v>104</v>
      </c>
      <c r="E5" s="2" t="s">
        <v>9</v>
      </c>
      <c r="F5" s="3" t="b">
        <v>1</v>
      </c>
    </row>
    <row r="6" spans="1:6" hidden="1" x14ac:dyDescent="0.25">
      <c r="A6" s="2" t="s">
        <v>20</v>
      </c>
      <c r="B6" s="2" t="s">
        <v>21</v>
      </c>
      <c r="C6" s="2" t="s">
        <v>22</v>
      </c>
      <c r="D6" s="2" t="s">
        <v>13</v>
      </c>
      <c r="E6" s="2" t="s">
        <v>9</v>
      </c>
      <c r="F6" s="3" t="b">
        <v>1</v>
      </c>
    </row>
    <row r="7" spans="1:6" hidden="1" x14ac:dyDescent="0.25">
      <c r="A7" s="2" t="s">
        <v>23</v>
      </c>
      <c r="B7" s="2" t="s">
        <v>24</v>
      </c>
      <c r="C7" s="2" t="s">
        <v>25</v>
      </c>
      <c r="D7" s="2" t="s">
        <v>13</v>
      </c>
      <c r="E7" s="2" t="s">
        <v>9</v>
      </c>
      <c r="F7" s="3" t="b">
        <v>1</v>
      </c>
    </row>
    <row r="8" spans="1:6" hidden="1" x14ac:dyDescent="0.25">
      <c r="A8" s="2" t="s">
        <v>26</v>
      </c>
      <c r="B8" s="2" t="s">
        <v>27</v>
      </c>
      <c r="C8" s="2" t="s">
        <v>28</v>
      </c>
      <c r="D8" s="2" t="s">
        <v>13</v>
      </c>
      <c r="E8" s="2" t="s">
        <v>9</v>
      </c>
      <c r="F8" s="3" t="b">
        <v>1</v>
      </c>
    </row>
    <row r="9" spans="1:6" hidden="1" x14ac:dyDescent="0.25">
      <c r="A9" s="2" t="s">
        <v>29</v>
      </c>
      <c r="B9" s="2" t="s">
        <v>30</v>
      </c>
      <c r="C9" s="2" t="s">
        <v>31</v>
      </c>
      <c r="D9" s="2" t="s">
        <v>13</v>
      </c>
      <c r="E9" s="2" t="s">
        <v>9</v>
      </c>
      <c r="F9" s="3" t="b">
        <v>1</v>
      </c>
    </row>
    <row r="10" spans="1:6" x14ac:dyDescent="0.25">
      <c r="A10" s="2" t="s">
        <v>32</v>
      </c>
      <c r="B10" s="2" t="s">
        <v>33</v>
      </c>
      <c r="C10" s="2" t="s">
        <v>105</v>
      </c>
      <c r="D10" s="2" t="s">
        <v>9</v>
      </c>
      <c r="E10" s="2" t="s">
        <v>9</v>
      </c>
      <c r="F10" s="3" t="b">
        <v>1</v>
      </c>
    </row>
    <row r="11" spans="1:6" hidden="1" x14ac:dyDescent="0.25">
      <c r="A11" s="2" t="s">
        <v>34</v>
      </c>
      <c r="B11" s="2" t="s">
        <v>35</v>
      </c>
      <c r="C11" s="2" t="s">
        <v>36</v>
      </c>
      <c r="D11" s="2" t="s">
        <v>13</v>
      </c>
      <c r="E11" s="2" t="s">
        <v>9</v>
      </c>
      <c r="F11" s="3" t="b">
        <v>1</v>
      </c>
    </row>
    <row r="12" spans="1:6" x14ac:dyDescent="0.25">
      <c r="A12" s="2" t="s">
        <v>37</v>
      </c>
      <c r="B12" s="2" t="s">
        <v>38</v>
      </c>
      <c r="C12" s="2" t="s">
        <v>39</v>
      </c>
      <c r="D12" s="2" t="s">
        <v>9</v>
      </c>
      <c r="E12" s="2" t="s">
        <v>9</v>
      </c>
      <c r="F12" s="3" t="b">
        <v>1</v>
      </c>
    </row>
    <row r="13" spans="1:6" x14ac:dyDescent="0.25">
      <c r="A13" s="2" t="s">
        <v>40</v>
      </c>
      <c r="B13" s="2" t="s">
        <v>41</v>
      </c>
      <c r="C13" s="2" t="s">
        <v>42</v>
      </c>
      <c r="D13" s="2" t="s">
        <v>9</v>
      </c>
      <c r="E13" s="2" t="s">
        <v>9</v>
      </c>
      <c r="F13" s="3" t="b">
        <v>1</v>
      </c>
    </row>
    <row r="14" spans="1:6" hidden="1" x14ac:dyDescent="0.25">
      <c r="A14" s="2" t="s">
        <v>43</v>
      </c>
      <c r="B14" s="2" t="s">
        <v>44</v>
      </c>
      <c r="C14" s="2" t="s">
        <v>45</v>
      </c>
      <c r="D14" s="2" t="s">
        <v>104</v>
      </c>
      <c r="E14" s="2" t="s">
        <v>9</v>
      </c>
      <c r="F14" s="3" t="b">
        <v>1</v>
      </c>
    </row>
    <row r="15" spans="1:6" hidden="1" x14ac:dyDescent="0.25">
      <c r="A15" s="2" t="s">
        <v>46</v>
      </c>
      <c r="B15" s="2" t="s">
        <v>47</v>
      </c>
      <c r="C15" s="2" t="s">
        <v>48</v>
      </c>
      <c r="D15" s="2">
        <v>300</v>
      </c>
      <c r="E15" s="2" t="s">
        <v>9</v>
      </c>
      <c r="F15" s="3" t="b">
        <v>1</v>
      </c>
    </row>
    <row r="16" spans="1:6" hidden="1" x14ac:dyDescent="0.25">
      <c r="A16" s="2" t="s">
        <v>49</v>
      </c>
      <c r="B16" s="2" t="s">
        <v>50</v>
      </c>
      <c r="C16" s="2" t="s">
        <v>51</v>
      </c>
      <c r="D16" s="2" t="s">
        <v>13</v>
      </c>
      <c r="E16" s="2" t="s">
        <v>9</v>
      </c>
      <c r="F16" s="3" t="b">
        <v>1</v>
      </c>
    </row>
    <row r="17" spans="1:6" x14ac:dyDescent="0.25">
      <c r="A17" s="2" t="s">
        <v>52</v>
      </c>
      <c r="B17" s="2" t="s">
        <v>53</v>
      </c>
      <c r="C17" s="2" t="s">
        <v>54</v>
      </c>
      <c r="D17" s="2" t="s">
        <v>9</v>
      </c>
      <c r="E17" s="2" t="s">
        <v>9</v>
      </c>
      <c r="F17" s="3" t="b">
        <v>1</v>
      </c>
    </row>
    <row r="18" spans="1:6" x14ac:dyDescent="0.25">
      <c r="A18" s="2" t="s">
        <v>55</v>
      </c>
      <c r="B18" s="2" t="s">
        <v>56</v>
      </c>
      <c r="C18" s="2" t="s">
        <v>57</v>
      </c>
      <c r="D18" s="2" t="s">
        <v>9</v>
      </c>
      <c r="E18" s="2" t="s">
        <v>9</v>
      </c>
      <c r="F18" s="3" t="b">
        <v>1</v>
      </c>
    </row>
    <row r="19" spans="1:6" x14ac:dyDescent="0.25">
      <c r="A19" s="2" t="s">
        <v>58</v>
      </c>
      <c r="B19" s="2" t="s">
        <v>59</v>
      </c>
      <c r="C19" s="2" t="s">
        <v>60</v>
      </c>
      <c r="D19" s="2" t="s">
        <v>9</v>
      </c>
      <c r="E19" s="2" t="s">
        <v>9</v>
      </c>
      <c r="F19" s="3" t="b">
        <v>1</v>
      </c>
    </row>
    <row r="20" spans="1:6" x14ac:dyDescent="0.25">
      <c r="A20" s="2" t="s">
        <v>61</v>
      </c>
      <c r="B20" s="2" t="s">
        <v>62</v>
      </c>
      <c r="C20" s="2" t="s">
        <v>63</v>
      </c>
      <c r="D20" s="2" t="s">
        <v>9</v>
      </c>
      <c r="E20" s="2" t="s">
        <v>9</v>
      </c>
      <c r="F20" s="3" t="b">
        <v>1</v>
      </c>
    </row>
    <row r="21" spans="1:6" x14ac:dyDescent="0.25">
      <c r="A21" s="2" t="s">
        <v>64</v>
      </c>
      <c r="B21" s="2" t="s">
        <v>65</v>
      </c>
      <c r="C21" s="2" t="s">
        <v>66</v>
      </c>
      <c r="D21" s="2" t="s">
        <v>9</v>
      </c>
      <c r="E21" s="2" t="s">
        <v>9</v>
      </c>
      <c r="F21" s="3" t="b">
        <v>1</v>
      </c>
    </row>
    <row r="22" spans="1:6" x14ac:dyDescent="0.25">
      <c r="A22" s="2" t="s">
        <v>67</v>
      </c>
      <c r="B22" s="2" t="s">
        <v>68</v>
      </c>
      <c r="C22" s="2" t="s">
        <v>69</v>
      </c>
      <c r="D22" s="2" t="s">
        <v>9</v>
      </c>
      <c r="E22" s="2" t="s">
        <v>9</v>
      </c>
      <c r="F22" s="3" t="b">
        <v>1</v>
      </c>
    </row>
    <row r="23" spans="1:6" x14ac:dyDescent="0.25">
      <c r="A23" s="2" t="s">
        <v>70</v>
      </c>
      <c r="B23" s="2" t="s">
        <v>71</v>
      </c>
      <c r="C23" s="2" t="s">
        <v>72</v>
      </c>
      <c r="D23" s="2" t="s">
        <v>9</v>
      </c>
      <c r="E23" s="2" t="s">
        <v>9</v>
      </c>
      <c r="F23" s="3" t="b">
        <v>1</v>
      </c>
    </row>
    <row r="24" spans="1:6" x14ac:dyDescent="0.25">
      <c r="A24" s="2" t="s">
        <v>73</v>
      </c>
      <c r="B24" s="2" t="s">
        <v>74</v>
      </c>
      <c r="C24" s="2" t="s">
        <v>75</v>
      </c>
      <c r="D24" s="2" t="s">
        <v>9</v>
      </c>
      <c r="E24" s="2" t="s">
        <v>9</v>
      </c>
      <c r="F24" s="3" t="b">
        <v>1</v>
      </c>
    </row>
    <row r="25" spans="1:6" x14ac:dyDescent="0.25">
      <c r="A25" s="2" t="s">
        <v>76</v>
      </c>
      <c r="B25" s="2" t="s">
        <v>77</v>
      </c>
      <c r="C25" s="2" t="s">
        <v>78</v>
      </c>
      <c r="D25" s="2" t="s">
        <v>9</v>
      </c>
      <c r="E25" s="2" t="s">
        <v>9</v>
      </c>
      <c r="F25" s="3" t="b">
        <v>1</v>
      </c>
    </row>
    <row r="26" spans="1:6" x14ac:dyDescent="0.25">
      <c r="A26" s="2" t="s">
        <v>79</v>
      </c>
      <c r="B26" s="2" t="s">
        <v>80</v>
      </c>
      <c r="C26" s="2" t="s">
        <v>81</v>
      </c>
      <c r="D26" s="2" t="s">
        <v>9</v>
      </c>
      <c r="E26" s="2" t="s">
        <v>9</v>
      </c>
      <c r="F26" s="3" t="b">
        <v>1</v>
      </c>
    </row>
    <row r="27" spans="1:6" x14ac:dyDescent="0.25">
      <c r="A27" s="2" t="s">
        <v>82</v>
      </c>
      <c r="B27" s="2" t="s">
        <v>83</v>
      </c>
      <c r="C27" s="2" t="s">
        <v>84</v>
      </c>
      <c r="D27" s="2" t="s">
        <v>9</v>
      </c>
      <c r="E27" s="2" t="s">
        <v>9</v>
      </c>
      <c r="F27" s="3" t="b">
        <v>1</v>
      </c>
    </row>
    <row r="28" spans="1:6" x14ac:dyDescent="0.25">
      <c r="A28" s="2" t="s">
        <v>85</v>
      </c>
      <c r="B28" s="2" t="s">
        <v>86</v>
      </c>
      <c r="C28" s="2" t="s">
        <v>87</v>
      </c>
      <c r="D28" s="2" t="s">
        <v>9</v>
      </c>
      <c r="E28" s="2" t="s">
        <v>9</v>
      </c>
      <c r="F28" s="3" t="b">
        <v>1</v>
      </c>
    </row>
    <row r="29" spans="1:6" x14ac:dyDescent="0.25">
      <c r="A29" s="2" t="s">
        <v>88</v>
      </c>
      <c r="B29" s="2" t="s">
        <v>89</v>
      </c>
      <c r="C29" s="2" t="s">
        <v>90</v>
      </c>
      <c r="D29" s="2" t="s">
        <v>9</v>
      </c>
      <c r="E29" s="2" t="s">
        <v>9</v>
      </c>
      <c r="F29" s="3" t="b">
        <v>1</v>
      </c>
    </row>
    <row r="30" spans="1:6" x14ac:dyDescent="0.25">
      <c r="A30" s="2" t="s">
        <v>91</v>
      </c>
      <c r="B30" s="2" t="s">
        <v>92</v>
      </c>
      <c r="C30" s="2" t="s">
        <v>93</v>
      </c>
      <c r="D30" s="2" t="s">
        <v>9</v>
      </c>
      <c r="E30" s="2" t="s">
        <v>9</v>
      </c>
      <c r="F30" s="3" t="b">
        <v>1</v>
      </c>
    </row>
    <row r="31" spans="1:6" hidden="1" x14ac:dyDescent="0.25">
      <c r="A31" s="2" t="s">
        <v>94</v>
      </c>
      <c r="B31" s="2" t="s">
        <v>95</v>
      </c>
      <c r="C31" s="2" t="s">
        <v>96</v>
      </c>
      <c r="D31" s="2" t="s">
        <v>13</v>
      </c>
      <c r="E31" s="2" t="s">
        <v>9</v>
      </c>
      <c r="F31" s="3" t="b">
        <v>1</v>
      </c>
    </row>
    <row r="32" spans="1:6" hidden="1" x14ac:dyDescent="0.25">
      <c r="A32" s="2" t="s">
        <v>97</v>
      </c>
      <c r="B32" s="2" t="s">
        <v>98</v>
      </c>
      <c r="C32" s="2" t="s">
        <v>99</v>
      </c>
      <c r="D32" s="2" t="s">
        <v>104</v>
      </c>
      <c r="E32" s="2" t="s">
        <v>9</v>
      </c>
      <c r="F32" s="3" t="b">
        <v>1</v>
      </c>
    </row>
    <row r="33" spans="1:9" x14ac:dyDescent="0.25">
      <c r="A33" s="2" t="s">
        <v>100</v>
      </c>
      <c r="B33" s="2" t="s">
        <v>101</v>
      </c>
      <c r="C33" s="2" t="s">
        <v>102</v>
      </c>
      <c r="D33" s="2" t="s">
        <v>9</v>
      </c>
      <c r="E33" s="2" t="s">
        <v>9</v>
      </c>
      <c r="F33" s="3" t="b">
        <v>1</v>
      </c>
    </row>
    <row r="34" spans="1:9" x14ac:dyDescent="0.25">
      <c r="B34" s="4" t="s">
        <v>103</v>
      </c>
    </row>
    <row r="40" spans="1:9" x14ac:dyDescent="0.25">
      <c r="B40" s="5" t="s">
        <v>108</v>
      </c>
      <c r="C40" s="5" t="s">
        <v>138</v>
      </c>
      <c r="H40" s="5" t="s">
        <v>138</v>
      </c>
    </row>
    <row r="41" spans="1:9" x14ac:dyDescent="0.25">
      <c r="B41" s="5" t="s">
        <v>109</v>
      </c>
      <c r="C41" t="str">
        <f>CHAR(34)&amp;F41&amp;CHAR(34)&amp;" ,"</f>
        <v>"Conference Costs" ,</v>
      </c>
      <c r="D41" t="s">
        <v>32</v>
      </c>
      <c r="E41" t="s">
        <v>33</v>
      </c>
      <c r="F41" t="s">
        <v>105</v>
      </c>
      <c r="H41" t="str">
        <f>CHAR(34)&amp;E41&amp;CHAR(34)&amp;" ,"</f>
        <v>"ค่าจัดประชุม" ,</v>
      </c>
      <c r="I41">
        <v>1</v>
      </c>
    </row>
    <row r="42" spans="1:9" x14ac:dyDescent="0.25">
      <c r="B42" s="5" t="s">
        <v>110</v>
      </c>
      <c r="C42" t="str">
        <f t="shared" ref="C42:C58" si="0">CHAR(34)&amp;F42&amp;CHAR(34)&amp;" ,"</f>
        <v>"Courier Services Cost" ,</v>
      </c>
      <c r="D42" t="s">
        <v>37</v>
      </c>
      <c r="E42" t="s">
        <v>38</v>
      </c>
      <c r="F42" t="s">
        <v>39</v>
      </c>
      <c r="H42" t="str">
        <f t="shared" ref="H42:H58" si="1">CHAR(34)&amp;E42&amp;CHAR(34)&amp;" ,"</f>
        <v>"ค่าไปรษณีย์ด่วน" ,</v>
      </c>
      <c r="I42">
        <v>2</v>
      </c>
    </row>
    <row r="43" spans="1:9" x14ac:dyDescent="0.25">
      <c r="B43" s="5" t="s">
        <v>111</v>
      </c>
      <c r="C43" t="str">
        <f t="shared" si="0"/>
        <v>"Postage" ,</v>
      </c>
      <c r="D43" t="s">
        <v>40</v>
      </c>
      <c r="E43" t="s">
        <v>41</v>
      </c>
      <c r="F43" t="s">
        <v>42</v>
      </c>
      <c r="H43" t="str">
        <f t="shared" si="1"/>
        <v>"ค่าไปรษณีย์" ,</v>
      </c>
      <c r="I43">
        <v>3</v>
      </c>
    </row>
    <row r="44" spans="1:9" x14ac:dyDescent="0.25">
      <c r="B44" s="5" t="s">
        <v>112</v>
      </c>
      <c r="C44" t="str">
        <f t="shared" si="0"/>
        <v>"Staff Lunches/Dinner" ,</v>
      </c>
      <c r="D44" t="s">
        <v>52</v>
      </c>
      <c r="E44" t="s">
        <v>53</v>
      </c>
      <c r="F44" t="s">
        <v>54</v>
      </c>
      <c r="H44" t="str">
        <f t="shared" si="1"/>
        <v>"ค่าอาหารพนักงาน" ,</v>
      </c>
      <c r="I44">
        <v>4</v>
      </c>
    </row>
    <row r="45" spans="1:9" x14ac:dyDescent="0.25">
      <c r="B45" s="5" t="s">
        <v>113</v>
      </c>
      <c r="C45" t="str">
        <f t="shared" si="0"/>
        <v>"Training External" ,</v>
      </c>
      <c r="D45" t="s">
        <v>55</v>
      </c>
      <c r="E45" t="s">
        <v>56</v>
      </c>
      <c r="F45" t="s">
        <v>57</v>
      </c>
      <c r="H45" t="str">
        <f t="shared" si="1"/>
        <v>"ค่าฝึกอบรม - ภายนอก" ,</v>
      </c>
      <c r="I45">
        <v>5</v>
      </c>
    </row>
    <row r="46" spans="1:9" x14ac:dyDescent="0.25">
      <c r="B46" s="5" t="s">
        <v>114</v>
      </c>
      <c r="C46" t="str">
        <f t="shared" si="0"/>
        <v>"Premises - Rates" ,</v>
      </c>
      <c r="D46" t="s">
        <v>58</v>
      </c>
      <c r="E46" t="s">
        <v>59</v>
      </c>
      <c r="F46" t="s">
        <v>60</v>
      </c>
      <c r="H46" t="str">
        <f t="shared" si="1"/>
        <v>"ค่าเช่าที่จอดรถ" ,</v>
      </c>
      <c r="I46">
        <v>6</v>
      </c>
    </row>
    <row r="47" spans="1:9" x14ac:dyDescent="0.25">
      <c r="B47" s="5" t="s">
        <v>115</v>
      </c>
      <c r="C47" t="str">
        <f t="shared" si="0"/>
        <v>"Equip-Maintenance" ,</v>
      </c>
      <c r="D47" t="s">
        <v>61</v>
      </c>
      <c r="E47" t="s">
        <v>62</v>
      </c>
      <c r="F47" t="s">
        <v>63</v>
      </c>
      <c r="H47" t="str">
        <f t="shared" si="1"/>
        <v>"ค่าซ่อมแซม - อุปกรณ์สำนักงาน" ,</v>
      </c>
      <c r="I47">
        <v>7</v>
      </c>
    </row>
    <row r="48" spans="1:9" x14ac:dyDescent="0.25">
      <c r="B48" s="5" t="s">
        <v>116</v>
      </c>
      <c r="C48" t="str">
        <f t="shared" si="0"/>
        <v>"Hardware Maintenance" ,</v>
      </c>
      <c r="D48" t="s">
        <v>64</v>
      </c>
      <c r="E48" t="s">
        <v>65</v>
      </c>
      <c r="F48" t="s">
        <v>66</v>
      </c>
      <c r="H48" t="str">
        <f t="shared" si="1"/>
        <v>"ค่าซ่อมแซม - เครื่องคอมพิวเตอร์" ,</v>
      </c>
      <c r="I48">
        <v>8</v>
      </c>
    </row>
    <row r="49" spans="2:9" x14ac:dyDescent="0.25">
      <c r="B49" s="5" t="s">
        <v>117</v>
      </c>
      <c r="C49" t="str">
        <f t="shared" si="0"/>
        <v>"Minor Assets under THB 1K" ,</v>
      </c>
      <c r="D49" t="s">
        <v>67</v>
      </c>
      <c r="E49" t="s">
        <v>68</v>
      </c>
      <c r="F49" t="s">
        <v>69</v>
      </c>
      <c r="H49" t="str">
        <f t="shared" si="1"/>
        <v>"อุปกรณ์สำนักงาน" ,</v>
      </c>
      <c r="I49">
        <v>9</v>
      </c>
    </row>
    <row r="50" spans="2:9" x14ac:dyDescent="0.25">
      <c r="B50" s="5"/>
      <c r="C50" t="str">
        <f t="shared" si="0"/>
        <v>"Hardware &lt; THB1000" ,</v>
      </c>
      <c r="D50" t="s">
        <v>70</v>
      </c>
      <c r="E50" t="s">
        <v>71</v>
      </c>
      <c r="F50" t="s">
        <v>72</v>
      </c>
      <c r="H50" t="str">
        <f t="shared" si="1"/>
        <v>"อุปกรณ์ที่เกี่ยวกับคอมพิวเตอร์" ,</v>
      </c>
      <c r="I50">
        <v>10</v>
      </c>
    </row>
    <row r="51" spans="2:9" x14ac:dyDescent="0.25">
      <c r="B51" s="5"/>
      <c r="C51" t="str">
        <f t="shared" si="0"/>
        <v>"Cellular Phone Expenses" ,</v>
      </c>
      <c r="D51" t="s">
        <v>73</v>
      </c>
      <c r="E51" t="s">
        <v>74</v>
      </c>
      <c r="F51" t="s">
        <v>75</v>
      </c>
      <c r="H51" t="str">
        <f t="shared" si="1"/>
        <v>"ค่าโทรศัพท์มือถือ" ,</v>
      </c>
      <c r="I51">
        <v>11</v>
      </c>
    </row>
    <row r="52" spans="2:9" x14ac:dyDescent="0.25">
      <c r="B52" s="5"/>
      <c r="C52" t="str">
        <f t="shared" si="0"/>
        <v>"Printing-General" ,</v>
      </c>
      <c r="D52" t="s">
        <v>76</v>
      </c>
      <c r="E52" t="s">
        <v>77</v>
      </c>
      <c r="F52" t="s">
        <v>78</v>
      </c>
      <c r="H52" t="str">
        <f t="shared" si="1"/>
        <v>"ค่าการพิมพ์ - ทั่วไป" ,</v>
      </c>
      <c r="I52">
        <v>12</v>
      </c>
    </row>
    <row r="53" spans="2:9" x14ac:dyDescent="0.25">
      <c r="B53" s="5"/>
      <c r="C53" t="str">
        <f t="shared" si="0"/>
        <v>"Printing-Photocopying" ,</v>
      </c>
      <c r="D53" t="s">
        <v>79</v>
      </c>
      <c r="E53" t="s">
        <v>80</v>
      </c>
      <c r="F53" t="s">
        <v>81</v>
      </c>
      <c r="H53" t="str">
        <f t="shared" si="1"/>
        <v>"ค่าการพิมพ์ - ถ่ายเอกสาร" ,</v>
      </c>
      <c r="I53">
        <v>13</v>
      </c>
    </row>
    <row r="54" spans="2:9" x14ac:dyDescent="0.25">
      <c r="B54" s="5"/>
      <c r="C54" t="str">
        <f t="shared" si="0"/>
        <v>"Stationery-Purchases" ,</v>
      </c>
      <c r="D54" t="s">
        <v>82</v>
      </c>
      <c r="E54" t="s">
        <v>83</v>
      </c>
      <c r="F54" t="s">
        <v>84</v>
      </c>
      <c r="H54" t="str">
        <f t="shared" si="1"/>
        <v>"ค่าอุปกรณ์สำนักงาน" ,</v>
      </c>
      <c r="I54">
        <v>14</v>
      </c>
    </row>
    <row r="55" spans="2:9" x14ac:dyDescent="0.25">
      <c r="C55" t="str">
        <f t="shared" si="0"/>
        <v>"Institute Subscriptions" ,</v>
      </c>
      <c r="D55" t="s">
        <v>85</v>
      </c>
      <c r="E55" t="s">
        <v>86</v>
      </c>
      <c r="F55" t="s">
        <v>87</v>
      </c>
      <c r="H55" t="str">
        <f t="shared" si="1"/>
        <v>"ค่าสมาชิกสิ่งพิมพ์" ,</v>
      </c>
      <c r="I55">
        <v>15</v>
      </c>
    </row>
    <row r="56" spans="2:9" x14ac:dyDescent="0.25">
      <c r="B56" s="5"/>
      <c r="C56" t="str">
        <f t="shared" si="0"/>
        <v>"Subscriptions - Others" ,</v>
      </c>
      <c r="D56" t="s">
        <v>88</v>
      </c>
      <c r="E56" t="s">
        <v>89</v>
      </c>
      <c r="F56" t="s">
        <v>90</v>
      </c>
      <c r="H56" t="str">
        <f t="shared" si="1"/>
        <v>"ค่าสมาชิกอื่นๆ" ,</v>
      </c>
      <c r="I56">
        <v>16</v>
      </c>
    </row>
    <row r="57" spans="2:9" x14ac:dyDescent="0.25">
      <c r="B57" s="5"/>
      <c r="C57" t="str">
        <f t="shared" si="0"/>
        <v>"Books &amp; Periodicals" ,</v>
      </c>
      <c r="D57" t="s">
        <v>91</v>
      </c>
      <c r="E57" t="s">
        <v>92</v>
      </c>
      <c r="F57" t="s">
        <v>93</v>
      </c>
      <c r="H57" t="str">
        <f t="shared" si="1"/>
        <v>"ค่าหนังสือ" ,</v>
      </c>
      <c r="I57">
        <v>17</v>
      </c>
    </row>
    <row r="58" spans="2:9" x14ac:dyDescent="0.25">
      <c r="B58" s="5" t="s">
        <v>106</v>
      </c>
      <c r="C58" t="str">
        <f t="shared" si="0"/>
        <v>"Misc Expenses - Vatable" ,</v>
      </c>
      <c r="D58" t="s">
        <v>100</v>
      </c>
      <c r="E58" t="s">
        <v>101</v>
      </c>
      <c r="F58" t="s">
        <v>102</v>
      </c>
      <c r="H58" t="str">
        <f t="shared" si="1"/>
        <v>"ค่าใช้จ่ายเบ็ดเตล็ด" ,</v>
      </c>
      <c r="I58">
        <v>18</v>
      </c>
    </row>
    <row r="59" spans="2:9" x14ac:dyDescent="0.25">
      <c r="B59" s="5"/>
      <c r="C59" s="5" t="s">
        <v>139</v>
      </c>
      <c r="H59" s="5" t="s">
        <v>139</v>
      </c>
    </row>
    <row r="60" spans="2:9" x14ac:dyDescent="0.25">
      <c r="B60" s="5"/>
    </row>
    <row r="61" spans="2:9" x14ac:dyDescent="0.25">
      <c r="B61" s="5"/>
    </row>
    <row r="62" spans="2:9" x14ac:dyDescent="0.25">
      <c r="B62" s="5"/>
    </row>
    <row r="63" spans="2:9" x14ac:dyDescent="0.25">
      <c r="B63" s="5" t="s">
        <v>118</v>
      </c>
      <c r="C63" s="5" t="s">
        <v>140</v>
      </c>
    </row>
    <row r="64" spans="2:9" x14ac:dyDescent="0.25">
      <c r="B64" s="5" t="s">
        <v>119</v>
      </c>
      <c r="C64" s="5" t="str">
        <f>"{ ExpSubGroup: "&amp;CHAR(34)&amp;E41&amp;CHAR(34)&amp;", ACCCode: "&amp;CHAR(34)&amp;D41&amp;CHAR(34)&amp;" },"</f>
        <v>{ ExpSubGroup: "ค่าจัดประชุม", ACCCode: "5104150001" },</v>
      </c>
      <c r="D64">
        <v>1</v>
      </c>
    </row>
    <row r="65" spans="2:4" x14ac:dyDescent="0.25">
      <c r="B65" s="5" t="s">
        <v>120</v>
      </c>
      <c r="C65" s="5" t="str">
        <f t="shared" ref="C65:C81" si="2">"{ ExpSubGroup: "&amp;CHAR(34)&amp;E42&amp;CHAR(34)&amp;", ACCCode: "&amp;CHAR(34)&amp;D42&amp;CHAR(34)&amp;" },"</f>
        <v>{ ExpSubGroup: "ค่าไปรษณีย์ด่วน", ACCCode: "5107100001" },</v>
      </c>
      <c r="D65">
        <v>2</v>
      </c>
    </row>
    <row r="66" spans="2:4" x14ac:dyDescent="0.25">
      <c r="B66" s="5" t="s">
        <v>121</v>
      </c>
      <c r="C66" s="5" t="str">
        <f t="shared" si="2"/>
        <v>{ ExpSubGroup: "ค่าไปรษณีย์", ACCCode: "5107200001" },</v>
      </c>
      <c r="D66">
        <v>3</v>
      </c>
    </row>
    <row r="67" spans="2:4" x14ac:dyDescent="0.25">
      <c r="B67" s="5" t="s">
        <v>122</v>
      </c>
      <c r="C67" s="5" t="str">
        <f t="shared" si="2"/>
        <v>{ ExpSubGroup: "ค่าอาหารพนักงาน", ACCCode: "5206100001" },</v>
      </c>
      <c r="D67">
        <v>4</v>
      </c>
    </row>
    <row r="68" spans="2:4" x14ac:dyDescent="0.25">
      <c r="B68" s="5" t="s">
        <v>123</v>
      </c>
      <c r="C68" s="5" t="str">
        <f t="shared" si="2"/>
        <v>{ ExpSubGroup: "ค่าฝึกอบรม - ภายนอก", ACCCode: "5207400001" },</v>
      </c>
      <c r="D68">
        <v>5</v>
      </c>
    </row>
    <row r="69" spans="2:4" x14ac:dyDescent="0.25">
      <c r="B69" s="5" t="s">
        <v>124</v>
      </c>
      <c r="C69" s="5" t="str">
        <f t="shared" si="2"/>
        <v>{ ExpSubGroup: "ค่าเช่าที่จอดรถ", ACCCode: "5301400002" },</v>
      </c>
      <c r="D69">
        <v>6</v>
      </c>
    </row>
    <row r="70" spans="2:4" x14ac:dyDescent="0.25">
      <c r="B70" s="5" t="s">
        <v>125</v>
      </c>
      <c r="C70" s="5" t="str">
        <f t="shared" si="2"/>
        <v>{ ExpSubGroup: "ค่าซ่อมแซม - อุปกรณ์สำนักงาน", ACCCode: "5302500001" },</v>
      </c>
      <c r="D70">
        <v>7</v>
      </c>
    </row>
    <row r="71" spans="2:4" x14ac:dyDescent="0.25">
      <c r="B71" s="5" t="s">
        <v>126</v>
      </c>
      <c r="C71" s="5" t="str">
        <f t="shared" si="2"/>
        <v>{ ExpSubGroup: "ค่าซ่อมแซม - เครื่องคอมพิวเตอร์", ACCCode: "5303600001" },</v>
      </c>
      <c r="D71">
        <v>8</v>
      </c>
    </row>
    <row r="72" spans="2:4" x14ac:dyDescent="0.25">
      <c r="B72" s="5" t="s">
        <v>127</v>
      </c>
      <c r="C72" s="5" t="str">
        <f t="shared" si="2"/>
        <v>{ ExpSubGroup: "อุปกรณ์สำนักงาน", ACCCode: "5303700001" },</v>
      </c>
      <c r="D72">
        <v>9</v>
      </c>
    </row>
    <row r="73" spans="2:4" x14ac:dyDescent="0.25">
      <c r="B73" s="5" t="s">
        <v>106</v>
      </c>
      <c r="C73" s="5" t="str">
        <f t="shared" si="2"/>
        <v>{ ExpSubGroup: "อุปกรณ์ที่เกี่ยวกับคอมพิวเตอร์", ACCCode: "5303700002" },</v>
      </c>
      <c r="D73">
        <v>10</v>
      </c>
    </row>
    <row r="74" spans="2:4" x14ac:dyDescent="0.25">
      <c r="B74" s="5"/>
      <c r="C74" s="5" t="str">
        <f t="shared" si="2"/>
        <v>{ ExpSubGroup: "ค่าโทรศัพท์มือถือ", ACCCode: "5304100001" },</v>
      </c>
      <c r="D74">
        <v>11</v>
      </c>
    </row>
    <row r="75" spans="2:4" x14ac:dyDescent="0.25">
      <c r="B75" s="5"/>
      <c r="C75" s="5" t="str">
        <f t="shared" si="2"/>
        <v>{ ExpSubGroup: "ค่าการพิมพ์ - ทั่วไป", ACCCode: "5401100001" },</v>
      </c>
      <c r="D75">
        <v>12</v>
      </c>
    </row>
    <row r="76" spans="2:4" x14ac:dyDescent="0.25">
      <c r="B76" s="5"/>
      <c r="C76" s="5" t="str">
        <f t="shared" si="2"/>
        <v>{ ExpSubGroup: "ค่าการพิมพ์ - ถ่ายเอกสาร", ACCCode: "5401100002" },</v>
      </c>
      <c r="D76">
        <v>13</v>
      </c>
    </row>
    <row r="77" spans="2:4" x14ac:dyDescent="0.25">
      <c r="B77" s="5"/>
      <c r="C77" s="5" t="str">
        <f t="shared" si="2"/>
        <v>{ ExpSubGroup: "ค่าอุปกรณ์สำนักงาน", ACCCode: "5401100003" },</v>
      </c>
      <c r="D77">
        <v>14</v>
      </c>
    </row>
    <row r="78" spans="2:4" x14ac:dyDescent="0.25">
      <c r="B78" s="5"/>
      <c r="C78" s="5" t="str">
        <f t="shared" si="2"/>
        <v>{ ExpSubGroup: "ค่าสมาชิกสิ่งพิมพ์", ACCCode: "5402200001" },</v>
      </c>
      <c r="D78">
        <v>15</v>
      </c>
    </row>
    <row r="79" spans="2:4" x14ac:dyDescent="0.25">
      <c r="B79" s="5"/>
      <c r="C79" s="5" t="str">
        <f t="shared" si="2"/>
        <v>{ ExpSubGroup: "ค่าสมาชิกอื่นๆ", ACCCode: "5402200002" },</v>
      </c>
      <c r="D79">
        <v>16</v>
      </c>
    </row>
    <row r="80" spans="2:4" x14ac:dyDescent="0.25">
      <c r="B80" s="5"/>
      <c r="C80" s="5" t="str">
        <f t="shared" si="2"/>
        <v>{ ExpSubGroup: "ค่าหนังสือ", ACCCode: "5402200003" },</v>
      </c>
      <c r="D80">
        <v>17</v>
      </c>
    </row>
    <row r="81" spans="2:4" x14ac:dyDescent="0.25">
      <c r="B81" s="5"/>
      <c r="C81" s="5" t="str">
        <f t="shared" si="2"/>
        <v>{ ExpSubGroup: "ค่าใช้จ่ายเบ็ดเตล็ด", ACCCode: "5506200001" },</v>
      </c>
      <c r="D81">
        <v>18</v>
      </c>
    </row>
    <row r="82" spans="2:4" x14ac:dyDescent="0.25">
      <c r="B82" s="5" t="s">
        <v>128</v>
      </c>
      <c r="C82" s="5" t="s">
        <v>139</v>
      </c>
    </row>
    <row r="83" spans="2:4" x14ac:dyDescent="0.25">
      <c r="B83" s="5" t="s">
        <v>129</v>
      </c>
    </row>
    <row r="84" spans="2:4" x14ac:dyDescent="0.25">
      <c r="B84" s="5" t="s">
        <v>130</v>
      </c>
    </row>
    <row r="85" spans="2:4" x14ac:dyDescent="0.25">
      <c r="B85" s="5" t="s">
        <v>131</v>
      </c>
    </row>
    <row r="86" spans="2:4" x14ac:dyDescent="0.25">
      <c r="B86" s="5" t="s">
        <v>132</v>
      </c>
    </row>
    <row r="87" spans="2:4" x14ac:dyDescent="0.25">
      <c r="B87" s="5" t="s">
        <v>133</v>
      </c>
    </row>
    <row r="88" spans="2:4" x14ac:dyDescent="0.25">
      <c r="B88" s="5" t="s">
        <v>134</v>
      </c>
      <c r="C88" s="5" t="s">
        <v>141</v>
      </c>
    </row>
    <row r="89" spans="2:4" x14ac:dyDescent="0.25">
      <c r="B89" s="5" t="s">
        <v>135</v>
      </c>
      <c r="C89" t="str">
        <f>CHAR(34)&amp;D41&amp;CHAR(34)&amp;" ,"</f>
        <v>"5104150001" ,</v>
      </c>
      <c r="D89">
        <v>1</v>
      </c>
    </row>
    <row r="90" spans="2:4" x14ac:dyDescent="0.25">
      <c r="B90" s="5" t="s">
        <v>136</v>
      </c>
      <c r="C90" t="str">
        <f>CHAR(34)&amp;D42&amp;CHAR(34)&amp;" ,"</f>
        <v>"5107100001" ,</v>
      </c>
      <c r="D90">
        <v>2</v>
      </c>
    </row>
    <row r="91" spans="2:4" x14ac:dyDescent="0.25">
      <c r="B91" s="5" t="s">
        <v>137</v>
      </c>
      <c r="C91" t="str">
        <f>CHAR(34)&amp;D43&amp;CHAR(34)&amp;" ,"</f>
        <v>"5107200001" ,</v>
      </c>
      <c r="D91">
        <v>3</v>
      </c>
    </row>
    <row r="92" spans="2:4" x14ac:dyDescent="0.25">
      <c r="B92" s="5" t="s">
        <v>107</v>
      </c>
      <c r="C92" t="str">
        <f>CHAR(34)&amp;D44&amp;CHAR(34)&amp;" ,"</f>
        <v>"5206100001" ,</v>
      </c>
      <c r="D92">
        <v>4</v>
      </c>
    </row>
    <row r="93" spans="2:4" x14ac:dyDescent="0.25">
      <c r="C93" t="str">
        <f>CHAR(34)&amp;D45&amp;CHAR(34)&amp;" ,"</f>
        <v>"5207400001" ,</v>
      </c>
      <c r="D93">
        <v>5</v>
      </c>
    </row>
    <row r="94" spans="2:4" x14ac:dyDescent="0.25">
      <c r="C94" t="str">
        <f>CHAR(34)&amp;D46&amp;CHAR(34)&amp;" ,"</f>
        <v>"5301400002" ,</v>
      </c>
      <c r="D94">
        <v>6</v>
      </c>
    </row>
    <row r="95" spans="2:4" x14ac:dyDescent="0.25">
      <c r="C95" t="str">
        <f>CHAR(34)&amp;D47&amp;CHAR(34)&amp;" ,"</f>
        <v>"5302500001" ,</v>
      </c>
      <c r="D95">
        <v>7</v>
      </c>
    </row>
    <row r="96" spans="2:4" x14ac:dyDescent="0.25">
      <c r="C96" t="str">
        <f>CHAR(34)&amp;D48&amp;CHAR(34)&amp;" ,"</f>
        <v>"5303600001" ,</v>
      </c>
      <c r="D96">
        <v>8</v>
      </c>
    </row>
    <row r="97" spans="3:4" x14ac:dyDescent="0.25">
      <c r="C97" t="str">
        <f>CHAR(34)&amp;D49&amp;CHAR(34)&amp;" ,"</f>
        <v>"5303700001" ,</v>
      </c>
      <c r="D97">
        <v>9</v>
      </c>
    </row>
    <row r="98" spans="3:4" x14ac:dyDescent="0.25">
      <c r="C98" t="str">
        <f>CHAR(34)&amp;D50&amp;CHAR(34)&amp;" ,"</f>
        <v>"5303700002" ,</v>
      </c>
      <c r="D98">
        <v>10</v>
      </c>
    </row>
    <row r="99" spans="3:4" x14ac:dyDescent="0.25">
      <c r="C99" t="str">
        <f>CHAR(34)&amp;D51&amp;CHAR(34)&amp;" ,"</f>
        <v>"5304100001" ,</v>
      </c>
      <c r="D99">
        <v>11</v>
      </c>
    </row>
    <row r="100" spans="3:4" x14ac:dyDescent="0.25">
      <c r="C100" t="str">
        <f>CHAR(34)&amp;D52&amp;CHAR(34)&amp;" ,"</f>
        <v>"5401100001" ,</v>
      </c>
      <c r="D100">
        <v>12</v>
      </c>
    </row>
    <row r="101" spans="3:4" x14ac:dyDescent="0.25">
      <c r="C101" t="str">
        <f>CHAR(34)&amp;D53&amp;CHAR(34)&amp;" ,"</f>
        <v>"5401100002" ,</v>
      </c>
      <c r="D101">
        <v>13</v>
      </c>
    </row>
    <row r="102" spans="3:4" x14ac:dyDescent="0.25">
      <c r="C102" t="str">
        <f>CHAR(34)&amp;D54&amp;CHAR(34)&amp;" ,"</f>
        <v>"5401100003" ,</v>
      </c>
      <c r="D102">
        <v>14</v>
      </c>
    </row>
    <row r="103" spans="3:4" x14ac:dyDescent="0.25">
      <c r="C103" t="str">
        <f>CHAR(34)&amp;D55&amp;CHAR(34)&amp;" ,"</f>
        <v>"5402200001" ,</v>
      </c>
      <c r="D103">
        <v>15</v>
      </c>
    </row>
    <row r="104" spans="3:4" x14ac:dyDescent="0.25">
      <c r="C104" t="str">
        <f>CHAR(34)&amp;D56&amp;CHAR(34)&amp;" ,"</f>
        <v>"5402200002" ,</v>
      </c>
      <c r="D104">
        <v>16</v>
      </c>
    </row>
    <row r="105" spans="3:4" x14ac:dyDescent="0.25">
      <c r="C105" t="str">
        <f>CHAR(34)&amp;D57&amp;CHAR(34)&amp;" ,"</f>
        <v>"5402200003" ,</v>
      </c>
      <c r="D105">
        <v>17</v>
      </c>
    </row>
    <row r="106" spans="3:4" x14ac:dyDescent="0.25">
      <c r="C106" t="str">
        <f>CHAR(34)&amp;D58&amp;CHAR(34)&amp;" ,"</f>
        <v>"5506200001" ,</v>
      </c>
      <c r="D106">
        <v>18</v>
      </c>
    </row>
    <row r="107" spans="3:4" x14ac:dyDescent="0.25">
      <c r="C107" s="5" t="s">
        <v>142</v>
      </c>
    </row>
  </sheetData>
  <autoFilter ref="A1:F34" xr:uid="{00000000-0001-0000-0000-000000000000}">
    <filterColumn colId="3">
      <filters blank="1"/>
    </filterColumn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2022-10-20T05:33:04Z</dcterms:created>
  <dcterms:modified xsi:type="dcterms:W3CDTF">2022-10-20T07:23:36Z</dcterms:modified>
</cp:coreProperties>
</file>