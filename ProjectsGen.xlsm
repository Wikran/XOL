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C:\HTML\XOL\"/>
    </mc:Choice>
  </mc:AlternateContent>
  <xr:revisionPtr revIDLastSave="0" documentId="8_{24D7A2CD-BD60-4BDF-8713-F0E9C9383CD7}" xr6:coauthVersionLast="47" xr6:coauthVersionMax="47" xr10:uidLastSave="{00000000-0000-0000-0000-000000000000}"/>
  <bookViews>
    <workbookView xWindow="-120" yWindow="-120" windowWidth="29040" windowHeight="16440" tabRatio="121" xr2:uid="{00000000-000D-0000-FFFF-FFFF00000000}"/>
  </bookViews>
  <sheets>
    <sheet name="Main" sheetId="12" r:id="rId1"/>
    <sheet name="Conceptual" sheetId="1" r:id="rId2"/>
    <sheet name="RightsAccess" sheetId="56" r:id="rId3"/>
    <sheet name="Workflow" sheetId="5" r:id="rId4"/>
    <sheet name="WorkFlowAction" sheetId="13" r:id="rId5"/>
    <sheet name="Function" sheetId="4" r:id="rId6"/>
    <sheet name="Mandays" sheetId="9" r:id="rId7"/>
    <sheet name="DBDiagram" sheetId="8" r:id="rId8"/>
    <sheet name="DBTableList" sheetId="45" r:id="rId9"/>
    <sheet name="MASTERCOLUMNLIST" sheetId="40" r:id="rId10"/>
    <sheet name="TBTemplate" sheetId="46" r:id="rId11"/>
    <sheet name="MENU" sheetId="41" r:id="rId12"/>
    <sheet name="MASTERPAGE" sheetId="44" r:id="rId13"/>
    <sheet name="CLASSOFRISK" sheetId="42" r:id="rId14"/>
    <sheet name="UNDERWRITER" sheetId="30" r:id="rId15"/>
    <sheet name="USERS" sheetId="34" r:id="rId16"/>
    <sheet name="CLIENTS" sheetId="38" r:id="rId17"/>
    <sheet name="AGENT" sheetId="49" r:id="rId18"/>
    <sheet name="CURRENCY" sheetId="50" r:id="rId19"/>
    <sheet name="ACCOUNTEXECUTIVE" sheetId="51" r:id="rId20"/>
    <sheet name="AGENTFULL" sheetId="54" r:id="rId21"/>
    <sheet name="NEXTNUMBER" sheetId="57" r:id="rId22"/>
    <sheet name="Variables" sheetId="11" r:id="rId23"/>
  </sheets>
  <functionGroups builtInGroupCount="19"/>
  <definedNames>
    <definedName name="_xlnm._FilterDatabase" localSheetId="8" hidden="1">DBTableList!$E$12:$P$12</definedName>
    <definedName name="_xlnm._FilterDatabase" localSheetId="9" hidden="1">MASTERCOLUMNLIST!$F$1:$F$1852</definedName>
    <definedName name="aBoolean">Variables!$E$12:$E$14</definedName>
    <definedName name="aDataType">Variables!$G$28:$G$34</definedName>
    <definedName name="aDbServer">Variables!$C$16</definedName>
    <definedName name="aDbTokenKey">Variables!$C$17</definedName>
    <definedName name="aDBTYPE">Variables!$E$17:$E$22</definedName>
    <definedName name="aDomainList">Variables!$C$75:$C$82</definedName>
    <definedName name="aEditMode">Variables!$I$27:$I$35</definedName>
    <definedName name="aEditorType">Variables!$I$38:$I$45</definedName>
    <definedName name="aFormat">Variables!$B$40:$B$47</definedName>
    <definedName name="aFValue">Variables!$C$40:$C$47</definedName>
    <definedName name="aMasterCRUD">Variables!$BB$2:$BB$237</definedName>
    <definedName name="aMasterCRUDII">Variables!$BB$241:$BB$303</definedName>
    <definedName name="aMEditorList">MASTERCOLUMNLIST!$B$3</definedName>
    <definedName name="aMHtmlFile">MASTERCOLUMNLIST!$B$4</definedName>
    <definedName name="aMMode">MASTERCOLUMNLIST!$B$8</definedName>
    <definedName name="aModelFileName">Variables!$C$32</definedName>
    <definedName name="aModelFilePath">Variables!$C$31</definedName>
    <definedName name="aMSheetName">MASTERCOLUMNLIST!$B$2</definedName>
    <definedName name="aNext2C">Variables!$BW$2</definedName>
    <definedName name="aNextTBLRow">DBTableList!$E$11</definedName>
    <definedName name="aNumOfSpace">Variables!$C$27</definedName>
    <definedName name="aPageDomainList">Variables!$C$85:$C$92</definedName>
    <definedName name="APITYPE">Variables!$B$64:$B$67</definedName>
    <definedName name="aSheetsName">Variables!$I$6:$I$22</definedName>
    <definedName name="aSpaceT">Variables!$C$28</definedName>
    <definedName name="aTableKeyField01">Variables!#REF!</definedName>
    <definedName name="aTableName01">Variables!#REF!</definedName>
    <definedName name="aTableSelectField01">Variables!#REF!</definedName>
    <definedName name="aTableTokenKey01">Variables!#REF!</definedName>
    <definedName name="aUserID">Variables!$C$14</definedName>
    <definedName name="aUserTokenKey">Variables!$C$15</definedName>
    <definedName name="aWorWO">Variables!$G$6:$G$8</definedName>
    <definedName name="cFileName">Variables!$C$11</definedName>
    <definedName name="cFNforLink">Variables!$C$12</definedName>
    <definedName name="cLangCol">Variables!$C$8</definedName>
    <definedName name="cLangList">Variables!$L$18:$L$19</definedName>
    <definedName name="cLangSelect">Variables!$C$9</definedName>
    <definedName name="cProvider">Variables!$E$6:$E$9</definedName>
    <definedName name="DBPROVIDOR">Variables!$B$22:$B$25</definedName>
    <definedName name="EORT">Variables!$L$18:$L$19</definedName>
    <definedName name="LSwitch">Variables!$C$9</definedName>
    <definedName name="nSampleSelect">Variables!$C$6</definedName>
    <definedName name="SampleNO">Variables!$G$9:$G$26</definedName>
    <definedName name="tCalendar">Variables!$N$6:$N$15</definedName>
    <definedName name="tColumnList">Variables!$P$5:$Q$213</definedName>
    <definedName name="tDB_PROVIDOR">Variables!$B$21:$C$25</definedName>
    <definedName name="tMandays">Variables!$M$6:$M$15</definedName>
    <definedName name="TotalRec">Variables!$C$5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A4" i="11" l="1"/>
  <c r="L16" i="45" a="1"/>
  <c r="H23" i="45" a="1"/>
  <c r="M23" i="45" a="1"/>
  <c r="I23" i="45" a="1"/>
  <c r="O23" i="45" a="1"/>
  <c r="N23" i="45" a="1"/>
  <c r="J23" i="45" a="1"/>
  <c r="B17" i="40" a="1"/>
  <c r="G23" i="45" a="1"/>
  <c r="P23" i="45" a="1"/>
  <c r="B16" i="40" a="1"/>
  <c r="L23" i="45" a="1"/>
  <c r="B15" i="40" a="1"/>
  <c r="B17" i="40" l="1"/>
  <c r="B16" i="40"/>
  <c r="B15" i="40"/>
  <c r="L16" i="45"/>
  <c r="H23" i="45"/>
  <c r="J23" i="45"/>
  <c r="L23" i="45"/>
  <c r="P23" i="45"/>
  <c r="N23" i="45"/>
  <c r="G23" i="45"/>
  <c r="I23" i="45"/>
  <c r="M23" i="45"/>
  <c r="O23" i="45"/>
  <c r="K23" i="45" a="1"/>
  <c r="F16" i="40" l="1"/>
  <c r="F17" i="40"/>
  <c r="F18" i="40"/>
  <c r="F14" i="40"/>
  <c r="F15" i="40"/>
  <c r="K23" i="45"/>
  <c r="B148" i="57" l="1"/>
  <c r="B146" i="57"/>
  <c r="B145" i="57"/>
  <c r="B144" i="57"/>
  <c r="B143" i="57"/>
  <c r="B142" i="57"/>
  <c r="B140" i="57"/>
  <c r="B139" i="57"/>
  <c r="B135" i="57"/>
  <c r="B134" i="57"/>
  <c r="B133" i="57"/>
  <c r="B132" i="57"/>
  <c r="AV127" i="57"/>
  <c r="D127" i="57"/>
  <c r="B127" i="57"/>
  <c r="D126" i="57"/>
  <c r="AV126" i="57" s="1"/>
  <c r="B126" i="57"/>
  <c r="D125" i="57"/>
  <c r="AV125" i="57" s="1"/>
  <c r="B125" i="57"/>
  <c r="U124" i="57"/>
  <c r="D124" i="57"/>
  <c r="AV124" i="57" s="1"/>
  <c r="B124" i="57"/>
  <c r="D123" i="57"/>
  <c r="AV123" i="57" s="1"/>
  <c r="B123" i="57"/>
  <c r="D122" i="57"/>
  <c r="AV122" i="57" s="1"/>
  <c r="B122" i="57"/>
  <c r="D121" i="57"/>
  <c r="AV121" i="57" s="1"/>
  <c r="B121" i="57"/>
  <c r="V120" i="57"/>
  <c r="T120" i="57"/>
  <c r="AT116" i="57"/>
  <c r="AT115" i="57"/>
  <c r="AS115" i="57"/>
  <c r="AR115" i="57"/>
  <c r="Z115" i="57"/>
  <c r="S115" i="57"/>
  <c r="Q115" i="57"/>
  <c r="J115" i="57"/>
  <c r="I115" i="57"/>
  <c r="H115" i="57"/>
  <c r="G115" i="57"/>
  <c r="AV115" i="57" s="1"/>
  <c r="B115" i="57"/>
  <c r="AA115" i="57" s="1"/>
  <c r="AV114" i="57"/>
  <c r="AT114" i="57"/>
  <c r="AS114" i="57"/>
  <c r="AR114" i="57"/>
  <c r="Z114" i="57"/>
  <c r="S114" i="57"/>
  <c r="Q114" i="57"/>
  <c r="J114" i="57"/>
  <c r="I114" i="57"/>
  <c r="H114" i="57"/>
  <c r="G114" i="57"/>
  <c r="B114" i="57"/>
  <c r="AA114" i="57" s="1"/>
  <c r="AT113" i="57"/>
  <c r="AS113" i="57"/>
  <c r="AR113" i="57"/>
  <c r="Z113" i="57"/>
  <c r="S113" i="57"/>
  <c r="Q113" i="57"/>
  <c r="J113" i="57"/>
  <c r="I113" i="57"/>
  <c r="H113" i="57"/>
  <c r="G113" i="57"/>
  <c r="AV113" i="57" s="1"/>
  <c r="B113" i="57"/>
  <c r="AA113" i="57" s="1"/>
  <c r="AV112" i="57"/>
  <c r="AT112" i="57"/>
  <c r="AS112" i="57"/>
  <c r="AR112" i="57"/>
  <c r="Z112" i="57"/>
  <c r="S112" i="57"/>
  <c r="Q112" i="57"/>
  <c r="J112" i="57"/>
  <c r="I112" i="57"/>
  <c r="H112" i="57"/>
  <c r="G112" i="57"/>
  <c r="B112" i="57"/>
  <c r="AA112" i="57" s="1"/>
  <c r="AT111" i="57"/>
  <c r="AS111" i="57"/>
  <c r="AR111" i="57"/>
  <c r="Z111" i="57"/>
  <c r="S111" i="57"/>
  <c r="Q111" i="57"/>
  <c r="J111" i="57"/>
  <c r="I111" i="57"/>
  <c r="H111" i="57"/>
  <c r="G111" i="57"/>
  <c r="AV111" i="57" s="1"/>
  <c r="B111" i="57"/>
  <c r="AA111" i="57" s="1"/>
  <c r="AV110" i="57"/>
  <c r="AT110" i="57"/>
  <c r="AS110" i="57"/>
  <c r="AR110" i="57"/>
  <c r="Z110" i="57"/>
  <c r="S110" i="57"/>
  <c r="Q110" i="57"/>
  <c r="J110" i="57"/>
  <c r="I110" i="57"/>
  <c r="H110" i="57"/>
  <c r="G110" i="57"/>
  <c r="B110" i="57"/>
  <c r="AA110" i="57" s="1"/>
  <c r="AT109" i="57"/>
  <c r="AS109" i="57"/>
  <c r="AR109" i="57"/>
  <c r="Z109" i="57"/>
  <c r="S109" i="57"/>
  <c r="Q109" i="57"/>
  <c r="J109" i="57"/>
  <c r="I109" i="57"/>
  <c r="H109" i="57"/>
  <c r="G109" i="57"/>
  <c r="AV109" i="57" s="1"/>
  <c r="B109" i="57"/>
  <c r="AA109" i="57" s="1"/>
  <c r="AV108" i="57"/>
  <c r="AT108" i="57"/>
  <c r="AS108" i="57"/>
  <c r="AR108" i="57"/>
  <c r="Z108" i="57"/>
  <c r="S108" i="57"/>
  <c r="Q108" i="57"/>
  <c r="J108" i="57"/>
  <c r="I108" i="57"/>
  <c r="H108" i="57"/>
  <c r="G108" i="57"/>
  <c r="B108" i="57"/>
  <c r="AA108" i="57" s="1"/>
  <c r="AT107" i="57"/>
  <c r="AS107" i="57"/>
  <c r="AR107" i="57"/>
  <c r="Z107" i="57"/>
  <c r="S107" i="57"/>
  <c r="Q107" i="57"/>
  <c r="J107" i="57"/>
  <c r="I107" i="57"/>
  <c r="H107" i="57"/>
  <c r="G107" i="57"/>
  <c r="AV107" i="57" s="1"/>
  <c r="B107" i="57"/>
  <c r="AA107" i="57" s="1"/>
  <c r="AV106" i="57"/>
  <c r="AT106" i="57"/>
  <c r="AS106" i="57"/>
  <c r="AR106" i="57"/>
  <c r="Z106" i="57"/>
  <c r="S106" i="57"/>
  <c r="Q106" i="57"/>
  <c r="J106" i="57"/>
  <c r="I106" i="57"/>
  <c r="H106" i="57"/>
  <c r="G106" i="57"/>
  <c r="B106" i="57"/>
  <c r="AA106" i="57" s="1"/>
  <c r="AT105" i="57"/>
  <c r="AS105" i="57"/>
  <c r="AR105" i="57"/>
  <c r="Z105" i="57"/>
  <c r="S105" i="57"/>
  <c r="Q105" i="57"/>
  <c r="J105" i="57"/>
  <c r="I105" i="57"/>
  <c r="H105" i="57"/>
  <c r="G105" i="57"/>
  <c r="AV105" i="57" s="1"/>
  <c r="B105" i="57"/>
  <c r="AA105" i="57" s="1"/>
  <c r="AV104" i="57"/>
  <c r="AT104" i="57"/>
  <c r="AS104" i="57"/>
  <c r="AR104" i="57"/>
  <c r="Z104" i="57"/>
  <c r="S104" i="57"/>
  <c r="Q104" i="57"/>
  <c r="J104" i="57"/>
  <c r="I104" i="57"/>
  <c r="H104" i="57"/>
  <c r="G104" i="57"/>
  <c r="B104" i="57"/>
  <c r="AA104" i="57" s="1"/>
  <c r="AT103" i="57"/>
  <c r="AS103" i="57"/>
  <c r="AR103" i="57"/>
  <c r="Z103" i="57"/>
  <c r="S103" i="57"/>
  <c r="Q103" i="57"/>
  <c r="J103" i="57"/>
  <c r="I103" i="57"/>
  <c r="H103" i="57"/>
  <c r="G103" i="57"/>
  <c r="AV103" i="57" s="1"/>
  <c r="B103" i="57"/>
  <c r="AA103" i="57" s="1"/>
  <c r="AV102" i="57"/>
  <c r="AT102" i="57"/>
  <c r="AS102" i="57"/>
  <c r="AR102" i="57"/>
  <c r="Z102" i="57"/>
  <c r="S102" i="57"/>
  <c r="Q102" i="57"/>
  <c r="J102" i="57"/>
  <c r="I102" i="57"/>
  <c r="H102" i="57"/>
  <c r="G102" i="57"/>
  <c r="B102" i="57"/>
  <c r="AA102" i="57" s="1"/>
  <c r="AT101" i="57"/>
  <c r="AS101" i="57"/>
  <c r="AR101" i="57"/>
  <c r="Z101" i="57"/>
  <c r="S101" i="57"/>
  <c r="Q101" i="57"/>
  <c r="J101" i="57"/>
  <c r="I101" i="57"/>
  <c r="H101" i="57"/>
  <c r="G101" i="57"/>
  <c r="AV101" i="57" s="1"/>
  <c r="B101" i="57"/>
  <c r="AA101" i="57" s="1"/>
  <c r="AV100" i="57"/>
  <c r="AT100" i="57"/>
  <c r="AS100" i="57"/>
  <c r="AR100" i="57"/>
  <c r="Z100" i="57"/>
  <c r="S100" i="57"/>
  <c r="Q100" i="57"/>
  <c r="J100" i="57"/>
  <c r="I100" i="57"/>
  <c r="H100" i="57"/>
  <c r="G100" i="57"/>
  <c r="B100" i="57"/>
  <c r="AA100" i="57" s="1"/>
  <c r="AT99" i="57"/>
  <c r="AS99" i="57"/>
  <c r="AR99" i="57"/>
  <c r="Z99" i="57"/>
  <c r="S99" i="57"/>
  <c r="Q99" i="57"/>
  <c r="J99" i="57"/>
  <c r="I99" i="57"/>
  <c r="H99" i="57"/>
  <c r="G99" i="57"/>
  <c r="AV99" i="57" s="1"/>
  <c r="B99" i="57"/>
  <c r="AA99" i="57" s="1"/>
  <c r="AV98" i="57"/>
  <c r="AT98" i="57"/>
  <c r="AS98" i="57"/>
  <c r="AR98" i="57"/>
  <c r="Z98" i="57"/>
  <c r="S98" i="57"/>
  <c r="Q98" i="57"/>
  <c r="J98" i="57"/>
  <c r="I98" i="57"/>
  <c r="H98" i="57"/>
  <c r="G98" i="57"/>
  <c r="B98" i="57"/>
  <c r="AA98" i="57" s="1"/>
  <c r="AT97" i="57"/>
  <c r="AS97" i="57"/>
  <c r="AR97" i="57"/>
  <c r="Z97" i="57"/>
  <c r="S97" i="57"/>
  <c r="Q97" i="57"/>
  <c r="J97" i="57"/>
  <c r="I97" i="57"/>
  <c r="H97" i="57"/>
  <c r="G97" i="57"/>
  <c r="AV97" i="57" s="1"/>
  <c r="B97" i="57"/>
  <c r="AA97" i="57" s="1"/>
  <c r="AV96" i="57"/>
  <c r="AT96" i="57"/>
  <c r="AS96" i="57"/>
  <c r="AR96" i="57"/>
  <c r="Z96" i="57"/>
  <c r="S96" i="57"/>
  <c r="Q96" i="57"/>
  <c r="J96" i="57"/>
  <c r="I96" i="57"/>
  <c r="H96" i="57"/>
  <c r="G96" i="57"/>
  <c r="B96" i="57"/>
  <c r="AA96" i="57" s="1"/>
  <c r="AT95" i="57"/>
  <c r="AS95" i="57"/>
  <c r="AR95" i="57"/>
  <c r="Z95" i="57"/>
  <c r="S95" i="57"/>
  <c r="Q95" i="57"/>
  <c r="J95" i="57"/>
  <c r="I95" i="57"/>
  <c r="H95" i="57"/>
  <c r="G95" i="57"/>
  <c r="AV95" i="57" s="1"/>
  <c r="B95" i="57"/>
  <c r="AA95" i="57" s="1"/>
  <c r="AV94" i="57"/>
  <c r="AT94" i="57"/>
  <c r="AS94" i="57"/>
  <c r="AR94" i="57"/>
  <c r="Z94" i="57"/>
  <c r="S94" i="57"/>
  <c r="Q94" i="57"/>
  <c r="J94" i="57"/>
  <c r="I94" i="57"/>
  <c r="H94" i="57"/>
  <c r="G94" i="57"/>
  <c r="B94" i="57"/>
  <c r="AA94" i="57" s="1"/>
  <c r="AT93" i="57"/>
  <c r="AS93" i="57"/>
  <c r="AR93" i="57"/>
  <c r="Z93" i="57"/>
  <c r="S93" i="57"/>
  <c r="Q93" i="57"/>
  <c r="J93" i="57"/>
  <c r="I93" i="57"/>
  <c r="H93" i="57"/>
  <c r="G93" i="57"/>
  <c r="AV93" i="57" s="1"/>
  <c r="B93" i="57"/>
  <c r="AA93" i="57" s="1"/>
  <c r="AV92" i="57"/>
  <c r="AT92" i="57"/>
  <c r="AS92" i="57"/>
  <c r="AR92" i="57"/>
  <c r="Z92" i="57"/>
  <c r="S92" i="57"/>
  <c r="Q92" i="57"/>
  <c r="J92" i="57"/>
  <c r="I92" i="57"/>
  <c r="H92" i="57"/>
  <c r="G92" i="57"/>
  <c r="B92" i="57"/>
  <c r="AA92" i="57" s="1"/>
  <c r="AT91" i="57"/>
  <c r="AS91" i="57"/>
  <c r="AR91" i="57"/>
  <c r="Z91" i="57"/>
  <c r="S91" i="57"/>
  <c r="Q91" i="57"/>
  <c r="J91" i="57"/>
  <c r="I91" i="57"/>
  <c r="H91" i="57"/>
  <c r="G91" i="57"/>
  <c r="AV91" i="57" s="1"/>
  <c r="B91" i="57"/>
  <c r="AA91" i="57" s="1"/>
  <c r="AV90" i="57"/>
  <c r="AT90" i="57"/>
  <c r="AS90" i="57"/>
  <c r="AR90" i="57"/>
  <c r="Z90" i="57"/>
  <c r="S90" i="57"/>
  <c r="Q90" i="57"/>
  <c r="J90" i="57"/>
  <c r="I90" i="57"/>
  <c r="H90" i="57"/>
  <c r="G90" i="57"/>
  <c r="B90" i="57"/>
  <c r="AA90" i="57" s="1"/>
  <c r="AT89" i="57"/>
  <c r="AS89" i="57"/>
  <c r="AR89" i="57"/>
  <c r="Z89" i="57"/>
  <c r="S89" i="57"/>
  <c r="Q89" i="57"/>
  <c r="J89" i="57"/>
  <c r="I89" i="57"/>
  <c r="H89" i="57"/>
  <c r="G89" i="57"/>
  <c r="AV89" i="57" s="1"/>
  <c r="B89" i="57"/>
  <c r="AA89" i="57" s="1"/>
  <c r="AV88" i="57"/>
  <c r="AT88" i="57"/>
  <c r="AS88" i="57"/>
  <c r="AR88" i="57"/>
  <c r="Z88" i="57"/>
  <c r="S88" i="57"/>
  <c r="Q88" i="57"/>
  <c r="J88" i="57"/>
  <c r="I88" i="57"/>
  <c r="H88" i="57"/>
  <c r="G88" i="57"/>
  <c r="B88" i="57"/>
  <c r="AA88" i="57" s="1"/>
  <c r="AT87" i="57"/>
  <c r="AS87" i="57"/>
  <c r="AR87" i="57"/>
  <c r="Z87" i="57"/>
  <c r="S87" i="57"/>
  <c r="Q87" i="57"/>
  <c r="J87" i="57"/>
  <c r="I87" i="57"/>
  <c r="H87" i="57"/>
  <c r="G87" i="57"/>
  <c r="AV87" i="57" s="1"/>
  <c r="B87" i="57"/>
  <c r="AA87" i="57" s="1"/>
  <c r="AV86" i="57"/>
  <c r="AT86" i="57"/>
  <c r="AS86" i="57"/>
  <c r="AR86" i="57"/>
  <c r="Z86" i="57"/>
  <c r="S86" i="57"/>
  <c r="Q86" i="57"/>
  <c r="J86" i="57"/>
  <c r="I86" i="57"/>
  <c r="H86" i="57"/>
  <c r="G86" i="57"/>
  <c r="B86" i="57"/>
  <c r="AA86" i="57" s="1"/>
  <c r="AT85" i="57"/>
  <c r="AS85" i="57"/>
  <c r="AR85" i="57"/>
  <c r="Z85" i="57"/>
  <c r="S85" i="57"/>
  <c r="Q85" i="57"/>
  <c r="J85" i="57"/>
  <c r="I85" i="57"/>
  <c r="H85" i="57"/>
  <c r="G85" i="57"/>
  <c r="AV85" i="57" s="1"/>
  <c r="B85" i="57"/>
  <c r="AA85" i="57" s="1"/>
  <c r="AV84" i="57"/>
  <c r="AT84" i="57"/>
  <c r="AS84" i="57"/>
  <c r="AR84" i="57"/>
  <c r="Z84" i="57"/>
  <c r="S84" i="57"/>
  <c r="Q84" i="57"/>
  <c r="J84" i="57"/>
  <c r="I84" i="57"/>
  <c r="H84" i="57"/>
  <c r="G84" i="57"/>
  <c r="B84" i="57"/>
  <c r="AA84" i="57" s="1"/>
  <c r="AT83" i="57"/>
  <c r="AS83" i="57"/>
  <c r="AR83" i="57"/>
  <c r="Z83" i="57"/>
  <c r="S83" i="57"/>
  <c r="Q83" i="57"/>
  <c r="J83" i="57"/>
  <c r="I83" i="57"/>
  <c r="H83" i="57"/>
  <c r="G83" i="57"/>
  <c r="AV83" i="57" s="1"/>
  <c r="B83" i="57"/>
  <c r="AA83" i="57" s="1"/>
  <c r="AV82" i="57"/>
  <c r="AT82" i="57"/>
  <c r="AS82" i="57"/>
  <c r="AR82" i="57"/>
  <c r="Z82" i="57"/>
  <c r="S82" i="57"/>
  <c r="Q82" i="57"/>
  <c r="J82" i="57"/>
  <c r="I82" i="57"/>
  <c r="H82" i="57"/>
  <c r="G82" i="57"/>
  <c r="B82" i="57"/>
  <c r="AA82" i="57" s="1"/>
  <c r="AT81" i="57"/>
  <c r="AS81" i="57"/>
  <c r="AR81" i="57"/>
  <c r="Z81" i="57"/>
  <c r="S81" i="57"/>
  <c r="Q81" i="57"/>
  <c r="J81" i="57"/>
  <c r="I81" i="57"/>
  <c r="H81" i="57"/>
  <c r="G81" i="57"/>
  <c r="AV81" i="57" s="1"/>
  <c r="B81" i="57"/>
  <c r="AA81" i="57" s="1"/>
  <c r="AV80" i="57"/>
  <c r="AT80" i="57"/>
  <c r="AS80" i="57"/>
  <c r="AR80" i="57"/>
  <c r="Z80" i="57"/>
  <c r="S80" i="57"/>
  <c r="Q80" i="57"/>
  <c r="J80" i="57"/>
  <c r="I80" i="57"/>
  <c r="H80" i="57"/>
  <c r="G80" i="57"/>
  <c r="B80" i="57"/>
  <c r="AA80" i="57" s="1"/>
  <c r="AT79" i="57"/>
  <c r="AS79" i="57"/>
  <c r="AR79" i="57"/>
  <c r="Z79" i="57"/>
  <c r="S79" i="57"/>
  <c r="Q79" i="57"/>
  <c r="J79" i="57"/>
  <c r="I79" i="57"/>
  <c r="H79" i="57"/>
  <c r="G79" i="57"/>
  <c r="AV79" i="57" s="1"/>
  <c r="B79" i="57"/>
  <c r="AA79" i="57" s="1"/>
  <c r="AV78" i="57"/>
  <c r="AT78" i="57"/>
  <c r="AS78" i="57"/>
  <c r="AR78" i="57"/>
  <c r="Z78" i="57"/>
  <c r="S78" i="57"/>
  <c r="Q78" i="57"/>
  <c r="J78" i="57"/>
  <c r="I78" i="57"/>
  <c r="H78" i="57"/>
  <c r="G78" i="57"/>
  <c r="B78" i="57"/>
  <c r="AA78" i="57" s="1"/>
  <c r="AT77" i="57"/>
  <c r="AS77" i="57"/>
  <c r="AR77" i="57"/>
  <c r="Z77" i="57"/>
  <c r="S77" i="57"/>
  <c r="Q77" i="57"/>
  <c r="J77" i="57"/>
  <c r="I77" i="57"/>
  <c r="H77" i="57"/>
  <c r="G77" i="57"/>
  <c r="AV77" i="57" s="1"/>
  <c r="B77" i="57"/>
  <c r="AA77" i="57" s="1"/>
  <c r="AV76" i="57"/>
  <c r="AT76" i="57"/>
  <c r="AS76" i="57"/>
  <c r="AR76" i="57"/>
  <c r="Z76" i="57"/>
  <c r="S76" i="57"/>
  <c r="Q76" i="57"/>
  <c r="J76" i="57"/>
  <c r="I76" i="57"/>
  <c r="H76" i="57"/>
  <c r="G76" i="57"/>
  <c r="B76" i="57"/>
  <c r="AA76" i="57" s="1"/>
  <c r="AT75" i="57"/>
  <c r="AS75" i="57"/>
  <c r="AR75" i="57"/>
  <c r="Z75" i="57"/>
  <c r="S75" i="57"/>
  <c r="Q75" i="57"/>
  <c r="J75" i="57"/>
  <c r="I75" i="57"/>
  <c r="H75" i="57"/>
  <c r="G75" i="57"/>
  <c r="AV75" i="57" s="1"/>
  <c r="B75" i="57"/>
  <c r="AA75" i="57" s="1"/>
  <c r="AV74" i="57"/>
  <c r="AT74" i="57"/>
  <c r="AS74" i="57"/>
  <c r="AR74" i="57"/>
  <c r="Z74" i="57"/>
  <c r="S74" i="57"/>
  <c r="Q74" i="57"/>
  <c r="J74" i="57"/>
  <c r="I74" i="57"/>
  <c r="H74" i="57"/>
  <c r="G74" i="57"/>
  <c r="B74" i="57"/>
  <c r="AA74" i="57" s="1"/>
  <c r="AT73" i="57"/>
  <c r="AS73" i="57"/>
  <c r="AR73" i="57"/>
  <c r="Z73" i="57"/>
  <c r="S73" i="57"/>
  <c r="Q73" i="57"/>
  <c r="J73" i="57"/>
  <c r="I73" i="57"/>
  <c r="H73" i="57"/>
  <c r="G73" i="57"/>
  <c r="AV73" i="57" s="1"/>
  <c r="B73" i="57"/>
  <c r="AA73" i="57" s="1"/>
  <c r="AV72" i="57"/>
  <c r="AT72" i="57"/>
  <c r="AS72" i="57"/>
  <c r="AR72" i="57"/>
  <c r="Z72" i="57"/>
  <c r="S72" i="57"/>
  <c r="Q72" i="57"/>
  <c r="J72" i="57"/>
  <c r="I72" i="57"/>
  <c r="H72" i="57"/>
  <c r="G72" i="57"/>
  <c r="B72" i="57"/>
  <c r="AA72" i="57" s="1"/>
  <c r="AT71" i="57"/>
  <c r="AS71" i="57"/>
  <c r="AR71" i="57"/>
  <c r="Z71" i="57"/>
  <c r="S71" i="57"/>
  <c r="Q71" i="57"/>
  <c r="J71" i="57"/>
  <c r="I71" i="57"/>
  <c r="H71" i="57"/>
  <c r="G71" i="57"/>
  <c r="AV71" i="57" s="1"/>
  <c r="B71" i="57"/>
  <c r="AA71" i="57" s="1"/>
  <c r="AV70" i="57"/>
  <c r="AT70" i="57"/>
  <c r="AS70" i="57"/>
  <c r="AR70" i="57"/>
  <c r="Z70" i="57"/>
  <c r="S70" i="57"/>
  <c r="Q70" i="57"/>
  <c r="J70" i="57"/>
  <c r="I70" i="57"/>
  <c r="H70" i="57"/>
  <c r="G70" i="57"/>
  <c r="B70" i="57"/>
  <c r="AA70" i="57" s="1"/>
  <c r="AT69" i="57"/>
  <c r="AS69" i="57"/>
  <c r="AR69" i="57"/>
  <c r="Z69" i="57"/>
  <c r="S69" i="57"/>
  <c r="Q69" i="57"/>
  <c r="J69" i="57"/>
  <c r="I69" i="57"/>
  <c r="H69" i="57"/>
  <c r="G69" i="57"/>
  <c r="AV69" i="57" s="1"/>
  <c r="B69" i="57"/>
  <c r="AA69" i="57" s="1"/>
  <c r="AV68" i="57"/>
  <c r="AT68" i="57"/>
  <c r="AS68" i="57"/>
  <c r="AR68" i="57"/>
  <c r="Z68" i="57"/>
  <c r="S68" i="57"/>
  <c r="Q68" i="57"/>
  <c r="J68" i="57"/>
  <c r="I68" i="57"/>
  <c r="H68" i="57"/>
  <c r="G68" i="57"/>
  <c r="B68" i="57"/>
  <c r="AA68" i="57" s="1"/>
  <c r="AT67" i="57"/>
  <c r="AS67" i="57"/>
  <c r="AR67" i="57"/>
  <c r="Z67" i="57"/>
  <c r="S67" i="57"/>
  <c r="Q67" i="57"/>
  <c r="J67" i="57"/>
  <c r="I67" i="57"/>
  <c r="H67" i="57"/>
  <c r="G67" i="57"/>
  <c r="AV67" i="57" s="1"/>
  <c r="B67" i="57"/>
  <c r="AA67" i="57" s="1"/>
  <c r="AV66" i="57"/>
  <c r="AT66" i="57"/>
  <c r="AS66" i="57"/>
  <c r="AR66" i="57"/>
  <c r="Z66" i="57"/>
  <c r="S66" i="57"/>
  <c r="Q66" i="57"/>
  <c r="J66" i="57"/>
  <c r="I66" i="57"/>
  <c r="H66" i="57"/>
  <c r="G66" i="57"/>
  <c r="B66" i="57"/>
  <c r="AA66" i="57" s="1"/>
  <c r="AT65" i="57"/>
  <c r="AS65" i="57"/>
  <c r="AR65" i="57"/>
  <c r="Z65" i="57"/>
  <c r="S65" i="57"/>
  <c r="Q65" i="57"/>
  <c r="J65" i="57"/>
  <c r="I65" i="57"/>
  <c r="H65" i="57"/>
  <c r="G65" i="57"/>
  <c r="AV65" i="57" s="1"/>
  <c r="B65" i="57"/>
  <c r="AA65" i="57" s="1"/>
  <c r="AT64" i="57"/>
  <c r="AS64" i="57"/>
  <c r="AR64" i="57"/>
  <c r="Z64" i="57"/>
  <c r="S64" i="57"/>
  <c r="Q64" i="57"/>
  <c r="J64" i="57"/>
  <c r="I64" i="57"/>
  <c r="H64" i="57"/>
  <c r="G64" i="57"/>
  <c r="B64" i="57"/>
  <c r="AA64" i="57" s="1"/>
  <c r="AT63" i="57"/>
  <c r="AS63" i="57"/>
  <c r="AR63" i="57"/>
  <c r="Z63" i="57"/>
  <c r="S63" i="57"/>
  <c r="Q63" i="57"/>
  <c r="J63" i="57"/>
  <c r="I63" i="57"/>
  <c r="H63" i="57"/>
  <c r="G63" i="57"/>
  <c r="AV63" i="57" s="1"/>
  <c r="B63" i="57"/>
  <c r="AA63" i="57" s="1"/>
  <c r="AV62" i="57"/>
  <c r="AT62" i="57"/>
  <c r="AS62" i="57"/>
  <c r="AR62" i="57"/>
  <c r="Z62" i="57"/>
  <c r="S62" i="57"/>
  <c r="Q62" i="57"/>
  <c r="J62" i="57"/>
  <c r="I62" i="57"/>
  <c r="H62" i="57"/>
  <c r="G62" i="57"/>
  <c r="B62" i="57"/>
  <c r="AA62" i="57" s="1"/>
  <c r="AT61" i="57"/>
  <c r="AS61" i="57"/>
  <c r="AR61" i="57"/>
  <c r="Z61" i="57"/>
  <c r="S61" i="57"/>
  <c r="Q61" i="57"/>
  <c r="J61" i="57"/>
  <c r="I61" i="57"/>
  <c r="H61" i="57"/>
  <c r="G61" i="57"/>
  <c r="AV61" i="57" s="1"/>
  <c r="B61" i="57"/>
  <c r="AA61" i="57" s="1"/>
  <c r="AT60" i="57"/>
  <c r="AS60" i="57"/>
  <c r="AR60" i="57"/>
  <c r="Z60" i="57"/>
  <c r="S60" i="57"/>
  <c r="Q60" i="57"/>
  <c r="J60" i="57"/>
  <c r="I60" i="57"/>
  <c r="H60" i="57"/>
  <c r="G60" i="57"/>
  <c r="B60" i="57"/>
  <c r="AA60" i="57" s="1"/>
  <c r="AT59" i="57"/>
  <c r="AS59" i="57"/>
  <c r="AR59" i="57"/>
  <c r="S59" i="57"/>
  <c r="Q59" i="57"/>
  <c r="J59" i="57"/>
  <c r="I59" i="57"/>
  <c r="H59" i="57"/>
  <c r="G59" i="57"/>
  <c r="AV59" i="57" s="1"/>
  <c r="B59" i="57"/>
  <c r="AA59" i="57" s="1"/>
  <c r="AT58" i="57"/>
  <c r="AS58" i="57"/>
  <c r="AR58" i="57"/>
  <c r="AA58" i="57"/>
  <c r="S58" i="57"/>
  <c r="Q58" i="57"/>
  <c r="J58" i="57"/>
  <c r="I58" i="57"/>
  <c r="H58" i="57"/>
  <c r="G58" i="57"/>
  <c r="B58" i="57"/>
  <c r="AV57" i="57"/>
  <c r="AT57" i="57"/>
  <c r="AS57" i="57"/>
  <c r="AR57" i="57"/>
  <c r="AA57" i="57"/>
  <c r="S57" i="57"/>
  <c r="Q57" i="57"/>
  <c r="J57" i="57"/>
  <c r="I57" i="57"/>
  <c r="H57" i="57"/>
  <c r="G57" i="57"/>
  <c r="B57" i="57"/>
  <c r="AV56" i="57"/>
  <c r="AT56" i="57"/>
  <c r="AS56" i="57"/>
  <c r="AR56" i="57"/>
  <c r="AA56" i="57"/>
  <c r="S56" i="57"/>
  <c r="Q56" i="57"/>
  <c r="J56" i="57"/>
  <c r="I56" i="57"/>
  <c r="H56" i="57"/>
  <c r="G56" i="57"/>
  <c r="B56" i="57"/>
  <c r="AT55" i="57"/>
  <c r="AS55" i="57"/>
  <c r="AR55" i="57"/>
  <c r="S55" i="57"/>
  <c r="Q55" i="57"/>
  <c r="J55" i="57"/>
  <c r="I55" i="57"/>
  <c r="H55" i="57"/>
  <c r="G55" i="57"/>
  <c r="AV55" i="57" s="1"/>
  <c r="B55" i="57"/>
  <c r="AA55" i="57" s="1"/>
  <c r="AV54" i="57"/>
  <c r="AT54" i="57"/>
  <c r="AS54" i="57"/>
  <c r="AR54" i="57"/>
  <c r="S54" i="57"/>
  <c r="Q54" i="57"/>
  <c r="J54" i="57"/>
  <c r="I54" i="57"/>
  <c r="H54" i="57"/>
  <c r="G54" i="57"/>
  <c r="B54" i="57"/>
  <c r="AA54" i="57" s="1"/>
  <c r="AV53" i="57"/>
  <c r="AT53" i="57"/>
  <c r="AS53" i="57"/>
  <c r="AR53" i="57"/>
  <c r="S53" i="57"/>
  <c r="Q53" i="57"/>
  <c r="J53" i="57"/>
  <c r="I53" i="57"/>
  <c r="H53" i="57"/>
  <c r="G53" i="57"/>
  <c r="B53" i="57"/>
  <c r="AA53" i="57" s="1"/>
  <c r="AT52" i="57"/>
  <c r="AS52" i="57"/>
  <c r="AR52" i="57"/>
  <c r="S52" i="57"/>
  <c r="Q52" i="57"/>
  <c r="J52" i="57"/>
  <c r="I52" i="57"/>
  <c r="H52" i="57"/>
  <c r="G52" i="57"/>
  <c r="AV52" i="57" s="1"/>
  <c r="B52" i="57"/>
  <c r="AA52" i="57" s="1"/>
  <c r="AT51" i="57"/>
  <c r="AS51" i="57"/>
  <c r="AR51" i="57"/>
  <c r="S51" i="57"/>
  <c r="Q51" i="57"/>
  <c r="J51" i="57"/>
  <c r="I51" i="57"/>
  <c r="H51" i="57"/>
  <c r="G51" i="57"/>
  <c r="AV51" i="57" s="1"/>
  <c r="B51" i="57"/>
  <c r="AA51" i="57" s="1"/>
  <c r="AV50" i="57"/>
  <c r="AT50" i="57"/>
  <c r="AS50" i="57"/>
  <c r="AR50" i="57"/>
  <c r="S50" i="57"/>
  <c r="Q50" i="57"/>
  <c r="J50" i="57"/>
  <c r="I50" i="57"/>
  <c r="H50" i="57"/>
  <c r="G50" i="57"/>
  <c r="B50" i="57"/>
  <c r="AA50" i="57" s="1"/>
  <c r="AV49" i="57"/>
  <c r="AT49" i="57"/>
  <c r="AS49" i="57"/>
  <c r="AR49" i="57"/>
  <c r="S49" i="57"/>
  <c r="Q49" i="57"/>
  <c r="J49" i="57"/>
  <c r="I49" i="57"/>
  <c r="H49" i="57"/>
  <c r="G49" i="57"/>
  <c r="B49" i="57"/>
  <c r="AA49" i="57" s="1"/>
  <c r="AT48" i="57"/>
  <c r="AS48" i="57"/>
  <c r="AR48" i="57"/>
  <c r="S48" i="57"/>
  <c r="Q48" i="57"/>
  <c r="J48" i="57"/>
  <c r="I48" i="57"/>
  <c r="H48" i="57"/>
  <c r="G48" i="57"/>
  <c r="B48" i="57"/>
  <c r="AA48" i="57" s="1"/>
  <c r="AT47" i="57"/>
  <c r="AS47" i="57"/>
  <c r="AR47" i="57"/>
  <c r="S47" i="57"/>
  <c r="Q47" i="57"/>
  <c r="J47" i="57"/>
  <c r="I47" i="57"/>
  <c r="H47" i="57"/>
  <c r="G47" i="57"/>
  <c r="AV47" i="57" s="1"/>
  <c r="B47" i="57"/>
  <c r="AA47" i="57" s="1"/>
  <c r="AT46" i="57"/>
  <c r="AS46" i="57"/>
  <c r="AR46" i="57"/>
  <c r="AA46" i="57"/>
  <c r="S46" i="57"/>
  <c r="Q46" i="57"/>
  <c r="J46" i="57"/>
  <c r="I46" i="57"/>
  <c r="H46" i="57"/>
  <c r="G46" i="57"/>
  <c r="B46" i="57"/>
  <c r="AV45" i="57"/>
  <c r="AT45" i="57"/>
  <c r="AS45" i="57"/>
  <c r="AR45" i="57"/>
  <c r="S45" i="57"/>
  <c r="Q45" i="57"/>
  <c r="J45" i="57"/>
  <c r="I45" i="57"/>
  <c r="H45" i="57"/>
  <c r="G45" i="57"/>
  <c r="B45" i="57"/>
  <c r="AA45" i="57" s="1"/>
  <c r="AV44" i="57"/>
  <c r="AT44" i="57"/>
  <c r="AS44" i="57"/>
  <c r="AR44" i="57"/>
  <c r="AA44" i="57"/>
  <c r="S44" i="57"/>
  <c r="Q44" i="57"/>
  <c r="J44" i="57"/>
  <c r="I44" i="57"/>
  <c r="H44" i="57"/>
  <c r="G44" i="57"/>
  <c r="B44" i="57"/>
  <c r="AT43" i="57"/>
  <c r="AS43" i="57"/>
  <c r="AR43" i="57"/>
  <c r="S43" i="57"/>
  <c r="Q43" i="57"/>
  <c r="J43" i="57"/>
  <c r="I43" i="57"/>
  <c r="H43" i="57"/>
  <c r="G43" i="57"/>
  <c r="AV43" i="57" s="1"/>
  <c r="B43" i="57"/>
  <c r="AA43" i="57" s="1"/>
  <c r="AT42" i="57"/>
  <c r="AS42" i="57"/>
  <c r="AR42" i="57"/>
  <c r="AA42" i="57"/>
  <c r="S42" i="57"/>
  <c r="Q42" i="57"/>
  <c r="J42" i="57"/>
  <c r="I42" i="57"/>
  <c r="H42" i="57"/>
  <c r="G42" i="57"/>
  <c r="B42" i="57"/>
  <c r="AV41" i="57"/>
  <c r="AT41" i="57"/>
  <c r="AS41" i="57"/>
  <c r="AR41" i="57"/>
  <c r="AA41" i="57"/>
  <c r="S41" i="57"/>
  <c r="Q41" i="57"/>
  <c r="J41" i="57"/>
  <c r="I41" i="57"/>
  <c r="H41" i="57"/>
  <c r="G41" i="57"/>
  <c r="B41" i="57"/>
  <c r="AV40" i="57"/>
  <c r="AT40" i="57"/>
  <c r="AS40" i="57"/>
  <c r="AR40" i="57"/>
  <c r="AA40" i="57"/>
  <c r="S40" i="57"/>
  <c r="Q40" i="57"/>
  <c r="J40" i="57"/>
  <c r="I40" i="57"/>
  <c r="H40" i="57"/>
  <c r="G40" i="57"/>
  <c r="B40" i="57"/>
  <c r="AT39" i="57"/>
  <c r="AS39" i="57"/>
  <c r="AR39" i="57"/>
  <c r="S39" i="57"/>
  <c r="Q39" i="57"/>
  <c r="J39" i="57"/>
  <c r="I39" i="57"/>
  <c r="H39" i="57"/>
  <c r="G39" i="57"/>
  <c r="AV39" i="57" s="1"/>
  <c r="B39" i="57"/>
  <c r="AA39" i="57" s="1"/>
  <c r="AV38" i="57"/>
  <c r="AT38" i="57"/>
  <c r="AS38" i="57"/>
  <c r="AR38" i="57"/>
  <c r="S38" i="57"/>
  <c r="Q38" i="57"/>
  <c r="J38" i="57"/>
  <c r="I38" i="57"/>
  <c r="H38" i="57"/>
  <c r="G38" i="57"/>
  <c r="B38" i="57"/>
  <c r="AA38" i="57" s="1"/>
  <c r="AV37" i="57"/>
  <c r="AT37" i="57"/>
  <c r="AS37" i="57"/>
  <c r="AR37" i="57"/>
  <c r="S37" i="57"/>
  <c r="Q37" i="57"/>
  <c r="J37" i="57"/>
  <c r="I37" i="57"/>
  <c r="H37" i="57"/>
  <c r="G37" i="57"/>
  <c r="B37" i="57"/>
  <c r="AA37" i="57" s="1"/>
  <c r="AT36" i="57"/>
  <c r="AS36" i="57"/>
  <c r="AR36" i="57"/>
  <c r="S36" i="57"/>
  <c r="Q36" i="57"/>
  <c r="J36" i="57"/>
  <c r="I36" i="57"/>
  <c r="H36" i="57"/>
  <c r="G36" i="57"/>
  <c r="AV36" i="57" s="1"/>
  <c r="B36" i="57"/>
  <c r="AA36" i="57" s="1"/>
  <c r="AT35" i="57"/>
  <c r="AS35" i="57"/>
  <c r="AR35" i="57"/>
  <c r="S35" i="57"/>
  <c r="Q35" i="57"/>
  <c r="J35" i="57"/>
  <c r="I35" i="57"/>
  <c r="H35" i="57"/>
  <c r="G35" i="57"/>
  <c r="AV35" i="57" s="1"/>
  <c r="B35" i="57"/>
  <c r="AA35" i="57" s="1"/>
  <c r="AV34" i="57"/>
  <c r="AT34" i="57"/>
  <c r="AS34" i="57"/>
  <c r="AR34" i="57"/>
  <c r="S34" i="57"/>
  <c r="Q34" i="57"/>
  <c r="J34" i="57"/>
  <c r="I34" i="57"/>
  <c r="H34" i="57"/>
  <c r="G34" i="57"/>
  <c r="B34" i="57"/>
  <c r="AA34" i="57" s="1"/>
  <c r="AV33" i="57"/>
  <c r="AT33" i="57"/>
  <c r="AS33" i="57"/>
  <c r="AR33" i="57"/>
  <c r="S33" i="57"/>
  <c r="Q33" i="57"/>
  <c r="J33" i="57"/>
  <c r="I33" i="57"/>
  <c r="H33" i="57"/>
  <c r="G33" i="57"/>
  <c r="B33" i="57"/>
  <c r="AA33" i="57" s="1"/>
  <c r="AT32" i="57"/>
  <c r="AS32" i="57"/>
  <c r="AR32" i="57"/>
  <c r="S32" i="57"/>
  <c r="Q32" i="57"/>
  <c r="J32" i="57"/>
  <c r="I32" i="57"/>
  <c r="H32" i="57"/>
  <c r="G32" i="57"/>
  <c r="B32" i="57"/>
  <c r="AA32" i="57" s="1"/>
  <c r="AT31" i="57"/>
  <c r="AS31" i="57"/>
  <c r="AR31" i="57"/>
  <c r="S31" i="57"/>
  <c r="Q31" i="57"/>
  <c r="J31" i="57"/>
  <c r="I31" i="57"/>
  <c r="H31" i="57"/>
  <c r="G31" i="57"/>
  <c r="AV31" i="57" s="1"/>
  <c r="B31" i="57"/>
  <c r="AA31" i="57" s="1"/>
  <c r="AV30" i="57"/>
  <c r="AT30" i="57"/>
  <c r="AS30" i="57"/>
  <c r="AR30" i="57"/>
  <c r="S30" i="57"/>
  <c r="Q30" i="57"/>
  <c r="J30" i="57"/>
  <c r="I30" i="57"/>
  <c r="H30" i="57"/>
  <c r="G30" i="57"/>
  <c r="B30" i="57"/>
  <c r="AA30" i="57" s="1"/>
  <c r="AV29" i="57"/>
  <c r="AT29" i="57"/>
  <c r="AS29" i="57"/>
  <c r="AR29" i="57"/>
  <c r="S29" i="57"/>
  <c r="Q29" i="57"/>
  <c r="J29" i="57"/>
  <c r="I29" i="57"/>
  <c r="H29" i="57"/>
  <c r="G29" i="57"/>
  <c r="B29" i="57"/>
  <c r="AA29" i="57" s="1"/>
  <c r="AT28" i="57"/>
  <c r="AS28" i="57"/>
  <c r="AR28" i="57"/>
  <c r="S28" i="57"/>
  <c r="Q28" i="57"/>
  <c r="J28" i="57"/>
  <c r="I28" i="57"/>
  <c r="H28" i="57"/>
  <c r="G28" i="57"/>
  <c r="AV28" i="57" s="1"/>
  <c r="B28" i="57"/>
  <c r="AA28" i="57" s="1"/>
  <c r="AT27" i="57"/>
  <c r="AS27" i="57"/>
  <c r="AR27" i="57"/>
  <c r="S27" i="57"/>
  <c r="Q27" i="57"/>
  <c r="J27" i="57"/>
  <c r="I27" i="57"/>
  <c r="H27" i="57"/>
  <c r="G27" i="57"/>
  <c r="B27" i="57"/>
  <c r="AA27" i="57" s="1"/>
  <c r="AV26" i="57"/>
  <c r="AT26" i="57"/>
  <c r="AS26" i="57"/>
  <c r="AR26" i="57"/>
  <c r="S26" i="57"/>
  <c r="Q26" i="57"/>
  <c r="J26" i="57"/>
  <c r="I26" i="57"/>
  <c r="H26" i="57"/>
  <c r="G26" i="57"/>
  <c r="B26" i="57"/>
  <c r="AA26" i="57" s="1"/>
  <c r="AV25" i="57"/>
  <c r="AT25" i="57"/>
  <c r="AS25" i="57"/>
  <c r="AR25" i="57"/>
  <c r="S25" i="57"/>
  <c r="Q25" i="57"/>
  <c r="J25" i="57"/>
  <c r="I25" i="57"/>
  <c r="H25" i="57"/>
  <c r="G25" i="57"/>
  <c r="B25" i="57"/>
  <c r="AA25" i="57" s="1"/>
  <c r="AT24" i="57"/>
  <c r="AS24" i="57"/>
  <c r="AR24" i="57"/>
  <c r="S24" i="57"/>
  <c r="Q24" i="57"/>
  <c r="J24" i="57"/>
  <c r="I24" i="57"/>
  <c r="H24" i="57"/>
  <c r="G24" i="57"/>
  <c r="AV24" i="57" s="1"/>
  <c r="B24" i="57"/>
  <c r="AA24" i="57" s="1"/>
  <c r="AT23" i="57"/>
  <c r="AS23" i="57"/>
  <c r="AR23" i="57"/>
  <c r="Z23" i="57"/>
  <c r="S23" i="57"/>
  <c r="Q23" i="57"/>
  <c r="J23" i="57"/>
  <c r="I23" i="57"/>
  <c r="H23" i="57"/>
  <c r="G23" i="57"/>
  <c r="B23" i="57"/>
  <c r="AA23" i="57" s="1"/>
  <c r="AV22" i="57"/>
  <c r="AT22" i="57"/>
  <c r="AS22" i="57"/>
  <c r="AR22" i="57"/>
  <c r="Z22" i="57"/>
  <c r="S22" i="57"/>
  <c r="Q22" i="57"/>
  <c r="J22" i="57"/>
  <c r="I22" i="57"/>
  <c r="H22" i="57"/>
  <c r="G22" i="57"/>
  <c r="B22" i="57"/>
  <c r="AA22" i="57" s="1"/>
  <c r="AT21" i="57"/>
  <c r="AS21" i="57"/>
  <c r="AR21" i="57"/>
  <c r="Z21" i="57"/>
  <c r="S21" i="57"/>
  <c r="Q21" i="57"/>
  <c r="J21" i="57"/>
  <c r="I21" i="57"/>
  <c r="H21" i="57"/>
  <c r="G21" i="57"/>
  <c r="B21" i="57"/>
  <c r="AA21" i="57" s="1"/>
  <c r="AS20" i="57"/>
  <c r="AR20" i="57"/>
  <c r="Z20" i="57"/>
  <c r="S20" i="57"/>
  <c r="Q20" i="57"/>
  <c r="J20" i="57"/>
  <c r="I20" i="57"/>
  <c r="H20" i="57"/>
  <c r="G20" i="57"/>
  <c r="AV20" i="57" s="1"/>
  <c r="AS19" i="57"/>
  <c r="AR19" i="57"/>
  <c r="Z19" i="57"/>
  <c r="S19" i="57"/>
  <c r="Q19" i="57"/>
  <c r="I19" i="57"/>
  <c r="H19" i="57"/>
  <c r="G19" i="57"/>
  <c r="AS18" i="57"/>
  <c r="AR18" i="57"/>
  <c r="Z18" i="57"/>
  <c r="S18" i="57"/>
  <c r="Q18" i="57"/>
  <c r="I18" i="57"/>
  <c r="H18" i="57"/>
  <c r="G18" i="57"/>
  <c r="AS17" i="57"/>
  <c r="AR17" i="57"/>
  <c r="Z17" i="57"/>
  <c r="S17" i="57"/>
  <c r="Q17" i="57"/>
  <c r="I17" i="57"/>
  <c r="H17" i="57"/>
  <c r="G17" i="57"/>
  <c r="J17" i="57" s="1"/>
  <c r="AS16" i="57"/>
  <c r="AR16" i="57"/>
  <c r="Z16" i="57"/>
  <c r="S16" i="57"/>
  <c r="Q16" i="57"/>
  <c r="I16" i="57"/>
  <c r="H120" i="57" s="1"/>
  <c r="H16" i="57"/>
  <c r="G16" i="57"/>
  <c r="D120" i="57" s="1"/>
  <c r="B137" i="57" s="1"/>
  <c r="B16" i="57"/>
  <c r="AA16" i="57" s="1"/>
  <c r="AY15" i="57"/>
  <c r="AV15" i="57"/>
  <c r="AM14" i="57"/>
  <c r="AJ14" i="57"/>
  <c r="H14" i="57"/>
  <c r="B10" i="57"/>
  <c r="C9" i="57"/>
  <c r="B141" i="57" s="1"/>
  <c r="D7" i="57"/>
  <c r="V5" i="57"/>
  <c r="E5" i="57"/>
  <c r="C4" i="57"/>
  <c r="E3" i="57"/>
  <c r="C3" i="57"/>
  <c r="C12" i="57" s="1"/>
  <c r="B12" i="57" s="1"/>
  <c r="AV2" i="57"/>
  <c r="T2" i="57" a="1"/>
  <c r="T2" i="57" s="1"/>
  <c r="C10" i="11" a="1"/>
  <c r="C10" i="11" s="1"/>
  <c r="G14" i="13"/>
  <c r="D849" i="40"/>
  <c r="D1351" i="40"/>
  <c r="AO14" i="57" l="1"/>
  <c r="J16" i="57"/>
  <c r="B17" i="57"/>
  <c r="AT20" i="57"/>
  <c r="AV16" i="57"/>
  <c r="J18" i="57"/>
  <c r="AV18" i="57" s="1"/>
  <c r="J19" i="57"/>
  <c r="U120" i="57"/>
  <c r="G120" i="57"/>
  <c r="B138" i="57" s="1"/>
  <c r="C118" i="57"/>
  <c r="D118" i="57" s="1"/>
  <c r="AV118" i="57" s="1"/>
  <c r="AY16" i="57"/>
  <c r="AY17" i="57" s="1"/>
  <c r="AY18" i="57" s="1"/>
  <c r="AY19" i="57" s="1"/>
  <c r="AY20" i="57" s="1"/>
  <c r="AY21" i="57" s="1"/>
  <c r="AY22" i="57" s="1"/>
  <c r="AY23" i="57" s="1"/>
  <c r="AY24" i="57" s="1"/>
  <c r="AY25" i="57" s="1"/>
  <c r="AY26" i="57" s="1"/>
  <c r="AY27" i="57" s="1"/>
  <c r="AY28" i="57" s="1"/>
  <c r="AY29" i="57" s="1"/>
  <c r="AY30" i="57" s="1"/>
  <c r="AY31" i="57" s="1"/>
  <c r="AY32" i="57" s="1"/>
  <c r="AY33" i="57" s="1"/>
  <c r="AY34" i="57" s="1"/>
  <c r="AY35" i="57" s="1"/>
  <c r="AY36" i="57" s="1"/>
  <c r="AY37" i="57" s="1"/>
  <c r="AY38" i="57" s="1"/>
  <c r="AY39" i="57" s="1"/>
  <c r="AY40" i="57" s="1"/>
  <c r="AY41" i="57" s="1"/>
  <c r="AY42" i="57" s="1"/>
  <c r="AY43" i="57" s="1"/>
  <c r="AY44" i="57" s="1"/>
  <c r="AY45" i="57" s="1"/>
  <c r="AY46" i="57" s="1"/>
  <c r="AY47" i="57" s="1"/>
  <c r="AY48" i="57" s="1"/>
  <c r="AY49" i="57" s="1"/>
  <c r="AY50" i="57" s="1"/>
  <c r="AY51" i="57" s="1"/>
  <c r="AY52" i="57" s="1"/>
  <c r="AY53" i="57" s="1"/>
  <c r="AY54" i="57" s="1"/>
  <c r="AY55" i="57" s="1"/>
  <c r="AY56" i="57" s="1"/>
  <c r="AY57" i="57" s="1"/>
  <c r="AY58" i="57" s="1"/>
  <c r="AY59" i="57" s="1"/>
  <c r="AY60" i="57" s="1"/>
  <c r="AY61" i="57" s="1"/>
  <c r="AY62" i="57" s="1"/>
  <c r="AY63" i="57" s="1"/>
  <c r="AY64" i="57" s="1"/>
  <c r="AY65" i="57" s="1"/>
  <c r="AY66" i="57" s="1"/>
  <c r="AY67" i="57" s="1"/>
  <c r="AY68" i="57" s="1"/>
  <c r="AY69" i="57" s="1"/>
  <c r="AY70" i="57" s="1"/>
  <c r="AY71" i="57" s="1"/>
  <c r="AY72" i="57" s="1"/>
  <c r="AY73" i="57" s="1"/>
  <c r="AY74" i="57" s="1"/>
  <c r="AY75" i="57" s="1"/>
  <c r="AY76" i="57" s="1"/>
  <c r="AY77" i="57" s="1"/>
  <c r="AY78" i="57" s="1"/>
  <c r="AY79" i="57" s="1"/>
  <c r="AY80" i="57" s="1"/>
  <c r="AY81" i="57" s="1"/>
  <c r="AY82" i="57" s="1"/>
  <c r="AY83" i="57" s="1"/>
  <c r="AY84" i="57" s="1"/>
  <c r="AY85" i="57" s="1"/>
  <c r="AY86" i="57" s="1"/>
  <c r="AY87" i="57" s="1"/>
  <c r="AY88" i="57" s="1"/>
  <c r="AY89" i="57" s="1"/>
  <c r="AY90" i="57" s="1"/>
  <c r="AY91" i="57" s="1"/>
  <c r="AY92" i="57" s="1"/>
  <c r="AY93" i="57" s="1"/>
  <c r="AY94" i="57" s="1"/>
  <c r="AY95" i="57" s="1"/>
  <c r="AY96" i="57" s="1"/>
  <c r="AY97" i="57" s="1"/>
  <c r="AY98" i="57" s="1"/>
  <c r="AY99" i="57" s="1"/>
  <c r="AY100" i="57" s="1"/>
  <c r="AY101" i="57" s="1"/>
  <c r="AY102" i="57" s="1"/>
  <c r="AY103" i="57" s="1"/>
  <c r="AY104" i="57" s="1"/>
  <c r="AY105" i="57" s="1"/>
  <c r="AY106" i="57" s="1"/>
  <c r="AY107" i="57" s="1"/>
  <c r="AY108" i="57" s="1"/>
  <c r="AY109" i="57" s="1"/>
  <c r="AY110" i="57" s="1"/>
  <c r="AY111" i="57" s="1"/>
  <c r="AY112" i="57" s="1"/>
  <c r="AY113" i="57" s="1"/>
  <c r="AY114" i="57" s="1"/>
  <c r="AY115" i="57" s="1"/>
  <c r="AY116" i="57" s="1"/>
  <c r="AV17" i="57"/>
  <c r="AV19" i="57"/>
  <c r="AV21" i="57"/>
  <c r="AV23" i="57"/>
  <c r="AV27" i="57"/>
  <c r="AV32" i="57"/>
  <c r="AV42" i="57"/>
  <c r="AV48" i="57"/>
  <c r="AV58" i="57"/>
  <c r="AV60" i="57"/>
  <c r="AV64" i="57"/>
  <c r="AV120" i="57"/>
  <c r="B147" i="57"/>
  <c r="B129" i="57"/>
  <c r="AV46" i="57"/>
  <c r="D52" i="56"/>
  <c r="D53" i="56" s="1"/>
  <c r="D54" i="56" s="1"/>
  <c r="D55" i="56" s="1"/>
  <c r="D56" i="56" s="1"/>
  <c r="D57" i="56" s="1"/>
  <c r="C34" i="56"/>
  <c r="L34" i="56"/>
  <c r="M34" i="56" s="1"/>
  <c r="C33" i="56"/>
  <c r="L33" i="56"/>
  <c r="M33" i="56" s="1"/>
  <c r="C32" i="56"/>
  <c r="L32" i="56"/>
  <c r="M32" i="56" s="1"/>
  <c r="C31" i="56"/>
  <c r="L31" i="56"/>
  <c r="M31" i="56" s="1"/>
  <c r="C35" i="56"/>
  <c r="L28" i="56"/>
  <c r="M28" i="56" s="1"/>
  <c r="L29" i="56"/>
  <c r="M29" i="56" s="1"/>
  <c r="L30" i="56"/>
  <c r="M30" i="56" s="1"/>
  <c r="L35" i="56"/>
  <c r="M35" i="56" s="1"/>
  <c r="C28" i="56"/>
  <c r="C29" i="56"/>
  <c r="C30" i="56"/>
  <c r="C36" i="56"/>
  <c r="L36" i="56"/>
  <c r="M36" i="56" s="1"/>
  <c r="L27" i="56"/>
  <c r="M27" i="56" s="1"/>
  <c r="C27" i="56"/>
  <c r="L26" i="56"/>
  <c r="M26" i="56" s="1"/>
  <c r="C26" i="56"/>
  <c r="D20" i="56"/>
  <c r="D19" i="56"/>
  <c r="D18" i="56"/>
  <c r="I3" i="56"/>
  <c r="I9" i="56" s="1"/>
  <c r="H3" i="56"/>
  <c r="H10" i="56" s="1"/>
  <c r="G3" i="56"/>
  <c r="G7" i="56" s="1"/>
  <c r="F3" i="56"/>
  <c r="F8" i="56" s="1"/>
  <c r="C2" i="40"/>
  <c r="AA17" i="57" l="1"/>
  <c r="B18" i="57"/>
  <c r="AT16" i="57"/>
  <c r="I34" i="56"/>
  <c r="I32" i="56"/>
  <c r="F34" i="56"/>
  <c r="G34" i="56"/>
  <c r="H34" i="56"/>
  <c r="I31" i="56"/>
  <c r="F33" i="56"/>
  <c r="G33" i="56"/>
  <c r="I33" i="56"/>
  <c r="H33" i="56"/>
  <c r="H32" i="56"/>
  <c r="G32" i="56"/>
  <c r="F32" i="56"/>
  <c r="F31" i="56"/>
  <c r="H31" i="56"/>
  <c r="G31" i="56"/>
  <c r="G28" i="56"/>
  <c r="I28" i="56"/>
  <c r="F28" i="56"/>
  <c r="I30" i="56"/>
  <c r="H28" i="56"/>
  <c r="I35" i="56"/>
  <c r="F29" i="56"/>
  <c r="H35" i="56"/>
  <c r="G35" i="56"/>
  <c r="F35" i="56"/>
  <c r="H30" i="56"/>
  <c r="G30" i="56"/>
  <c r="F30" i="56"/>
  <c r="I29" i="56"/>
  <c r="G29" i="56"/>
  <c r="H29" i="56"/>
  <c r="F26" i="56"/>
  <c r="H5" i="56"/>
  <c r="I27" i="56"/>
  <c r="I6" i="56"/>
  <c r="F9" i="56"/>
  <c r="I26" i="56"/>
  <c r="F27" i="56"/>
  <c r="H9" i="56"/>
  <c r="G26" i="56"/>
  <c r="G27" i="56"/>
  <c r="F7" i="56"/>
  <c r="H26" i="56"/>
  <c r="H27" i="56"/>
  <c r="F5" i="56"/>
  <c r="H7" i="56"/>
  <c r="H36" i="56"/>
  <c r="I36" i="56"/>
  <c r="F36" i="56"/>
  <c r="G36" i="56"/>
  <c r="I10" i="56"/>
  <c r="G5" i="56"/>
  <c r="F6" i="56"/>
  <c r="I7" i="56"/>
  <c r="H8" i="56"/>
  <c r="G9" i="56"/>
  <c r="F10" i="56"/>
  <c r="I8" i="56"/>
  <c r="G8" i="56"/>
  <c r="G6" i="56"/>
  <c r="G10" i="56"/>
  <c r="I5" i="56"/>
  <c r="H6" i="56"/>
  <c r="AA115" i="51"/>
  <c r="AA114" i="51"/>
  <c r="AA113" i="51"/>
  <c r="AA112" i="51"/>
  <c r="AA111" i="51"/>
  <c r="AA110" i="51"/>
  <c r="AA109" i="51"/>
  <c r="AA108" i="51"/>
  <c r="AA107" i="51"/>
  <c r="AA106" i="51"/>
  <c r="AA105" i="51"/>
  <c r="AA104" i="51"/>
  <c r="AA103" i="51"/>
  <c r="AA102" i="51"/>
  <c r="AA101" i="51"/>
  <c r="AA100" i="51"/>
  <c r="AA99" i="51"/>
  <c r="AA98" i="51"/>
  <c r="AA97" i="51"/>
  <c r="AA96" i="51"/>
  <c r="AA95" i="51"/>
  <c r="AA94" i="51"/>
  <c r="AA93" i="51"/>
  <c r="AA92" i="51"/>
  <c r="AA91" i="51"/>
  <c r="AA90" i="51"/>
  <c r="AA89" i="51"/>
  <c r="AA88" i="51"/>
  <c r="AA87" i="51"/>
  <c r="AA86" i="51"/>
  <c r="AA85" i="51"/>
  <c r="AA84" i="51"/>
  <c r="AA83" i="51"/>
  <c r="AA82" i="51"/>
  <c r="AA81" i="51"/>
  <c r="AA80" i="51"/>
  <c r="AA79" i="51"/>
  <c r="AA78" i="51"/>
  <c r="AA77" i="51"/>
  <c r="AA76" i="51"/>
  <c r="AA75" i="51"/>
  <c r="AA74" i="51"/>
  <c r="AA73" i="51"/>
  <c r="AA72" i="51"/>
  <c r="AA71" i="51"/>
  <c r="AA70" i="51"/>
  <c r="AA69" i="51"/>
  <c r="AA68" i="51"/>
  <c r="AA67" i="51"/>
  <c r="AA66" i="51"/>
  <c r="AA65" i="51"/>
  <c r="AA64" i="51"/>
  <c r="AA63" i="51"/>
  <c r="AA62" i="51"/>
  <c r="AA61" i="51"/>
  <c r="AA60" i="51"/>
  <c r="AA59" i="51"/>
  <c r="AA58" i="51"/>
  <c r="AA57" i="51"/>
  <c r="AA56" i="51"/>
  <c r="AA55" i="51"/>
  <c r="AA54" i="51"/>
  <c r="AA53" i="51"/>
  <c r="AA52" i="51"/>
  <c r="AA51" i="51"/>
  <c r="AA50" i="51"/>
  <c r="AA49" i="51"/>
  <c r="AA48" i="51"/>
  <c r="AA47" i="51"/>
  <c r="AA46" i="51"/>
  <c r="AA45" i="51"/>
  <c r="AA44" i="51"/>
  <c r="AA43" i="51"/>
  <c r="AA42" i="51"/>
  <c r="AA41" i="51"/>
  <c r="AA40" i="51"/>
  <c r="AA39" i="51"/>
  <c r="AA38" i="51"/>
  <c r="AA37" i="51"/>
  <c r="AA36" i="51"/>
  <c r="AA35" i="51"/>
  <c r="AA34" i="51"/>
  <c r="AA33" i="51"/>
  <c r="AA32" i="51"/>
  <c r="AA31" i="51"/>
  <c r="AA30" i="51"/>
  <c r="AA29" i="51"/>
  <c r="AA28" i="51"/>
  <c r="AA27" i="51"/>
  <c r="AA26" i="51"/>
  <c r="AA25" i="51"/>
  <c r="AA24" i="51"/>
  <c r="AA23" i="51"/>
  <c r="AA22" i="51"/>
  <c r="AA21" i="51"/>
  <c r="AA20" i="51"/>
  <c r="AA19" i="51"/>
  <c r="AA18" i="51"/>
  <c r="AA17" i="51"/>
  <c r="AA16" i="51"/>
  <c r="AA115" i="50"/>
  <c r="AA114" i="50"/>
  <c r="AA113" i="50"/>
  <c r="AA112" i="50"/>
  <c r="AA111" i="50"/>
  <c r="AA110" i="50"/>
  <c r="AA109" i="50"/>
  <c r="AA108" i="50"/>
  <c r="AA107" i="50"/>
  <c r="AA106" i="50"/>
  <c r="AA105" i="50"/>
  <c r="AA104" i="50"/>
  <c r="AA103" i="50"/>
  <c r="AA102" i="50"/>
  <c r="AA101" i="50"/>
  <c r="AA100" i="50"/>
  <c r="AA99" i="50"/>
  <c r="AA98" i="50"/>
  <c r="AA97" i="50"/>
  <c r="AA96" i="50"/>
  <c r="AA95" i="50"/>
  <c r="AA94" i="50"/>
  <c r="AA93" i="50"/>
  <c r="AA92" i="50"/>
  <c r="AA91" i="50"/>
  <c r="AA90" i="50"/>
  <c r="AA89" i="50"/>
  <c r="AA88" i="50"/>
  <c r="AA87" i="50"/>
  <c r="AA86" i="50"/>
  <c r="AA85" i="50"/>
  <c r="AA84" i="50"/>
  <c r="AA83" i="50"/>
  <c r="AA82" i="50"/>
  <c r="AA81" i="50"/>
  <c r="AA80" i="50"/>
  <c r="AA79" i="50"/>
  <c r="AA78" i="50"/>
  <c r="AA77" i="50"/>
  <c r="AA76" i="50"/>
  <c r="AA75" i="50"/>
  <c r="AA74" i="50"/>
  <c r="AA73" i="50"/>
  <c r="AA72" i="50"/>
  <c r="AA71" i="50"/>
  <c r="AA70" i="50"/>
  <c r="AA69" i="50"/>
  <c r="AA68" i="50"/>
  <c r="AA67" i="50"/>
  <c r="AA66" i="50"/>
  <c r="AA65" i="50"/>
  <c r="AA64" i="50"/>
  <c r="AA63" i="50"/>
  <c r="AA62" i="50"/>
  <c r="AA61" i="50"/>
  <c r="AA60" i="50"/>
  <c r="AA59" i="50"/>
  <c r="AA58" i="50"/>
  <c r="AA57" i="50"/>
  <c r="AA56" i="50"/>
  <c r="AA55" i="50"/>
  <c r="AA54" i="50"/>
  <c r="AA53" i="50"/>
  <c r="AA52" i="50"/>
  <c r="AA51" i="50"/>
  <c r="AA50" i="50"/>
  <c r="AA49" i="50"/>
  <c r="AA48" i="50"/>
  <c r="AA47" i="50"/>
  <c r="AA46" i="50"/>
  <c r="AA45" i="50"/>
  <c r="AA44" i="50"/>
  <c r="AA43" i="50"/>
  <c r="AA42" i="50"/>
  <c r="AA41" i="50"/>
  <c r="AA40" i="50"/>
  <c r="AA39" i="50"/>
  <c r="AA38" i="50"/>
  <c r="AA37" i="50"/>
  <c r="AA36" i="50"/>
  <c r="AA35" i="50"/>
  <c r="AA34" i="50"/>
  <c r="AA33" i="50"/>
  <c r="AA32" i="50"/>
  <c r="AA31" i="50"/>
  <c r="AA30" i="50"/>
  <c r="AA29" i="50"/>
  <c r="AA28" i="50"/>
  <c r="AA27" i="50"/>
  <c r="AA26" i="50"/>
  <c r="AA25" i="50"/>
  <c r="AA24" i="50"/>
  <c r="AA23" i="50"/>
  <c r="AA22" i="50"/>
  <c r="AA21" i="50"/>
  <c r="AA20" i="50"/>
  <c r="AA19" i="50"/>
  <c r="AA18" i="50"/>
  <c r="AA17" i="50"/>
  <c r="AA16" i="50"/>
  <c r="AA115" i="49"/>
  <c r="AA114" i="49"/>
  <c r="AA113" i="49"/>
  <c r="AA112" i="49"/>
  <c r="AA111" i="49"/>
  <c r="AA110" i="49"/>
  <c r="AA109" i="49"/>
  <c r="AA108" i="49"/>
  <c r="AA107" i="49"/>
  <c r="AA106" i="49"/>
  <c r="AA105" i="49"/>
  <c r="AA104" i="49"/>
  <c r="AA103" i="49"/>
  <c r="AA102" i="49"/>
  <c r="AA101" i="49"/>
  <c r="AA100" i="49"/>
  <c r="AA99" i="49"/>
  <c r="AA98" i="49"/>
  <c r="AA97" i="49"/>
  <c r="AA96" i="49"/>
  <c r="AA95" i="49"/>
  <c r="AA94" i="49"/>
  <c r="AA93" i="49"/>
  <c r="AA92" i="49"/>
  <c r="AA91" i="49"/>
  <c r="AA90" i="49"/>
  <c r="AA89" i="49"/>
  <c r="AA88" i="49"/>
  <c r="AA87" i="49"/>
  <c r="AA86" i="49"/>
  <c r="AA85" i="49"/>
  <c r="AA84" i="49"/>
  <c r="AA83" i="49"/>
  <c r="AA82" i="49"/>
  <c r="AA81" i="49"/>
  <c r="AA80" i="49"/>
  <c r="AA79" i="49"/>
  <c r="AA78" i="49"/>
  <c r="AA77" i="49"/>
  <c r="AA76" i="49"/>
  <c r="AA75" i="49"/>
  <c r="AA74" i="49"/>
  <c r="AA73" i="49"/>
  <c r="AA72" i="49"/>
  <c r="AA71" i="49"/>
  <c r="AA70" i="49"/>
  <c r="AA69" i="49"/>
  <c r="AA68" i="49"/>
  <c r="AA67" i="49"/>
  <c r="AA66" i="49"/>
  <c r="AA65" i="49"/>
  <c r="AA64" i="49"/>
  <c r="AA63" i="49"/>
  <c r="AA62" i="49"/>
  <c r="AA61" i="49"/>
  <c r="AA60" i="49"/>
  <c r="AA59" i="49"/>
  <c r="AA58" i="49"/>
  <c r="AA57" i="49"/>
  <c r="AA56" i="49"/>
  <c r="AA55" i="49"/>
  <c r="AA54" i="49"/>
  <c r="AA53" i="49"/>
  <c r="AA52" i="49"/>
  <c r="AA51" i="49"/>
  <c r="AA50" i="49"/>
  <c r="AA49" i="49"/>
  <c r="AA48" i="49"/>
  <c r="AA47" i="49"/>
  <c r="AA46" i="49"/>
  <c r="AA45" i="49"/>
  <c r="AA44" i="49"/>
  <c r="AA43" i="49"/>
  <c r="AA42" i="49"/>
  <c r="AA41" i="49"/>
  <c r="AA40" i="49"/>
  <c r="AA39" i="49"/>
  <c r="AA38" i="49"/>
  <c r="AA37" i="49"/>
  <c r="AA36" i="49"/>
  <c r="AA35" i="49"/>
  <c r="AA34" i="49"/>
  <c r="AA33" i="49"/>
  <c r="AA32" i="49"/>
  <c r="AA31" i="49"/>
  <c r="AA30" i="49"/>
  <c r="AA29" i="49"/>
  <c r="AA28" i="49"/>
  <c r="AA27" i="49"/>
  <c r="AA26" i="49"/>
  <c r="AA25" i="49"/>
  <c r="AA24" i="49"/>
  <c r="AA23" i="49"/>
  <c r="AA22" i="49"/>
  <c r="AA21" i="49"/>
  <c r="AA20" i="49"/>
  <c r="AA19" i="49"/>
  <c r="AA18" i="49"/>
  <c r="AA17" i="49"/>
  <c r="AA16" i="49"/>
  <c r="AA115" i="38"/>
  <c r="AA114" i="38"/>
  <c r="AA113" i="38"/>
  <c r="AA112" i="38"/>
  <c r="AA111" i="38"/>
  <c r="AA110" i="38"/>
  <c r="AA109" i="38"/>
  <c r="AA108" i="38"/>
  <c r="AA107" i="38"/>
  <c r="AA106" i="38"/>
  <c r="AA105" i="38"/>
  <c r="AA104" i="38"/>
  <c r="AA103" i="38"/>
  <c r="AA102" i="38"/>
  <c r="AA101" i="38"/>
  <c r="AA100" i="38"/>
  <c r="AA99" i="38"/>
  <c r="AA98" i="38"/>
  <c r="AA97" i="38"/>
  <c r="AA96" i="38"/>
  <c r="AA95" i="38"/>
  <c r="AA94" i="38"/>
  <c r="AA93" i="38"/>
  <c r="AA92" i="38"/>
  <c r="AA91" i="38"/>
  <c r="AA90" i="38"/>
  <c r="AA89" i="38"/>
  <c r="AA88" i="38"/>
  <c r="AA87" i="38"/>
  <c r="AA86" i="38"/>
  <c r="AA85" i="38"/>
  <c r="AA84" i="38"/>
  <c r="AA83" i="38"/>
  <c r="AA82" i="38"/>
  <c r="AA81" i="38"/>
  <c r="AA80" i="38"/>
  <c r="AA79" i="38"/>
  <c r="AA78" i="38"/>
  <c r="AA77" i="38"/>
  <c r="AA76" i="38"/>
  <c r="AA75" i="38"/>
  <c r="AA74" i="38"/>
  <c r="AA73" i="38"/>
  <c r="AA72" i="38"/>
  <c r="AA71" i="38"/>
  <c r="AA70" i="38"/>
  <c r="AA69" i="38"/>
  <c r="AA68" i="38"/>
  <c r="AA67" i="38"/>
  <c r="AA66" i="38"/>
  <c r="AA65" i="38"/>
  <c r="AA64" i="38"/>
  <c r="AA63" i="38"/>
  <c r="AA62" i="38"/>
  <c r="AA61" i="38"/>
  <c r="AA60" i="38"/>
  <c r="AA59" i="38"/>
  <c r="AA58" i="38"/>
  <c r="AA57" i="38"/>
  <c r="AA56" i="38"/>
  <c r="AA55" i="38"/>
  <c r="AA54" i="38"/>
  <c r="AA53" i="38"/>
  <c r="AA52" i="38"/>
  <c r="AA51" i="38"/>
  <c r="AA50" i="38"/>
  <c r="AA49" i="38"/>
  <c r="AA48" i="38"/>
  <c r="AA47" i="38"/>
  <c r="AA46" i="38"/>
  <c r="AA45" i="38"/>
  <c r="AA44" i="38"/>
  <c r="AA43" i="38"/>
  <c r="AA42" i="38"/>
  <c r="AA41" i="38"/>
  <c r="AA40" i="38"/>
  <c r="AA39" i="38"/>
  <c r="AA38" i="38"/>
  <c r="AA37" i="38"/>
  <c r="AA36" i="38"/>
  <c r="AA35" i="38"/>
  <c r="AA34" i="38"/>
  <c r="AA33" i="38"/>
  <c r="AA32" i="38"/>
  <c r="AA31" i="38"/>
  <c r="AA30" i="38"/>
  <c r="AA29" i="38"/>
  <c r="AA28" i="38"/>
  <c r="AA27" i="38"/>
  <c r="AA26" i="38"/>
  <c r="AA25" i="38"/>
  <c r="AA24" i="38"/>
  <c r="AA23" i="38"/>
  <c r="AA22" i="38"/>
  <c r="AA21" i="38"/>
  <c r="AA20" i="38"/>
  <c r="AA19" i="38"/>
  <c r="AA18" i="38"/>
  <c r="AA17" i="38"/>
  <c r="AA16" i="38"/>
  <c r="AA115" i="34"/>
  <c r="AA114" i="34"/>
  <c r="AA113" i="34"/>
  <c r="AA112" i="34"/>
  <c r="AA111" i="34"/>
  <c r="AA110" i="34"/>
  <c r="AA109" i="34"/>
  <c r="AA108" i="34"/>
  <c r="AA107" i="34"/>
  <c r="AA106" i="34"/>
  <c r="AA105" i="34"/>
  <c r="AA104" i="34"/>
  <c r="AA103" i="34"/>
  <c r="AA102" i="34"/>
  <c r="AA101" i="34"/>
  <c r="AA100" i="34"/>
  <c r="AA99" i="34"/>
  <c r="AA98" i="34"/>
  <c r="AA97" i="34"/>
  <c r="AA96" i="34"/>
  <c r="AA95" i="34"/>
  <c r="AA94" i="34"/>
  <c r="AA93" i="34"/>
  <c r="AA92" i="34"/>
  <c r="AA91" i="34"/>
  <c r="AA90" i="34"/>
  <c r="AA89" i="34"/>
  <c r="AA88" i="34"/>
  <c r="AA87" i="34"/>
  <c r="AA86" i="34"/>
  <c r="AA85" i="34"/>
  <c r="AA84" i="34"/>
  <c r="AA83" i="34"/>
  <c r="AA82" i="34"/>
  <c r="AA81" i="34"/>
  <c r="AA80" i="34"/>
  <c r="AA79" i="34"/>
  <c r="AA78" i="34"/>
  <c r="AA77" i="34"/>
  <c r="AA76" i="34"/>
  <c r="AA75" i="34"/>
  <c r="AA74" i="34"/>
  <c r="AA73" i="34"/>
  <c r="AA72" i="34"/>
  <c r="AA71" i="34"/>
  <c r="AA70" i="34"/>
  <c r="AA69" i="34"/>
  <c r="AA68" i="34"/>
  <c r="AA67" i="34"/>
  <c r="AA66" i="34"/>
  <c r="AA65" i="34"/>
  <c r="AA64" i="34"/>
  <c r="AA63" i="34"/>
  <c r="AA62" i="34"/>
  <c r="AA61" i="34"/>
  <c r="AA60" i="34"/>
  <c r="AA59" i="34"/>
  <c r="AA58" i="34"/>
  <c r="AA57" i="34"/>
  <c r="AA56" i="34"/>
  <c r="AA55" i="34"/>
  <c r="AA54" i="34"/>
  <c r="AA53" i="34"/>
  <c r="AA52" i="34"/>
  <c r="AA51" i="34"/>
  <c r="AA50" i="34"/>
  <c r="AA49" i="34"/>
  <c r="AA48" i="34"/>
  <c r="AA47" i="34"/>
  <c r="AA46" i="34"/>
  <c r="AA45" i="34"/>
  <c r="AA44" i="34"/>
  <c r="AA43" i="34"/>
  <c r="AA42" i="34"/>
  <c r="AA41" i="34"/>
  <c r="AA40" i="34"/>
  <c r="AA39" i="34"/>
  <c r="AA38" i="34"/>
  <c r="AA37" i="34"/>
  <c r="AA36" i="34"/>
  <c r="AA35" i="34"/>
  <c r="AA34" i="34"/>
  <c r="AA33" i="34"/>
  <c r="AA32" i="34"/>
  <c r="AA31" i="34"/>
  <c r="AA30" i="34"/>
  <c r="AA29" i="34"/>
  <c r="AA28" i="34"/>
  <c r="AA27" i="34"/>
  <c r="AA26" i="34"/>
  <c r="AA25" i="34"/>
  <c r="AA24" i="34"/>
  <c r="AA23" i="34"/>
  <c r="AA22" i="34"/>
  <c r="AA21" i="34"/>
  <c r="AA20" i="34"/>
  <c r="AA19" i="34"/>
  <c r="AA18" i="34"/>
  <c r="AA17" i="34"/>
  <c r="AA16" i="34"/>
  <c r="AA115" i="30"/>
  <c r="AA114" i="30"/>
  <c r="AA113" i="30"/>
  <c r="AA112" i="30"/>
  <c r="AA111" i="30"/>
  <c r="AA110" i="30"/>
  <c r="AA109" i="30"/>
  <c r="AA108" i="30"/>
  <c r="AA107" i="30"/>
  <c r="AA106" i="30"/>
  <c r="AA105" i="30"/>
  <c r="AA104" i="30"/>
  <c r="AA103" i="30"/>
  <c r="AA102" i="30"/>
  <c r="AA101" i="30"/>
  <c r="AA100" i="30"/>
  <c r="AA99" i="30"/>
  <c r="AA98" i="30"/>
  <c r="AA97" i="30"/>
  <c r="AA96" i="30"/>
  <c r="AA95" i="30"/>
  <c r="AA94" i="30"/>
  <c r="AA93" i="30"/>
  <c r="AA92" i="30"/>
  <c r="AA91" i="30"/>
  <c r="AA90" i="30"/>
  <c r="AA89" i="30"/>
  <c r="AA88" i="30"/>
  <c r="AA87" i="30"/>
  <c r="AA86" i="30"/>
  <c r="AA85" i="30"/>
  <c r="AA84" i="30"/>
  <c r="AA83" i="30"/>
  <c r="AA82" i="30"/>
  <c r="AA81" i="30"/>
  <c r="AA80" i="30"/>
  <c r="AA79" i="30"/>
  <c r="AA78" i="30"/>
  <c r="AA77" i="30"/>
  <c r="AA76" i="30"/>
  <c r="AA75" i="30"/>
  <c r="AA74" i="30"/>
  <c r="AA73" i="30"/>
  <c r="AA72" i="30"/>
  <c r="AA71" i="30"/>
  <c r="AA70" i="30"/>
  <c r="AA69" i="30"/>
  <c r="AA68" i="30"/>
  <c r="AA67" i="30"/>
  <c r="AA66" i="30"/>
  <c r="AA65" i="30"/>
  <c r="AA64" i="30"/>
  <c r="AA63" i="30"/>
  <c r="AA62" i="30"/>
  <c r="AA61" i="30"/>
  <c r="AA60" i="30"/>
  <c r="AA59" i="30"/>
  <c r="AA58" i="30"/>
  <c r="AA57" i="30"/>
  <c r="AA56" i="30"/>
  <c r="AA55" i="30"/>
  <c r="AA54" i="30"/>
  <c r="AA53" i="30"/>
  <c r="AA52" i="30"/>
  <c r="AA51" i="30"/>
  <c r="AA50" i="30"/>
  <c r="AA49" i="30"/>
  <c r="AA48" i="30"/>
  <c r="AA47" i="30"/>
  <c r="AA46" i="30"/>
  <c r="AA45" i="30"/>
  <c r="AA44" i="30"/>
  <c r="AA43" i="30"/>
  <c r="AA42" i="30"/>
  <c r="AA41" i="30"/>
  <c r="AA40" i="30"/>
  <c r="AA39" i="30"/>
  <c r="AA38" i="30"/>
  <c r="AA37" i="30"/>
  <c r="AA36" i="30"/>
  <c r="AA35" i="30"/>
  <c r="AA34" i="30"/>
  <c r="AA33" i="30"/>
  <c r="AA32" i="30"/>
  <c r="AA30" i="30"/>
  <c r="AA29" i="30"/>
  <c r="AA28" i="30"/>
  <c r="AA27" i="30"/>
  <c r="AA26" i="30"/>
  <c r="AA25" i="30"/>
  <c r="AA24" i="30"/>
  <c r="AA23" i="30"/>
  <c r="AA22" i="30"/>
  <c r="AA21" i="30"/>
  <c r="AA20" i="30"/>
  <c r="AA19" i="30"/>
  <c r="AA18" i="30"/>
  <c r="AA17" i="30"/>
  <c r="AA16" i="30"/>
  <c r="AA115" i="42"/>
  <c r="AA114" i="42"/>
  <c r="AA113" i="42"/>
  <c r="AA112" i="42"/>
  <c r="AA111" i="42"/>
  <c r="AA110" i="42"/>
  <c r="AA109" i="42"/>
  <c r="AA108" i="42"/>
  <c r="AA107" i="42"/>
  <c r="AA106" i="42"/>
  <c r="AA105" i="42"/>
  <c r="AA104" i="42"/>
  <c r="AA103" i="42"/>
  <c r="AA102" i="42"/>
  <c r="AA101" i="42"/>
  <c r="AA100" i="42"/>
  <c r="AA99" i="42"/>
  <c r="AA98" i="42"/>
  <c r="AA97" i="42"/>
  <c r="AA96" i="42"/>
  <c r="AA95" i="42"/>
  <c r="AA94" i="42"/>
  <c r="AA93" i="42"/>
  <c r="AA92" i="42"/>
  <c r="AA91" i="42"/>
  <c r="AA90" i="42"/>
  <c r="AA89" i="42"/>
  <c r="AA88" i="42"/>
  <c r="AA87" i="42"/>
  <c r="AA86" i="42"/>
  <c r="AA85" i="42"/>
  <c r="AA84" i="42"/>
  <c r="AA83" i="42"/>
  <c r="AA82" i="42"/>
  <c r="AA81" i="42"/>
  <c r="AA80" i="42"/>
  <c r="AA79" i="42"/>
  <c r="AA78" i="42"/>
  <c r="AA77" i="42"/>
  <c r="AA76" i="42"/>
  <c r="AA75" i="42"/>
  <c r="AA74" i="42"/>
  <c r="AA73" i="42"/>
  <c r="AA72" i="42"/>
  <c r="AA71" i="42"/>
  <c r="AA70" i="42"/>
  <c r="AA69" i="42"/>
  <c r="AA68" i="42"/>
  <c r="AA67" i="42"/>
  <c r="AA66" i="42"/>
  <c r="AA65" i="42"/>
  <c r="AA64" i="42"/>
  <c r="AA63" i="42"/>
  <c r="AA62" i="42"/>
  <c r="AA61" i="42"/>
  <c r="AA60" i="42"/>
  <c r="AA59" i="42"/>
  <c r="AA58" i="42"/>
  <c r="AA57" i="42"/>
  <c r="AA56" i="42"/>
  <c r="AA55" i="42"/>
  <c r="AA54" i="42"/>
  <c r="AA53" i="42"/>
  <c r="AA52" i="42"/>
  <c r="AA51" i="42"/>
  <c r="AA50" i="42"/>
  <c r="AA49" i="42"/>
  <c r="AA48" i="42"/>
  <c r="AA47" i="42"/>
  <c r="AA46" i="42"/>
  <c r="AA45" i="42"/>
  <c r="AA44" i="42"/>
  <c r="AA43" i="42"/>
  <c r="AA42" i="42"/>
  <c r="AA41" i="42"/>
  <c r="AA40" i="42"/>
  <c r="AA39" i="42"/>
  <c r="AA38" i="42"/>
  <c r="AA37" i="42"/>
  <c r="AA36" i="42"/>
  <c r="AA35" i="42"/>
  <c r="AA34" i="42"/>
  <c r="AA33" i="42"/>
  <c r="AA32" i="42"/>
  <c r="AA31" i="42"/>
  <c r="AA30" i="42"/>
  <c r="AA29" i="42"/>
  <c r="AA28" i="42"/>
  <c r="AA27" i="42"/>
  <c r="AA26" i="42"/>
  <c r="AA25" i="42"/>
  <c r="AA24" i="42"/>
  <c r="AA23" i="42"/>
  <c r="AA22" i="42"/>
  <c r="AA21" i="42"/>
  <c r="AA20" i="42"/>
  <c r="AA19" i="42"/>
  <c r="AA18" i="42"/>
  <c r="AA17" i="42"/>
  <c r="AA16" i="42"/>
  <c r="AA115" i="44"/>
  <c r="AA114" i="44"/>
  <c r="AA113" i="44"/>
  <c r="AA112" i="44"/>
  <c r="AA111" i="44"/>
  <c r="AA110" i="44"/>
  <c r="AA109" i="44"/>
  <c r="AA108" i="44"/>
  <c r="AA107" i="44"/>
  <c r="AA106" i="44"/>
  <c r="AA105" i="44"/>
  <c r="AA104" i="44"/>
  <c r="AA103" i="44"/>
  <c r="AA102" i="44"/>
  <c r="AA101" i="44"/>
  <c r="AA100" i="44"/>
  <c r="AA99" i="44"/>
  <c r="AA98" i="44"/>
  <c r="AA97" i="44"/>
  <c r="AA96" i="44"/>
  <c r="AA95" i="44"/>
  <c r="AA94" i="44"/>
  <c r="AA93" i="44"/>
  <c r="AA92" i="44"/>
  <c r="AA91" i="44"/>
  <c r="AA90" i="44"/>
  <c r="AA89" i="44"/>
  <c r="AA88" i="44"/>
  <c r="AA87" i="44"/>
  <c r="AA86" i="44"/>
  <c r="AA85" i="44"/>
  <c r="AA84" i="44"/>
  <c r="AA83" i="44"/>
  <c r="AA82" i="44"/>
  <c r="AA81" i="44"/>
  <c r="AA80" i="44"/>
  <c r="AA79" i="44"/>
  <c r="AA78" i="44"/>
  <c r="AA77" i="44"/>
  <c r="AA76" i="44"/>
  <c r="AA75" i="44"/>
  <c r="AA74" i="44"/>
  <c r="AA73" i="44"/>
  <c r="AA72" i="44"/>
  <c r="AA71" i="44"/>
  <c r="AA70" i="44"/>
  <c r="AA69" i="44"/>
  <c r="AA68" i="44"/>
  <c r="AA67" i="44"/>
  <c r="AA66" i="44"/>
  <c r="AA65" i="44"/>
  <c r="AA64" i="44"/>
  <c r="AA63" i="44"/>
  <c r="AA62" i="44"/>
  <c r="AA61" i="44"/>
  <c r="AA60" i="44"/>
  <c r="AA59" i="44"/>
  <c r="AA58" i="44"/>
  <c r="AA57" i="44"/>
  <c r="AA56" i="44"/>
  <c r="AA55" i="44"/>
  <c r="AA54" i="44"/>
  <c r="AA53" i="44"/>
  <c r="AA52" i="44"/>
  <c r="AA51" i="44"/>
  <c r="AA50" i="44"/>
  <c r="AA49" i="44"/>
  <c r="AA48" i="44"/>
  <c r="AA47" i="44"/>
  <c r="AA46" i="44"/>
  <c r="AA45" i="44"/>
  <c r="AA44" i="44"/>
  <c r="AA43" i="44"/>
  <c r="AA42" i="44"/>
  <c r="AA41" i="44"/>
  <c r="AA40" i="44"/>
  <c r="AA39" i="44"/>
  <c r="AA38" i="44"/>
  <c r="AA37" i="44"/>
  <c r="AA36" i="44"/>
  <c r="AA35" i="44"/>
  <c r="AA34" i="44"/>
  <c r="AA33" i="44"/>
  <c r="AA32" i="44"/>
  <c r="AA31" i="44"/>
  <c r="AA30" i="44"/>
  <c r="AA29" i="44"/>
  <c r="AA28" i="44"/>
  <c r="AA27" i="44"/>
  <c r="AA26" i="44"/>
  <c r="AA25" i="44"/>
  <c r="AA24" i="44"/>
  <c r="AA23" i="44"/>
  <c r="AA22" i="44"/>
  <c r="AA21" i="44"/>
  <c r="AA20" i="44"/>
  <c r="AA19" i="44"/>
  <c r="AA18" i="44"/>
  <c r="AA17" i="44"/>
  <c r="AA16" i="44"/>
  <c r="AA115" i="46"/>
  <c r="AA114" i="46"/>
  <c r="AA113" i="46"/>
  <c r="AA112" i="46"/>
  <c r="AA111" i="46"/>
  <c r="AA110" i="46"/>
  <c r="AA109" i="46"/>
  <c r="AA108" i="46"/>
  <c r="AA107" i="46"/>
  <c r="AA106" i="46"/>
  <c r="AA105" i="46"/>
  <c r="AA104" i="46"/>
  <c r="AA103" i="46"/>
  <c r="AA102" i="46"/>
  <c r="AA101" i="46"/>
  <c r="AA100" i="46"/>
  <c r="AA99" i="46"/>
  <c r="AA98" i="46"/>
  <c r="AA97" i="46"/>
  <c r="AA96" i="46"/>
  <c r="AA95" i="46"/>
  <c r="AA94" i="46"/>
  <c r="AA93" i="46"/>
  <c r="AA92" i="46"/>
  <c r="AA91" i="46"/>
  <c r="AA90" i="46"/>
  <c r="AA89" i="46"/>
  <c r="AA88" i="46"/>
  <c r="AA87" i="46"/>
  <c r="AA86" i="46"/>
  <c r="AA85" i="46"/>
  <c r="AA84" i="46"/>
  <c r="AA83" i="46"/>
  <c r="AA82" i="46"/>
  <c r="AA81" i="46"/>
  <c r="AA80" i="46"/>
  <c r="AA79" i="46"/>
  <c r="AA78" i="46"/>
  <c r="AA77" i="46"/>
  <c r="AA76" i="46"/>
  <c r="AA75" i="46"/>
  <c r="AA74" i="46"/>
  <c r="AA73" i="46"/>
  <c r="AA72" i="46"/>
  <c r="AA71" i="46"/>
  <c r="AA70" i="46"/>
  <c r="AA69" i="46"/>
  <c r="AA68" i="46"/>
  <c r="AA67" i="46"/>
  <c r="AA66" i="46"/>
  <c r="AA65" i="46"/>
  <c r="AA64" i="46"/>
  <c r="AA63" i="46"/>
  <c r="AA62" i="46"/>
  <c r="AA61" i="46"/>
  <c r="AA60" i="46"/>
  <c r="AA59" i="46"/>
  <c r="AA58" i="46"/>
  <c r="AA57" i="46"/>
  <c r="AA56" i="46"/>
  <c r="AA55" i="46"/>
  <c r="AA54" i="46"/>
  <c r="AA53" i="46"/>
  <c r="AA52" i="46"/>
  <c r="AA51" i="46"/>
  <c r="AA50" i="46"/>
  <c r="AA49" i="46"/>
  <c r="AA48" i="46"/>
  <c r="AA47" i="46"/>
  <c r="AA46" i="46"/>
  <c r="AA45" i="46"/>
  <c r="AA44" i="46"/>
  <c r="AA43" i="46"/>
  <c r="AA42" i="46"/>
  <c r="AA41" i="46"/>
  <c r="AA40" i="46"/>
  <c r="AA39" i="46"/>
  <c r="AA38" i="46"/>
  <c r="AA37" i="46"/>
  <c r="AA36" i="46"/>
  <c r="AA35" i="46"/>
  <c r="AA34" i="46"/>
  <c r="AA33" i="46"/>
  <c r="AA32" i="46"/>
  <c r="AA31" i="46"/>
  <c r="AA30" i="46"/>
  <c r="AA29" i="46"/>
  <c r="AA28" i="46"/>
  <c r="AA27" i="46"/>
  <c r="AA26" i="46"/>
  <c r="AA25" i="46"/>
  <c r="AA24" i="46"/>
  <c r="AA23" i="46"/>
  <c r="AA22" i="46"/>
  <c r="AA21" i="46"/>
  <c r="AA20" i="46"/>
  <c r="AA19" i="46"/>
  <c r="AA18" i="46"/>
  <c r="AA17" i="46"/>
  <c r="AA16" i="46"/>
  <c r="AA115" i="41"/>
  <c r="AA114" i="41"/>
  <c r="AA113" i="41"/>
  <c r="AA112" i="41"/>
  <c r="AA111" i="41"/>
  <c r="AA110" i="41"/>
  <c r="AA109" i="41"/>
  <c r="AA108" i="41"/>
  <c r="AA107" i="41"/>
  <c r="AA106" i="41"/>
  <c r="AA105" i="41"/>
  <c r="AA104" i="41"/>
  <c r="AA103" i="41"/>
  <c r="AA102" i="41"/>
  <c r="AA101" i="41"/>
  <c r="AA100" i="41"/>
  <c r="AA99" i="41"/>
  <c r="AA98" i="41"/>
  <c r="AA97" i="41"/>
  <c r="AA96" i="41"/>
  <c r="AA95" i="41"/>
  <c r="AA94" i="41"/>
  <c r="AA93" i="41"/>
  <c r="AA92" i="41"/>
  <c r="AA91" i="41"/>
  <c r="AA90" i="41"/>
  <c r="AA89" i="41"/>
  <c r="AA88" i="41"/>
  <c r="AA87" i="41"/>
  <c r="AA86" i="41"/>
  <c r="AA85" i="41"/>
  <c r="AA84" i="41"/>
  <c r="AA83" i="41"/>
  <c r="AA82" i="41"/>
  <c r="AA81" i="41"/>
  <c r="AA80" i="41"/>
  <c r="AA79" i="41"/>
  <c r="AA78" i="41"/>
  <c r="AA77" i="41"/>
  <c r="AA76" i="41"/>
  <c r="AA75" i="41"/>
  <c r="AA74" i="41"/>
  <c r="AA73" i="41"/>
  <c r="AA72" i="41"/>
  <c r="AA71" i="41"/>
  <c r="AA70" i="41"/>
  <c r="AA69" i="41"/>
  <c r="AA68" i="41"/>
  <c r="AA67" i="41"/>
  <c r="AA66" i="41"/>
  <c r="AA65" i="41"/>
  <c r="AA64" i="41"/>
  <c r="AA63" i="41"/>
  <c r="AA62" i="41"/>
  <c r="AA61" i="41"/>
  <c r="AA60" i="41"/>
  <c r="AA59" i="41"/>
  <c r="AA58" i="41"/>
  <c r="AA57" i="41"/>
  <c r="AA56" i="41"/>
  <c r="AA55" i="41"/>
  <c r="AA54" i="41"/>
  <c r="AA53" i="41"/>
  <c r="AA52" i="41"/>
  <c r="AA51" i="41"/>
  <c r="AA50" i="41"/>
  <c r="AA49" i="41"/>
  <c r="AA48" i="41"/>
  <c r="AA47" i="41"/>
  <c r="AA46" i="41"/>
  <c r="AA45" i="41"/>
  <c r="AA44" i="41"/>
  <c r="AA43" i="41"/>
  <c r="AA42" i="41"/>
  <c r="AA41" i="41"/>
  <c r="AA40" i="41"/>
  <c r="AA39" i="41"/>
  <c r="AA38" i="41"/>
  <c r="AA37" i="41"/>
  <c r="AA36" i="41"/>
  <c r="AA35" i="41"/>
  <c r="AA34" i="41"/>
  <c r="AA33" i="41"/>
  <c r="AA32" i="41"/>
  <c r="AA31" i="41"/>
  <c r="AA30" i="41"/>
  <c r="AA29" i="41"/>
  <c r="AA28" i="41"/>
  <c r="AA27" i="41"/>
  <c r="AA26" i="41"/>
  <c r="AA25" i="41"/>
  <c r="AA24" i="41"/>
  <c r="AA23" i="41"/>
  <c r="AA22" i="41"/>
  <c r="AA21" i="41"/>
  <c r="AA20" i="41"/>
  <c r="AA19" i="41"/>
  <c r="AA18" i="41"/>
  <c r="AA17" i="41"/>
  <c r="AA16" i="41"/>
  <c r="AA115" i="54"/>
  <c r="AA114" i="54"/>
  <c r="AA113" i="54"/>
  <c r="AA112" i="54"/>
  <c r="AA111" i="54"/>
  <c r="AA110" i="54"/>
  <c r="AA109" i="54"/>
  <c r="AA108" i="54"/>
  <c r="AA107" i="54"/>
  <c r="AA106" i="54"/>
  <c r="AA105" i="54"/>
  <c r="AA104" i="54"/>
  <c r="AA103" i="54"/>
  <c r="AA102" i="54"/>
  <c r="AA101" i="54"/>
  <c r="AA100" i="54"/>
  <c r="AA99" i="54"/>
  <c r="AA98" i="54"/>
  <c r="AA97" i="54"/>
  <c r="AA96" i="54"/>
  <c r="AA95" i="54"/>
  <c r="AA94" i="54"/>
  <c r="AA93" i="54"/>
  <c r="AA92" i="54"/>
  <c r="AA91" i="54"/>
  <c r="AA90" i="54"/>
  <c r="AA89" i="54"/>
  <c r="AA88" i="54"/>
  <c r="AA87" i="54"/>
  <c r="AA86" i="54"/>
  <c r="AA85" i="54"/>
  <c r="AA84" i="54"/>
  <c r="AA83" i="54"/>
  <c r="AA82" i="54"/>
  <c r="AA81" i="54"/>
  <c r="AA80" i="54"/>
  <c r="AA79" i="54"/>
  <c r="AA78" i="54"/>
  <c r="AA77" i="54"/>
  <c r="AA76" i="54"/>
  <c r="AA75" i="54"/>
  <c r="AA74" i="54"/>
  <c r="AA73" i="54"/>
  <c r="AA72" i="54"/>
  <c r="AA71" i="54"/>
  <c r="AA70" i="54"/>
  <c r="AA69" i="54"/>
  <c r="AA68" i="54"/>
  <c r="AA67" i="54"/>
  <c r="AA66" i="54"/>
  <c r="AA65" i="54"/>
  <c r="AA64" i="54"/>
  <c r="AA63" i="54"/>
  <c r="AA62" i="54"/>
  <c r="AA61" i="54"/>
  <c r="AA60" i="54"/>
  <c r="AA59" i="54"/>
  <c r="AA58" i="54"/>
  <c r="AA57" i="54"/>
  <c r="AA56" i="54"/>
  <c r="AA55" i="54"/>
  <c r="AA54" i="54"/>
  <c r="AA53" i="54"/>
  <c r="AA52" i="54"/>
  <c r="AA51" i="54"/>
  <c r="AA50" i="54"/>
  <c r="AA49" i="54"/>
  <c r="AA48" i="54"/>
  <c r="AA47" i="54"/>
  <c r="AA46" i="54"/>
  <c r="AA45" i="54"/>
  <c r="AA44" i="54"/>
  <c r="AA43" i="54"/>
  <c r="AA42" i="54"/>
  <c r="AA41" i="54"/>
  <c r="AA40" i="54"/>
  <c r="AA39" i="54"/>
  <c r="AA38" i="54"/>
  <c r="AA37" i="54"/>
  <c r="AA36" i="54"/>
  <c r="AA35" i="54"/>
  <c r="AA34" i="54"/>
  <c r="AA33" i="54"/>
  <c r="AA32" i="54"/>
  <c r="AA31" i="54"/>
  <c r="AA30" i="54"/>
  <c r="AA29" i="54"/>
  <c r="AA28" i="54"/>
  <c r="AA27" i="54"/>
  <c r="AA26" i="54"/>
  <c r="AA25" i="54"/>
  <c r="AA24" i="54"/>
  <c r="AA23" i="54"/>
  <c r="AA22" i="54"/>
  <c r="AA21" i="54"/>
  <c r="AA20" i="54"/>
  <c r="AA19" i="54"/>
  <c r="AA18" i="54"/>
  <c r="AA17" i="54"/>
  <c r="AA16" i="54"/>
  <c r="E5" i="50"/>
  <c r="E5" i="49"/>
  <c r="E5" i="38"/>
  <c r="E5" i="34"/>
  <c r="E5" i="42"/>
  <c r="AM14" i="51"/>
  <c r="AO14" i="51" s="1"/>
  <c r="AJ14" i="51"/>
  <c r="AM14" i="50"/>
  <c r="AJ14" i="50"/>
  <c r="AM14" i="49"/>
  <c r="AJ14" i="49"/>
  <c r="AM14" i="38"/>
  <c r="AJ14" i="38"/>
  <c r="AM14" i="34"/>
  <c r="AO14" i="34" s="1"/>
  <c r="AJ14" i="34"/>
  <c r="AM14" i="30"/>
  <c r="AJ14" i="30"/>
  <c r="AM14" i="42"/>
  <c r="AJ14" i="42"/>
  <c r="AM14" i="44"/>
  <c r="AO14" i="44" s="1"/>
  <c r="AJ14" i="44"/>
  <c r="AM14" i="41"/>
  <c r="AJ14" i="41"/>
  <c r="AM14" i="46"/>
  <c r="AO14" i="46" s="1"/>
  <c r="AJ14" i="46"/>
  <c r="AT16" i="46"/>
  <c r="AT17" i="46"/>
  <c r="AT18" i="46"/>
  <c r="AT19" i="46"/>
  <c r="AT20" i="46"/>
  <c r="AT21" i="46"/>
  <c r="AT22" i="46"/>
  <c r="AT23" i="46"/>
  <c r="AT24" i="46"/>
  <c r="AT25" i="46"/>
  <c r="AT26" i="46"/>
  <c r="AT27" i="46"/>
  <c r="AT28" i="46"/>
  <c r="AT29" i="46"/>
  <c r="AT30" i="46"/>
  <c r="AT31" i="46"/>
  <c r="AT32" i="46"/>
  <c r="AT33" i="46"/>
  <c r="AT34" i="46"/>
  <c r="AT35" i="46"/>
  <c r="AT36" i="46"/>
  <c r="AT37" i="46"/>
  <c r="AT38" i="46"/>
  <c r="AT39" i="46"/>
  <c r="AT40" i="46"/>
  <c r="AT41" i="46"/>
  <c r="AT42" i="46"/>
  <c r="AT43" i="46"/>
  <c r="AT44" i="46"/>
  <c r="AT45" i="46"/>
  <c r="AT46" i="46"/>
  <c r="AT47" i="46"/>
  <c r="AT48" i="46"/>
  <c r="AT49" i="46"/>
  <c r="AT50" i="46"/>
  <c r="AT51" i="46"/>
  <c r="AT52" i="46"/>
  <c r="AT53" i="46"/>
  <c r="AT54" i="46"/>
  <c r="AT55" i="46"/>
  <c r="AT56" i="46"/>
  <c r="AT57" i="46"/>
  <c r="AT58" i="46"/>
  <c r="AT59" i="46"/>
  <c r="AT60" i="46"/>
  <c r="AT61" i="46"/>
  <c r="AT62" i="46"/>
  <c r="AT63" i="46"/>
  <c r="AT64" i="46"/>
  <c r="AT65" i="46"/>
  <c r="AT66" i="46"/>
  <c r="AT67" i="46"/>
  <c r="AT68" i="46"/>
  <c r="AT69" i="46"/>
  <c r="AT70" i="46"/>
  <c r="AT71" i="46"/>
  <c r="AT72" i="46"/>
  <c r="AT73" i="46"/>
  <c r="AT74" i="46"/>
  <c r="AT75" i="46"/>
  <c r="AT76" i="46"/>
  <c r="AT77" i="46"/>
  <c r="AT78" i="46"/>
  <c r="AT79" i="46"/>
  <c r="AT80" i="46"/>
  <c r="AT81" i="46"/>
  <c r="AT82" i="46"/>
  <c r="AT83" i="46"/>
  <c r="AT84" i="46"/>
  <c r="AT85" i="46"/>
  <c r="AT86" i="46"/>
  <c r="AT87" i="46"/>
  <c r="AT88" i="46"/>
  <c r="AT89" i="46"/>
  <c r="AT90" i="46"/>
  <c r="AT91" i="46"/>
  <c r="AT92" i="46"/>
  <c r="AT93" i="46"/>
  <c r="AT94" i="46"/>
  <c r="AT95" i="46"/>
  <c r="AT96" i="46"/>
  <c r="AT97" i="46"/>
  <c r="AT98" i="46"/>
  <c r="AT99" i="46"/>
  <c r="AT100" i="46"/>
  <c r="AT101" i="46"/>
  <c r="AT102" i="46"/>
  <c r="AT103" i="46"/>
  <c r="AT104" i="46"/>
  <c r="AT105" i="46"/>
  <c r="AT106" i="46"/>
  <c r="AT107" i="46"/>
  <c r="AT108" i="46"/>
  <c r="AT109" i="46"/>
  <c r="AT110" i="46"/>
  <c r="AT111" i="46"/>
  <c r="AT112" i="46"/>
  <c r="AT113" i="46"/>
  <c r="AT114" i="46"/>
  <c r="AT115" i="46"/>
  <c r="AT116" i="46"/>
  <c r="AM14" i="54"/>
  <c r="AJ14" i="54"/>
  <c r="Q29" i="45" a="1"/>
  <c r="Q40" i="45" a="1"/>
  <c r="Q34" i="45" a="1"/>
  <c r="Q41" i="45" a="1"/>
  <c r="Q30" i="45" a="1"/>
  <c r="Q31" i="45" a="1"/>
  <c r="Q32" i="45" a="1"/>
  <c r="Q37" i="45" a="1"/>
  <c r="Q28" i="45" a="1"/>
  <c r="Q42" i="45" a="1"/>
  <c r="Q27" i="45" a="1"/>
  <c r="Q35" i="45" a="1"/>
  <c r="Q26" i="45" a="1"/>
  <c r="Q33" i="45" a="1"/>
  <c r="Q36" i="45" a="1"/>
  <c r="Q39" i="45" a="1"/>
  <c r="Q38" i="45" a="1"/>
  <c r="A1351" i="40"/>
  <c r="F1851" i="40" a="1"/>
  <c r="A767" i="40" a="1"/>
  <c r="A701" i="40" a="1"/>
  <c r="A611" i="40" a="1"/>
  <c r="A522" i="40" a="1"/>
  <c r="A450" i="40" a="1"/>
  <c r="A382" i="40" a="1"/>
  <c r="A837" i="40" a="1"/>
  <c r="A748" i="40" a="1"/>
  <c r="A666" i="40" a="1"/>
  <c r="A579" i="40" a="1"/>
  <c r="A521" i="40" a="1"/>
  <c r="A429" i="40" a="1"/>
  <c r="A373" i="40" a="1"/>
  <c r="A283" i="40" a="1"/>
  <c r="A826" i="40" a="1"/>
  <c r="A735" i="40" a="1"/>
  <c r="A670" i="40" a="1"/>
  <c r="A584" i="40" a="1"/>
  <c r="A510" i="40" a="1"/>
  <c r="A416" i="40" a="1"/>
  <c r="A667" i="40" a="1"/>
  <c r="A361" i="40" a="1"/>
  <c r="A236" i="40" a="1"/>
  <c r="A164" i="40" a="1"/>
  <c r="A84" i="40" a="1"/>
  <c r="A623" i="40" a="1"/>
  <c r="A371" i="40" a="1"/>
  <c r="A231" i="40" a="1"/>
  <c r="A513" i="40" a="1"/>
  <c r="A217" i="40" a="1"/>
  <c r="A793" i="40" a="1"/>
  <c r="A687" i="40" a="1"/>
  <c r="A621" i="40" a="1"/>
  <c r="A567" i="40" a="1"/>
  <c r="A457" i="40" a="1"/>
  <c r="A368" i="40" a="1"/>
  <c r="A302" i="40" a="1"/>
  <c r="A774" i="40" a="1"/>
  <c r="A683" i="40" a="1"/>
  <c r="A617" i="40" a="1"/>
  <c r="A528" i="40" a="1"/>
  <c r="A463" i="40" a="1"/>
  <c r="A362" i="40" a="1"/>
  <c r="A305" i="40" a="1"/>
  <c r="A834" i="40" a="1"/>
  <c r="A752" i="40" a="1"/>
  <c r="A697" i="40" a="1"/>
  <c r="A606" i="40" a="1"/>
  <c r="A515" i="40" a="1"/>
  <c r="A460" i="40" a="1"/>
  <c r="A744" i="40" a="1"/>
  <c r="A425" i="40" a="1"/>
  <c r="A275" i="40" a="1"/>
  <c r="A188" i="40" a="1"/>
  <c r="A127" i="40" a="1"/>
  <c r="A700" i="40" a="1"/>
  <c r="A381" i="40" a="1"/>
  <c r="A247" i="40" a="1"/>
  <c r="A655" i="40" a="1"/>
  <c r="A235" i="40" a="1"/>
  <c r="A93" i="40" a="1"/>
  <c r="A831" i="40" a="1"/>
  <c r="A668" i="40" a="1"/>
  <c r="A514" i="40" a="1"/>
  <c r="A356" i="40" a="1"/>
  <c r="A738" i="40" a="1"/>
  <c r="A581" i="40" a="1"/>
  <c r="A435" i="40" a="1"/>
  <c r="A264" i="40" a="1"/>
  <c r="A722" i="40" a="1"/>
  <c r="A570" i="40" a="1"/>
  <c r="A424" i="40" a="1"/>
  <c r="A350" i="40" a="1"/>
  <c r="A147" i="40" a="1"/>
  <c r="A580" i="40" a="1"/>
  <c r="A214" i="40" a="1"/>
  <c r="A197" i="40" a="1"/>
  <c r="A364" i="40" a="1"/>
  <c r="A150" i="40" a="1"/>
  <c r="A808" i="40" a="1"/>
  <c r="A303" i="40" a="1"/>
  <c r="A152" i="40" a="1"/>
  <c r="A645" i="40" a="1"/>
  <c r="A821" i="40" a="1"/>
  <c r="A207" i="40" a="1"/>
  <c r="A160" i="40" a="1"/>
  <c r="A215" i="40" a="1"/>
  <c r="A276" i="40" a="1"/>
  <c r="A397" i="40" a="1"/>
  <c r="A185" i="40" a="1"/>
  <c r="A708" i="40" a="1"/>
  <c r="A411" i="40" a="1"/>
  <c r="A628" i="40" a="1"/>
  <c r="A785" i="40" a="1"/>
  <c r="A610" i="40" a="1"/>
  <c r="A462" i="40" a="1"/>
  <c r="A836" i="40" a="1"/>
  <c r="A699" i="40" a="1"/>
  <c r="A517" i="40" a="1"/>
  <c r="A384" i="40" a="1"/>
  <c r="A823" i="40" a="1"/>
  <c r="A688" i="40" a="1"/>
  <c r="A527" i="40" a="1"/>
  <c r="A713" i="40" a="1"/>
  <c r="A262" i="40" a="1"/>
  <c r="A105" i="40" a="1"/>
  <c r="A359" i="40" a="1"/>
  <c r="A604" i="40" a="1"/>
  <c r="A136" i="40" a="1"/>
  <c r="A251" i="40" a="1"/>
  <c r="A119" i="40" a="1"/>
  <c r="A631" i="40" a="1"/>
  <c r="A241" i="40" a="1"/>
  <c r="A122" i="40" a="1"/>
  <c r="A370" i="40" a="1"/>
  <c r="A646" i="40" a="1"/>
  <c r="A77" i="40" a="1"/>
  <c r="A126" i="40" a="1"/>
  <c r="A144" i="40" a="1"/>
  <c r="A191" i="40" a="1"/>
  <c r="A763" i="40" a="1"/>
  <c r="A142" i="40" a="1"/>
  <c r="A583" i="40" a="1"/>
  <c r="A820" i="40" a="1"/>
  <c r="A499" i="40" a="1"/>
  <c r="F848" i="40" a="1"/>
  <c r="A822" i="40" a="1"/>
  <c r="A749" i="40" a="1"/>
  <c r="A672" i="40" a="1"/>
  <c r="A576" i="40" a="1"/>
  <c r="A503" i="40" a="1"/>
  <c r="A412" i="40" a="1"/>
  <c r="A346" i="40" a="1"/>
  <c r="A809" i="40" a="1"/>
  <c r="A726" i="40" a="1"/>
  <c r="A638" i="40" a="1"/>
  <c r="A572" i="40" a="1"/>
  <c r="A495" i="40" a="1"/>
  <c r="A426" i="40" a="1"/>
  <c r="A353" i="40" a="1"/>
  <c r="A253" i="40" a="1"/>
  <c r="A814" i="40" a="1"/>
  <c r="A731" i="40" a="1"/>
  <c r="A625" i="40" a="1"/>
  <c r="A559" i="40" a="1"/>
  <c r="A492" i="40" a="1"/>
  <c r="A403" i="40" a="1"/>
  <c r="A601" i="40" a="1"/>
  <c r="A328" i="40" a="1"/>
  <c r="A225" i="40" a="1"/>
  <c r="A161" i="40" a="1"/>
  <c r="A64" i="40" a="1"/>
  <c r="A557" i="40" a="1"/>
  <c r="A327" i="40" a="1"/>
  <c r="A203" i="40" a="1"/>
  <c r="A386" i="40" a="1"/>
  <c r="A830" i="40" a="1"/>
  <c r="A760" i="40" a="1"/>
  <c r="A692" i="40" a="1"/>
  <c r="A602" i="40" a="1"/>
  <c r="A511" i="40" a="1"/>
  <c r="A447" i="40" a="1"/>
  <c r="A389" i="40" a="1"/>
  <c r="A829" i="40" a="1"/>
  <c r="A737" i="40" a="1"/>
  <c r="A679" i="40" a="1"/>
  <c r="A589" i="40" a="1"/>
  <c r="A512" i="40" a="1"/>
  <c r="A418" i="40" a="1"/>
  <c r="A352" i="40" a="1"/>
  <c r="A268" i="40" a="1"/>
  <c r="A812" i="40" a="1"/>
  <c r="A745" i="40" a="1"/>
  <c r="A658" i="40" a="1"/>
  <c r="A578" i="40" a="1"/>
  <c r="A494" i="40" a="1"/>
  <c r="A441" i="40" a="1"/>
  <c r="A677" i="40" a="1"/>
  <c r="A358" i="40" a="1"/>
  <c r="A254" i="40" a="1"/>
  <c r="A154" i="40" a="1"/>
  <c r="A73" i="40" a="1"/>
  <c r="A639" i="40" a="1"/>
  <c r="A348" i="40" a="1"/>
  <c r="A230" i="40" a="1"/>
  <c r="A480" i="40" a="1"/>
  <c r="A202" i="40" a="1"/>
  <c r="A88" i="40" a="1"/>
  <c r="A775" i="40" a="1"/>
  <c r="A622" i="40" a="1"/>
  <c r="A479" i="40" a="1"/>
  <c r="A317" i="40" a="1"/>
  <c r="A682" i="40" a="1"/>
  <c r="A558" i="40" a="1"/>
  <c r="A363" i="40" a="1"/>
  <c r="A229" i="40" a="1"/>
  <c r="A669" i="40" a="1"/>
  <c r="A543" i="40" a="1"/>
  <c r="A777" i="40" a="1"/>
  <c r="A273" i="40" a="1"/>
  <c r="A114" i="40" a="1"/>
  <c r="A414" i="40" a="1"/>
  <c r="A710" i="40" a="1"/>
  <c r="A138" i="40" a="1"/>
  <c r="A280" i="40" a="1"/>
  <c r="A132" i="40" a="1"/>
  <c r="A656" i="40" a="1"/>
  <c r="A250" i="40" a="1"/>
  <c r="A99" i="40" a="1"/>
  <c r="A444" i="40" a="1"/>
  <c r="A686" i="40" a="1"/>
  <c r="A92" i="40" a="1"/>
  <c r="A149" i="40" a="1"/>
  <c r="A104" i="40" a="1"/>
  <c r="A141" i="40" a="1"/>
  <c r="A246" i="40" a="1"/>
  <c r="A174" i="40" a="1"/>
  <c r="A644" i="40" a="1"/>
  <c r="A316" i="40" a="1"/>
  <c r="A556" i="40" a="1"/>
  <c r="A732" i="40" a="1"/>
  <c r="A587" i="40" a="1"/>
  <c r="A428" i="40" a="1"/>
  <c r="A797" i="40" a="1"/>
  <c r="A659" i="40" a="1"/>
  <c r="A484" i="40" a="1"/>
  <c r="A336" i="40" a="1"/>
  <c r="A790" i="40" a="1"/>
  <c r="A648" i="40" a="1"/>
  <c r="A471" i="40" a="1"/>
  <c r="A568" i="40" a="1"/>
  <c r="A205" i="40" a="1"/>
  <c r="A59" i="40" a="1"/>
  <c r="A293" i="40" a="1"/>
  <c r="A351" i="40" a="1"/>
  <c r="A98" i="40" a="1"/>
  <c r="A196" i="40" a="1"/>
  <c r="A118" i="40" a="1"/>
  <c r="A461" i="40" a="1"/>
  <c r="A184" i="40" a="1"/>
  <c r="A82" i="40" a="1"/>
  <c r="A304" i="40" a="1"/>
  <c r="A469" i="40" a="1"/>
  <c r="A63" i="40" a="1"/>
  <c r="I2" i="40" a="1"/>
  <c r="A70" i="40" a="1"/>
  <c r="A107" i="40" a="1"/>
  <c r="A436" i="40" a="1"/>
  <c r="A819" i="40" a="1"/>
  <c r="A523" i="40" a="1"/>
  <c r="F1350" i="40" a="1"/>
  <c r="A801" i="40" a="1"/>
  <c r="A723" i="40" a="1"/>
  <c r="A661" i="40" a="1"/>
  <c r="A555" i="40" a="1"/>
  <c r="A502" i="40" a="1"/>
  <c r="A405" i="40" a="1"/>
  <c r="A338" i="40" a="1"/>
  <c r="A781" i="40" a="1"/>
  <c r="A724" i="40" a="1"/>
  <c r="A642" i="40" a="1"/>
  <c r="A571" i="40" a="1"/>
  <c r="A485" i="40" a="1"/>
  <c r="A396" i="40" a="1"/>
  <c r="A312" i="40" a="1"/>
  <c r="A248" i="40" a="1"/>
  <c r="A768" i="40" a="1"/>
  <c r="A702" i="40" a="1"/>
  <c r="A626" i="40" a="1"/>
  <c r="A532" i="40" a="1"/>
  <c r="A474" i="40" a="1"/>
  <c r="A383" i="40" a="1"/>
  <c r="A534" i="40" a="1"/>
  <c r="A295" i="40" a="1"/>
  <c r="A221" i="40" a="1"/>
  <c r="A117" i="40" a="1"/>
  <c r="A810" i="40" a="1"/>
  <c r="A488" i="40" a="1"/>
  <c r="A294" i="40" a="1"/>
  <c r="A832" i="40" a="1"/>
  <c r="A291" i="40" a="1"/>
  <c r="A803" i="40" a="1"/>
  <c r="A741" i="40" a="1"/>
  <c r="A654" i="40" a="1"/>
  <c r="A590" i="40" a="1"/>
  <c r="A506" i="40" a="1"/>
  <c r="A437" i="40" a="1"/>
  <c r="A335" i="40" a="1"/>
  <c r="A815" i="40" a="1"/>
  <c r="A716" i="40" a="1"/>
  <c r="A627" i="40" a="1"/>
  <c r="A561" i="40" a="1"/>
  <c r="A496" i="40" a="1"/>
  <c r="A404" i="40" a="1"/>
  <c r="A345" i="40" a="1"/>
  <c r="A242" i="40" a="1"/>
  <c r="A811" i="40" a="1"/>
  <c r="A714" i="40" a="1"/>
  <c r="A657" i="40" a="1"/>
  <c r="A548" i="40" a="1"/>
  <c r="A482" i="40" a="1"/>
  <c r="A408" i="40" a="1"/>
  <c r="A598" i="40" a="1"/>
  <c r="A342" i="40" a="1"/>
  <c r="A216" i="40" a="1"/>
  <c r="A139" i="40" a="1"/>
  <c r="A65" i="40" a="1"/>
  <c r="A573" i="40" a="1"/>
  <c r="B1351" i="40"/>
  <c r="A637" i="40" a="1"/>
  <c r="A314" i="40" a="1"/>
  <c r="A551" i="40" a="1"/>
  <c r="A220" i="40" a="1"/>
  <c r="A526" i="40" a="1"/>
  <c r="A274" i="40" a="1"/>
  <c r="A415" i="40" a="1"/>
  <c r="A802" i="40" a="1"/>
  <c r="A478" i="40" a="1"/>
  <c r="A704" i="40" a="1"/>
  <c r="A385" i="40" a="1"/>
  <c r="A691" i="40" a="1"/>
  <c r="A833" i="40" a="1"/>
  <c r="A106" i="40" a="1"/>
  <c r="A269" i="40" a="1"/>
  <c r="A292" i="40" a="1"/>
  <c r="A349" i="40" a="1"/>
  <c r="A545" i="40" a="1"/>
  <c r="A791" i="40" a="1"/>
  <c r="A452" i="40" a="1"/>
  <c r="A780" i="40" a="1"/>
  <c r="A449" i="40" a="1"/>
  <c r="A181" i="40" a="1"/>
  <c r="A287" i="40" a="1"/>
  <c r="A83" i="40" a="1"/>
  <c r="A71" i="40" a="1"/>
  <c r="A175" i="40" a="1"/>
  <c r="A272" i="40" a="1"/>
  <c r="A195" i="40" a="1"/>
  <c r="A594" i="40" a="1"/>
  <c r="A591" i="40" a="1"/>
  <c r="A467" i="40" a="1"/>
  <c r="A813" i="40" a="1"/>
  <c r="A500" i="40" a="1"/>
  <c r="A719" i="40" a="1"/>
  <c r="A417" i="40" a="1"/>
  <c r="A721" i="40" a="1"/>
  <c r="A400" i="40" a="1"/>
  <c r="A140" i="40" a="1"/>
  <c r="A219" i="40" a="1"/>
  <c r="A320" i="40" a="1"/>
  <c r="A755" i="40" a="1"/>
  <c r="A158" i="40" a="1"/>
  <c r="A788" i="40" a="1"/>
  <c r="A137" i="40" a="1"/>
  <c r="A334" i="40" a="1"/>
  <c r="A87" i="40" a="1"/>
  <c r="A393" i="40" a="1"/>
  <c r="A407" i="40" a="1"/>
  <c r="A665" i="40" a="1"/>
  <c r="A560" i="40" a="1"/>
  <c r="A367" i="40" a="1"/>
  <c r="A753" i="40" a="1"/>
  <c r="A600" i="40" a="1"/>
  <c r="A440" i="40" a="1"/>
  <c r="A282" i="40" a="1"/>
  <c r="A746" i="40" a="1"/>
  <c r="A582" i="40" a="1"/>
  <c r="A427" i="40" a="1"/>
  <c r="A392" i="40" a="1"/>
  <c r="A173" i="40" a="1"/>
  <c r="A681" i="40" a="1"/>
  <c r="A252" i="40" a="1"/>
  <c r="A198" i="40" a="1"/>
  <c r="A177" i="40" a="1"/>
  <c r="A224" i="40" a="1"/>
  <c r="A298" i="40" a="1"/>
  <c r="A159" i="40" a="1"/>
  <c r="A240" i="40" a="1"/>
  <c r="A430" i="40" a="1"/>
  <c r="A308" i="40" a="1"/>
  <c r="A193" i="40" a="1"/>
  <c r="A736" i="40" a="1"/>
  <c r="A378" i="40" a="1"/>
  <c r="A341" i="40" a="1"/>
  <c r="A634" i="40" a="1"/>
  <c r="A456" i="40" a="1"/>
  <c r="A538" i="40" a="1"/>
  <c r="A120" i="40" a="1"/>
  <c r="A756" i="40" a="1"/>
  <c r="A176" i="40" a="1"/>
  <c r="A271" i="40" a="1"/>
  <c r="A186" i="40" a="1"/>
  <c r="A279" i="40" a="1"/>
  <c r="A96" i="40" a="1"/>
  <c r="A209" i="40" a="1"/>
  <c r="A163" i="40" a="1"/>
  <c r="A204" i="40" a="1"/>
  <c r="A153" i="40" a="1"/>
  <c r="A85" i="40" a="1"/>
  <c r="A129" i="40" a="1"/>
  <c r="A535" i="40" a="1"/>
  <c r="A306" i="40" a="1"/>
  <c r="A544" i="40" a="1"/>
  <c r="A323" i="40" a="1"/>
  <c r="A593" i="40" a="1"/>
  <c r="A491" i="40" a="1"/>
  <c r="A116" i="40" a="1"/>
  <c r="A94" i="40" a="1"/>
  <c r="A569" i="40" a="1"/>
  <c r="A771" i="40" a="1"/>
  <c r="A263" i="40" a="1"/>
  <c r="A162" i="40" a="1"/>
  <c r="A439" i="40" a="1"/>
  <c r="A103" i="40" a="1"/>
  <c r="A566" i="40" a="1"/>
  <c r="A473" i="40" a="1"/>
  <c r="A483" i="40" a="1"/>
  <c r="A307" i="40" a="1"/>
  <c r="A800" i="40" a="1"/>
  <c r="A148" i="40" a="1"/>
  <c r="A243" i="40" a="1"/>
  <c r="A131" i="40" a="1"/>
  <c r="A151" i="40" a="1"/>
  <c r="F1349" i="40" a="1"/>
  <c r="A565" i="40" a="1"/>
  <c r="A782" i="40" a="1"/>
  <c r="A458" i="40" a="1"/>
  <c r="A765" i="40" a="1"/>
  <c r="A459" i="40" a="1"/>
  <c r="A199" i="40" a="1"/>
  <c r="A260" i="40" a="1"/>
  <c r="A730" i="40" a="1"/>
  <c r="A402" i="40" a="1"/>
  <c r="A635" i="40" a="1"/>
  <c r="A313" i="40" a="1"/>
  <c r="A620" i="40" a="1"/>
  <c r="A516" i="40" a="1"/>
  <c r="A766" i="40" a="1"/>
  <c r="A192" i="40" a="1"/>
  <c r="A169" i="40" a="1"/>
  <c r="A742" i="40" a="1"/>
  <c r="A423" i="40" a="1"/>
  <c r="A649" i="40" a="1"/>
  <c r="A330" i="40" a="1"/>
  <c r="A636" i="40" a="1"/>
  <c r="A624" i="40" a="1"/>
  <c r="A76" i="40" a="1"/>
  <c r="A406" i="40" a="1"/>
  <c r="A218" i="40" a="1"/>
  <c r="A490" i="40" a="1"/>
  <c r="A109" i="40" a="1"/>
  <c r="A525" i="40" a="1"/>
  <c r="B5" i="40" a="1"/>
  <c r="A130" i="40" a="1"/>
  <c r="A110" i="40" a="1"/>
  <c r="A759" i="40" a="1"/>
  <c r="A676" i="40" a="1"/>
  <c r="A357" i="40" a="1"/>
  <c r="A609" i="40" a="1"/>
  <c r="A296" i="40" a="1"/>
  <c r="A592" i="40" a="1"/>
  <c r="A422" i="40" a="1"/>
  <c r="A703" i="40" a="1"/>
  <c r="A226" i="40" a="1"/>
  <c r="A183" i="40" a="1"/>
  <c r="A339" i="40" a="1"/>
  <c r="A818" i="40" a="1"/>
  <c r="A787" i="40" a="1"/>
  <c r="A121" i="40" a="1"/>
  <c r="A540" i="40" a="1"/>
  <c r="A754" i="40" a="1"/>
  <c r="A747" i="40" a="1"/>
  <c r="A796" i="40" a="1"/>
  <c r="A632" i="40" a="1"/>
  <c r="A501" i="40" a="1"/>
  <c r="A347" i="40" a="1"/>
  <c r="A725" i="40" a="1"/>
  <c r="A539" i="40" a="1"/>
  <c r="A401" i="40" a="1"/>
  <c r="A257" i="40" a="1"/>
  <c r="A720" i="40" a="1"/>
  <c r="A562" i="40" a="1"/>
  <c r="A394" i="40" a="1"/>
  <c r="A331" i="40" a="1"/>
  <c r="A128" i="40" a="1"/>
  <c r="A507" i="40" a="1"/>
  <c r="A210" i="40" a="1"/>
  <c r="A165" i="40" a="1"/>
  <c r="A743" i="40" a="1"/>
  <c r="A680" i="40" a="1"/>
  <c r="A95" i="40" a="1"/>
  <c r="A290" i="40" a="1"/>
  <c r="A115" i="40" a="1"/>
  <c r="A171" i="40" a="1"/>
  <c r="A448" i="40" a="1"/>
  <c r="A372" i="40" a="1"/>
  <c r="A577" i="40" a="1"/>
  <c r="A61" i="40" a="1"/>
  <c r="A798" i="40" a="1"/>
  <c r="A237" i="40" a="1"/>
  <c r="A108" i="40" a="1"/>
  <c r="A187" i="40" a="1"/>
  <c r="A789" i="40" a="1"/>
  <c r="A270" i="40" a="1"/>
  <c r="A337" i="40" a="1"/>
  <c r="A433" i="40" a="1"/>
  <c r="A166" i="40" a="1"/>
  <c r="A206" i="40" a="1"/>
  <c r="A391" i="40" a="1"/>
  <c r="O2" i="40" a="1"/>
  <c r="A455" i="40" a="1"/>
  <c r="A678" i="40" a="1"/>
  <c r="A78" i="40" a="1"/>
  <c r="A647" i="40" a="1"/>
  <c r="A239" i="40" a="1"/>
  <c r="A75" i="40" a="1"/>
  <c r="A375" i="40" a="1"/>
  <c r="A770" i="40" a="1"/>
  <c r="A369" i="40" a="1"/>
  <c r="A799" i="40" a="1"/>
  <c r="A228" i="40" a="1"/>
  <c r="A208" i="40" a="1"/>
  <c r="A588" i="40" a="1"/>
  <c r="A709" i="40" a="1"/>
  <c r="A650" i="40" a="1"/>
  <c r="A633" i="40" a="1"/>
  <c r="A824" i="40" a="1"/>
  <c r="A374" i="40" a="1"/>
  <c r="A232" i="40" a="1"/>
  <c r="A419" i="40" a="1"/>
  <c r="A86" i="40" a="1"/>
  <c r="A764" i="40" a="1"/>
  <c r="A470" i="40" a="1"/>
  <c r="A671" i="40" a="1"/>
  <c r="A395" i="40" a="1"/>
  <c r="A705" i="40" a="1"/>
  <c r="A778" i="40" a="1"/>
  <c r="A111" i="40" a="1"/>
  <c r="A694" i="40" a="1"/>
  <c r="A653" i="40" a="1"/>
  <c r="A319" i="40" a="1"/>
  <c r="A536" i="40" a="1"/>
  <c r="A227" i="40" a="1"/>
  <c r="A547" i="40" a="1"/>
  <c r="A309" i="40" a="1"/>
  <c r="A472" i="40" a="1"/>
  <c r="A807" i="40" a="1"/>
  <c r="A143" i="40" a="1"/>
  <c r="A711" i="40" a="1"/>
  <c r="A390" i="40" a="1"/>
  <c r="A616" i="40" a="1"/>
  <c r="A297" i="40" a="1"/>
  <c r="A603" i="40" a="1"/>
  <c r="A481" i="40" a="1"/>
  <c r="A733" i="40" a="1"/>
  <c r="A258" i="40" a="1"/>
  <c r="A182" i="40" a="1"/>
  <c r="A360" i="40" a="1"/>
  <c r="A67" i="40" a="1"/>
  <c r="A89" i="40" a="1"/>
  <c r="A100" i="40" a="1"/>
  <c r="A734" i="40" a="1"/>
  <c r="A786" i="40" a="1"/>
  <c r="A693" i="40" a="1"/>
  <c r="A643" i="40" a="1"/>
  <c r="A324" i="40" a="1"/>
  <c r="A550" i="40" a="1"/>
  <c r="A265" i="40" a="1"/>
  <c r="A537" i="40" a="1"/>
  <c r="A318" i="40" a="1"/>
  <c r="A524" i="40" a="1"/>
  <c r="A170" i="40" a="1"/>
  <c r="A155" i="40" a="1"/>
  <c r="A281" i="40" a="1"/>
  <c r="A612" i="40" a="1"/>
  <c r="A133" i="40" a="1"/>
  <c r="A259" i="40" a="1"/>
  <c r="A301" i="40" a="1"/>
  <c r="A675" i="40" a="1"/>
  <c r="A660" i="40" a="1"/>
  <c r="A776" i="40" a="1"/>
  <c r="A599" i="40" a="1"/>
  <c r="A451" i="40" a="1"/>
  <c r="A825" i="40" a="1"/>
  <c r="A690" i="40" a="1"/>
  <c r="A529" i="40" a="1"/>
  <c r="A380" i="40" a="1"/>
  <c r="A835" i="40" a="1"/>
  <c r="A664" i="40" a="1"/>
  <c r="A518" i="40" a="1"/>
  <c r="A715" i="40" a="1"/>
  <c r="A249" i="40" a="1"/>
  <c r="A546" i="40" a="1"/>
  <c r="A549" i="40" a="1"/>
  <c r="A712" i="40" a="1"/>
  <c r="A60" i="40" a="1"/>
  <c r="A614" i="40" a="1"/>
  <c r="B6" i="40" a="1"/>
  <c r="A757" i="40" a="1"/>
  <c r="A804" i="40" a="1"/>
  <c r="A125" i="40" a="1"/>
  <c r="A66" i="40" a="1"/>
  <c r="A468" i="40" a="1"/>
  <c r="A758" i="40" a="1"/>
  <c r="A438" i="40" a="1"/>
  <c r="A72" i="40" a="1"/>
  <c r="A238" i="40" a="1"/>
  <c r="A595" i="40" a="1"/>
  <c r="A792" i="40" a="1"/>
  <c r="A315" i="40" a="1"/>
  <c r="A554" i="40" a="1"/>
  <c r="A329" i="40" a="1"/>
  <c r="A689" i="40" a="1"/>
  <c r="A285" i="40" a="1"/>
  <c r="A489" i="40" a="1"/>
  <c r="A505" i="40" a="1"/>
  <c r="A97" i="40" a="1"/>
  <c r="A698" i="40" a="1"/>
  <c r="A379" i="40" a="1"/>
  <c r="A605" i="40" a="1"/>
  <c r="A286" i="40" a="1"/>
  <c r="A615" i="40" a="1"/>
  <c r="A445" i="40" a="1"/>
  <c r="A727" i="40" a="1"/>
  <c r="A261" i="40" a="1"/>
  <c r="A477" i="40" a="1"/>
  <c r="A466" i="40" a="1"/>
  <c r="A213" i="40" a="1"/>
  <c r="A62" i="40" a="1"/>
  <c r="A493" i="40" a="1"/>
  <c r="A340" i="40" a="1"/>
  <c r="A325" i="40" a="1"/>
  <c r="A533" i="40" a="1"/>
  <c r="A446" i="40" a="1"/>
  <c r="A172" i="40" a="1"/>
  <c r="A81" i="40" a="1"/>
  <c r="A180" i="40" a="1"/>
  <c r="A434" i="40" a="1"/>
  <c r="A413" i="40" a="1"/>
  <c r="A779" i="40" a="1"/>
  <c r="A194" i="40" a="1"/>
  <c r="A284" i="40" a="1"/>
  <c r="A769" i="40" a="1"/>
  <c r="A74" i="40" a="1"/>
  <c r="A326" i="40" a="1"/>
  <c r="A504" i="40" a="1"/>
  <c r="A613" i="40" a="1"/>
  <c r="A206" i="40" l="1"/>
  <c r="A279" i="40"/>
  <c r="A151" i="40"/>
  <c r="A306" i="40"/>
  <c r="A166" i="40"/>
  <c r="A186" i="40"/>
  <c r="A613" i="40"/>
  <c r="A375" i="40"/>
  <c r="A433" i="40"/>
  <c r="A271" i="40"/>
  <c r="A97" i="40"/>
  <c r="A535" i="40"/>
  <c r="A337" i="40"/>
  <c r="A176" i="40"/>
  <c r="A86" i="40"/>
  <c r="A75" i="40"/>
  <c r="A270" i="40"/>
  <c r="A756" i="40"/>
  <c r="A505" i="40"/>
  <c r="A614" i="40"/>
  <c r="A789" i="40"/>
  <c r="A120" i="40"/>
  <c r="A504" i="40"/>
  <c r="A129" i="40"/>
  <c r="A187" i="40"/>
  <c r="A538" i="40"/>
  <c r="A131" i="40"/>
  <c r="A239" i="40"/>
  <c r="A108" i="40"/>
  <c r="A456" i="40"/>
  <c r="A326" i="40"/>
  <c r="A85" i="40"/>
  <c r="A237" i="40"/>
  <c r="A634" i="40"/>
  <c r="A489" i="40"/>
  <c r="A647" i="40"/>
  <c r="A798" i="40"/>
  <c r="A341" i="40"/>
  <c r="A419" i="40"/>
  <c r="A60" i="40"/>
  <c r="A61" i="40"/>
  <c r="A378" i="40"/>
  <c r="A243" i="40"/>
  <c r="A153" i="40"/>
  <c r="A577" i="40"/>
  <c r="A736" i="40"/>
  <c r="A74" i="40"/>
  <c r="A78" i="40"/>
  <c r="A372" i="40"/>
  <c r="A193" i="40"/>
  <c r="A285" i="40"/>
  <c r="A204" i="40"/>
  <c r="A448" i="40"/>
  <c r="A308" i="40"/>
  <c r="A148" i="40"/>
  <c r="A712" i="40"/>
  <c r="A171" i="40"/>
  <c r="A430" i="40"/>
  <c r="A232" i="40"/>
  <c r="A678" i="40"/>
  <c r="A115" i="40"/>
  <c r="A240" i="40"/>
  <c r="A689" i="40"/>
  <c r="A163" i="40"/>
  <c r="A290" i="40"/>
  <c r="A159" i="40"/>
  <c r="A769" i="40"/>
  <c r="A455" i="40"/>
  <c r="A95" i="40"/>
  <c r="A298" i="40"/>
  <c r="A800" i="40"/>
  <c r="A549" i="40"/>
  <c r="A680" i="40"/>
  <c r="A224" i="40"/>
  <c r="A374" i="40"/>
  <c r="A209" i="40"/>
  <c r="A743" i="40"/>
  <c r="A177" i="40"/>
  <c r="A284" i="40"/>
  <c r="O2" i="40"/>
  <c r="D47" i="40" s="1"/>
  <c r="A165" i="40"/>
  <c r="A198" i="40"/>
  <c r="A329" i="40"/>
  <c r="A546" i="40"/>
  <c r="A210" i="40"/>
  <c r="A252" i="40"/>
  <c r="A307" i="40"/>
  <c r="A391" i="40"/>
  <c r="A507" i="40"/>
  <c r="A681" i="40"/>
  <c r="A824" i="40"/>
  <c r="A96" i="40"/>
  <c r="A128" i="40"/>
  <c r="A173" i="40"/>
  <c r="A194" i="40"/>
  <c r="A249" i="40"/>
  <c r="A331" i="40"/>
  <c r="A392" i="40"/>
  <c r="A554" i="40"/>
  <c r="A715" i="40"/>
  <c r="A394" i="40"/>
  <c r="A427" i="40"/>
  <c r="A483" i="40"/>
  <c r="A518" i="40"/>
  <c r="A562" i="40"/>
  <c r="A582" i="40"/>
  <c r="A633" i="40"/>
  <c r="A664" i="40"/>
  <c r="A720" i="40"/>
  <c r="A746" i="40"/>
  <c r="A779" i="40"/>
  <c r="A835" i="40"/>
  <c r="A257" i="40"/>
  <c r="A282" i="40"/>
  <c r="A315" i="40"/>
  <c r="A380" i="40"/>
  <c r="A401" i="40"/>
  <c r="A440" i="40"/>
  <c r="A473" i="40"/>
  <c r="A529" i="40"/>
  <c r="A539" i="40"/>
  <c r="A600" i="40"/>
  <c r="A650" i="40"/>
  <c r="A690" i="40"/>
  <c r="A725" i="40"/>
  <c r="A753" i="40"/>
  <c r="A792" i="40"/>
  <c r="A825" i="40"/>
  <c r="A347" i="40"/>
  <c r="A367" i="40"/>
  <c r="A413" i="40"/>
  <c r="A451" i="40"/>
  <c r="A501" i="40"/>
  <c r="A560" i="40"/>
  <c r="A566" i="40"/>
  <c r="A599" i="40"/>
  <c r="A632" i="40"/>
  <c r="A665" i="40"/>
  <c r="A709" i="40"/>
  <c r="A776" i="40"/>
  <c r="A796" i="40"/>
  <c r="A407" i="40"/>
  <c r="A499" i="40"/>
  <c r="A595" i="40"/>
  <c r="A660" i="40"/>
  <c r="A747" i="40"/>
  <c r="A820" i="40"/>
  <c r="A393" i="40"/>
  <c r="A434" i="40"/>
  <c r="A523" i="40"/>
  <c r="A583" i="40"/>
  <c r="A675" i="40"/>
  <c r="A754" i="40"/>
  <c r="A819" i="40"/>
  <c r="A142" i="40"/>
  <c r="A87" i="40"/>
  <c r="A103" i="40"/>
  <c r="A436" i="40"/>
  <c r="A763" i="40"/>
  <c r="A301" i="40"/>
  <c r="A540" i="40"/>
  <c r="A107" i="40"/>
  <c r="A191" i="40"/>
  <c r="A334" i="40"/>
  <c r="A439" i="40"/>
  <c r="A70" i="40"/>
  <c r="A144" i="40"/>
  <c r="A259" i="40"/>
  <c r="A121" i="40"/>
  <c r="I2" i="40"/>
  <c r="CA191" i="11" s="1"/>
  <c r="A126" i="40"/>
  <c r="A137" i="40"/>
  <c r="A180" i="40"/>
  <c r="A63" i="40"/>
  <c r="A77" i="40"/>
  <c r="A133" i="40"/>
  <c r="A787" i="40"/>
  <c r="A469" i="40"/>
  <c r="A646" i="40"/>
  <c r="A788" i="40"/>
  <c r="A238" i="40"/>
  <c r="A304" i="40"/>
  <c r="A370" i="40"/>
  <c r="A612" i="40"/>
  <c r="A818" i="40"/>
  <c r="A82" i="40"/>
  <c r="A122" i="40"/>
  <c r="A158" i="40"/>
  <c r="A162" i="40"/>
  <c r="A184" i="40"/>
  <c r="A241" i="40"/>
  <c r="A281" i="40"/>
  <c r="A339" i="40"/>
  <c r="A461" i="40"/>
  <c r="A631" i="40"/>
  <c r="A755" i="40"/>
  <c r="A81" i="40"/>
  <c r="A118" i="40"/>
  <c r="A119" i="40"/>
  <c r="A155" i="40"/>
  <c r="A183" i="40"/>
  <c r="A196" i="40"/>
  <c r="A251" i="40"/>
  <c r="A320" i="40"/>
  <c r="A72" i="40"/>
  <c r="A98" i="40"/>
  <c r="A136" i="40"/>
  <c r="A170" i="40"/>
  <c r="A226" i="40"/>
  <c r="A351" i="40"/>
  <c r="A604" i="40"/>
  <c r="A219" i="40"/>
  <c r="A263" i="40"/>
  <c r="A293" i="40"/>
  <c r="A359" i="40"/>
  <c r="A524" i="40"/>
  <c r="A703" i="40"/>
  <c r="A59" i="40"/>
  <c r="A105" i="40"/>
  <c r="A140" i="40"/>
  <c r="A172" i="40"/>
  <c r="A205" i="40"/>
  <c r="A262" i="40"/>
  <c r="A318" i="40"/>
  <c r="A422" i="40"/>
  <c r="A568" i="40"/>
  <c r="A713" i="40"/>
  <c r="A400" i="40"/>
  <c r="A438" i="40"/>
  <c r="A471" i="40"/>
  <c r="A527" i="40"/>
  <c r="A537" i="40"/>
  <c r="A592" i="40"/>
  <c r="A648" i="40"/>
  <c r="A688" i="40"/>
  <c r="A721" i="40"/>
  <c r="A771" i="40"/>
  <c r="A790" i="40"/>
  <c r="A823" i="40"/>
  <c r="A265" i="40"/>
  <c r="A296" i="40"/>
  <c r="A336" i="40"/>
  <c r="A384" i="40"/>
  <c r="A417" i="40"/>
  <c r="A446" i="40"/>
  <c r="A484" i="40"/>
  <c r="A517" i="40"/>
  <c r="A550" i="40"/>
  <c r="A609" i="40"/>
  <c r="A659" i="40"/>
  <c r="A699" i="40"/>
  <c r="A719" i="40"/>
  <c r="A758" i="40"/>
  <c r="A797" i="40"/>
  <c r="A836" i="40"/>
  <c r="A324" i="40"/>
  <c r="A357" i="40"/>
  <c r="A428" i="40"/>
  <c r="A462" i="40"/>
  <c r="A500" i="40"/>
  <c r="A569" i="40"/>
  <c r="A587" i="40"/>
  <c r="A610" i="40"/>
  <c r="A643" i="40"/>
  <c r="A676" i="40"/>
  <c r="A732" i="40"/>
  <c r="A785" i="40"/>
  <c r="A813" i="40"/>
  <c r="A468" i="40"/>
  <c r="A556" i="40"/>
  <c r="A628" i="40"/>
  <c r="A693" i="40"/>
  <c r="A759" i="40"/>
  <c r="A316" i="40"/>
  <c r="A411" i="40"/>
  <c r="A467" i="40"/>
  <c r="A533" i="40"/>
  <c r="A644" i="40"/>
  <c r="A708" i="40"/>
  <c r="A786" i="40"/>
  <c r="A110" i="40"/>
  <c r="A174" i="40"/>
  <c r="A185" i="40"/>
  <c r="A591" i="40"/>
  <c r="A588" i="40"/>
  <c r="A246" i="40"/>
  <c r="A397" i="40"/>
  <c r="A734" i="40"/>
  <c r="A130" i="40"/>
  <c r="A141" i="40"/>
  <c r="A276" i="40"/>
  <c r="A594" i="40"/>
  <c r="A94" i="40"/>
  <c r="A104" i="40"/>
  <c r="A215" i="40"/>
  <c r="A100" i="40"/>
  <c r="B5" i="40"/>
  <c r="A149" i="40"/>
  <c r="A160" i="40"/>
  <c r="A195" i="40"/>
  <c r="A66" i="40"/>
  <c r="A92" i="40"/>
  <c r="A207" i="40"/>
  <c r="A89" i="40"/>
  <c r="A525" i="40"/>
  <c r="A686" i="40"/>
  <c r="A821" i="40"/>
  <c r="A272" i="40"/>
  <c r="A325" i="40"/>
  <c r="A444" i="40"/>
  <c r="A645" i="40"/>
  <c r="A67" i="40"/>
  <c r="A109" i="40"/>
  <c r="A99" i="40"/>
  <c r="A152" i="40"/>
  <c r="A175" i="40"/>
  <c r="A208" i="40"/>
  <c r="A250" i="40"/>
  <c r="A303" i="40"/>
  <c r="A360" i="40"/>
  <c r="A490" i="40"/>
  <c r="A656" i="40"/>
  <c r="A808" i="40"/>
  <c r="A71" i="40"/>
  <c r="A116" i="40"/>
  <c r="A132" i="40"/>
  <c r="A150" i="40"/>
  <c r="A182" i="40"/>
  <c r="A218" i="40"/>
  <c r="A280" i="40"/>
  <c r="A364" i="40"/>
  <c r="A83" i="40"/>
  <c r="A125" i="40"/>
  <c r="A138" i="40"/>
  <c r="A197" i="40"/>
  <c r="A258" i="40"/>
  <c r="A406" i="40"/>
  <c r="A710" i="40"/>
  <c r="A214" i="40"/>
  <c r="A287" i="40"/>
  <c r="A340" i="40"/>
  <c r="A414" i="40"/>
  <c r="A580" i="40"/>
  <c r="A733" i="40"/>
  <c r="A76" i="40"/>
  <c r="A114" i="40"/>
  <c r="A147" i="40"/>
  <c r="A181" i="40"/>
  <c r="A228" i="40"/>
  <c r="A273" i="40"/>
  <c r="A350" i="40"/>
  <c r="A481" i="40"/>
  <c r="A624" i="40"/>
  <c r="A777" i="40"/>
  <c r="A424" i="40"/>
  <c r="A449" i="40"/>
  <c r="A491" i="40"/>
  <c r="A543" i="40"/>
  <c r="A570" i="40"/>
  <c r="A603" i="40"/>
  <c r="A636" i="40"/>
  <c r="A669" i="40"/>
  <c r="A722" i="40"/>
  <c r="A780" i="40"/>
  <c r="A804" i="40"/>
  <c r="A229" i="40"/>
  <c r="A264" i="40"/>
  <c r="A297" i="40"/>
  <c r="A330" i="40"/>
  <c r="A363" i="40"/>
  <c r="A435" i="40"/>
  <c r="A452" i="40"/>
  <c r="A493" i="40"/>
  <c r="A558" i="40"/>
  <c r="A581" i="40"/>
  <c r="A616" i="40"/>
  <c r="A649" i="40"/>
  <c r="A682" i="40"/>
  <c r="A738" i="40"/>
  <c r="A791" i="40"/>
  <c r="A799" i="40"/>
  <c r="A317" i="40"/>
  <c r="A356" i="40"/>
  <c r="A390" i="40"/>
  <c r="A423" i="40"/>
  <c r="A479" i="40"/>
  <c r="A514" i="40"/>
  <c r="A545" i="40"/>
  <c r="A593" i="40"/>
  <c r="A622" i="40"/>
  <c r="A668" i="40"/>
  <c r="A711" i="40"/>
  <c r="A742" i="40"/>
  <c r="A775" i="40"/>
  <c r="A831" i="40"/>
  <c r="A349" i="40"/>
  <c r="A62" i="40"/>
  <c r="A88" i="40"/>
  <c r="A93" i="40"/>
  <c r="A143" i="40"/>
  <c r="A169" i="40"/>
  <c r="A202" i="40"/>
  <c r="A235" i="40"/>
  <c r="A292" i="40"/>
  <c r="A369" i="40"/>
  <c r="A480" i="40"/>
  <c r="A655" i="40"/>
  <c r="A807" i="40"/>
  <c r="A192" i="40"/>
  <c r="A230" i="40"/>
  <c r="A247" i="40"/>
  <c r="A269" i="40"/>
  <c r="A323" i="40"/>
  <c r="A348" i="40"/>
  <c r="A381" i="40"/>
  <c r="A472" i="40"/>
  <c r="A573" i="40"/>
  <c r="A639" i="40"/>
  <c r="A700" i="40"/>
  <c r="A766" i="40"/>
  <c r="A65" i="40"/>
  <c r="A73" i="40"/>
  <c r="A127" i="40"/>
  <c r="A106" i="40"/>
  <c r="A139" i="40"/>
  <c r="A154" i="40"/>
  <c r="A188" i="40"/>
  <c r="A213" i="40"/>
  <c r="A216" i="40"/>
  <c r="A254" i="40"/>
  <c r="A275" i="40"/>
  <c r="A309" i="40"/>
  <c r="A342" i="40"/>
  <c r="A358" i="40"/>
  <c r="A425" i="40"/>
  <c r="A516" i="40"/>
  <c r="A598" i="40"/>
  <c r="A677" i="40"/>
  <c r="A744" i="40"/>
  <c r="A833" i="40"/>
  <c r="A408" i="40"/>
  <c r="A441" i="40"/>
  <c r="A460" i="40"/>
  <c r="A466" i="40"/>
  <c r="A482" i="40"/>
  <c r="A494" i="40"/>
  <c r="A515" i="40"/>
  <c r="A547" i="40"/>
  <c r="A548" i="40"/>
  <c r="A578" i="40"/>
  <c r="A606" i="40"/>
  <c r="A620" i="40"/>
  <c r="A657" i="40"/>
  <c r="A658" i="40"/>
  <c r="A697" i="40"/>
  <c r="A691" i="40"/>
  <c r="A714" i="40"/>
  <c r="A745" i="40"/>
  <c r="A752" i="40"/>
  <c r="A757" i="40"/>
  <c r="A811" i="40"/>
  <c r="A812" i="40"/>
  <c r="A834" i="40"/>
  <c r="A227" i="40"/>
  <c r="A242" i="40"/>
  <c r="A268" i="40"/>
  <c r="A305" i="40"/>
  <c r="A313" i="40"/>
  <c r="A345" i="40"/>
  <c r="A352" i="40"/>
  <c r="A362" i="40"/>
  <c r="A385" i="40"/>
  <c r="A404" i="40"/>
  <c r="A418" i="40"/>
  <c r="A463" i="40"/>
  <c r="A477" i="40"/>
  <c r="A496" i="40"/>
  <c r="A512" i="40"/>
  <c r="A528" i="40"/>
  <c r="A536" i="40"/>
  <c r="A561" i="40"/>
  <c r="A589" i="40"/>
  <c r="A617" i="40"/>
  <c r="A635" i="40"/>
  <c r="A627" i="40"/>
  <c r="A679" i="40"/>
  <c r="A683" i="40"/>
  <c r="A704" i="40"/>
  <c r="A716" i="40"/>
  <c r="A737" i="40"/>
  <c r="A774" i="40"/>
  <c r="A770" i="40"/>
  <c r="A815" i="40"/>
  <c r="A829" i="40"/>
  <c r="A302" i="40"/>
  <c r="A319" i="40"/>
  <c r="A335" i="40"/>
  <c r="A389" i="40"/>
  <c r="A368" i="40"/>
  <c r="A402" i="40"/>
  <c r="A437" i="40"/>
  <c r="A447" i="40"/>
  <c r="A457" i="40"/>
  <c r="A478" i="40"/>
  <c r="A506" i="40"/>
  <c r="A511" i="40"/>
  <c r="A567" i="40"/>
  <c r="A544" i="40"/>
  <c r="A590" i="40"/>
  <c r="A602" i="40"/>
  <c r="A621" i="40"/>
  <c r="A653" i="40"/>
  <c r="A654" i="40"/>
  <c r="A692" i="40"/>
  <c r="A687" i="40"/>
  <c r="A730" i="40"/>
  <c r="A741" i="40"/>
  <c r="A760" i="40"/>
  <c r="A793" i="40"/>
  <c r="A802" i="40"/>
  <c r="A803" i="40"/>
  <c r="A830" i="40"/>
  <c r="A217" i="40"/>
  <c r="A261" i="40"/>
  <c r="A291" i="40"/>
  <c r="A386" i="40"/>
  <c r="A513" i="40"/>
  <c r="A694" i="40"/>
  <c r="A832" i="40"/>
  <c r="A203" i="40"/>
  <c r="A231" i="40"/>
  <c r="A260" i="40"/>
  <c r="A294" i="40"/>
  <c r="A327" i="40"/>
  <c r="A371" i="40"/>
  <c r="A415" i="40"/>
  <c r="A488" i="40"/>
  <c r="A557" i="40"/>
  <c r="A623" i="40"/>
  <c r="A727" i="40"/>
  <c r="A810" i="40"/>
  <c r="A64" i="40"/>
  <c r="A84" i="40"/>
  <c r="A111" i="40"/>
  <c r="A117" i="40"/>
  <c r="A161" i="40"/>
  <c r="A164" i="40"/>
  <c r="A199" i="40"/>
  <c r="A221" i="40"/>
  <c r="A225" i="40"/>
  <c r="A236" i="40"/>
  <c r="A274" i="40"/>
  <c r="A295" i="40"/>
  <c r="A328" i="40"/>
  <c r="A361" i="40"/>
  <c r="A445" i="40"/>
  <c r="A534" i="40"/>
  <c r="A601" i="40"/>
  <c r="A667" i="40"/>
  <c r="A778" i="40"/>
  <c r="A383" i="40"/>
  <c r="A403" i="40"/>
  <c r="A416" i="40"/>
  <c r="A459" i="40"/>
  <c r="A474" i="40"/>
  <c r="A492" i="40"/>
  <c r="A510" i="40"/>
  <c r="A526" i="40"/>
  <c r="A532" i="40"/>
  <c r="A559" i="40"/>
  <c r="A584" i="40"/>
  <c r="A615" i="40"/>
  <c r="A626" i="40"/>
  <c r="A625" i="40"/>
  <c r="A670" i="40"/>
  <c r="A705" i="40"/>
  <c r="A702" i="40"/>
  <c r="A731" i="40"/>
  <c r="A735" i="40"/>
  <c r="A765" i="40"/>
  <c r="A768" i="40"/>
  <c r="A814" i="40"/>
  <c r="A826" i="40"/>
  <c r="A220" i="40"/>
  <c r="A248" i="40"/>
  <c r="A253" i="40"/>
  <c r="A283" i="40"/>
  <c r="A286" i="40"/>
  <c r="A312" i="40"/>
  <c r="A353" i="40"/>
  <c r="A373" i="40"/>
  <c r="A395" i="40"/>
  <c r="A396" i="40"/>
  <c r="A426" i="40"/>
  <c r="A429" i="40"/>
  <c r="A458" i="40"/>
  <c r="A485" i="40"/>
  <c r="A495" i="40"/>
  <c r="A521" i="40"/>
  <c r="A551" i="40"/>
  <c r="A571" i="40"/>
  <c r="A572" i="40"/>
  <c r="A579" i="40"/>
  <c r="A605" i="40"/>
  <c r="A642" i="40"/>
  <c r="A638" i="40"/>
  <c r="A666" i="40"/>
  <c r="A671" i="40"/>
  <c r="A724" i="40"/>
  <c r="A726" i="40"/>
  <c r="A748" i="40"/>
  <c r="A782" i="40"/>
  <c r="A781" i="40"/>
  <c r="A809" i="40"/>
  <c r="A837" i="40"/>
  <c r="A314" i="40"/>
  <c r="A338" i="40"/>
  <c r="A346" i="40"/>
  <c r="A382" i="40"/>
  <c r="A379" i="40"/>
  <c r="A405" i="40"/>
  <c r="A412" i="40"/>
  <c r="A450" i="40"/>
  <c r="A470" i="40"/>
  <c r="A502" i="40"/>
  <c r="A503" i="40"/>
  <c r="A522" i="40"/>
  <c r="A565" i="40"/>
  <c r="A555" i="40"/>
  <c r="A576" i="40"/>
  <c r="A611" i="40"/>
  <c r="A637" i="40"/>
  <c r="A661" i="40"/>
  <c r="A672" i="40"/>
  <c r="A701" i="40"/>
  <c r="A698" i="40"/>
  <c r="A723" i="40"/>
  <c r="A749" i="40"/>
  <c r="A767" i="40"/>
  <c r="A764" i="40"/>
  <c r="A801" i="40"/>
  <c r="A822" i="40"/>
  <c r="AA18" i="57"/>
  <c r="B19" i="57"/>
  <c r="AT17" i="57"/>
  <c r="AO14" i="42"/>
  <c r="D1352" i="40"/>
  <c r="D1353" i="40" s="1"/>
  <c r="D1354" i="40" s="1"/>
  <c r="D1355" i="40" s="1"/>
  <c r="D1356" i="40" s="1"/>
  <c r="AO14" i="50"/>
  <c r="AO14" i="38"/>
  <c r="D34" i="56"/>
  <c r="D33" i="56"/>
  <c r="D32" i="56"/>
  <c r="D31" i="56"/>
  <c r="D30" i="56"/>
  <c r="D29" i="56"/>
  <c r="D35" i="56"/>
  <c r="D28" i="56"/>
  <c r="D9" i="56"/>
  <c r="D7" i="56"/>
  <c r="D8" i="56"/>
  <c r="D26" i="56"/>
  <c r="D5" i="56"/>
  <c r="D27" i="56"/>
  <c r="D10" i="56"/>
  <c r="D6" i="56"/>
  <c r="D36" i="56"/>
  <c r="AO14" i="30"/>
  <c r="BB192" i="11"/>
  <c r="BB224" i="11"/>
  <c r="B6" i="40"/>
  <c r="AO14" i="49"/>
  <c r="Q29" i="45"/>
  <c r="Q33" i="45"/>
  <c r="Q35" i="45"/>
  <c r="Q39" i="45"/>
  <c r="Q41" i="45"/>
  <c r="Q27" i="45"/>
  <c r="Q31" i="45"/>
  <c r="Q37" i="45"/>
  <c r="Q26" i="45"/>
  <c r="Q28" i="45"/>
  <c r="Q30" i="45"/>
  <c r="Q32" i="45"/>
  <c r="Q34" i="45"/>
  <c r="Q36" i="45"/>
  <c r="Q38" i="45"/>
  <c r="Q40" i="45"/>
  <c r="Q42" i="45"/>
  <c r="F848" i="40"/>
  <c r="AO14" i="54"/>
  <c r="F1851" i="40"/>
  <c r="F1350" i="40"/>
  <c r="AO14" i="41"/>
  <c r="F1349" i="40"/>
  <c r="F1351" i="40"/>
  <c r="F843" i="40"/>
  <c r="F842" i="40"/>
  <c r="F841" i="40"/>
  <c r="F840" i="40"/>
  <c r="F839" i="40"/>
  <c r="S55" i="54"/>
  <c r="S56" i="54"/>
  <c r="S57" i="54"/>
  <c r="S58" i="54"/>
  <c r="S59" i="54"/>
  <c r="S60" i="54"/>
  <c r="S61" i="54"/>
  <c r="S62" i="54"/>
  <c r="S63" i="54"/>
  <c r="S64" i="54"/>
  <c r="S65" i="54"/>
  <c r="S66" i="54"/>
  <c r="S67" i="54"/>
  <c r="S68" i="54"/>
  <c r="S69" i="54"/>
  <c r="S70" i="54"/>
  <c r="S71" i="54"/>
  <c r="S72" i="54"/>
  <c r="S73" i="54"/>
  <c r="S74" i="54"/>
  <c r="S75" i="54"/>
  <c r="S76" i="54"/>
  <c r="S77" i="54"/>
  <c r="S78" i="54"/>
  <c r="S79" i="54"/>
  <c r="S80" i="54"/>
  <c r="S81" i="54"/>
  <c r="S82" i="54"/>
  <c r="S83" i="54"/>
  <c r="S84" i="54"/>
  <c r="S85" i="54"/>
  <c r="S86" i="54"/>
  <c r="S87" i="54"/>
  <c r="S88" i="54"/>
  <c r="S89" i="54"/>
  <c r="S90" i="54"/>
  <c r="S91" i="54"/>
  <c r="S92" i="54"/>
  <c r="S93" i="54"/>
  <c r="S94" i="54"/>
  <c r="S95" i="54"/>
  <c r="S96" i="54"/>
  <c r="S97" i="54"/>
  <c r="S98" i="54"/>
  <c r="S99" i="54"/>
  <c r="S100" i="54"/>
  <c r="S101" i="54"/>
  <c r="S102" i="54"/>
  <c r="S103" i="54"/>
  <c r="S104" i="54"/>
  <c r="S105" i="54"/>
  <c r="S106" i="54"/>
  <c r="S107" i="54"/>
  <c r="S108" i="54"/>
  <c r="S109" i="54"/>
  <c r="S110" i="54"/>
  <c r="S111" i="54"/>
  <c r="S112" i="54"/>
  <c r="S113" i="54"/>
  <c r="S114" i="54"/>
  <c r="S115" i="54"/>
  <c r="Z36" i="54"/>
  <c r="Z37" i="54"/>
  <c r="Z38" i="54"/>
  <c r="Z39" i="54"/>
  <c r="Z40" i="54"/>
  <c r="Z41" i="54"/>
  <c r="Z42" i="54"/>
  <c r="Z43" i="54"/>
  <c r="Z44" i="54"/>
  <c r="Z45" i="54"/>
  <c r="Z46" i="54"/>
  <c r="Z47" i="54"/>
  <c r="Z48" i="54"/>
  <c r="Z49" i="54"/>
  <c r="Z50" i="54"/>
  <c r="Z51" i="54"/>
  <c r="Z52" i="54"/>
  <c r="Z53" i="54"/>
  <c r="Z54" i="54"/>
  <c r="Z55" i="54"/>
  <c r="Z56" i="54"/>
  <c r="Z57" i="54"/>
  <c r="Z58" i="54"/>
  <c r="Z59" i="54"/>
  <c r="Z60" i="54"/>
  <c r="Z61" i="54"/>
  <c r="Z62" i="54"/>
  <c r="Z63" i="54"/>
  <c r="Z64" i="54"/>
  <c r="Z65" i="54"/>
  <c r="Z66" i="54"/>
  <c r="Z67" i="54"/>
  <c r="Z68" i="54"/>
  <c r="Z69" i="54"/>
  <c r="Z70" i="54"/>
  <c r="Z71" i="54"/>
  <c r="Z72" i="54"/>
  <c r="Z73" i="54"/>
  <c r="Z74" i="54"/>
  <c r="Z75" i="54"/>
  <c r="Z76" i="54"/>
  <c r="Z77" i="54"/>
  <c r="Z78" i="54"/>
  <c r="Z79" i="54"/>
  <c r="Z80" i="54"/>
  <c r="Z81" i="54"/>
  <c r="Z82" i="54"/>
  <c r="Z83" i="54"/>
  <c r="Z84" i="54"/>
  <c r="Z85" i="54"/>
  <c r="Z86" i="54"/>
  <c r="Z87" i="54"/>
  <c r="Z88" i="54"/>
  <c r="Z89" i="54"/>
  <c r="Z90" i="54"/>
  <c r="Z91" i="54"/>
  <c r="Z92" i="54"/>
  <c r="Z93" i="54"/>
  <c r="Z94" i="54"/>
  <c r="Z95" i="54"/>
  <c r="Z96" i="54"/>
  <c r="Z97" i="54"/>
  <c r="Z98" i="54"/>
  <c r="Z99" i="54"/>
  <c r="Z100" i="54"/>
  <c r="Z101" i="54"/>
  <c r="Z102" i="54"/>
  <c r="Z103" i="54"/>
  <c r="Z104" i="54"/>
  <c r="Z105" i="54"/>
  <c r="Z106" i="54"/>
  <c r="Z107" i="54"/>
  <c r="Z108" i="54"/>
  <c r="Z109" i="54"/>
  <c r="Z110" i="54"/>
  <c r="Z111" i="54"/>
  <c r="Z112" i="54"/>
  <c r="Z113" i="54"/>
  <c r="Z114" i="54"/>
  <c r="Z115" i="54"/>
  <c r="C9" i="54"/>
  <c r="C9" i="51"/>
  <c r="C9" i="50"/>
  <c r="C9" i="49"/>
  <c r="C9" i="38"/>
  <c r="C9" i="30"/>
  <c r="C9" i="42"/>
  <c r="V5" i="54"/>
  <c r="V5" i="51"/>
  <c r="V5" i="50"/>
  <c r="V5" i="49"/>
  <c r="V5" i="38"/>
  <c r="V5" i="30"/>
  <c r="V5" i="34"/>
  <c r="V5" i="42"/>
  <c r="C9" i="34"/>
  <c r="K22" i="4"/>
  <c r="K2" i="4" s="1"/>
  <c r="G12" i="12" s="1"/>
  <c r="F7" i="9" a="1"/>
  <c r="F7" i="9" s="1"/>
  <c r="F6" i="9" a="1"/>
  <c r="F6" i="9" s="1"/>
  <c r="F4" i="9" a="1"/>
  <c r="F4" i="9" s="1"/>
  <c r="E20" i="4" a="1"/>
  <c r="E20" i="4" s="1"/>
  <c r="E19" i="4" a="1"/>
  <c r="E19" i="4" s="1"/>
  <c r="E18" i="4" a="1"/>
  <c r="E18" i="4" s="1"/>
  <c r="E17" i="4" a="1"/>
  <c r="E17" i="4" s="1"/>
  <c r="E16" i="4" a="1"/>
  <c r="E16" i="4" s="1"/>
  <c r="E14" i="4" a="1"/>
  <c r="E14" i="4" s="1"/>
  <c r="E13" i="4" a="1"/>
  <c r="E13" i="4" s="1"/>
  <c r="E12" i="4" a="1"/>
  <c r="E12" i="4" s="1"/>
  <c r="E11" i="4" a="1"/>
  <c r="E11" i="4" s="1"/>
  <c r="E10" i="4" a="1"/>
  <c r="E10" i="4" s="1"/>
  <c r="E9" i="4" a="1"/>
  <c r="E9" i="4" s="1"/>
  <c r="E8" i="4" a="1"/>
  <c r="E8" i="4" s="1"/>
  <c r="E5" i="4" a="1"/>
  <c r="E5" i="4" s="1"/>
  <c r="E4" i="4" a="1"/>
  <c r="E4" i="4" s="1"/>
  <c r="F845" i="40" a="1"/>
  <c r="F844" i="40" a="1"/>
  <c r="F847" i="40" a="1"/>
  <c r="F1852" i="40" a="1"/>
  <c r="F846" i="40" a="1"/>
  <c r="CA223" i="11" l="1"/>
  <c r="CA345" i="11"/>
  <c r="CA137" i="11"/>
  <c r="CA161" i="11"/>
  <c r="CA156" i="11"/>
  <c r="BB274" i="11"/>
  <c r="I4" i="40"/>
  <c r="CA322" i="11" s="1"/>
  <c r="I3" i="40"/>
  <c r="CA321" i="11" s="1"/>
  <c r="AA19" i="57"/>
  <c r="AT18" i="57"/>
  <c r="B20" i="57"/>
  <c r="C14" i="57"/>
  <c r="E14" i="57" s="1"/>
  <c r="BB157" i="11"/>
  <c r="BB162" i="11"/>
  <c r="BB138" i="11"/>
  <c r="F847" i="40"/>
  <c r="F846" i="40"/>
  <c r="F845" i="40"/>
  <c r="F844" i="40"/>
  <c r="F1852" i="40"/>
  <c r="C9" i="44"/>
  <c r="B141" i="44" s="1"/>
  <c r="V5" i="46"/>
  <c r="C9" i="46"/>
  <c r="B141" i="46" s="1"/>
  <c r="D7" i="46"/>
  <c r="E5" i="46"/>
  <c r="E3" i="46"/>
  <c r="C3" i="46"/>
  <c r="C9" i="41"/>
  <c r="B141" i="41" s="1"/>
  <c r="E5" i="30"/>
  <c r="Z35" i="54"/>
  <c r="Z34" i="54"/>
  <c r="Z33" i="54"/>
  <c r="Z32" i="54"/>
  <c r="Z31" i="54"/>
  <c r="Z30" i="54"/>
  <c r="Z29" i="54"/>
  <c r="Z28" i="54"/>
  <c r="Z27" i="54"/>
  <c r="Z26" i="54"/>
  <c r="Z25" i="54"/>
  <c r="Z24" i="54"/>
  <c r="B148" i="54"/>
  <c r="B146" i="54"/>
  <c r="B145" i="54"/>
  <c r="B144" i="54"/>
  <c r="B143" i="54"/>
  <c r="B142" i="54"/>
  <c r="B140" i="54"/>
  <c r="B139" i="54"/>
  <c r="B135" i="54"/>
  <c r="B134" i="54"/>
  <c r="B133" i="54"/>
  <c r="B132" i="54"/>
  <c r="D127" i="54"/>
  <c r="AV127" i="54" s="1"/>
  <c r="B127" i="54"/>
  <c r="D126" i="54"/>
  <c r="AV126" i="54" s="1"/>
  <c r="B126" i="54"/>
  <c r="D125" i="54"/>
  <c r="AV125" i="54" s="1"/>
  <c r="B125" i="54"/>
  <c r="U124" i="54"/>
  <c r="D124" i="54"/>
  <c r="AV124" i="54" s="1"/>
  <c r="B124" i="54"/>
  <c r="D123" i="54"/>
  <c r="AV123" i="54" s="1"/>
  <c r="B123" i="54"/>
  <c r="D122" i="54"/>
  <c r="B122" i="54"/>
  <c r="D121" i="54"/>
  <c r="AV121" i="54" s="1"/>
  <c r="B121" i="54"/>
  <c r="V120" i="54"/>
  <c r="T120" i="54"/>
  <c r="AT116" i="54"/>
  <c r="AS115" i="54"/>
  <c r="AR115" i="54"/>
  <c r="AT115" i="54"/>
  <c r="Q115" i="54"/>
  <c r="I115" i="54"/>
  <c r="H115" i="54"/>
  <c r="G115" i="54"/>
  <c r="AS114" i="54"/>
  <c r="AR114" i="54"/>
  <c r="Q114" i="54"/>
  <c r="I114" i="54"/>
  <c r="H114" i="54"/>
  <c r="G114" i="54"/>
  <c r="J114" i="54" s="1"/>
  <c r="AS113" i="54"/>
  <c r="AR113" i="54"/>
  <c r="Q113" i="54"/>
  <c r="I113" i="54"/>
  <c r="H113" i="54"/>
  <c r="G113" i="54"/>
  <c r="AS112" i="54"/>
  <c r="AR112" i="54"/>
  <c r="Q112" i="54"/>
  <c r="I112" i="54"/>
  <c r="H112" i="54"/>
  <c r="G112" i="54"/>
  <c r="AS111" i="54"/>
  <c r="AR111" i="54"/>
  <c r="Q111" i="54"/>
  <c r="I111" i="54"/>
  <c r="H111" i="54"/>
  <c r="G111" i="54"/>
  <c r="AS110" i="54"/>
  <c r="AR110" i="54"/>
  <c r="Q110" i="54"/>
  <c r="I110" i="54"/>
  <c r="H110" i="54"/>
  <c r="G110" i="54"/>
  <c r="AS109" i="54"/>
  <c r="AR109" i="54"/>
  <c r="Q109" i="54"/>
  <c r="I109" i="54"/>
  <c r="H109" i="54"/>
  <c r="G109" i="54"/>
  <c r="AS108" i="54"/>
  <c r="AR108" i="54"/>
  <c r="Q108" i="54"/>
  <c r="I108" i="54"/>
  <c r="H108" i="54"/>
  <c r="G108" i="54"/>
  <c r="AS107" i="54"/>
  <c r="AR107" i="54"/>
  <c r="Q107" i="54"/>
  <c r="I107" i="54"/>
  <c r="H107" i="54"/>
  <c r="G107" i="54"/>
  <c r="AS106" i="54"/>
  <c r="AR106" i="54"/>
  <c r="Q106" i="54"/>
  <c r="I106" i="54"/>
  <c r="H106" i="54"/>
  <c r="G106" i="54"/>
  <c r="AS105" i="54"/>
  <c r="AR105" i="54"/>
  <c r="Q105" i="54"/>
  <c r="I105" i="54"/>
  <c r="H105" i="54"/>
  <c r="G105" i="54"/>
  <c r="AS104" i="54"/>
  <c r="AR104" i="54"/>
  <c r="Q104" i="54"/>
  <c r="I104" i="54"/>
  <c r="H104" i="54"/>
  <c r="G104" i="54"/>
  <c r="J104" i="54" s="1"/>
  <c r="AS103" i="54"/>
  <c r="AR103" i="54"/>
  <c r="Q103" i="54"/>
  <c r="I103" i="54"/>
  <c r="H103" i="54"/>
  <c r="G103" i="54"/>
  <c r="AS102" i="54"/>
  <c r="AR102" i="54"/>
  <c r="Q102" i="54"/>
  <c r="I102" i="54"/>
  <c r="H102" i="54"/>
  <c r="G102" i="54"/>
  <c r="AS101" i="54"/>
  <c r="AR101" i="54"/>
  <c r="Q101" i="54"/>
  <c r="I101" i="54"/>
  <c r="H101" i="54"/>
  <c r="G101" i="54"/>
  <c r="AS100" i="54"/>
  <c r="AR100" i="54"/>
  <c r="Q100" i="54"/>
  <c r="I100" i="54"/>
  <c r="H100" i="54"/>
  <c r="G100" i="54"/>
  <c r="J100" i="54" s="1"/>
  <c r="AS99" i="54"/>
  <c r="AR99" i="54"/>
  <c r="Q99" i="54"/>
  <c r="I99" i="54"/>
  <c r="H99" i="54"/>
  <c r="G99" i="54"/>
  <c r="AS98" i="54"/>
  <c r="AR98" i="54"/>
  <c r="Q98" i="54"/>
  <c r="I98" i="54"/>
  <c r="H98" i="54"/>
  <c r="G98" i="54"/>
  <c r="AS97" i="54"/>
  <c r="AR97" i="54"/>
  <c r="Q97" i="54"/>
  <c r="I97" i="54"/>
  <c r="H97" i="54"/>
  <c r="G97" i="54"/>
  <c r="AS96" i="54"/>
  <c r="AR96" i="54"/>
  <c r="Q96" i="54"/>
  <c r="I96" i="54"/>
  <c r="H96" i="54"/>
  <c r="G96" i="54"/>
  <c r="J96" i="54" s="1"/>
  <c r="AS95" i="54"/>
  <c r="AR95" i="54"/>
  <c r="Q95" i="54"/>
  <c r="I95" i="54"/>
  <c r="H95" i="54"/>
  <c r="G95" i="54"/>
  <c r="AS94" i="54"/>
  <c r="AR94" i="54"/>
  <c r="Q94" i="54"/>
  <c r="I94" i="54"/>
  <c r="H94" i="54"/>
  <c r="G94" i="54"/>
  <c r="AS93" i="54"/>
  <c r="AR93" i="54"/>
  <c r="Q93" i="54"/>
  <c r="I93" i="54"/>
  <c r="H93" i="54"/>
  <c r="G93" i="54"/>
  <c r="AS92" i="54"/>
  <c r="AR92" i="54"/>
  <c r="Q92" i="54"/>
  <c r="I92" i="54"/>
  <c r="H92" i="54"/>
  <c r="G92" i="54"/>
  <c r="J92" i="54" s="1"/>
  <c r="AS91" i="54"/>
  <c r="AR91" i="54"/>
  <c r="Q91" i="54"/>
  <c r="I91" i="54"/>
  <c r="H91" i="54"/>
  <c r="G91" i="54"/>
  <c r="AS90" i="54"/>
  <c r="AR90" i="54"/>
  <c r="Q90" i="54"/>
  <c r="I90" i="54"/>
  <c r="H90" i="54"/>
  <c r="G90" i="54"/>
  <c r="AS89" i="54"/>
  <c r="AR89" i="54"/>
  <c r="Q89" i="54"/>
  <c r="I89" i="54"/>
  <c r="H89" i="54"/>
  <c r="G89" i="54"/>
  <c r="AS88" i="54"/>
  <c r="AR88" i="54"/>
  <c r="Q88" i="54"/>
  <c r="I88" i="54"/>
  <c r="H88" i="54"/>
  <c r="G88" i="54"/>
  <c r="J88" i="54" s="1"/>
  <c r="AS87" i="54"/>
  <c r="AR87" i="54"/>
  <c r="Q87" i="54"/>
  <c r="I87" i="54"/>
  <c r="H87" i="54"/>
  <c r="G87" i="54"/>
  <c r="AS86" i="54"/>
  <c r="AR86" i="54"/>
  <c r="Q86" i="54"/>
  <c r="I86" i="54"/>
  <c r="H86" i="54"/>
  <c r="G86" i="54"/>
  <c r="AS85" i="54"/>
  <c r="AR85" i="54"/>
  <c r="Q85" i="54"/>
  <c r="I85" i="54"/>
  <c r="H85" i="54"/>
  <c r="G85" i="54"/>
  <c r="AS84" i="54"/>
  <c r="AR84" i="54"/>
  <c r="Q84" i="54"/>
  <c r="I84" i="54"/>
  <c r="H84" i="54"/>
  <c r="G84" i="54"/>
  <c r="J84" i="54" s="1"/>
  <c r="AS83" i="54"/>
  <c r="AR83" i="54"/>
  <c r="Q83" i="54"/>
  <c r="I83" i="54"/>
  <c r="H83" i="54"/>
  <c r="G83" i="54"/>
  <c r="AS82" i="54"/>
  <c r="AR82" i="54"/>
  <c r="Q82" i="54"/>
  <c r="I82" i="54"/>
  <c r="H82" i="54"/>
  <c r="G82" i="54"/>
  <c r="AS81" i="54"/>
  <c r="AR81" i="54"/>
  <c r="Q81" i="54"/>
  <c r="I81" i="54"/>
  <c r="H81" i="54"/>
  <c r="G81" i="54"/>
  <c r="AS80" i="54"/>
  <c r="AR80" i="54"/>
  <c r="Q80" i="54"/>
  <c r="I80" i="54"/>
  <c r="H80" i="54"/>
  <c r="G80" i="54"/>
  <c r="J80" i="54" s="1"/>
  <c r="AS79" i="54"/>
  <c r="AR79" i="54"/>
  <c r="Q79" i="54"/>
  <c r="I79" i="54"/>
  <c r="H79" i="54"/>
  <c r="G79" i="54"/>
  <c r="AS78" i="54"/>
  <c r="AR78" i="54"/>
  <c r="Q78" i="54"/>
  <c r="I78" i="54"/>
  <c r="H78" i="54"/>
  <c r="G78" i="54"/>
  <c r="AS77" i="54"/>
  <c r="AR77" i="54"/>
  <c r="Q77" i="54"/>
  <c r="I77" i="54"/>
  <c r="H77" i="54"/>
  <c r="G77" i="54"/>
  <c r="AS76" i="54"/>
  <c r="AR76" i="54"/>
  <c r="Q76" i="54"/>
  <c r="I76" i="54"/>
  <c r="H76" i="54"/>
  <c r="G76" i="54"/>
  <c r="J76" i="54" s="1"/>
  <c r="AS75" i="54"/>
  <c r="AR75" i="54"/>
  <c r="Q75" i="54"/>
  <c r="I75" i="54"/>
  <c r="H75" i="54"/>
  <c r="G75" i="54"/>
  <c r="AS74" i="54"/>
  <c r="AR74" i="54"/>
  <c r="Q74" i="54"/>
  <c r="I74" i="54"/>
  <c r="H74" i="54"/>
  <c r="G74" i="54"/>
  <c r="AS73" i="54"/>
  <c r="AR73" i="54"/>
  <c r="Q73" i="54"/>
  <c r="I73" i="54"/>
  <c r="H73" i="54"/>
  <c r="G73" i="54"/>
  <c r="AS72" i="54"/>
  <c r="AR72" i="54"/>
  <c r="Q72" i="54"/>
  <c r="I72" i="54"/>
  <c r="H72" i="54"/>
  <c r="G72" i="54"/>
  <c r="J72" i="54" s="1"/>
  <c r="AS71" i="54"/>
  <c r="AR71" i="54"/>
  <c r="Q71" i="54"/>
  <c r="I71" i="54"/>
  <c r="H71" i="54"/>
  <c r="G71" i="54"/>
  <c r="AS70" i="54"/>
  <c r="AR70" i="54"/>
  <c r="Q70" i="54"/>
  <c r="I70" i="54"/>
  <c r="H70" i="54"/>
  <c r="G70" i="54"/>
  <c r="AS69" i="54"/>
  <c r="AR69" i="54"/>
  <c r="Q69" i="54"/>
  <c r="I69" i="54"/>
  <c r="H69" i="54"/>
  <c r="G69" i="54"/>
  <c r="AS68" i="54"/>
  <c r="AR68" i="54"/>
  <c r="Q68" i="54"/>
  <c r="I68" i="54"/>
  <c r="H68" i="54"/>
  <c r="G68" i="54"/>
  <c r="J68" i="54" s="1"/>
  <c r="AS67" i="54"/>
  <c r="AR67" i="54"/>
  <c r="Q67" i="54"/>
  <c r="I67" i="54"/>
  <c r="H67" i="54"/>
  <c r="G67" i="54"/>
  <c r="AS66" i="54"/>
  <c r="AR66" i="54"/>
  <c r="Q66" i="54"/>
  <c r="I66" i="54"/>
  <c r="H66" i="54"/>
  <c r="G66" i="54"/>
  <c r="AS65" i="54"/>
  <c r="AR65" i="54"/>
  <c r="Q65" i="54"/>
  <c r="I65" i="54"/>
  <c r="H65" i="54"/>
  <c r="G65" i="54"/>
  <c r="AS64" i="54"/>
  <c r="AR64" i="54"/>
  <c r="Q64" i="54"/>
  <c r="I64" i="54"/>
  <c r="H64" i="54"/>
  <c r="G64" i="54"/>
  <c r="J64" i="54" s="1"/>
  <c r="AS63" i="54"/>
  <c r="AR63" i="54"/>
  <c r="Q63" i="54"/>
  <c r="I63" i="54"/>
  <c r="H63" i="54"/>
  <c r="G63" i="54"/>
  <c r="AS62" i="54"/>
  <c r="AR62" i="54"/>
  <c r="Q62" i="54"/>
  <c r="I62" i="54"/>
  <c r="H62" i="54"/>
  <c r="G62" i="54"/>
  <c r="AS61" i="54"/>
  <c r="AR61" i="54"/>
  <c r="Q61" i="54"/>
  <c r="I61" i="54"/>
  <c r="H61" i="54"/>
  <c r="G61" i="54"/>
  <c r="AS60" i="54"/>
  <c r="AR60" i="54"/>
  <c r="Q60" i="54"/>
  <c r="I60" i="54"/>
  <c r="H60" i="54"/>
  <c r="G60" i="54"/>
  <c r="J60" i="54" s="1"/>
  <c r="AS59" i="54"/>
  <c r="AR59" i="54"/>
  <c r="Q59" i="54"/>
  <c r="I59" i="54"/>
  <c r="H59" i="54"/>
  <c r="G59" i="54"/>
  <c r="AS58" i="54"/>
  <c r="AR58" i="54"/>
  <c r="Q58" i="54"/>
  <c r="I58" i="54"/>
  <c r="H58" i="54"/>
  <c r="G58" i="54"/>
  <c r="AS57" i="54"/>
  <c r="AR57" i="54"/>
  <c r="Q57" i="54"/>
  <c r="I57" i="54"/>
  <c r="H57" i="54"/>
  <c r="G57" i="54"/>
  <c r="AS56" i="54"/>
  <c r="AR56" i="54"/>
  <c r="Q56" i="54"/>
  <c r="I56" i="54"/>
  <c r="H56" i="54"/>
  <c r="G56" i="54"/>
  <c r="AS55" i="54"/>
  <c r="AR55" i="54"/>
  <c r="Q55" i="54"/>
  <c r="I55" i="54"/>
  <c r="H55" i="54"/>
  <c r="G55" i="54"/>
  <c r="B55" i="54"/>
  <c r="AT54" i="54" s="1"/>
  <c r="AS54" i="54"/>
  <c r="AR54" i="54"/>
  <c r="S54" i="54"/>
  <c r="Q54" i="54"/>
  <c r="I54" i="54"/>
  <c r="H54" i="54"/>
  <c r="G54" i="54"/>
  <c r="AS53" i="54"/>
  <c r="AR53" i="54"/>
  <c r="S53" i="54"/>
  <c r="Q53" i="54"/>
  <c r="I53" i="54"/>
  <c r="H53" i="54"/>
  <c r="G53" i="54"/>
  <c r="AS52" i="54"/>
  <c r="AR52" i="54"/>
  <c r="S52" i="54"/>
  <c r="Q52" i="54"/>
  <c r="I52" i="54"/>
  <c r="H52" i="54"/>
  <c r="G52" i="54"/>
  <c r="AS51" i="54"/>
  <c r="AR51" i="54"/>
  <c r="S51" i="54"/>
  <c r="Q51" i="54"/>
  <c r="I51" i="54"/>
  <c r="H51" i="54"/>
  <c r="G51" i="54"/>
  <c r="AS50" i="54"/>
  <c r="AR50" i="54"/>
  <c r="S50" i="54"/>
  <c r="Q50" i="54"/>
  <c r="I50" i="54"/>
  <c r="H50" i="54"/>
  <c r="G50" i="54"/>
  <c r="AS49" i="54"/>
  <c r="AR49" i="54"/>
  <c r="S49" i="54"/>
  <c r="Q49" i="54"/>
  <c r="I49" i="54"/>
  <c r="H49" i="54"/>
  <c r="G49" i="54"/>
  <c r="AS48" i="54"/>
  <c r="AR48" i="54"/>
  <c r="S48" i="54"/>
  <c r="Q48" i="54"/>
  <c r="I48" i="54"/>
  <c r="H48" i="54"/>
  <c r="G48" i="54"/>
  <c r="AS47" i="54"/>
  <c r="AR47" i="54"/>
  <c r="S47" i="54"/>
  <c r="Q47" i="54"/>
  <c r="I47" i="54"/>
  <c r="H47" i="54"/>
  <c r="G47" i="54"/>
  <c r="AS46" i="54"/>
  <c r="AR46" i="54"/>
  <c r="S46" i="54"/>
  <c r="Q46" i="54"/>
  <c r="I46" i="54"/>
  <c r="H46" i="54"/>
  <c r="G46" i="54"/>
  <c r="AS45" i="54"/>
  <c r="AR45" i="54"/>
  <c r="S45" i="54"/>
  <c r="Q45" i="54"/>
  <c r="I45" i="54"/>
  <c r="H45" i="54"/>
  <c r="G45" i="54"/>
  <c r="AS44" i="54"/>
  <c r="AR44" i="54"/>
  <c r="S44" i="54"/>
  <c r="Q44" i="54"/>
  <c r="I44" i="54"/>
  <c r="H44" i="54"/>
  <c r="G44" i="54"/>
  <c r="AS43" i="54"/>
  <c r="AR43" i="54"/>
  <c r="S43" i="54"/>
  <c r="Q43" i="54"/>
  <c r="I43" i="54"/>
  <c r="H43" i="54"/>
  <c r="G43" i="54"/>
  <c r="AS42" i="54"/>
  <c r="AR42" i="54"/>
  <c r="S42" i="54"/>
  <c r="Q42" i="54"/>
  <c r="I42" i="54"/>
  <c r="H42" i="54"/>
  <c r="G42" i="54"/>
  <c r="AS41" i="54"/>
  <c r="AR41" i="54"/>
  <c r="S41" i="54"/>
  <c r="Q41" i="54"/>
  <c r="I41" i="54"/>
  <c r="H41" i="54"/>
  <c r="G41" i="54"/>
  <c r="AS40" i="54"/>
  <c r="AR40" i="54"/>
  <c r="S40" i="54"/>
  <c r="Q40" i="54"/>
  <c r="I40" i="54"/>
  <c r="H40" i="54"/>
  <c r="G40" i="54"/>
  <c r="AS39" i="54"/>
  <c r="AR39" i="54"/>
  <c r="S39" i="54"/>
  <c r="Q39" i="54"/>
  <c r="I39" i="54"/>
  <c r="H39" i="54"/>
  <c r="G39" i="54"/>
  <c r="AS38" i="54"/>
  <c r="AR38" i="54"/>
  <c r="S38" i="54"/>
  <c r="Q38" i="54"/>
  <c r="I38" i="54"/>
  <c r="H38" i="54"/>
  <c r="G38" i="54"/>
  <c r="AS37" i="54"/>
  <c r="AR37" i="54"/>
  <c r="S37" i="54"/>
  <c r="Q37" i="54"/>
  <c r="I37" i="54"/>
  <c r="H37" i="54"/>
  <c r="G37" i="54"/>
  <c r="AS36" i="54"/>
  <c r="AR36" i="54"/>
  <c r="S36" i="54"/>
  <c r="Q36" i="54"/>
  <c r="I36" i="54"/>
  <c r="H36" i="54"/>
  <c r="G36" i="54"/>
  <c r="AS35" i="54"/>
  <c r="AR35" i="54"/>
  <c r="S35" i="54"/>
  <c r="Q35" i="54"/>
  <c r="I35" i="54"/>
  <c r="H35" i="54"/>
  <c r="G35" i="54"/>
  <c r="AS34" i="54"/>
  <c r="AR34" i="54"/>
  <c r="S34" i="54"/>
  <c r="Q34" i="54"/>
  <c r="I34" i="54"/>
  <c r="H34" i="54"/>
  <c r="G34" i="54"/>
  <c r="AS33" i="54"/>
  <c r="AR33" i="54"/>
  <c r="S33" i="54"/>
  <c r="Q33" i="54"/>
  <c r="I33" i="54"/>
  <c r="H33" i="54"/>
  <c r="G33" i="54"/>
  <c r="AS32" i="54"/>
  <c r="AR32" i="54"/>
  <c r="S32" i="54"/>
  <c r="Q32" i="54"/>
  <c r="I32" i="54"/>
  <c r="H32" i="54"/>
  <c r="G32" i="54"/>
  <c r="AS31" i="54"/>
  <c r="AR31" i="54"/>
  <c r="S31" i="54"/>
  <c r="Q31" i="54"/>
  <c r="I31" i="54"/>
  <c r="H31" i="54"/>
  <c r="G31" i="54"/>
  <c r="AS30" i="54"/>
  <c r="AR30" i="54"/>
  <c r="S30" i="54"/>
  <c r="Q30" i="54"/>
  <c r="I30" i="54"/>
  <c r="H30" i="54"/>
  <c r="G30" i="54"/>
  <c r="AS29" i="54"/>
  <c r="AR29" i="54"/>
  <c r="S29" i="54"/>
  <c r="Q29" i="54"/>
  <c r="I29" i="54"/>
  <c r="H29" i="54"/>
  <c r="G29" i="54"/>
  <c r="AS28" i="54"/>
  <c r="AR28" i="54"/>
  <c r="S28" i="54"/>
  <c r="Q28" i="54"/>
  <c r="I28" i="54"/>
  <c r="H28" i="54"/>
  <c r="G28" i="54"/>
  <c r="AS27" i="54"/>
  <c r="AR27" i="54"/>
  <c r="S27" i="54"/>
  <c r="Q27" i="54"/>
  <c r="I27" i="54"/>
  <c r="H27" i="54"/>
  <c r="G27" i="54"/>
  <c r="AS26" i="54"/>
  <c r="AR26" i="54"/>
  <c r="S26" i="54"/>
  <c r="Q26" i="54"/>
  <c r="I26" i="54"/>
  <c r="H26" i="54"/>
  <c r="G26" i="54"/>
  <c r="AS25" i="54"/>
  <c r="AR25" i="54"/>
  <c r="S25" i="54"/>
  <c r="Q25" i="54"/>
  <c r="I25" i="54"/>
  <c r="H25" i="54"/>
  <c r="G25" i="54"/>
  <c r="AS24" i="54"/>
  <c r="AR24" i="54"/>
  <c r="S24" i="54"/>
  <c r="Q24" i="54"/>
  <c r="I24" i="54"/>
  <c r="H24" i="54"/>
  <c r="G24" i="54"/>
  <c r="AS23" i="54"/>
  <c r="AR23" i="54"/>
  <c r="Z23" i="54"/>
  <c r="S23" i="54"/>
  <c r="Q23" i="54"/>
  <c r="I23" i="54"/>
  <c r="H23" i="54"/>
  <c r="G23" i="54"/>
  <c r="AS22" i="54"/>
  <c r="AR22" i="54"/>
  <c r="Z22" i="54"/>
  <c r="S22" i="54"/>
  <c r="Q22" i="54"/>
  <c r="I22" i="54"/>
  <c r="H22" i="54"/>
  <c r="G22" i="54"/>
  <c r="AS21" i="54"/>
  <c r="AR21" i="54"/>
  <c r="Z21" i="54"/>
  <c r="S21" i="54"/>
  <c r="Q21" i="54"/>
  <c r="I21" i="54"/>
  <c r="H21" i="54"/>
  <c r="G21" i="54"/>
  <c r="AS20" i="54"/>
  <c r="AR20" i="54"/>
  <c r="Z20" i="54"/>
  <c r="S20" i="54"/>
  <c r="Q20" i="54"/>
  <c r="I20" i="54"/>
  <c r="H20" i="54"/>
  <c r="G20" i="54"/>
  <c r="AS19" i="54"/>
  <c r="AR19" i="54"/>
  <c r="Z19" i="54"/>
  <c r="S19" i="54"/>
  <c r="Q19" i="54"/>
  <c r="I19" i="54"/>
  <c r="H19" i="54"/>
  <c r="G19" i="54"/>
  <c r="AS18" i="54"/>
  <c r="AR18" i="54"/>
  <c r="Z18" i="54"/>
  <c r="S18" i="54"/>
  <c r="Q18" i="54"/>
  <c r="I18" i="54"/>
  <c r="H18" i="54"/>
  <c r="G18" i="54"/>
  <c r="AS17" i="54"/>
  <c r="AR17" i="54"/>
  <c r="Z17" i="54"/>
  <c r="S17" i="54"/>
  <c r="Q17" i="54"/>
  <c r="I17" i="54"/>
  <c r="H17" i="54"/>
  <c r="G17" i="54"/>
  <c r="AS16" i="54"/>
  <c r="AR16" i="54"/>
  <c r="Z16" i="54"/>
  <c r="S16" i="54"/>
  <c r="Q16" i="54"/>
  <c r="I16" i="54"/>
  <c r="H120" i="54" s="1"/>
  <c r="H16" i="54"/>
  <c r="G16" i="54"/>
  <c r="D120" i="54" s="1"/>
  <c r="J16" i="54" s="1"/>
  <c r="B16" i="54"/>
  <c r="AY15" i="54"/>
  <c r="AV15" i="54"/>
  <c r="H14" i="54"/>
  <c r="B10" i="54"/>
  <c r="B141" i="54"/>
  <c r="D7" i="54"/>
  <c r="E5" i="54"/>
  <c r="B147" i="54" s="1"/>
  <c r="E3" i="54"/>
  <c r="C3" i="54"/>
  <c r="AV2" i="54"/>
  <c r="T2" i="54" a="1"/>
  <c r="T2" i="54" s="1"/>
  <c r="Z29" i="51"/>
  <c r="Z28" i="51"/>
  <c r="Z27" i="51"/>
  <c r="Z26" i="51"/>
  <c r="Z25" i="51"/>
  <c r="Z24" i="51"/>
  <c r="G16" i="51"/>
  <c r="H16" i="51"/>
  <c r="I16" i="51"/>
  <c r="B148" i="51"/>
  <c r="B146" i="51"/>
  <c r="B145" i="51"/>
  <c r="B144" i="51"/>
  <c r="B143" i="51"/>
  <c r="B142" i="51"/>
  <c r="B140" i="51"/>
  <c r="B139" i="51"/>
  <c r="B135" i="51"/>
  <c r="B134" i="51"/>
  <c r="B133" i="51"/>
  <c r="B132" i="51"/>
  <c r="D127" i="51"/>
  <c r="AV127" i="51" s="1"/>
  <c r="B127" i="51"/>
  <c r="D126" i="51"/>
  <c r="AV126" i="51" s="1"/>
  <c r="B126" i="51"/>
  <c r="D125" i="51"/>
  <c r="AV125" i="51" s="1"/>
  <c r="B125" i="51"/>
  <c r="U124" i="51"/>
  <c r="D124" i="51"/>
  <c r="AV124" i="51" s="1"/>
  <c r="B124" i="51"/>
  <c r="D123" i="51"/>
  <c r="AV123" i="51" s="1"/>
  <c r="B123" i="51"/>
  <c r="D122" i="51"/>
  <c r="AV122" i="51" s="1"/>
  <c r="B122" i="51"/>
  <c r="D121" i="51"/>
  <c r="AV121" i="51" s="1"/>
  <c r="B121" i="51"/>
  <c r="V120" i="51"/>
  <c r="T120" i="51"/>
  <c r="AT116" i="51"/>
  <c r="AS115" i="51"/>
  <c r="AR115" i="51"/>
  <c r="AT115" i="51"/>
  <c r="Z115" i="51"/>
  <c r="S115" i="51"/>
  <c r="Q115" i="51"/>
  <c r="J115" i="51"/>
  <c r="I115" i="51"/>
  <c r="H115" i="51"/>
  <c r="G115" i="51"/>
  <c r="AV115" i="51" s="1"/>
  <c r="B115" i="51"/>
  <c r="AS114" i="51"/>
  <c r="AR114" i="51"/>
  <c r="AT114" i="51"/>
  <c r="Z114" i="51"/>
  <c r="S114" i="51"/>
  <c r="Q114" i="51"/>
  <c r="J114" i="51"/>
  <c r="I114" i="51"/>
  <c r="H114" i="51"/>
  <c r="G114" i="51"/>
  <c r="B114" i="51"/>
  <c r="AS113" i="51"/>
  <c r="AR113" i="51"/>
  <c r="AT113" i="51"/>
  <c r="Z113" i="51"/>
  <c r="S113" i="51"/>
  <c r="Q113" i="51"/>
  <c r="J113" i="51"/>
  <c r="I113" i="51"/>
  <c r="H113" i="51"/>
  <c r="G113" i="51"/>
  <c r="AV113" i="51" s="1"/>
  <c r="B113" i="51"/>
  <c r="AS112" i="51"/>
  <c r="AR112" i="51"/>
  <c r="AT112" i="51"/>
  <c r="Z112" i="51"/>
  <c r="S112" i="51"/>
  <c r="Q112" i="51"/>
  <c r="J112" i="51"/>
  <c r="I112" i="51"/>
  <c r="H112" i="51"/>
  <c r="G112" i="51"/>
  <c r="AV112" i="51" s="1"/>
  <c r="B112" i="51"/>
  <c r="AS111" i="51"/>
  <c r="AR111" i="51"/>
  <c r="AT111" i="51"/>
  <c r="Z111" i="51"/>
  <c r="S111" i="51"/>
  <c r="Q111" i="51"/>
  <c r="J111" i="51"/>
  <c r="I111" i="51"/>
  <c r="H111" i="51"/>
  <c r="G111" i="51"/>
  <c r="AV111" i="51" s="1"/>
  <c r="B111" i="51"/>
  <c r="AS110" i="51"/>
  <c r="AR110" i="51"/>
  <c r="AT110" i="51"/>
  <c r="Z110" i="51"/>
  <c r="S110" i="51"/>
  <c r="Q110" i="51"/>
  <c r="J110" i="51"/>
  <c r="I110" i="51"/>
  <c r="H110" i="51"/>
  <c r="G110" i="51"/>
  <c r="B110" i="51"/>
  <c r="AS109" i="51"/>
  <c r="AR109" i="51"/>
  <c r="AT109" i="51"/>
  <c r="Z109" i="51"/>
  <c r="S109" i="51"/>
  <c r="Q109" i="51"/>
  <c r="J109" i="51"/>
  <c r="I109" i="51"/>
  <c r="H109" i="51"/>
  <c r="G109" i="51"/>
  <c r="AV109" i="51" s="1"/>
  <c r="B109" i="51"/>
  <c r="AS108" i="51"/>
  <c r="AR108" i="51"/>
  <c r="AT108" i="51"/>
  <c r="Z108" i="51"/>
  <c r="S108" i="51"/>
  <c r="Q108" i="51"/>
  <c r="J108" i="51"/>
  <c r="I108" i="51"/>
  <c r="H108" i="51"/>
  <c r="G108" i="51"/>
  <c r="AV108" i="51" s="1"/>
  <c r="B108" i="51"/>
  <c r="AS107" i="51"/>
  <c r="AR107" i="51"/>
  <c r="AT107" i="51"/>
  <c r="Z107" i="51"/>
  <c r="S107" i="51"/>
  <c r="Q107" i="51"/>
  <c r="J107" i="51"/>
  <c r="I107" i="51"/>
  <c r="H107" i="51"/>
  <c r="G107" i="51"/>
  <c r="AV107" i="51" s="1"/>
  <c r="B107" i="51"/>
  <c r="AS106" i="51"/>
  <c r="AR106" i="51"/>
  <c r="AT106" i="51"/>
  <c r="Z106" i="51"/>
  <c r="S106" i="51"/>
  <c r="Q106" i="51"/>
  <c r="J106" i="51"/>
  <c r="I106" i="51"/>
  <c r="H106" i="51"/>
  <c r="G106" i="51"/>
  <c r="B106" i="51"/>
  <c r="AS105" i="51"/>
  <c r="AR105" i="51"/>
  <c r="AT105" i="51"/>
  <c r="Z105" i="51"/>
  <c r="S105" i="51"/>
  <c r="Q105" i="51"/>
  <c r="J105" i="51"/>
  <c r="I105" i="51"/>
  <c r="H105" i="51"/>
  <c r="G105" i="51"/>
  <c r="AV105" i="51" s="1"/>
  <c r="B105" i="51"/>
  <c r="AS104" i="51"/>
  <c r="AR104" i="51"/>
  <c r="AT104" i="51"/>
  <c r="Z104" i="51"/>
  <c r="S104" i="51"/>
  <c r="Q104" i="51"/>
  <c r="J104" i="51"/>
  <c r="I104" i="51"/>
  <c r="H104" i="51"/>
  <c r="G104" i="51"/>
  <c r="AV104" i="51" s="1"/>
  <c r="B104" i="51"/>
  <c r="AS103" i="51"/>
  <c r="AR103" i="51"/>
  <c r="AT103" i="51"/>
  <c r="Z103" i="51"/>
  <c r="S103" i="51"/>
  <c r="Q103" i="51"/>
  <c r="J103" i="51"/>
  <c r="I103" i="51"/>
  <c r="H103" i="51"/>
  <c r="G103" i="51"/>
  <c r="AV103" i="51" s="1"/>
  <c r="B103" i="51"/>
  <c r="AS102" i="51"/>
  <c r="AR102" i="51"/>
  <c r="AT102" i="51"/>
  <c r="Z102" i="51"/>
  <c r="S102" i="51"/>
  <c r="Q102" i="51"/>
  <c r="J102" i="51"/>
  <c r="I102" i="51"/>
  <c r="H102" i="51"/>
  <c r="G102" i="51"/>
  <c r="B102" i="51"/>
  <c r="AS101" i="51"/>
  <c r="AR101" i="51"/>
  <c r="AT101" i="51"/>
  <c r="Z101" i="51"/>
  <c r="S101" i="51"/>
  <c r="Q101" i="51"/>
  <c r="J101" i="51"/>
  <c r="I101" i="51"/>
  <c r="H101" i="51"/>
  <c r="G101" i="51"/>
  <c r="AV101" i="51" s="1"/>
  <c r="B101" i="51"/>
  <c r="AS100" i="51"/>
  <c r="AR100" i="51"/>
  <c r="AT100" i="51"/>
  <c r="Z100" i="51"/>
  <c r="S100" i="51"/>
  <c r="Q100" i="51"/>
  <c r="J100" i="51"/>
  <c r="I100" i="51"/>
  <c r="H100" i="51"/>
  <c r="G100" i="51"/>
  <c r="AV100" i="51" s="1"/>
  <c r="B100" i="51"/>
  <c r="AS99" i="51"/>
  <c r="AR99" i="51"/>
  <c r="AT99" i="51"/>
  <c r="Z99" i="51"/>
  <c r="S99" i="51"/>
  <c r="Q99" i="51"/>
  <c r="J99" i="51"/>
  <c r="I99" i="51"/>
  <c r="H99" i="51"/>
  <c r="G99" i="51"/>
  <c r="AV99" i="51" s="1"/>
  <c r="B99" i="51"/>
  <c r="AS98" i="51"/>
  <c r="AR98" i="51"/>
  <c r="AT98" i="51"/>
  <c r="Z98" i="51"/>
  <c r="S98" i="51"/>
  <c r="Q98" i="51"/>
  <c r="J98" i="51"/>
  <c r="I98" i="51"/>
  <c r="H98" i="51"/>
  <c r="G98" i="51"/>
  <c r="B98" i="51"/>
  <c r="AS97" i="51"/>
  <c r="AR97" i="51"/>
  <c r="AT97" i="51"/>
  <c r="Z97" i="51"/>
  <c r="S97" i="51"/>
  <c r="Q97" i="51"/>
  <c r="J97" i="51"/>
  <c r="I97" i="51"/>
  <c r="H97" i="51"/>
  <c r="G97" i="51"/>
  <c r="AV97" i="51" s="1"/>
  <c r="B97" i="51"/>
  <c r="AV96" i="51"/>
  <c r="AS96" i="51"/>
  <c r="AR96" i="51"/>
  <c r="AT96" i="51"/>
  <c r="Z96" i="51"/>
  <c r="S96" i="51"/>
  <c r="Q96" i="51"/>
  <c r="J96" i="51"/>
  <c r="I96" i="51"/>
  <c r="H96" i="51"/>
  <c r="G96" i="51"/>
  <c r="B96" i="51"/>
  <c r="AS95" i="51"/>
  <c r="AR95" i="51"/>
  <c r="AT95" i="51"/>
  <c r="Z95" i="51"/>
  <c r="S95" i="51"/>
  <c r="Q95" i="51"/>
  <c r="J95" i="51"/>
  <c r="I95" i="51"/>
  <c r="H95" i="51"/>
  <c r="G95" i="51"/>
  <c r="AV95" i="51" s="1"/>
  <c r="B95" i="51"/>
  <c r="AS94" i="51"/>
  <c r="AR94" i="51"/>
  <c r="AT94" i="51"/>
  <c r="Z94" i="51"/>
  <c r="S94" i="51"/>
  <c r="Q94" i="51"/>
  <c r="J94" i="51"/>
  <c r="I94" i="51"/>
  <c r="H94" i="51"/>
  <c r="G94" i="51"/>
  <c r="B94" i="51"/>
  <c r="AS93" i="51"/>
  <c r="AR93" i="51"/>
  <c r="AT93" i="51"/>
  <c r="Z93" i="51"/>
  <c r="S93" i="51"/>
  <c r="Q93" i="51"/>
  <c r="J93" i="51"/>
  <c r="I93" i="51"/>
  <c r="H93" i="51"/>
  <c r="G93" i="51"/>
  <c r="AV93" i="51" s="1"/>
  <c r="B93" i="51"/>
  <c r="AV92" i="51"/>
  <c r="AS92" i="51"/>
  <c r="AR92" i="51"/>
  <c r="AT92" i="51"/>
  <c r="Z92" i="51"/>
  <c r="S92" i="51"/>
  <c r="Q92" i="51"/>
  <c r="J92" i="51"/>
  <c r="I92" i="51"/>
  <c r="H92" i="51"/>
  <c r="G92" i="51"/>
  <c r="B92" i="51"/>
  <c r="AV91" i="51"/>
  <c r="AS91" i="51"/>
  <c r="AR91" i="51"/>
  <c r="AT91" i="51"/>
  <c r="Z91" i="51"/>
  <c r="S91" i="51"/>
  <c r="Q91" i="51"/>
  <c r="J91" i="51"/>
  <c r="I91" i="51"/>
  <c r="H91" i="51"/>
  <c r="G91" i="51"/>
  <c r="B91" i="51"/>
  <c r="AS90" i="51"/>
  <c r="AR90" i="51"/>
  <c r="AT90" i="51"/>
  <c r="Z90" i="51"/>
  <c r="S90" i="51"/>
  <c r="Q90" i="51"/>
  <c r="J90" i="51"/>
  <c r="I90" i="51"/>
  <c r="H90" i="51"/>
  <c r="G90" i="51"/>
  <c r="B90" i="51"/>
  <c r="AS89" i="51"/>
  <c r="AR89" i="51"/>
  <c r="AT89" i="51"/>
  <c r="Z89" i="51"/>
  <c r="S89" i="51"/>
  <c r="Q89" i="51"/>
  <c r="J89" i="51"/>
  <c r="I89" i="51"/>
  <c r="H89" i="51"/>
  <c r="G89" i="51"/>
  <c r="AV89" i="51" s="1"/>
  <c r="B89" i="51"/>
  <c r="AS88" i="51"/>
  <c r="AR88" i="51"/>
  <c r="AT88" i="51"/>
  <c r="Z88" i="51"/>
  <c r="S88" i="51"/>
  <c r="Q88" i="51"/>
  <c r="J88" i="51"/>
  <c r="I88" i="51"/>
  <c r="H88" i="51"/>
  <c r="G88" i="51"/>
  <c r="AV88" i="51" s="1"/>
  <c r="B88" i="51"/>
  <c r="AS87" i="51"/>
  <c r="AR87" i="51"/>
  <c r="AT87" i="51"/>
  <c r="Z87" i="51"/>
  <c r="S87" i="51"/>
  <c r="Q87" i="51"/>
  <c r="J87" i="51"/>
  <c r="I87" i="51"/>
  <c r="H87" i="51"/>
  <c r="G87" i="51"/>
  <c r="AV87" i="51" s="1"/>
  <c r="B87" i="51"/>
  <c r="AS86" i="51"/>
  <c r="AR86" i="51"/>
  <c r="AT86" i="51"/>
  <c r="Z86" i="51"/>
  <c r="S86" i="51"/>
  <c r="Q86" i="51"/>
  <c r="J86" i="51"/>
  <c r="I86" i="51"/>
  <c r="H86" i="51"/>
  <c r="G86" i="51"/>
  <c r="B86" i="51"/>
  <c r="AS85" i="51"/>
  <c r="AR85" i="51"/>
  <c r="AT85" i="51"/>
  <c r="Z85" i="51"/>
  <c r="S85" i="51"/>
  <c r="Q85" i="51"/>
  <c r="J85" i="51"/>
  <c r="I85" i="51"/>
  <c r="H85" i="51"/>
  <c r="G85" i="51"/>
  <c r="AV85" i="51" s="1"/>
  <c r="B85" i="51"/>
  <c r="AS84" i="51"/>
  <c r="AR84" i="51"/>
  <c r="AT84" i="51"/>
  <c r="Z84" i="51"/>
  <c r="S84" i="51"/>
  <c r="Q84" i="51"/>
  <c r="J84" i="51"/>
  <c r="I84" i="51"/>
  <c r="H84" i="51"/>
  <c r="G84" i="51"/>
  <c r="AV84" i="51" s="1"/>
  <c r="B84" i="51"/>
  <c r="AS83" i="51"/>
  <c r="AR83" i="51"/>
  <c r="AT83" i="51"/>
  <c r="Z83" i="51"/>
  <c r="S83" i="51"/>
  <c r="Q83" i="51"/>
  <c r="J83" i="51"/>
  <c r="I83" i="51"/>
  <c r="H83" i="51"/>
  <c r="G83" i="51"/>
  <c r="AV83" i="51" s="1"/>
  <c r="B83" i="51"/>
  <c r="AS82" i="51"/>
  <c r="AR82" i="51"/>
  <c r="AT82" i="51"/>
  <c r="Z82" i="51"/>
  <c r="S82" i="51"/>
  <c r="Q82" i="51"/>
  <c r="J82" i="51"/>
  <c r="I82" i="51"/>
  <c r="H82" i="51"/>
  <c r="G82" i="51"/>
  <c r="B82" i="51"/>
  <c r="AS81" i="51"/>
  <c r="AR81" i="51"/>
  <c r="AT81" i="51"/>
  <c r="Z81" i="51"/>
  <c r="S81" i="51"/>
  <c r="Q81" i="51"/>
  <c r="J81" i="51"/>
  <c r="I81" i="51"/>
  <c r="H81" i="51"/>
  <c r="G81" i="51"/>
  <c r="AV81" i="51" s="1"/>
  <c r="B81" i="51"/>
  <c r="AS80" i="51"/>
  <c r="AR80" i="51"/>
  <c r="AT80" i="51"/>
  <c r="Z80" i="51"/>
  <c r="S80" i="51"/>
  <c r="Q80" i="51"/>
  <c r="J80" i="51"/>
  <c r="I80" i="51"/>
  <c r="H80" i="51"/>
  <c r="G80" i="51"/>
  <c r="AV80" i="51" s="1"/>
  <c r="B80" i="51"/>
  <c r="AS79" i="51"/>
  <c r="AR79" i="51"/>
  <c r="AT79" i="51"/>
  <c r="Z79" i="51"/>
  <c r="S79" i="51"/>
  <c r="Q79" i="51"/>
  <c r="J79" i="51"/>
  <c r="I79" i="51"/>
  <c r="H79" i="51"/>
  <c r="G79" i="51"/>
  <c r="AV79" i="51" s="1"/>
  <c r="B79" i="51"/>
  <c r="AS78" i="51"/>
  <c r="AR78" i="51"/>
  <c r="AT78" i="51"/>
  <c r="Z78" i="51"/>
  <c r="S78" i="51"/>
  <c r="Q78" i="51"/>
  <c r="J78" i="51"/>
  <c r="I78" i="51"/>
  <c r="H78" i="51"/>
  <c r="G78" i="51"/>
  <c r="B78" i="51"/>
  <c r="AS77" i="51"/>
  <c r="AR77" i="51"/>
  <c r="AT77" i="51"/>
  <c r="Z77" i="51"/>
  <c r="S77" i="51"/>
  <c r="Q77" i="51"/>
  <c r="J77" i="51"/>
  <c r="I77" i="51"/>
  <c r="H77" i="51"/>
  <c r="G77" i="51"/>
  <c r="AV77" i="51" s="1"/>
  <c r="B77" i="51"/>
  <c r="AS76" i="51"/>
  <c r="AR76" i="51"/>
  <c r="AT76" i="51"/>
  <c r="Z76" i="51"/>
  <c r="S76" i="51"/>
  <c r="Q76" i="51"/>
  <c r="J76" i="51"/>
  <c r="I76" i="51"/>
  <c r="H76" i="51"/>
  <c r="G76" i="51"/>
  <c r="AV76" i="51" s="1"/>
  <c r="B76" i="51"/>
  <c r="AS75" i="51"/>
  <c r="AR75" i="51"/>
  <c r="AT75" i="51"/>
  <c r="Z75" i="51"/>
  <c r="S75" i="51"/>
  <c r="Q75" i="51"/>
  <c r="J75" i="51"/>
  <c r="I75" i="51"/>
  <c r="H75" i="51"/>
  <c r="G75" i="51"/>
  <c r="AV75" i="51" s="1"/>
  <c r="B75" i="51"/>
  <c r="AS74" i="51"/>
  <c r="AR74" i="51"/>
  <c r="AT74" i="51"/>
  <c r="Z74" i="51"/>
  <c r="S74" i="51"/>
  <c r="Q74" i="51"/>
  <c r="J74" i="51"/>
  <c r="I74" i="51"/>
  <c r="H74" i="51"/>
  <c r="G74" i="51"/>
  <c r="B74" i="51"/>
  <c r="AS73" i="51"/>
  <c r="AR73" i="51"/>
  <c r="AT73" i="51"/>
  <c r="Z73" i="51"/>
  <c r="S73" i="51"/>
  <c r="Q73" i="51"/>
  <c r="J73" i="51"/>
  <c r="I73" i="51"/>
  <c r="H73" i="51"/>
  <c r="G73" i="51"/>
  <c r="AV73" i="51" s="1"/>
  <c r="B73" i="51"/>
  <c r="AS72" i="51"/>
  <c r="AR72" i="51"/>
  <c r="AT72" i="51"/>
  <c r="Z72" i="51"/>
  <c r="S72" i="51"/>
  <c r="Q72" i="51"/>
  <c r="J72" i="51"/>
  <c r="I72" i="51"/>
  <c r="H72" i="51"/>
  <c r="G72" i="51"/>
  <c r="AV72" i="51" s="1"/>
  <c r="B72" i="51"/>
  <c r="AS71" i="51"/>
  <c r="AR71" i="51"/>
  <c r="AT71" i="51"/>
  <c r="Z71" i="51"/>
  <c r="S71" i="51"/>
  <c r="Q71" i="51"/>
  <c r="J71" i="51"/>
  <c r="I71" i="51"/>
  <c r="H71" i="51"/>
  <c r="G71" i="51"/>
  <c r="AV71" i="51" s="1"/>
  <c r="B71" i="51"/>
  <c r="AS70" i="51"/>
  <c r="AR70" i="51"/>
  <c r="AT70" i="51"/>
  <c r="Z70" i="51"/>
  <c r="S70" i="51"/>
  <c r="Q70" i="51"/>
  <c r="J70" i="51"/>
  <c r="I70" i="51"/>
  <c r="H70" i="51"/>
  <c r="G70" i="51"/>
  <c r="B70" i="51"/>
  <c r="AS69" i="51"/>
  <c r="AR69" i="51"/>
  <c r="AT69" i="51"/>
  <c r="Z69" i="51"/>
  <c r="S69" i="51"/>
  <c r="Q69" i="51"/>
  <c r="J69" i="51"/>
  <c r="I69" i="51"/>
  <c r="H69" i="51"/>
  <c r="G69" i="51"/>
  <c r="AV69" i="51" s="1"/>
  <c r="B69" i="51"/>
  <c r="AS68" i="51"/>
  <c r="AR68" i="51"/>
  <c r="AT68" i="51"/>
  <c r="Z68" i="51"/>
  <c r="S68" i="51"/>
  <c r="Q68" i="51"/>
  <c r="J68" i="51"/>
  <c r="I68" i="51"/>
  <c r="H68" i="51"/>
  <c r="G68" i="51"/>
  <c r="AV68" i="51" s="1"/>
  <c r="B68" i="51"/>
  <c r="AS67" i="51"/>
  <c r="AR67" i="51"/>
  <c r="AT67" i="51"/>
  <c r="Z67" i="51"/>
  <c r="S67" i="51"/>
  <c r="Q67" i="51"/>
  <c r="J67" i="51"/>
  <c r="I67" i="51"/>
  <c r="H67" i="51"/>
  <c r="G67" i="51"/>
  <c r="AV67" i="51" s="1"/>
  <c r="B67" i="51"/>
  <c r="AS66" i="51"/>
  <c r="AR66" i="51"/>
  <c r="AT66" i="51"/>
  <c r="Z66" i="51"/>
  <c r="S66" i="51"/>
  <c r="Q66" i="51"/>
  <c r="J66" i="51"/>
  <c r="I66" i="51"/>
  <c r="H66" i="51"/>
  <c r="G66" i="51"/>
  <c r="B66" i="51"/>
  <c r="AS65" i="51"/>
  <c r="AR65" i="51"/>
  <c r="AT65" i="51"/>
  <c r="Z65" i="51"/>
  <c r="S65" i="51"/>
  <c r="Q65" i="51"/>
  <c r="J65" i="51"/>
  <c r="I65" i="51"/>
  <c r="H65" i="51"/>
  <c r="G65" i="51"/>
  <c r="AV65" i="51" s="1"/>
  <c r="B65" i="51"/>
  <c r="AS64" i="51"/>
  <c r="AR64" i="51"/>
  <c r="AT64" i="51"/>
  <c r="Z64" i="51"/>
  <c r="S64" i="51"/>
  <c r="Q64" i="51"/>
  <c r="J64" i="51"/>
  <c r="I64" i="51"/>
  <c r="H64" i="51"/>
  <c r="G64" i="51"/>
  <c r="AV64" i="51" s="1"/>
  <c r="B64" i="51"/>
  <c r="AS63" i="51"/>
  <c r="AR63" i="51"/>
  <c r="AT63" i="51"/>
  <c r="Z63" i="51"/>
  <c r="S63" i="51"/>
  <c r="Q63" i="51"/>
  <c r="J63" i="51"/>
  <c r="I63" i="51"/>
  <c r="H63" i="51"/>
  <c r="G63" i="51"/>
  <c r="AV63" i="51" s="1"/>
  <c r="B63" i="51"/>
  <c r="AS62" i="51"/>
  <c r="AR62" i="51"/>
  <c r="AT62" i="51"/>
  <c r="Z62" i="51"/>
  <c r="S62" i="51"/>
  <c r="Q62" i="51"/>
  <c r="J62" i="51"/>
  <c r="I62" i="51"/>
  <c r="H62" i="51"/>
  <c r="G62" i="51"/>
  <c r="B62" i="51"/>
  <c r="AS61" i="51"/>
  <c r="AR61" i="51"/>
  <c r="AT61" i="51"/>
  <c r="Z61" i="51"/>
  <c r="S61" i="51"/>
  <c r="Q61" i="51"/>
  <c r="J61" i="51"/>
  <c r="I61" i="51"/>
  <c r="H61" i="51"/>
  <c r="G61" i="51"/>
  <c r="AV61" i="51" s="1"/>
  <c r="B61" i="51"/>
  <c r="AS60" i="51"/>
  <c r="AR60" i="51"/>
  <c r="AT60" i="51"/>
  <c r="Z60" i="51"/>
  <c r="S60" i="51"/>
  <c r="Q60" i="51"/>
  <c r="J60" i="51"/>
  <c r="I60" i="51"/>
  <c r="H60" i="51"/>
  <c r="G60" i="51"/>
  <c r="AV60" i="51" s="1"/>
  <c r="B60" i="51"/>
  <c r="AS59" i="51"/>
  <c r="AR59" i="51"/>
  <c r="AT59" i="51"/>
  <c r="S59" i="51"/>
  <c r="Q59" i="51"/>
  <c r="J59" i="51"/>
  <c r="I59" i="51"/>
  <c r="H59" i="51"/>
  <c r="G59" i="51"/>
  <c r="AV59" i="51" s="1"/>
  <c r="B59" i="51"/>
  <c r="AS58" i="51"/>
  <c r="AR58" i="51"/>
  <c r="AT58" i="51"/>
  <c r="S58" i="51"/>
  <c r="Q58" i="51"/>
  <c r="J58" i="51"/>
  <c r="I58" i="51"/>
  <c r="H58" i="51"/>
  <c r="G58" i="51"/>
  <c r="AV58" i="51" s="1"/>
  <c r="B58" i="51"/>
  <c r="AS57" i="51"/>
  <c r="AR57" i="51"/>
  <c r="AT57" i="51"/>
  <c r="S57" i="51"/>
  <c r="Q57" i="51"/>
  <c r="J57" i="51"/>
  <c r="I57" i="51"/>
  <c r="H57" i="51"/>
  <c r="G57" i="51"/>
  <c r="AV57" i="51" s="1"/>
  <c r="B57" i="51"/>
  <c r="AS56" i="51"/>
  <c r="AR56" i="51"/>
  <c r="AT56" i="51"/>
  <c r="S56" i="51"/>
  <c r="Q56" i="51"/>
  <c r="J56" i="51"/>
  <c r="I56" i="51"/>
  <c r="H56" i="51"/>
  <c r="G56" i="51"/>
  <c r="AV56" i="51" s="1"/>
  <c r="B56" i="51"/>
  <c r="AS55" i="51"/>
  <c r="AR55" i="51"/>
  <c r="AT55" i="51"/>
  <c r="S55" i="51"/>
  <c r="Q55" i="51"/>
  <c r="J55" i="51"/>
  <c r="I55" i="51"/>
  <c r="H55" i="51"/>
  <c r="G55" i="51"/>
  <c r="AV55" i="51" s="1"/>
  <c r="B55" i="51"/>
  <c r="AS54" i="51"/>
  <c r="AR54" i="51"/>
  <c r="AT54" i="51"/>
  <c r="S54" i="51"/>
  <c r="Q54" i="51"/>
  <c r="J54" i="51"/>
  <c r="I54" i="51"/>
  <c r="H54" i="51"/>
  <c r="G54" i="51"/>
  <c r="AV54" i="51" s="1"/>
  <c r="B54" i="51"/>
  <c r="AS53" i="51"/>
  <c r="AR53" i="51"/>
  <c r="AT53" i="51"/>
  <c r="S53" i="51"/>
  <c r="Q53" i="51"/>
  <c r="J53" i="51"/>
  <c r="I53" i="51"/>
  <c r="H53" i="51"/>
  <c r="G53" i="51"/>
  <c r="AV53" i="51" s="1"/>
  <c r="B53" i="51"/>
  <c r="AS52" i="51"/>
  <c r="AR52" i="51"/>
  <c r="AT52" i="51"/>
  <c r="S52" i="51"/>
  <c r="Q52" i="51"/>
  <c r="J52" i="51"/>
  <c r="I52" i="51"/>
  <c r="H52" i="51"/>
  <c r="G52" i="51"/>
  <c r="AV52" i="51" s="1"/>
  <c r="B52" i="51"/>
  <c r="AS51" i="51"/>
  <c r="AR51" i="51"/>
  <c r="AT51" i="51"/>
  <c r="S51" i="51"/>
  <c r="Q51" i="51"/>
  <c r="J51" i="51"/>
  <c r="I51" i="51"/>
  <c r="H51" i="51"/>
  <c r="G51" i="51"/>
  <c r="AV51" i="51" s="1"/>
  <c r="B51" i="51"/>
  <c r="AS50" i="51"/>
  <c r="AR50" i="51"/>
  <c r="AT50" i="51"/>
  <c r="S50" i="51"/>
  <c r="Q50" i="51"/>
  <c r="J50" i="51"/>
  <c r="I50" i="51"/>
  <c r="H50" i="51"/>
  <c r="G50" i="51"/>
  <c r="AV50" i="51" s="1"/>
  <c r="B50" i="51"/>
  <c r="AS49" i="51"/>
  <c r="AR49" i="51"/>
  <c r="AT49" i="51"/>
  <c r="S49" i="51"/>
  <c r="Q49" i="51"/>
  <c r="J49" i="51"/>
  <c r="I49" i="51"/>
  <c r="H49" i="51"/>
  <c r="G49" i="51"/>
  <c r="AV49" i="51" s="1"/>
  <c r="B49" i="51"/>
  <c r="AS48" i="51"/>
  <c r="AR48" i="51"/>
  <c r="AT48" i="51"/>
  <c r="S48" i="51"/>
  <c r="Q48" i="51"/>
  <c r="J48" i="51"/>
  <c r="I48" i="51"/>
  <c r="H48" i="51"/>
  <c r="G48" i="51"/>
  <c r="AV48" i="51" s="1"/>
  <c r="B48" i="51"/>
  <c r="AS47" i="51"/>
  <c r="AR47" i="51"/>
  <c r="AT47" i="51"/>
  <c r="S47" i="51"/>
  <c r="Q47" i="51"/>
  <c r="J47" i="51"/>
  <c r="I47" i="51"/>
  <c r="H47" i="51"/>
  <c r="G47" i="51"/>
  <c r="AV47" i="51" s="1"/>
  <c r="B47" i="51"/>
  <c r="AS46" i="51"/>
  <c r="AR46" i="51"/>
  <c r="AT46" i="51"/>
  <c r="S46" i="51"/>
  <c r="Q46" i="51"/>
  <c r="J46" i="51"/>
  <c r="I46" i="51"/>
  <c r="H46" i="51"/>
  <c r="G46" i="51"/>
  <c r="AV46" i="51" s="1"/>
  <c r="B46" i="51"/>
  <c r="AS45" i="51"/>
  <c r="AR45" i="51"/>
  <c r="AT45" i="51"/>
  <c r="S45" i="51"/>
  <c r="Q45" i="51"/>
  <c r="J45" i="51"/>
  <c r="I45" i="51"/>
  <c r="H45" i="51"/>
  <c r="G45" i="51"/>
  <c r="AV45" i="51" s="1"/>
  <c r="B45" i="51"/>
  <c r="AS44" i="51"/>
  <c r="AR44" i="51"/>
  <c r="AT44" i="51"/>
  <c r="S44" i="51"/>
  <c r="Q44" i="51"/>
  <c r="J44" i="51"/>
  <c r="I44" i="51"/>
  <c r="H44" i="51"/>
  <c r="G44" i="51"/>
  <c r="AV44" i="51" s="1"/>
  <c r="B44" i="51"/>
  <c r="AS43" i="51"/>
  <c r="AR43" i="51"/>
  <c r="AT43" i="51"/>
  <c r="S43" i="51"/>
  <c r="Q43" i="51"/>
  <c r="J43" i="51"/>
  <c r="I43" i="51"/>
  <c r="H43" i="51"/>
  <c r="G43" i="51"/>
  <c r="AV43" i="51" s="1"/>
  <c r="B43" i="51"/>
  <c r="AS42" i="51"/>
  <c r="AR42" i="51"/>
  <c r="AT42" i="51"/>
  <c r="S42" i="51"/>
  <c r="Q42" i="51"/>
  <c r="J42" i="51"/>
  <c r="I42" i="51"/>
  <c r="H42" i="51"/>
  <c r="G42" i="51"/>
  <c r="AV42" i="51" s="1"/>
  <c r="B42" i="51"/>
  <c r="AS41" i="51"/>
  <c r="AR41" i="51"/>
  <c r="AT41" i="51"/>
  <c r="S41" i="51"/>
  <c r="Q41" i="51"/>
  <c r="J41" i="51"/>
  <c r="I41" i="51"/>
  <c r="H41" i="51"/>
  <c r="G41" i="51"/>
  <c r="AV41" i="51" s="1"/>
  <c r="B41" i="51"/>
  <c r="AS40" i="51"/>
  <c r="AR40" i="51"/>
  <c r="AT40" i="51"/>
  <c r="S40" i="51"/>
  <c r="Q40" i="51"/>
  <c r="J40" i="51"/>
  <c r="I40" i="51"/>
  <c r="H40" i="51"/>
  <c r="G40" i="51"/>
  <c r="AV40" i="51" s="1"/>
  <c r="B40" i="51"/>
  <c r="AS39" i="51"/>
  <c r="AR39" i="51"/>
  <c r="AT39" i="51"/>
  <c r="S39" i="51"/>
  <c r="Q39" i="51"/>
  <c r="J39" i="51"/>
  <c r="I39" i="51"/>
  <c r="H39" i="51"/>
  <c r="G39" i="51"/>
  <c r="AV39" i="51" s="1"/>
  <c r="B39" i="51"/>
  <c r="AS38" i="51"/>
  <c r="AR38" i="51"/>
  <c r="AT38" i="51"/>
  <c r="S38" i="51"/>
  <c r="Q38" i="51"/>
  <c r="J38" i="51"/>
  <c r="I38" i="51"/>
  <c r="H38" i="51"/>
  <c r="G38" i="51"/>
  <c r="AV38" i="51" s="1"/>
  <c r="B38" i="51"/>
  <c r="AS37" i="51"/>
  <c r="AR37" i="51"/>
  <c r="AT37" i="51"/>
  <c r="S37" i="51"/>
  <c r="Q37" i="51"/>
  <c r="J37" i="51"/>
  <c r="I37" i="51"/>
  <c r="H37" i="51"/>
  <c r="G37" i="51"/>
  <c r="AV37" i="51" s="1"/>
  <c r="B37" i="51"/>
  <c r="AS36" i="51"/>
  <c r="AR36" i="51"/>
  <c r="AT36" i="51"/>
  <c r="S36" i="51"/>
  <c r="Q36" i="51"/>
  <c r="J36" i="51"/>
  <c r="I36" i="51"/>
  <c r="H36" i="51"/>
  <c r="G36" i="51"/>
  <c r="AV36" i="51" s="1"/>
  <c r="B36" i="51"/>
  <c r="AS35" i="51"/>
  <c r="AR35" i="51"/>
  <c r="AT35" i="51"/>
  <c r="S35" i="51"/>
  <c r="Q35" i="51"/>
  <c r="J35" i="51"/>
  <c r="I35" i="51"/>
  <c r="H35" i="51"/>
  <c r="G35" i="51"/>
  <c r="AV35" i="51" s="1"/>
  <c r="B35" i="51"/>
  <c r="AS34" i="51"/>
  <c r="AR34" i="51"/>
  <c r="AT34" i="51"/>
  <c r="S34" i="51"/>
  <c r="Q34" i="51"/>
  <c r="J34" i="51"/>
  <c r="I34" i="51"/>
  <c r="H34" i="51"/>
  <c r="G34" i="51"/>
  <c r="AV34" i="51" s="1"/>
  <c r="B34" i="51"/>
  <c r="AS33" i="51"/>
  <c r="AR33" i="51"/>
  <c r="AT33" i="51"/>
  <c r="S33" i="51"/>
  <c r="Q33" i="51"/>
  <c r="J33" i="51"/>
  <c r="I33" i="51"/>
  <c r="H33" i="51"/>
  <c r="G33" i="51"/>
  <c r="AV33" i="51" s="1"/>
  <c r="B33" i="51"/>
  <c r="AS32" i="51"/>
  <c r="AR32" i="51"/>
  <c r="AT32" i="51"/>
  <c r="S32" i="51"/>
  <c r="Q32" i="51"/>
  <c r="J32" i="51"/>
  <c r="I32" i="51"/>
  <c r="H32" i="51"/>
  <c r="G32" i="51"/>
  <c r="AV32" i="51" s="1"/>
  <c r="B32" i="51"/>
  <c r="AS31" i="51"/>
  <c r="AR31" i="51"/>
  <c r="AT31" i="51"/>
  <c r="S31" i="51"/>
  <c r="Q31" i="51"/>
  <c r="J31" i="51"/>
  <c r="I31" i="51"/>
  <c r="H31" i="51"/>
  <c r="G31" i="51"/>
  <c r="AV31" i="51" s="1"/>
  <c r="B31" i="51"/>
  <c r="AS30" i="51"/>
  <c r="AR30" i="51"/>
  <c r="AT30" i="51"/>
  <c r="S30" i="51"/>
  <c r="Q30" i="51"/>
  <c r="J30" i="51"/>
  <c r="I30" i="51"/>
  <c r="H30" i="51"/>
  <c r="G30" i="51"/>
  <c r="AV30" i="51" s="1"/>
  <c r="B30" i="51"/>
  <c r="AT29" i="51" s="1"/>
  <c r="AS29" i="51"/>
  <c r="AR29" i="51"/>
  <c r="S29" i="51"/>
  <c r="Q29" i="51"/>
  <c r="I29" i="51"/>
  <c r="H29" i="51"/>
  <c r="G29" i="51"/>
  <c r="AS28" i="51"/>
  <c r="AR28" i="51"/>
  <c r="S28" i="51"/>
  <c r="Q28" i="51"/>
  <c r="I28" i="51"/>
  <c r="H28" i="51"/>
  <c r="G28" i="51"/>
  <c r="AS27" i="51"/>
  <c r="AR27" i="51"/>
  <c r="S27" i="51"/>
  <c r="Q27" i="51"/>
  <c r="I27" i="51"/>
  <c r="H27" i="51"/>
  <c r="G27" i="51"/>
  <c r="AS26" i="51"/>
  <c r="AR26" i="51"/>
  <c r="S26" i="51"/>
  <c r="Q26" i="51"/>
  <c r="I26" i="51"/>
  <c r="H26" i="51"/>
  <c r="G26" i="51"/>
  <c r="AS25" i="51"/>
  <c r="AR25" i="51"/>
  <c r="S25" i="51"/>
  <c r="Q25" i="51"/>
  <c r="I25" i="51"/>
  <c r="H25" i="51"/>
  <c r="G25" i="51"/>
  <c r="AS24" i="51"/>
  <c r="AR24" i="51"/>
  <c r="S24" i="51"/>
  <c r="Q24" i="51"/>
  <c r="I24" i="51"/>
  <c r="H24" i="51"/>
  <c r="G24" i="51"/>
  <c r="AS23" i="51"/>
  <c r="AR23" i="51"/>
  <c r="Z23" i="51"/>
  <c r="S23" i="51"/>
  <c r="Q23" i="51"/>
  <c r="I23" i="51"/>
  <c r="H23" i="51"/>
  <c r="G23" i="51"/>
  <c r="AS22" i="51"/>
  <c r="AR22" i="51"/>
  <c r="Z22" i="51"/>
  <c r="S22" i="51"/>
  <c r="Q22" i="51"/>
  <c r="I22" i="51"/>
  <c r="H22" i="51"/>
  <c r="G22" i="51"/>
  <c r="AS21" i="51"/>
  <c r="AR21" i="51"/>
  <c r="Z21" i="51"/>
  <c r="S21" i="51"/>
  <c r="Q21" i="51"/>
  <c r="I21" i="51"/>
  <c r="H21" i="51"/>
  <c r="G21" i="51"/>
  <c r="AS20" i="51"/>
  <c r="AR20" i="51"/>
  <c r="Z20" i="51"/>
  <c r="S20" i="51"/>
  <c r="Q20" i="51"/>
  <c r="I20" i="51"/>
  <c r="H20" i="51"/>
  <c r="G20" i="51"/>
  <c r="AS19" i="51"/>
  <c r="AR19" i="51"/>
  <c r="Z19" i="51"/>
  <c r="S19" i="51"/>
  <c r="Q19" i="51"/>
  <c r="I19" i="51"/>
  <c r="H19" i="51"/>
  <c r="G19" i="51"/>
  <c r="AS18" i="51"/>
  <c r="AR18" i="51"/>
  <c r="Z18" i="51"/>
  <c r="S18" i="51"/>
  <c r="Q18" i="51"/>
  <c r="I18" i="51"/>
  <c r="H18" i="51"/>
  <c r="G18" i="51"/>
  <c r="AS17" i="51"/>
  <c r="AR17" i="51"/>
  <c r="Z17" i="51"/>
  <c r="S17" i="51"/>
  <c r="Q17" i="51"/>
  <c r="I17" i="51"/>
  <c r="H17" i="51"/>
  <c r="G17" i="51"/>
  <c r="AS16" i="51"/>
  <c r="AR16" i="51"/>
  <c r="Z16" i="51"/>
  <c r="S16" i="51"/>
  <c r="Q16" i="51"/>
  <c r="H120" i="51"/>
  <c r="D120" i="51"/>
  <c r="B16" i="51"/>
  <c r="B17" i="51" s="1"/>
  <c r="AY15" i="51"/>
  <c r="AV15" i="51"/>
  <c r="H14" i="51"/>
  <c r="B10" i="51"/>
  <c r="B141" i="51"/>
  <c r="D7" i="51"/>
  <c r="E5" i="51"/>
  <c r="B147" i="51" s="1"/>
  <c r="E3" i="51"/>
  <c r="C3" i="51"/>
  <c r="AV2" i="51"/>
  <c r="T2" i="51" a="1"/>
  <c r="T2" i="51" s="1"/>
  <c r="U124" i="46"/>
  <c r="V120" i="46"/>
  <c r="T120" i="46"/>
  <c r="U124" i="50"/>
  <c r="V120" i="50"/>
  <c r="T120" i="50"/>
  <c r="U124" i="49"/>
  <c r="V120" i="49"/>
  <c r="T120" i="49"/>
  <c r="U124" i="38"/>
  <c r="V120" i="38"/>
  <c r="T120" i="38"/>
  <c r="U124" i="34"/>
  <c r="V120" i="34"/>
  <c r="T120" i="34"/>
  <c r="U124" i="30"/>
  <c r="V120" i="30"/>
  <c r="T120" i="30"/>
  <c r="U124" i="42"/>
  <c r="V120" i="42"/>
  <c r="T120" i="42"/>
  <c r="U124" i="44"/>
  <c r="V120" i="44"/>
  <c r="T120" i="44"/>
  <c r="U124" i="41"/>
  <c r="V120" i="41"/>
  <c r="T120" i="41"/>
  <c r="C31" i="11"/>
  <c r="G8" i="45"/>
  <c r="C32" i="11" s="1"/>
  <c r="B148" i="50"/>
  <c r="B146" i="50"/>
  <c r="B145" i="50"/>
  <c r="B144" i="50"/>
  <c r="B143" i="50"/>
  <c r="B142" i="50"/>
  <c r="B140" i="50"/>
  <c r="B139" i="50"/>
  <c r="B135" i="50"/>
  <c r="B134" i="50"/>
  <c r="B133" i="50"/>
  <c r="B132" i="50"/>
  <c r="B148" i="49"/>
  <c r="B146" i="49"/>
  <c r="B145" i="49"/>
  <c r="B144" i="49"/>
  <c r="B143" i="49"/>
  <c r="B142" i="49"/>
  <c r="B140" i="49"/>
  <c r="B139" i="49"/>
  <c r="B135" i="49"/>
  <c r="B134" i="49"/>
  <c r="B133" i="49"/>
  <c r="B132" i="49"/>
  <c r="B148" i="38"/>
  <c r="B147" i="38"/>
  <c r="B146" i="38"/>
  <c r="B145" i="38"/>
  <c r="B144" i="38"/>
  <c r="B143" i="38"/>
  <c r="B142" i="38"/>
  <c r="B140" i="38"/>
  <c r="B139" i="38"/>
  <c r="B135" i="38"/>
  <c r="B134" i="38"/>
  <c r="B133" i="38"/>
  <c r="B132" i="38"/>
  <c r="B129" i="38"/>
  <c r="B148" i="34"/>
  <c r="B147" i="34"/>
  <c r="B146" i="34"/>
  <c r="B145" i="34"/>
  <c r="B144" i="34"/>
  <c r="B143" i="34"/>
  <c r="B142" i="34"/>
  <c r="B140" i="34"/>
  <c r="B139" i="34"/>
  <c r="B135" i="34"/>
  <c r="B134" i="34"/>
  <c r="B133" i="34"/>
  <c r="B132" i="34"/>
  <c r="B129" i="34"/>
  <c r="B148" i="30"/>
  <c r="B147" i="30"/>
  <c r="B146" i="30"/>
  <c r="B145" i="30"/>
  <c r="B144" i="30"/>
  <c r="B143" i="30"/>
  <c r="B142" i="30"/>
  <c r="B140" i="30"/>
  <c r="B139" i="30"/>
  <c r="B135" i="30"/>
  <c r="B134" i="30"/>
  <c r="B133" i="30"/>
  <c r="B132" i="30"/>
  <c r="B129" i="30"/>
  <c r="B148" i="42"/>
  <c r="B147" i="42"/>
  <c r="B146" i="42"/>
  <c r="B145" i="42"/>
  <c r="B144" i="42"/>
  <c r="B143" i="42"/>
  <c r="B142" i="42"/>
  <c r="B140" i="42"/>
  <c r="B139" i="42"/>
  <c r="B135" i="42"/>
  <c r="B134" i="42"/>
  <c r="B133" i="42"/>
  <c r="B132" i="42"/>
  <c r="B129" i="42"/>
  <c r="B148" i="46"/>
  <c r="B146" i="46"/>
  <c r="B145" i="46"/>
  <c r="B144" i="46"/>
  <c r="B143" i="46"/>
  <c r="B142" i="46"/>
  <c r="B140" i="46"/>
  <c r="B139" i="46"/>
  <c r="B135" i="46"/>
  <c r="B134" i="46"/>
  <c r="B133" i="46"/>
  <c r="B132" i="46"/>
  <c r="E5" i="44"/>
  <c r="B129" i="44" s="1"/>
  <c r="B148" i="44"/>
  <c r="B146" i="44"/>
  <c r="B145" i="44"/>
  <c r="B144" i="44"/>
  <c r="B143" i="44"/>
  <c r="B142" i="44"/>
  <c r="B140" i="44"/>
  <c r="B139" i="44"/>
  <c r="B135" i="44"/>
  <c r="B134" i="44"/>
  <c r="B133" i="44"/>
  <c r="B132" i="44"/>
  <c r="B146" i="41"/>
  <c r="B145" i="41"/>
  <c r="B144" i="41"/>
  <c r="B143" i="41"/>
  <c r="B142" i="41"/>
  <c r="B140" i="41"/>
  <c r="B139" i="41"/>
  <c r="B135" i="41"/>
  <c r="B134" i="41"/>
  <c r="B133" i="41"/>
  <c r="B132" i="41"/>
  <c r="C28" i="11"/>
  <c r="B148" i="41"/>
  <c r="D127" i="50"/>
  <c r="AV127" i="50" s="1"/>
  <c r="B127" i="50"/>
  <c r="AV126" i="50"/>
  <c r="D126" i="50"/>
  <c r="B126" i="50"/>
  <c r="D125" i="50"/>
  <c r="AV125" i="50" s="1"/>
  <c r="B125" i="50"/>
  <c r="D124" i="50"/>
  <c r="AV124" i="50" s="1"/>
  <c r="B124" i="50"/>
  <c r="D123" i="50"/>
  <c r="AV123" i="50" s="1"/>
  <c r="B123" i="50"/>
  <c r="D122" i="50"/>
  <c r="AV122" i="50" s="1"/>
  <c r="B122" i="50"/>
  <c r="D121" i="50"/>
  <c r="AV121" i="50" s="1"/>
  <c r="B121" i="50"/>
  <c r="AT116" i="50"/>
  <c r="AS115" i="50"/>
  <c r="AR115" i="50"/>
  <c r="AT115" i="50"/>
  <c r="Z115" i="50"/>
  <c r="S115" i="50"/>
  <c r="Q115" i="50"/>
  <c r="J115" i="50"/>
  <c r="I115" i="50"/>
  <c r="H115" i="50"/>
  <c r="G115" i="50"/>
  <c r="AV115" i="50" s="1"/>
  <c r="B115" i="50"/>
  <c r="AS114" i="50"/>
  <c r="AR114" i="50"/>
  <c r="AT114" i="50"/>
  <c r="Z114" i="50"/>
  <c r="S114" i="50"/>
  <c r="Q114" i="50"/>
  <c r="J114" i="50"/>
  <c r="I114" i="50"/>
  <c r="H114" i="50"/>
  <c r="G114" i="50"/>
  <c r="B114" i="50"/>
  <c r="AS113" i="50"/>
  <c r="AR113" i="50"/>
  <c r="AT113" i="50"/>
  <c r="Z113" i="50"/>
  <c r="S113" i="50"/>
  <c r="Q113" i="50"/>
  <c r="J113" i="50"/>
  <c r="I113" i="50"/>
  <c r="H113" i="50"/>
  <c r="G113" i="50"/>
  <c r="B113" i="50"/>
  <c r="AS112" i="50"/>
  <c r="AR112" i="50"/>
  <c r="AT112" i="50"/>
  <c r="Z112" i="50"/>
  <c r="S112" i="50"/>
  <c r="Q112" i="50"/>
  <c r="J112" i="50"/>
  <c r="I112" i="50"/>
  <c r="H112" i="50"/>
  <c r="G112" i="50"/>
  <c r="AV112" i="50" s="1"/>
  <c r="B112" i="50"/>
  <c r="AS111" i="50"/>
  <c r="AR111" i="50"/>
  <c r="AT111" i="50"/>
  <c r="Z111" i="50"/>
  <c r="S111" i="50"/>
  <c r="Q111" i="50"/>
  <c r="J111" i="50"/>
  <c r="I111" i="50"/>
  <c r="H111" i="50"/>
  <c r="G111" i="50"/>
  <c r="AV111" i="50" s="1"/>
  <c r="B111" i="50"/>
  <c r="AS110" i="50"/>
  <c r="AR110" i="50"/>
  <c r="AT110" i="50"/>
  <c r="Z110" i="50"/>
  <c r="S110" i="50"/>
  <c r="Q110" i="50"/>
  <c r="J110" i="50"/>
  <c r="I110" i="50"/>
  <c r="H110" i="50"/>
  <c r="G110" i="50"/>
  <c r="B110" i="50"/>
  <c r="AS109" i="50"/>
  <c r="AR109" i="50"/>
  <c r="AT109" i="50"/>
  <c r="Z109" i="50"/>
  <c r="S109" i="50"/>
  <c r="Q109" i="50"/>
  <c r="J109" i="50"/>
  <c r="I109" i="50"/>
  <c r="H109" i="50"/>
  <c r="G109" i="50"/>
  <c r="B109" i="50"/>
  <c r="AS108" i="50"/>
  <c r="AR108" i="50"/>
  <c r="AT108" i="50"/>
  <c r="Z108" i="50"/>
  <c r="S108" i="50"/>
  <c r="Q108" i="50"/>
  <c r="J108" i="50"/>
  <c r="I108" i="50"/>
  <c r="H108" i="50"/>
  <c r="G108" i="50"/>
  <c r="AV108" i="50" s="1"/>
  <c r="B108" i="50"/>
  <c r="AS107" i="50"/>
  <c r="AR107" i="50"/>
  <c r="AT107" i="50"/>
  <c r="Z107" i="50"/>
  <c r="S107" i="50"/>
  <c r="Q107" i="50"/>
  <c r="J107" i="50"/>
  <c r="I107" i="50"/>
  <c r="H107" i="50"/>
  <c r="G107" i="50"/>
  <c r="AV107" i="50" s="1"/>
  <c r="B107" i="50"/>
  <c r="AS106" i="50"/>
  <c r="AR106" i="50"/>
  <c r="AT106" i="50"/>
  <c r="Z106" i="50"/>
  <c r="S106" i="50"/>
  <c r="Q106" i="50"/>
  <c r="J106" i="50"/>
  <c r="I106" i="50"/>
  <c r="H106" i="50"/>
  <c r="G106" i="50"/>
  <c r="B106" i="50"/>
  <c r="AS105" i="50"/>
  <c r="AR105" i="50"/>
  <c r="AT105" i="50"/>
  <c r="Z105" i="50"/>
  <c r="S105" i="50"/>
  <c r="Q105" i="50"/>
  <c r="J105" i="50"/>
  <c r="I105" i="50"/>
  <c r="H105" i="50"/>
  <c r="G105" i="50"/>
  <c r="B105" i="50"/>
  <c r="AS104" i="50"/>
  <c r="AR104" i="50"/>
  <c r="AT104" i="50"/>
  <c r="Z104" i="50"/>
  <c r="S104" i="50"/>
  <c r="Q104" i="50"/>
  <c r="J104" i="50"/>
  <c r="I104" i="50"/>
  <c r="H104" i="50"/>
  <c r="G104" i="50"/>
  <c r="AV104" i="50" s="1"/>
  <c r="B104" i="50"/>
  <c r="AS103" i="50"/>
  <c r="AR103" i="50"/>
  <c r="AT103" i="50"/>
  <c r="Z103" i="50"/>
  <c r="S103" i="50"/>
  <c r="Q103" i="50"/>
  <c r="J103" i="50"/>
  <c r="I103" i="50"/>
  <c r="H103" i="50"/>
  <c r="G103" i="50"/>
  <c r="AV103" i="50" s="1"/>
  <c r="B103" i="50"/>
  <c r="AS102" i="50"/>
  <c r="AR102" i="50"/>
  <c r="AT102" i="50"/>
  <c r="Z102" i="50"/>
  <c r="S102" i="50"/>
  <c r="Q102" i="50"/>
  <c r="J102" i="50"/>
  <c r="I102" i="50"/>
  <c r="H102" i="50"/>
  <c r="G102" i="50"/>
  <c r="B102" i="50"/>
  <c r="AS101" i="50"/>
  <c r="AR101" i="50"/>
  <c r="AT101" i="50"/>
  <c r="Z101" i="50"/>
  <c r="S101" i="50"/>
  <c r="Q101" i="50"/>
  <c r="J101" i="50"/>
  <c r="I101" i="50"/>
  <c r="H101" i="50"/>
  <c r="G101" i="50"/>
  <c r="B101" i="50"/>
  <c r="AS100" i="50"/>
  <c r="AR100" i="50"/>
  <c r="AT100" i="50"/>
  <c r="Z100" i="50"/>
  <c r="S100" i="50"/>
  <c r="Q100" i="50"/>
  <c r="J100" i="50"/>
  <c r="I100" i="50"/>
  <c r="H100" i="50"/>
  <c r="G100" i="50"/>
  <c r="AV100" i="50" s="1"/>
  <c r="B100" i="50"/>
  <c r="AS99" i="50"/>
  <c r="AR99" i="50"/>
  <c r="AT99" i="50"/>
  <c r="Z99" i="50"/>
  <c r="S99" i="50"/>
  <c r="Q99" i="50"/>
  <c r="J99" i="50"/>
  <c r="I99" i="50"/>
  <c r="H99" i="50"/>
  <c r="G99" i="50"/>
  <c r="AV99" i="50" s="1"/>
  <c r="B99" i="50"/>
  <c r="AS98" i="50"/>
  <c r="AR98" i="50"/>
  <c r="AT98" i="50"/>
  <c r="Z98" i="50"/>
  <c r="S98" i="50"/>
  <c r="Q98" i="50"/>
  <c r="J98" i="50"/>
  <c r="I98" i="50"/>
  <c r="H98" i="50"/>
  <c r="G98" i="50"/>
  <c r="B98" i="50"/>
  <c r="AS97" i="50"/>
  <c r="AR97" i="50"/>
  <c r="AT97" i="50"/>
  <c r="Z97" i="50"/>
  <c r="S97" i="50"/>
  <c r="Q97" i="50"/>
  <c r="J97" i="50"/>
  <c r="I97" i="50"/>
  <c r="H97" i="50"/>
  <c r="G97" i="50"/>
  <c r="B97" i="50"/>
  <c r="AS96" i="50"/>
  <c r="AR96" i="50"/>
  <c r="AT96" i="50"/>
  <c r="Z96" i="50"/>
  <c r="S96" i="50"/>
  <c r="Q96" i="50"/>
  <c r="J96" i="50"/>
  <c r="I96" i="50"/>
  <c r="H96" i="50"/>
  <c r="G96" i="50"/>
  <c r="AV96" i="50" s="1"/>
  <c r="B96" i="50"/>
  <c r="AS95" i="50"/>
  <c r="AR95" i="50"/>
  <c r="AT95" i="50"/>
  <c r="Z95" i="50"/>
  <c r="S95" i="50"/>
  <c r="Q95" i="50"/>
  <c r="J95" i="50"/>
  <c r="I95" i="50"/>
  <c r="H95" i="50"/>
  <c r="G95" i="50"/>
  <c r="AV95" i="50" s="1"/>
  <c r="B95" i="50"/>
  <c r="AS94" i="50"/>
  <c r="AR94" i="50"/>
  <c r="AT94" i="50"/>
  <c r="Z94" i="50"/>
  <c r="S94" i="50"/>
  <c r="Q94" i="50"/>
  <c r="J94" i="50"/>
  <c r="I94" i="50"/>
  <c r="H94" i="50"/>
  <c r="G94" i="50"/>
  <c r="B94" i="50"/>
  <c r="AS93" i="50"/>
  <c r="AR93" i="50"/>
  <c r="AT93" i="50"/>
  <c r="Z93" i="50"/>
  <c r="S93" i="50"/>
  <c r="Q93" i="50"/>
  <c r="J93" i="50"/>
  <c r="I93" i="50"/>
  <c r="H93" i="50"/>
  <c r="G93" i="50"/>
  <c r="B93" i="50"/>
  <c r="AV92" i="50"/>
  <c r="AS92" i="50"/>
  <c r="AR92" i="50"/>
  <c r="AT92" i="50"/>
  <c r="Z92" i="50"/>
  <c r="S92" i="50"/>
  <c r="Q92" i="50"/>
  <c r="J92" i="50"/>
  <c r="I92" i="50"/>
  <c r="H92" i="50"/>
  <c r="G92" i="50"/>
  <c r="B92" i="50"/>
  <c r="AV91" i="50"/>
  <c r="AS91" i="50"/>
  <c r="AR91" i="50"/>
  <c r="AT91" i="50"/>
  <c r="Z91" i="50"/>
  <c r="S91" i="50"/>
  <c r="Q91" i="50"/>
  <c r="J91" i="50"/>
  <c r="I91" i="50"/>
  <c r="H91" i="50"/>
  <c r="G91" i="50"/>
  <c r="B91" i="50"/>
  <c r="AS90" i="50"/>
  <c r="AR90" i="50"/>
  <c r="AT90" i="50"/>
  <c r="Z90" i="50"/>
  <c r="S90" i="50"/>
  <c r="Q90" i="50"/>
  <c r="J90" i="50"/>
  <c r="I90" i="50"/>
  <c r="H90" i="50"/>
  <c r="G90" i="50"/>
  <c r="B90" i="50"/>
  <c r="AS89" i="50"/>
  <c r="AR89" i="50"/>
  <c r="AT89" i="50"/>
  <c r="Z89" i="50"/>
  <c r="S89" i="50"/>
  <c r="Q89" i="50"/>
  <c r="J89" i="50"/>
  <c r="I89" i="50"/>
  <c r="H89" i="50"/>
  <c r="G89" i="50"/>
  <c r="B89" i="50"/>
  <c r="AS88" i="50"/>
  <c r="AR88" i="50"/>
  <c r="AT88" i="50"/>
  <c r="Z88" i="50"/>
  <c r="S88" i="50"/>
  <c r="Q88" i="50"/>
  <c r="J88" i="50"/>
  <c r="I88" i="50"/>
  <c r="H88" i="50"/>
  <c r="G88" i="50"/>
  <c r="AV88" i="50" s="1"/>
  <c r="B88" i="50"/>
  <c r="AS87" i="50"/>
  <c r="AR87" i="50"/>
  <c r="AT87" i="50"/>
  <c r="Z87" i="50"/>
  <c r="S87" i="50"/>
  <c r="Q87" i="50"/>
  <c r="J87" i="50"/>
  <c r="I87" i="50"/>
  <c r="H87" i="50"/>
  <c r="G87" i="50"/>
  <c r="AV87" i="50" s="1"/>
  <c r="B87" i="50"/>
  <c r="AS86" i="50"/>
  <c r="AR86" i="50"/>
  <c r="AT86" i="50"/>
  <c r="Z86" i="50"/>
  <c r="S86" i="50"/>
  <c r="Q86" i="50"/>
  <c r="J86" i="50"/>
  <c r="I86" i="50"/>
  <c r="H86" i="50"/>
  <c r="G86" i="50"/>
  <c r="B86" i="50"/>
  <c r="AS85" i="50"/>
  <c r="AR85" i="50"/>
  <c r="AT85" i="50"/>
  <c r="Z85" i="50"/>
  <c r="S85" i="50"/>
  <c r="Q85" i="50"/>
  <c r="J85" i="50"/>
  <c r="I85" i="50"/>
  <c r="H85" i="50"/>
  <c r="G85" i="50"/>
  <c r="B85" i="50"/>
  <c r="AS84" i="50"/>
  <c r="AR84" i="50"/>
  <c r="AT84" i="50"/>
  <c r="Z84" i="50"/>
  <c r="S84" i="50"/>
  <c r="Q84" i="50"/>
  <c r="J84" i="50"/>
  <c r="I84" i="50"/>
  <c r="H84" i="50"/>
  <c r="G84" i="50"/>
  <c r="AV84" i="50" s="1"/>
  <c r="B84" i="50"/>
  <c r="AS83" i="50"/>
  <c r="AR83" i="50"/>
  <c r="AT83" i="50"/>
  <c r="Z83" i="50"/>
  <c r="S83" i="50"/>
  <c r="Q83" i="50"/>
  <c r="J83" i="50"/>
  <c r="I83" i="50"/>
  <c r="H83" i="50"/>
  <c r="G83" i="50"/>
  <c r="AV83" i="50" s="1"/>
  <c r="B83" i="50"/>
  <c r="AS82" i="50"/>
  <c r="AR82" i="50"/>
  <c r="AT82" i="50"/>
  <c r="Z82" i="50"/>
  <c r="S82" i="50"/>
  <c r="Q82" i="50"/>
  <c r="J82" i="50"/>
  <c r="I82" i="50"/>
  <c r="H82" i="50"/>
  <c r="G82" i="50"/>
  <c r="B82" i="50"/>
  <c r="AS81" i="50"/>
  <c r="AR81" i="50"/>
  <c r="AT81" i="50"/>
  <c r="Z81" i="50"/>
  <c r="S81" i="50"/>
  <c r="Q81" i="50"/>
  <c r="J81" i="50"/>
  <c r="I81" i="50"/>
  <c r="H81" i="50"/>
  <c r="G81" i="50"/>
  <c r="B81" i="50"/>
  <c r="AS80" i="50"/>
  <c r="AR80" i="50"/>
  <c r="AT80" i="50"/>
  <c r="Z80" i="50"/>
  <c r="S80" i="50"/>
  <c r="Q80" i="50"/>
  <c r="J80" i="50"/>
  <c r="I80" i="50"/>
  <c r="H80" i="50"/>
  <c r="G80" i="50"/>
  <c r="AV80" i="50" s="1"/>
  <c r="B80" i="50"/>
  <c r="AS79" i="50"/>
  <c r="AR79" i="50"/>
  <c r="AT79" i="50"/>
  <c r="Z79" i="50"/>
  <c r="S79" i="50"/>
  <c r="Q79" i="50"/>
  <c r="J79" i="50"/>
  <c r="I79" i="50"/>
  <c r="H79" i="50"/>
  <c r="G79" i="50"/>
  <c r="AV79" i="50" s="1"/>
  <c r="B79" i="50"/>
  <c r="AS78" i="50"/>
  <c r="AR78" i="50"/>
  <c r="AT78" i="50"/>
  <c r="Z78" i="50"/>
  <c r="S78" i="50"/>
  <c r="Q78" i="50"/>
  <c r="J78" i="50"/>
  <c r="I78" i="50"/>
  <c r="H78" i="50"/>
  <c r="G78" i="50"/>
  <c r="B78" i="50"/>
  <c r="AS77" i="50"/>
  <c r="AR77" i="50"/>
  <c r="AT77" i="50"/>
  <c r="Z77" i="50"/>
  <c r="S77" i="50"/>
  <c r="Q77" i="50"/>
  <c r="J77" i="50"/>
  <c r="I77" i="50"/>
  <c r="H77" i="50"/>
  <c r="G77" i="50"/>
  <c r="B77" i="50"/>
  <c r="AS76" i="50"/>
  <c r="AR76" i="50"/>
  <c r="AT76" i="50"/>
  <c r="Z76" i="50"/>
  <c r="S76" i="50"/>
  <c r="Q76" i="50"/>
  <c r="J76" i="50"/>
  <c r="I76" i="50"/>
  <c r="H76" i="50"/>
  <c r="G76" i="50"/>
  <c r="AV76" i="50" s="1"/>
  <c r="B76" i="50"/>
  <c r="AS75" i="50"/>
  <c r="AR75" i="50"/>
  <c r="AT75" i="50"/>
  <c r="Z75" i="50"/>
  <c r="S75" i="50"/>
  <c r="Q75" i="50"/>
  <c r="J75" i="50"/>
  <c r="I75" i="50"/>
  <c r="H75" i="50"/>
  <c r="G75" i="50"/>
  <c r="AV75" i="50" s="1"/>
  <c r="B75" i="50"/>
  <c r="AS74" i="50"/>
  <c r="AR74" i="50"/>
  <c r="AT74" i="50"/>
  <c r="Z74" i="50"/>
  <c r="S74" i="50"/>
  <c r="Q74" i="50"/>
  <c r="J74" i="50"/>
  <c r="I74" i="50"/>
  <c r="H74" i="50"/>
  <c r="G74" i="50"/>
  <c r="B74" i="50"/>
  <c r="AS73" i="50"/>
  <c r="AR73" i="50"/>
  <c r="AT73" i="50"/>
  <c r="Z73" i="50"/>
  <c r="S73" i="50"/>
  <c r="Q73" i="50"/>
  <c r="J73" i="50"/>
  <c r="I73" i="50"/>
  <c r="H73" i="50"/>
  <c r="G73" i="50"/>
  <c r="B73" i="50"/>
  <c r="AS72" i="50"/>
  <c r="AR72" i="50"/>
  <c r="AT72" i="50"/>
  <c r="Z72" i="50"/>
  <c r="S72" i="50"/>
  <c r="Q72" i="50"/>
  <c r="J72" i="50"/>
  <c r="I72" i="50"/>
  <c r="H72" i="50"/>
  <c r="G72" i="50"/>
  <c r="AV72" i="50" s="1"/>
  <c r="B72" i="50"/>
  <c r="AS71" i="50"/>
  <c r="AR71" i="50"/>
  <c r="AT71" i="50"/>
  <c r="Z71" i="50"/>
  <c r="S71" i="50"/>
  <c r="Q71" i="50"/>
  <c r="J71" i="50"/>
  <c r="I71" i="50"/>
  <c r="H71" i="50"/>
  <c r="G71" i="50"/>
  <c r="AV71" i="50" s="1"/>
  <c r="B71" i="50"/>
  <c r="AS70" i="50"/>
  <c r="AR70" i="50"/>
  <c r="AT70" i="50"/>
  <c r="Z70" i="50"/>
  <c r="S70" i="50"/>
  <c r="Q70" i="50"/>
  <c r="J70" i="50"/>
  <c r="I70" i="50"/>
  <c r="H70" i="50"/>
  <c r="G70" i="50"/>
  <c r="B70" i="50"/>
  <c r="AS69" i="50"/>
  <c r="AR69" i="50"/>
  <c r="AT69" i="50"/>
  <c r="Z69" i="50"/>
  <c r="S69" i="50"/>
  <c r="Q69" i="50"/>
  <c r="J69" i="50"/>
  <c r="I69" i="50"/>
  <c r="H69" i="50"/>
  <c r="G69" i="50"/>
  <c r="B69" i="50"/>
  <c r="AS68" i="50"/>
  <c r="AR68" i="50"/>
  <c r="AT68" i="50"/>
  <c r="Z68" i="50"/>
  <c r="S68" i="50"/>
  <c r="Q68" i="50"/>
  <c r="J68" i="50"/>
  <c r="I68" i="50"/>
  <c r="H68" i="50"/>
  <c r="G68" i="50"/>
  <c r="AV68" i="50" s="1"/>
  <c r="B68" i="50"/>
  <c r="AS67" i="50"/>
  <c r="AR67" i="50"/>
  <c r="AT67" i="50"/>
  <c r="Z67" i="50"/>
  <c r="S67" i="50"/>
  <c r="Q67" i="50"/>
  <c r="J67" i="50"/>
  <c r="I67" i="50"/>
  <c r="H67" i="50"/>
  <c r="G67" i="50"/>
  <c r="AV67" i="50" s="1"/>
  <c r="B67" i="50"/>
  <c r="AS66" i="50"/>
  <c r="AR66" i="50"/>
  <c r="AT66" i="50"/>
  <c r="Z66" i="50"/>
  <c r="S66" i="50"/>
  <c r="Q66" i="50"/>
  <c r="J66" i="50"/>
  <c r="I66" i="50"/>
  <c r="H66" i="50"/>
  <c r="G66" i="50"/>
  <c r="B66" i="50"/>
  <c r="AS65" i="50"/>
  <c r="AR65" i="50"/>
  <c r="AT65" i="50"/>
  <c r="Z65" i="50"/>
  <c r="S65" i="50"/>
  <c r="Q65" i="50"/>
  <c r="J65" i="50"/>
  <c r="I65" i="50"/>
  <c r="H65" i="50"/>
  <c r="G65" i="50"/>
  <c r="B65" i="50"/>
  <c r="AS64" i="50"/>
  <c r="AR64" i="50"/>
  <c r="AT64" i="50"/>
  <c r="Z64" i="50"/>
  <c r="S64" i="50"/>
  <c r="Q64" i="50"/>
  <c r="J64" i="50"/>
  <c r="I64" i="50"/>
  <c r="H64" i="50"/>
  <c r="G64" i="50"/>
  <c r="AV64" i="50" s="1"/>
  <c r="B64" i="50"/>
  <c r="AS63" i="50"/>
  <c r="AR63" i="50"/>
  <c r="AT63" i="50"/>
  <c r="Z63" i="50"/>
  <c r="S63" i="50"/>
  <c r="Q63" i="50"/>
  <c r="J63" i="50"/>
  <c r="I63" i="50"/>
  <c r="H63" i="50"/>
  <c r="G63" i="50"/>
  <c r="AV63" i="50" s="1"/>
  <c r="B63" i="50"/>
  <c r="AS62" i="50"/>
  <c r="AR62" i="50"/>
  <c r="AT62" i="50"/>
  <c r="Z62" i="50"/>
  <c r="S62" i="50"/>
  <c r="Q62" i="50"/>
  <c r="J62" i="50"/>
  <c r="I62" i="50"/>
  <c r="H62" i="50"/>
  <c r="G62" i="50"/>
  <c r="B62" i="50"/>
  <c r="AS61" i="50"/>
  <c r="AR61" i="50"/>
  <c r="AT61" i="50"/>
  <c r="Z61" i="50"/>
  <c r="S61" i="50"/>
  <c r="Q61" i="50"/>
  <c r="J61" i="50"/>
  <c r="I61" i="50"/>
  <c r="H61" i="50"/>
  <c r="G61" i="50"/>
  <c r="B61" i="50"/>
  <c r="AS60" i="50"/>
  <c r="AR60" i="50"/>
  <c r="AT60" i="50"/>
  <c r="Z60" i="50"/>
  <c r="S60" i="50"/>
  <c r="Q60" i="50"/>
  <c r="J60" i="50"/>
  <c r="I60" i="50"/>
  <c r="H60" i="50"/>
  <c r="G60" i="50"/>
  <c r="AV60" i="50" s="1"/>
  <c r="B60" i="50"/>
  <c r="AS59" i="50"/>
  <c r="AR59" i="50"/>
  <c r="AT59" i="50"/>
  <c r="S59" i="50"/>
  <c r="Q59" i="50"/>
  <c r="J59" i="50"/>
  <c r="I59" i="50"/>
  <c r="H59" i="50"/>
  <c r="G59" i="50"/>
  <c r="AV59" i="50" s="1"/>
  <c r="B59" i="50"/>
  <c r="AS58" i="50"/>
  <c r="AR58" i="50"/>
  <c r="AT58" i="50"/>
  <c r="S58" i="50"/>
  <c r="Q58" i="50"/>
  <c r="J58" i="50"/>
  <c r="I58" i="50"/>
  <c r="H58" i="50"/>
  <c r="G58" i="50"/>
  <c r="AV58" i="50" s="1"/>
  <c r="B58" i="50"/>
  <c r="AS57" i="50"/>
  <c r="AR57" i="50"/>
  <c r="AT57" i="50"/>
  <c r="S57" i="50"/>
  <c r="Q57" i="50"/>
  <c r="J57" i="50"/>
  <c r="I57" i="50"/>
  <c r="H57" i="50"/>
  <c r="G57" i="50"/>
  <c r="AV57" i="50" s="1"/>
  <c r="B57" i="50"/>
  <c r="AS56" i="50"/>
  <c r="AR56" i="50"/>
  <c r="AT56" i="50"/>
  <c r="S56" i="50"/>
  <c r="Q56" i="50"/>
  <c r="J56" i="50"/>
  <c r="I56" i="50"/>
  <c r="H56" i="50"/>
  <c r="G56" i="50"/>
  <c r="AV56" i="50" s="1"/>
  <c r="B56" i="50"/>
  <c r="AS55" i="50"/>
  <c r="AR55" i="50"/>
  <c r="AT55" i="50"/>
  <c r="S55" i="50"/>
  <c r="Q55" i="50"/>
  <c r="J55" i="50"/>
  <c r="I55" i="50"/>
  <c r="H55" i="50"/>
  <c r="G55" i="50"/>
  <c r="AV55" i="50" s="1"/>
  <c r="B55" i="50"/>
  <c r="AS54" i="50"/>
  <c r="AR54" i="50"/>
  <c r="AT54" i="50"/>
  <c r="S54" i="50"/>
  <c r="Q54" i="50"/>
  <c r="J54" i="50"/>
  <c r="I54" i="50"/>
  <c r="H54" i="50"/>
  <c r="G54" i="50"/>
  <c r="AV54" i="50" s="1"/>
  <c r="B54" i="50"/>
  <c r="AS53" i="50"/>
  <c r="AR53" i="50"/>
  <c r="AT53" i="50"/>
  <c r="S53" i="50"/>
  <c r="Q53" i="50"/>
  <c r="J53" i="50"/>
  <c r="I53" i="50"/>
  <c r="H53" i="50"/>
  <c r="G53" i="50"/>
  <c r="AV53" i="50" s="1"/>
  <c r="B53" i="50"/>
  <c r="AS52" i="50"/>
  <c r="AR52" i="50"/>
  <c r="AT52" i="50"/>
  <c r="S52" i="50"/>
  <c r="Q52" i="50"/>
  <c r="J52" i="50"/>
  <c r="I52" i="50"/>
  <c r="H52" i="50"/>
  <c r="G52" i="50"/>
  <c r="AV52" i="50" s="1"/>
  <c r="B52" i="50"/>
  <c r="AS51" i="50"/>
  <c r="AR51" i="50"/>
  <c r="AT51" i="50"/>
  <c r="S51" i="50"/>
  <c r="Q51" i="50"/>
  <c r="J51" i="50"/>
  <c r="I51" i="50"/>
  <c r="H51" i="50"/>
  <c r="G51" i="50"/>
  <c r="AV51" i="50" s="1"/>
  <c r="B51" i="50"/>
  <c r="AS50" i="50"/>
  <c r="AR50" i="50"/>
  <c r="AT50" i="50"/>
  <c r="S50" i="50"/>
  <c r="Q50" i="50"/>
  <c r="J50" i="50"/>
  <c r="I50" i="50"/>
  <c r="H50" i="50"/>
  <c r="G50" i="50"/>
  <c r="AV50" i="50" s="1"/>
  <c r="B50" i="50"/>
  <c r="AS49" i="50"/>
  <c r="AR49" i="50"/>
  <c r="AT49" i="50"/>
  <c r="S49" i="50"/>
  <c r="Q49" i="50"/>
  <c r="J49" i="50"/>
  <c r="I49" i="50"/>
  <c r="H49" i="50"/>
  <c r="G49" i="50"/>
  <c r="AV49" i="50" s="1"/>
  <c r="B49" i="50"/>
  <c r="AS48" i="50"/>
  <c r="AR48" i="50"/>
  <c r="AT48" i="50"/>
  <c r="S48" i="50"/>
  <c r="Q48" i="50"/>
  <c r="J48" i="50"/>
  <c r="I48" i="50"/>
  <c r="H48" i="50"/>
  <c r="G48" i="50"/>
  <c r="AV48" i="50" s="1"/>
  <c r="B48" i="50"/>
  <c r="AS47" i="50"/>
  <c r="AR47" i="50"/>
  <c r="AT47" i="50"/>
  <c r="S47" i="50"/>
  <c r="Q47" i="50"/>
  <c r="J47" i="50"/>
  <c r="I47" i="50"/>
  <c r="H47" i="50"/>
  <c r="G47" i="50"/>
  <c r="AV47" i="50" s="1"/>
  <c r="B47" i="50"/>
  <c r="AS46" i="50"/>
  <c r="AR46" i="50"/>
  <c r="AT46" i="50"/>
  <c r="S46" i="50"/>
  <c r="Q46" i="50"/>
  <c r="J46" i="50"/>
  <c r="I46" i="50"/>
  <c r="H46" i="50"/>
  <c r="G46" i="50"/>
  <c r="AV46" i="50" s="1"/>
  <c r="B46" i="50"/>
  <c r="AS45" i="50"/>
  <c r="AR45" i="50"/>
  <c r="AT45" i="50"/>
  <c r="S45" i="50"/>
  <c r="Q45" i="50"/>
  <c r="J45" i="50"/>
  <c r="I45" i="50"/>
  <c r="H45" i="50"/>
  <c r="G45" i="50"/>
  <c r="AV45" i="50" s="1"/>
  <c r="B45" i="50"/>
  <c r="AS44" i="50"/>
  <c r="AR44" i="50"/>
  <c r="AT44" i="50"/>
  <c r="S44" i="50"/>
  <c r="Q44" i="50"/>
  <c r="J44" i="50"/>
  <c r="I44" i="50"/>
  <c r="H44" i="50"/>
  <c r="G44" i="50"/>
  <c r="AV44" i="50" s="1"/>
  <c r="B44" i="50"/>
  <c r="AS43" i="50"/>
  <c r="AR43" i="50"/>
  <c r="AT43" i="50"/>
  <c r="S43" i="50"/>
  <c r="Q43" i="50"/>
  <c r="J43" i="50"/>
  <c r="I43" i="50"/>
  <c r="H43" i="50"/>
  <c r="G43" i="50"/>
  <c r="AV43" i="50" s="1"/>
  <c r="B43" i="50"/>
  <c r="AS42" i="50"/>
  <c r="AR42" i="50"/>
  <c r="AT42" i="50"/>
  <c r="S42" i="50"/>
  <c r="Q42" i="50"/>
  <c r="J42" i="50"/>
  <c r="I42" i="50"/>
  <c r="H42" i="50"/>
  <c r="G42" i="50"/>
  <c r="AV42" i="50" s="1"/>
  <c r="B42" i="50"/>
  <c r="AS41" i="50"/>
  <c r="AR41" i="50"/>
  <c r="AT41" i="50"/>
  <c r="S41" i="50"/>
  <c r="Q41" i="50"/>
  <c r="J41" i="50"/>
  <c r="I41" i="50"/>
  <c r="H41" i="50"/>
  <c r="G41" i="50"/>
  <c r="AV41" i="50" s="1"/>
  <c r="B41" i="50"/>
  <c r="AS40" i="50"/>
  <c r="AR40" i="50"/>
  <c r="AT40" i="50"/>
  <c r="S40" i="50"/>
  <c r="Q40" i="50"/>
  <c r="J40" i="50"/>
  <c r="I40" i="50"/>
  <c r="H40" i="50"/>
  <c r="G40" i="50"/>
  <c r="AV40" i="50" s="1"/>
  <c r="B40" i="50"/>
  <c r="AS39" i="50"/>
  <c r="AR39" i="50"/>
  <c r="AT39" i="50"/>
  <c r="S39" i="50"/>
  <c r="Q39" i="50"/>
  <c r="J39" i="50"/>
  <c r="I39" i="50"/>
  <c r="H39" i="50"/>
  <c r="G39" i="50"/>
  <c r="AV39" i="50" s="1"/>
  <c r="B39" i="50"/>
  <c r="AS38" i="50"/>
  <c r="AR38" i="50"/>
  <c r="AT38" i="50"/>
  <c r="S38" i="50"/>
  <c r="Q38" i="50"/>
  <c r="J38" i="50"/>
  <c r="I38" i="50"/>
  <c r="H38" i="50"/>
  <c r="G38" i="50"/>
  <c r="AV38" i="50" s="1"/>
  <c r="B38" i="50"/>
  <c r="AS37" i="50"/>
  <c r="AR37" i="50"/>
  <c r="AT37" i="50"/>
  <c r="S37" i="50"/>
  <c r="Q37" i="50"/>
  <c r="J37" i="50"/>
  <c r="I37" i="50"/>
  <c r="H37" i="50"/>
  <c r="G37" i="50"/>
  <c r="AV37" i="50" s="1"/>
  <c r="B37" i="50"/>
  <c r="AS36" i="50"/>
  <c r="AR36" i="50"/>
  <c r="AT36" i="50"/>
  <c r="S36" i="50"/>
  <c r="Q36" i="50"/>
  <c r="J36" i="50"/>
  <c r="I36" i="50"/>
  <c r="H36" i="50"/>
  <c r="G36" i="50"/>
  <c r="AV36" i="50" s="1"/>
  <c r="B36" i="50"/>
  <c r="AS35" i="50"/>
  <c r="AR35" i="50"/>
  <c r="AT35" i="50"/>
  <c r="S35" i="50"/>
  <c r="Q35" i="50"/>
  <c r="J35" i="50"/>
  <c r="I35" i="50"/>
  <c r="H35" i="50"/>
  <c r="G35" i="50"/>
  <c r="AV35" i="50" s="1"/>
  <c r="B35" i="50"/>
  <c r="AS34" i="50"/>
  <c r="AR34" i="50"/>
  <c r="AT34" i="50"/>
  <c r="S34" i="50"/>
  <c r="Q34" i="50"/>
  <c r="J34" i="50"/>
  <c r="I34" i="50"/>
  <c r="H34" i="50"/>
  <c r="G34" i="50"/>
  <c r="AV34" i="50" s="1"/>
  <c r="B34" i="50"/>
  <c r="AS33" i="50"/>
  <c r="AR33" i="50"/>
  <c r="AT33" i="50"/>
  <c r="S33" i="50"/>
  <c r="Q33" i="50"/>
  <c r="J33" i="50"/>
  <c r="I33" i="50"/>
  <c r="H33" i="50"/>
  <c r="G33" i="50"/>
  <c r="AV33" i="50" s="1"/>
  <c r="B33" i="50"/>
  <c r="AS32" i="50"/>
  <c r="AR32" i="50"/>
  <c r="AT32" i="50"/>
  <c r="S32" i="50"/>
  <c r="Q32" i="50"/>
  <c r="J32" i="50"/>
  <c r="I32" i="50"/>
  <c r="H32" i="50"/>
  <c r="G32" i="50"/>
  <c r="AV32" i="50" s="1"/>
  <c r="B32" i="50"/>
  <c r="AS31" i="50"/>
  <c r="AR31" i="50"/>
  <c r="AT31" i="50"/>
  <c r="S31" i="50"/>
  <c r="Q31" i="50"/>
  <c r="J31" i="50"/>
  <c r="I31" i="50"/>
  <c r="H31" i="50"/>
  <c r="G31" i="50"/>
  <c r="AV31" i="50" s="1"/>
  <c r="B31" i="50"/>
  <c r="AS30" i="50"/>
  <c r="AR30" i="50"/>
  <c r="AT30" i="50"/>
  <c r="S30" i="50"/>
  <c r="Q30" i="50"/>
  <c r="J30" i="50"/>
  <c r="I30" i="50"/>
  <c r="H30" i="50"/>
  <c r="G30" i="50"/>
  <c r="AV30" i="50" s="1"/>
  <c r="B30" i="50"/>
  <c r="AS29" i="50"/>
  <c r="AR29" i="50"/>
  <c r="AT29" i="50"/>
  <c r="S29" i="50"/>
  <c r="Q29" i="50"/>
  <c r="J29" i="50"/>
  <c r="I29" i="50"/>
  <c r="H29" i="50"/>
  <c r="G29" i="50"/>
  <c r="AV29" i="50" s="1"/>
  <c r="B29" i="50"/>
  <c r="AS28" i="50"/>
  <c r="AR28" i="50"/>
  <c r="AT28" i="50"/>
  <c r="S28" i="50"/>
  <c r="Q28" i="50"/>
  <c r="J28" i="50"/>
  <c r="I28" i="50"/>
  <c r="H28" i="50"/>
  <c r="G28" i="50"/>
  <c r="AV28" i="50" s="1"/>
  <c r="B28" i="50"/>
  <c r="AS27" i="50"/>
  <c r="AR27" i="50"/>
  <c r="AT27" i="50"/>
  <c r="S27" i="50"/>
  <c r="Q27" i="50"/>
  <c r="J27" i="50"/>
  <c r="I27" i="50"/>
  <c r="H27" i="50"/>
  <c r="G27" i="50"/>
  <c r="AV27" i="50" s="1"/>
  <c r="B27" i="50"/>
  <c r="AS26" i="50"/>
  <c r="AR26" i="50"/>
  <c r="AT26" i="50"/>
  <c r="S26" i="50"/>
  <c r="Q26" i="50"/>
  <c r="J26" i="50"/>
  <c r="I26" i="50"/>
  <c r="H26" i="50"/>
  <c r="G26" i="50"/>
  <c r="AV26" i="50" s="1"/>
  <c r="B26" i="50"/>
  <c r="AS25" i="50"/>
  <c r="AR25" i="50"/>
  <c r="AT25" i="50"/>
  <c r="S25" i="50"/>
  <c r="Q25" i="50"/>
  <c r="J25" i="50"/>
  <c r="I25" i="50"/>
  <c r="H25" i="50"/>
  <c r="G25" i="50"/>
  <c r="AV25" i="50" s="1"/>
  <c r="B25" i="50"/>
  <c r="AS24" i="50"/>
  <c r="AR24" i="50"/>
  <c r="AT24" i="50"/>
  <c r="S24" i="50"/>
  <c r="Q24" i="50"/>
  <c r="J24" i="50"/>
  <c r="I24" i="50"/>
  <c r="H24" i="50"/>
  <c r="G24" i="50"/>
  <c r="AV24" i="50" s="1"/>
  <c r="B24" i="50"/>
  <c r="AS23" i="50"/>
  <c r="AR23" i="50"/>
  <c r="AT23" i="50"/>
  <c r="Z23" i="50"/>
  <c r="S23" i="50"/>
  <c r="Q23" i="50"/>
  <c r="J23" i="50"/>
  <c r="I23" i="50"/>
  <c r="H23" i="50"/>
  <c r="G23" i="50"/>
  <c r="AV23" i="50" s="1"/>
  <c r="B23" i="50"/>
  <c r="AS22" i="50"/>
  <c r="AR22" i="50"/>
  <c r="AT22" i="50"/>
  <c r="Z22" i="50"/>
  <c r="S22" i="50"/>
  <c r="Q22" i="50"/>
  <c r="J22" i="50"/>
  <c r="I22" i="50"/>
  <c r="H22" i="50"/>
  <c r="G22" i="50"/>
  <c r="B22" i="50"/>
  <c r="AS21" i="50"/>
  <c r="AR21" i="50"/>
  <c r="AT21" i="50"/>
  <c r="Z21" i="50"/>
  <c r="S21" i="50"/>
  <c r="Q21" i="50"/>
  <c r="J21" i="50"/>
  <c r="I21" i="50"/>
  <c r="H21" i="50"/>
  <c r="G21" i="50"/>
  <c r="B21" i="50"/>
  <c r="AS20" i="50"/>
  <c r="AR20" i="50"/>
  <c r="AT20" i="50"/>
  <c r="Z20" i="50"/>
  <c r="S20" i="50"/>
  <c r="Q20" i="50"/>
  <c r="J20" i="50"/>
  <c r="I20" i="50"/>
  <c r="H20" i="50"/>
  <c r="G20" i="50"/>
  <c r="AV20" i="50" s="1"/>
  <c r="B20" i="50"/>
  <c r="AS19" i="50"/>
  <c r="AR19" i="50"/>
  <c r="AT19" i="50"/>
  <c r="Z19" i="50"/>
  <c r="S19" i="50"/>
  <c r="Q19" i="50"/>
  <c r="J19" i="50"/>
  <c r="I19" i="50"/>
  <c r="H19" i="50"/>
  <c r="G19" i="50"/>
  <c r="AV19" i="50" s="1"/>
  <c r="B19" i="50"/>
  <c r="AT18" i="50" s="1"/>
  <c r="AS18" i="50"/>
  <c r="AR18" i="50"/>
  <c r="Z18" i="50"/>
  <c r="S18" i="50"/>
  <c r="Q18" i="50"/>
  <c r="I18" i="50"/>
  <c r="H18" i="50"/>
  <c r="G18" i="50"/>
  <c r="AS17" i="50"/>
  <c r="AR17" i="50"/>
  <c r="Z17" i="50"/>
  <c r="S17" i="50"/>
  <c r="Q17" i="50"/>
  <c r="I17" i="50"/>
  <c r="H17" i="50"/>
  <c r="G17" i="50"/>
  <c r="AS16" i="50"/>
  <c r="AR16" i="50"/>
  <c r="Z16" i="50"/>
  <c r="S16" i="50"/>
  <c r="Q16" i="50"/>
  <c r="I16" i="50"/>
  <c r="H120" i="50" s="1"/>
  <c r="H16" i="50"/>
  <c r="G16" i="50"/>
  <c r="D120" i="50" s="1"/>
  <c r="B137" i="50" s="1"/>
  <c r="B16" i="50"/>
  <c r="B17" i="50" s="1"/>
  <c r="AY15" i="50"/>
  <c r="AV15" i="50"/>
  <c r="H14" i="50"/>
  <c r="B10" i="50"/>
  <c r="B141" i="50"/>
  <c r="D7" i="50"/>
  <c r="B147" i="50"/>
  <c r="E3" i="50"/>
  <c r="C3" i="50"/>
  <c r="AV2" i="50"/>
  <c r="T2" i="50" a="1"/>
  <c r="T2" i="50" s="1"/>
  <c r="T2" i="46" a="1"/>
  <c r="T2" i="46" s="1"/>
  <c r="T2" i="49" a="1"/>
  <c r="T2" i="49" s="1"/>
  <c r="T2" i="38" a="1"/>
  <c r="T2" i="38" s="1"/>
  <c r="T2" i="34" a="1"/>
  <c r="T2" i="34" s="1"/>
  <c r="T2" i="30" a="1"/>
  <c r="T2" i="30" s="1"/>
  <c r="T2" i="42" a="1"/>
  <c r="T2" i="42" s="1"/>
  <c r="T2" i="44" a="1"/>
  <c r="T2" i="44" s="1"/>
  <c r="T2" i="41" a="1"/>
  <c r="T2" i="41" s="1"/>
  <c r="C53" i="11"/>
  <c r="B141" i="42"/>
  <c r="B141" i="30"/>
  <c r="B141" i="34"/>
  <c r="B141" i="38"/>
  <c r="B141" i="49"/>
  <c r="V5" i="44"/>
  <c r="E5" i="41"/>
  <c r="B147" i="41" s="1"/>
  <c r="V5" i="41"/>
  <c r="B147" i="46"/>
  <c r="S115" i="46"/>
  <c r="S114" i="46"/>
  <c r="S113" i="46"/>
  <c r="S112" i="46"/>
  <c r="S111" i="46"/>
  <c r="S110" i="46"/>
  <c r="S109" i="46"/>
  <c r="S108" i="46"/>
  <c r="S107" i="46"/>
  <c r="S106" i="46"/>
  <c r="S105" i="46"/>
  <c r="S104" i="46"/>
  <c r="S103" i="46"/>
  <c r="S102" i="46"/>
  <c r="S101" i="46"/>
  <c r="S100" i="46"/>
  <c r="S99" i="46"/>
  <c r="S98" i="46"/>
  <c r="S97" i="46"/>
  <c r="S96" i="46"/>
  <c r="S95" i="46"/>
  <c r="S94" i="46"/>
  <c r="S93" i="46"/>
  <c r="S92" i="46"/>
  <c r="S91" i="46"/>
  <c r="S90" i="46"/>
  <c r="S89" i="46"/>
  <c r="S88" i="46"/>
  <c r="S87" i="46"/>
  <c r="S86" i="46"/>
  <c r="S85" i="46"/>
  <c r="S84" i="46"/>
  <c r="S83" i="46"/>
  <c r="S82" i="46"/>
  <c r="S81" i="46"/>
  <c r="S80" i="46"/>
  <c r="S79" i="46"/>
  <c r="S78" i="46"/>
  <c r="S77" i="46"/>
  <c r="S76" i="46"/>
  <c r="S75" i="46"/>
  <c r="S74" i="46"/>
  <c r="S73" i="46"/>
  <c r="S72" i="46"/>
  <c r="S71" i="46"/>
  <c r="S70" i="46"/>
  <c r="S69" i="46"/>
  <c r="S68" i="46"/>
  <c r="S67" i="46"/>
  <c r="S66" i="46"/>
  <c r="S65" i="46"/>
  <c r="S64" i="46"/>
  <c r="S63" i="46"/>
  <c r="S62" i="46"/>
  <c r="S61" i="46"/>
  <c r="S60" i="46"/>
  <c r="S59" i="46"/>
  <c r="S58" i="46"/>
  <c r="S57" i="46"/>
  <c r="S56" i="46"/>
  <c r="S55" i="46"/>
  <c r="S54" i="46"/>
  <c r="S53" i="46"/>
  <c r="S52" i="46"/>
  <c r="S51" i="46"/>
  <c r="S50" i="46"/>
  <c r="S49" i="46"/>
  <c r="S48" i="46"/>
  <c r="S47" i="46"/>
  <c r="S46" i="46"/>
  <c r="S45" i="46"/>
  <c r="S44" i="46"/>
  <c r="S43" i="46"/>
  <c r="S42" i="46"/>
  <c r="S41" i="46"/>
  <c r="S40" i="46"/>
  <c r="S39" i="46"/>
  <c r="S38" i="46"/>
  <c r="S37" i="46"/>
  <c r="S36" i="46"/>
  <c r="S35" i="46"/>
  <c r="S34" i="46"/>
  <c r="S33" i="46"/>
  <c r="S32" i="46"/>
  <c r="S31" i="46"/>
  <c r="S30" i="46"/>
  <c r="S29" i="46"/>
  <c r="S28" i="46"/>
  <c r="S27" i="46"/>
  <c r="S26" i="46"/>
  <c r="S25" i="46"/>
  <c r="S24" i="46"/>
  <c r="S23" i="46"/>
  <c r="S22" i="46"/>
  <c r="S21" i="46"/>
  <c r="S20" i="46"/>
  <c r="S19" i="46"/>
  <c r="S18" i="46"/>
  <c r="S17" i="46"/>
  <c r="S16" i="46"/>
  <c r="B147" i="49"/>
  <c r="E3"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6" i="49"/>
  <c r="Z32" i="49"/>
  <c r="Z31" i="49"/>
  <c r="Z30" i="49"/>
  <c r="Z29" i="49"/>
  <c r="Z28" i="49"/>
  <c r="Z27" i="49"/>
  <c r="Z26" i="49"/>
  <c r="Z25" i="49"/>
  <c r="Z24" i="49"/>
  <c r="D127" i="49"/>
  <c r="AV127" i="49" s="1"/>
  <c r="B127" i="49"/>
  <c r="D126" i="49"/>
  <c r="AV126" i="49" s="1"/>
  <c r="B126" i="49"/>
  <c r="D125" i="49"/>
  <c r="AV125" i="49" s="1"/>
  <c r="B125" i="49"/>
  <c r="D124" i="49"/>
  <c r="AV124" i="49" s="1"/>
  <c r="B124" i="49"/>
  <c r="D123" i="49"/>
  <c r="AV123" i="49" s="1"/>
  <c r="B123" i="49"/>
  <c r="D122" i="49"/>
  <c r="AV122" i="49" s="1"/>
  <c r="B122" i="49"/>
  <c r="D121" i="49"/>
  <c r="AV121" i="49" s="1"/>
  <c r="B121" i="49"/>
  <c r="AT116" i="49"/>
  <c r="AS115" i="49"/>
  <c r="AR115" i="49"/>
  <c r="AT115" i="49"/>
  <c r="Z115" i="49"/>
  <c r="Q115" i="49"/>
  <c r="J115" i="49"/>
  <c r="I115" i="49"/>
  <c r="H115" i="49"/>
  <c r="G115" i="49"/>
  <c r="B115" i="49"/>
  <c r="AS114" i="49"/>
  <c r="AR114" i="49"/>
  <c r="AT114" i="49"/>
  <c r="Z114" i="49"/>
  <c r="Q114" i="49"/>
  <c r="J114" i="49"/>
  <c r="I114" i="49"/>
  <c r="H114" i="49"/>
  <c r="G114" i="49"/>
  <c r="AV114" i="49" s="1"/>
  <c r="B114" i="49"/>
  <c r="AS113" i="49"/>
  <c r="AR113" i="49"/>
  <c r="AT113" i="49"/>
  <c r="Z113" i="49"/>
  <c r="Q113" i="49"/>
  <c r="J113" i="49"/>
  <c r="I113" i="49"/>
  <c r="H113" i="49"/>
  <c r="G113" i="49"/>
  <c r="AV113" i="49" s="1"/>
  <c r="B113" i="49"/>
  <c r="AS112" i="49"/>
  <c r="AR112" i="49"/>
  <c r="AT112" i="49"/>
  <c r="Z112" i="49"/>
  <c r="Q112" i="49"/>
  <c r="J112" i="49"/>
  <c r="I112" i="49"/>
  <c r="H112" i="49"/>
  <c r="G112" i="49"/>
  <c r="B112" i="49"/>
  <c r="AS111" i="49"/>
  <c r="AR111" i="49"/>
  <c r="AT111" i="49"/>
  <c r="Z111" i="49"/>
  <c r="Q111" i="49"/>
  <c r="J111" i="49"/>
  <c r="I111" i="49"/>
  <c r="H111" i="49"/>
  <c r="G111" i="49"/>
  <c r="B111" i="49"/>
  <c r="AS110" i="49"/>
  <c r="AR110" i="49"/>
  <c r="AT110" i="49"/>
  <c r="Z110" i="49"/>
  <c r="Q110" i="49"/>
  <c r="J110" i="49"/>
  <c r="I110" i="49"/>
  <c r="H110" i="49"/>
  <c r="G110" i="49"/>
  <c r="AV110" i="49" s="1"/>
  <c r="B110" i="49"/>
  <c r="AS109" i="49"/>
  <c r="AR109" i="49"/>
  <c r="AT109" i="49"/>
  <c r="Z109" i="49"/>
  <c r="Q109" i="49"/>
  <c r="J109" i="49"/>
  <c r="I109" i="49"/>
  <c r="H109" i="49"/>
  <c r="G109" i="49"/>
  <c r="AV109" i="49" s="1"/>
  <c r="B109" i="49"/>
  <c r="AS108" i="49"/>
  <c r="AR108" i="49"/>
  <c r="AT108" i="49"/>
  <c r="Z108" i="49"/>
  <c r="Q108" i="49"/>
  <c r="J108" i="49"/>
  <c r="I108" i="49"/>
  <c r="H108" i="49"/>
  <c r="G108" i="49"/>
  <c r="B108" i="49"/>
  <c r="AS107" i="49"/>
  <c r="AR107" i="49"/>
  <c r="AT107" i="49"/>
  <c r="Z107" i="49"/>
  <c r="Q107" i="49"/>
  <c r="J107" i="49"/>
  <c r="I107" i="49"/>
  <c r="H107" i="49"/>
  <c r="G107" i="49"/>
  <c r="B107" i="49"/>
  <c r="AS106" i="49"/>
  <c r="AR106" i="49"/>
  <c r="AT106" i="49"/>
  <c r="Z106" i="49"/>
  <c r="Q106" i="49"/>
  <c r="J106" i="49"/>
  <c r="I106" i="49"/>
  <c r="H106" i="49"/>
  <c r="G106" i="49"/>
  <c r="AV106" i="49" s="1"/>
  <c r="B106" i="49"/>
  <c r="AS105" i="49"/>
  <c r="AR105" i="49"/>
  <c r="AT105" i="49"/>
  <c r="Z105" i="49"/>
  <c r="Q105" i="49"/>
  <c r="J105" i="49"/>
  <c r="I105" i="49"/>
  <c r="H105" i="49"/>
  <c r="G105" i="49"/>
  <c r="AV105" i="49" s="1"/>
  <c r="B105" i="49"/>
  <c r="AS104" i="49"/>
  <c r="AR104" i="49"/>
  <c r="AT104" i="49"/>
  <c r="Z104" i="49"/>
  <c r="Q104" i="49"/>
  <c r="J104" i="49"/>
  <c r="I104" i="49"/>
  <c r="H104" i="49"/>
  <c r="G104" i="49"/>
  <c r="B104" i="49"/>
  <c r="AS103" i="49"/>
  <c r="AR103" i="49"/>
  <c r="AT103" i="49"/>
  <c r="Z103" i="49"/>
  <c r="Q103" i="49"/>
  <c r="J103" i="49"/>
  <c r="I103" i="49"/>
  <c r="H103" i="49"/>
  <c r="G103" i="49"/>
  <c r="B103" i="49"/>
  <c r="AS102" i="49"/>
  <c r="AR102" i="49"/>
  <c r="AT102" i="49"/>
  <c r="Z102" i="49"/>
  <c r="Q102" i="49"/>
  <c r="J102" i="49"/>
  <c r="I102" i="49"/>
  <c r="H102" i="49"/>
  <c r="G102" i="49"/>
  <c r="AV102" i="49" s="1"/>
  <c r="B102" i="49"/>
  <c r="AS101" i="49"/>
  <c r="AR101" i="49"/>
  <c r="AT101" i="49"/>
  <c r="Z101" i="49"/>
  <c r="Q101" i="49"/>
  <c r="J101" i="49"/>
  <c r="I101" i="49"/>
  <c r="H101" i="49"/>
  <c r="G101" i="49"/>
  <c r="AV101" i="49" s="1"/>
  <c r="B101" i="49"/>
  <c r="AS100" i="49"/>
  <c r="AR100" i="49"/>
  <c r="AT100" i="49"/>
  <c r="Z100" i="49"/>
  <c r="Q100" i="49"/>
  <c r="J100" i="49"/>
  <c r="I100" i="49"/>
  <c r="H100" i="49"/>
  <c r="G100" i="49"/>
  <c r="B100" i="49"/>
  <c r="AS99" i="49"/>
  <c r="AR99" i="49"/>
  <c r="AT99" i="49"/>
  <c r="Z99" i="49"/>
  <c r="Q99" i="49"/>
  <c r="J99" i="49"/>
  <c r="I99" i="49"/>
  <c r="H99" i="49"/>
  <c r="G99" i="49"/>
  <c r="B99" i="49"/>
  <c r="AS98" i="49"/>
  <c r="AR98" i="49"/>
  <c r="AT98" i="49"/>
  <c r="Z98" i="49"/>
  <c r="Q98" i="49"/>
  <c r="J98" i="49"/>
  <c r="I98" i="49"/>
  <c r="H98" i="49"/>
  <c r="G98" i="49"/>
  <c r="AV98" i="49" s="1"/>
  <c r="B98" i="49"/>
  <c r="AS97" i="49"/>
  <c r="AR97" i="49"/>
  <c r="AT97" i="49"/>
  <c r="Z97" i="49"/>
  <c r="Q97" i="49"/>
  <c r="J97" i="49"/>
  <c r="I97" i="49"/>
  <c r="H97" i="49"/>
  <c r="G97" i="49"/>
  <c r="AV97" i="49" s="1"/>
  <c r="B97" i="49"/>
  <c r="AS96" i="49"/>
  <c r="AR96" i="49"/>
  <c r="AT96" i="49"/>
  <c r="Z96" i="49"/>
  <c r="Q96" i="49"/>
  <c r="J96" i="49"/>
  <c r="I96" i="49"/>
  <c r="H96" i="49"/>
  <c r="G96" i="49"/>
  <c r="B96" i="49"/>
  <c r="AS95" i="49"/>
  <c r="AR95" i="49"/>
  <c r="AT95" i="49"/>
  <c r="Z95" i="49"/>
  <c r="Q95" i="49"/>
  <c r="J95" i="49"/>
  <c r="I95" i="49"/>
  <c r="H95" i="49"/>
  <c r="G95" i="49"/>
  <c r="B95" i="49"/>
  <c r="AS94" i="49"/>
  <c r="AR94" i="49"/>
  <c r="AT94" i="49"/>
  <c r="Z94" i="49"/>
  <c r="Q94" i="49"/>
  <c r="J94" i="49"/>
  <c r="I94" i="49"/>
  <c r="H94" i="49"/>
  <c r="G94" i="49"/>
  <c r="AV94" i="49" s="1"/>
  <c r="B94" i="49"/>
  <c r="AS93" i="49"/>
  <c r="AR93" i="49"/>
  <c r="AT93" i="49"/>
  <c r="Z93" i="49"/>
  <c r="Q93" i="49"/>
  <c r="J93" i="49"/>
  <c r="I93" i="49"/>
  <c r="H93" i="49"/>
  <c r="G93" i="49"/>
  <c r="AV93" i="49" s="1"/>
  <c r="B93" i="49"/>
  <c r="AS92" i="49"/>
  <c r="AR92" i="49"/>
  <c r="AT92" i="49"/>
  <c r="Z92" i="49"/>
  <c r="Q92" i="49"/>
  <c r="J92" i="49"/>
  <c r="I92" i="49"/>
  <c r="H92" i="49"/>
  <c r="G92" i="49"/>
  <c r="B92" i="49"/>
  <c r="AS91" i="49"/>
  <c r="AR91" i="49"/>
  <c r="AT91" i="49"/>
  <c r="Z91" i="49"/>
  <c r="Q91" i="49"/>
  <c r="J91" i="49"/>
  <c r="I91" i="49"/>
  <c r="H91" i="49"/>
  <c r="G91" i="49"/>
  <c r="B91" i="49"/>
  <c r="AS90" i="49"/>
  <c r="AR90" i="49"/>
  <c r="AT90" i="49"/>
  <c r="Z90" i="49"/>
  <c r="Q90" i="49"/>
  <c r="J90" i="49"/>
  <c r="I90" i="49"/>
  <c r="H90" i="49"/>
  <c r="G90" i="49"/>
  <c r="AV90" i="49" s="1"/>
  <c r="B90" i="49"/>
  <c r="AS89" i="49"/>
  <c r="AR89" i="49"/>
  <c r="AT89" i="49"/>
  <c r="Z89" i="49"/>
  <c r="Q89" i="49"/>
  <c r="J89" i="49"/>
  <c r="I89" i="49"/>
  <c r="H89" i="49"/>
  <c r="G89" i="49"/>
  <c r="AV89" i="49" s="1"/>
  <c r="B89" i="49"/>
  <c r="AS88" i="49"/>
  <c r="AR88" i="49"/>
  <c r="AT88" i="49"/>
  <c r="Z88" i="49"/>
  <c r="Q88" i="49"/>
  <c r="J88" i="49"/>
  <c r="I88" i="49"/>
  <c r="H88" i="49"/>
  <c r="G88" i="49"/>
  <c r="B88" i="49"/>
  <c r="AS87" i="49"/>
  <c r="AR87" i="49"/>
  <c r="AT87" i="49"/>
  <c r="Z87" i="49"/>
  <c r="Q87" i="49"/>
  <c r="J87" i="49"/>
  <c r="I87" i="49"/>
  <c r="H87" i="49"/>
  <c r="G87" i="49"/>
  <c r="B87" i="49"/>
  <c r="AV86" i="49"/>
  <c r="AS86" i="49"/>
  <c r="AR86" i="49"/>
  <c r="AT86" i="49"/>
  <c r="Z86" i="49"/>
  <c r="Q86" i="49"/>
  <c r="J86" i="49"/>
  <c r="I86" i="49"/>
  <c r="H86" i="49"/>
  <c r="G86" i="49"/>
  <c r="B86" i="49"/>
  <c r="AS85" i="49"/>
  <c r="AR85" i="49"/>
  <c r="AT85" i="49"/>
  <c r="Z85" i="49"/>
  <c r="Q85" i="49"/>
  <c r="J85" i="49"/>
  <c r="I85" i="49"/>
  <c r="H85" i="49"/>
  <c r="G85" i="49"/>
  <c r="AV85" i="49" s="1"/>
  <c r="B85" i="49"/>
  <c r="AS84" i="49"/>
  <c r="AR84" i="49"/>
  <c r="AT84" i="49"/>
  <c r="Z84" i="49"/>
  <c r="Q84" i="49"/>
  <c r="J84" i="49"/>
  <c r="I84" i="49"/>
  <c r="H84" i="49"/>
  <c r="G84" i="49"/>
  <c r="B84" i="49"/>
  <c r="AS83" i="49"/>
  <c r="AR83" i="49"/>
  <c r="AT83" i="49"/>
  <c r="Z83" i="49"/>
  <c r="Q83" i="49"/>
  <c r="J83" i="49"/>
  <c r="I83" i="49"/>
  <c r="H83" i="49"/>
  <c r="G83" i="49"/>
  <c r="B83" i="49"/>
  <c r="AS82" i="49"/>
  <c r="AR82" i="49"/>
  <c r="AT82" i="49"/>
  <c r="Z82" i="49"/>
  <c r="Q82" i="49"/>
  <c r="J82" i="49"/>
  <c r="I82" i="49"/>
  <c r="H82" i="49"/>
  <c r="G82" i="49"/>
  <c r="AV82" i="49" s="1"/>
  <c r="B82" i="49"/>
  <c r="AS81" i="49"/>
  <c r="AR81" i="49"/>
  <c r="AT81" i="49"/>
  <c r="Z81" i="49"/>
  <c r="Q81" i="49"/>
  <c r="J81" i="49"/>
  <c r="I81" i="49"/>
  <c r="H81" i="49"/>
  <c r="G81" i="49"/>
  <c r="AV81" i="49" s="1"/>
  <c r="B81" i="49"/>
  <c r="AS80" i="49"/>
  <c r="AR80" i="49"/>
  <c r="AT80" i="49"/>
  <c r="Z80" i="49"/>
  <c r="Q80" i="49"/>
  <c r="J80" i="49"/>
  <c r="I80" i="49"/>
  <c r="H80" i="49"/>
  <c r="G80" i="49"/>
  <c r="B80" i="49"/>
  <c r="AS79" i="49"/>
  <c r="AR79" i="49"/>
  <c r="AT79" i="49"/>
  <c r="Z79" i="49"/>
  <c r="Q79" i="49"/>
  <c r="J79" i="49"/>
  <c r="I79" i="49"/>
  <c r="H79" i="49"/>
  <c r="G79" i="49"/>
  <c r="B79" i="49"/>
  <c r="AS78" i="49"/>
  <c r="AR78" i="49"/>
  <c r="AT78" i="49"/>
  <c r="Z78" i="49"/>
  <c r="Q78" i="49"/>
  <c r="J78" i="49"/>
  <c r="I78" i="49"/>
  <c r="H78" i="49"/>
  <c r="G78" i="49"/>
  <c r="AV78" i="49" s="1"/>
  <c r="B78" i="49"/>
  <c r="AS77" i="49"/>
  <c r="AR77" i="49"/>
  <c r="AT77" i="49"/>
  <c r="Z77" i="49"/>
  <c r="Q77" i="49"/>
  <c r="J77" i="49"/>
  <c r="I77" i="49"/>
  <c r="H77" i="49"/>
  <c r="G77" i="49"/>
  <c r="AV77" i="49" s="1"/>
  <c r="B77" i="49"/>
  <c r="AS76" i="49"/>
  <c r="AR76" i="49"/>
  <c r="AT76" i="49"/>
  <c r="Z76" i="49"/>
  <c r="Q76" i="49"/>
  <c r="J76" i="49"/>
  <c r="I76" i="49"/>
  <c r="H76" i="49"/>
  <c r="G76" i="49"/>
  <c r="B76" i="49"/>
  <c r="AS75" i="49"/>
  <c r="AR75" i="49"/>
  <c r="AT75" i="49"/>
  <c r="Z75" i="49"/>
  <c r="Q75" i="49"/>
  <c r="J75" i="49"/>
  <c r="I75" i="49"/>
  <c r="H75" i="49"/>
  <c r="G75" i="49"/>
  <c r="B75" i="49"/>
  <c r="AS74" i="49"/>
  <c r="AR74" i="49"/>
  <c r="AT74" i="49"/>
  <c r="Z74" i="49"/>
  <c r="Q74" i="49"/>
  <c r="J74" i="49"/>
  <c r="I74" i="49"/>
  <c r="H74" i="49"/>
  <c r="G74" i="49"/>
  <c r="AV74" i="49" s="1"/>
  <c r="B74" i="49"/>
  <c r="AS73" i="49"/>
  <c r="AR73" i="49"/>
  <c r="AT73" i="49"/>
  <c r="Z73" i="49"/>
  <c r="Q73" i="49"/>
  <c r="J73" i="49"/>
  <c r="I73" i="49"/>
  <c r="H73" i="49"/>
  <c r="G73" i="49"/>
  <c r="AV73" i="49" s="1"/>
  <c r="B73" i="49"/>
  <c r="AS72" i="49"/>
  <c r="AR72" i="49"/>
  <c r="AT72" i="49"/>
  <c r="Z72" i="49"/>
  <c r="Q72" i="49"/>
  <c r="J72" i="49"/>
  <c r="I72" i="49"/>
  <c r="H72" i="49"/>
  <c r="G72" i="49"/>
  <c r="B72" i="49"/>
  <c r="AS71" i="49"/>
  <c r="AR71" i="49"/>
  <c r="AT71" i="49"/>
  <c r="Z71" i="49"/>
  <c r="Q71" i="49"/>
  <c r="J71" i="49"/>
  <c r="I71" i="49"/>
  <c r="H71" i="49"/>
  <c r="G71" i="49"/>
  <c r="B71" i="49"/>
  <c r="AS70" i="49"/>
  <c r="AR70" i="49"/>
  <c r="AT70" i="49"/>
  <c r="Z70" i="49"/>
  <c r="Q70" i="49"/>
  <c r="J70" i="49"/>
  <c r="I70" i="49"/>
  <c r="H70" i="49"/>
  <c r="G70" i="49"/>
  <c r="AV70" i="49" s="1"/>
  <c r="B70" i="49"/>
  <c r="AS69" i="49"/>
  <c r="AR69" i="49"/>
  <c r="AT69" i="49"/>
  <c r="Z69" i="49"/>
  <c r="Q69" i="49"/>
  <c r="J69" i="49"/>
  <c r="I69" i="49"/>
  <c r="H69" i="49"/>
  <c r="G69" i="49"/>
  <c r="AV69" i="49" s="1"/>
  <c r="B69" i="49"/>
  <c r="AS68" i="49"/>
  <c r="AR68" i="49"/>
  <c r="AT68" i="49"/>
  <c r="Z68" i="49"/>
  <c r="Q68" i="49"/>
  <c r="J68" i="49"/>
  <c r="I68" i="49"/>
  <c r="H68" i="49"/>
  <c r="G68" i="49"/>
  <c r="B68" i="49"/>
  <c r="AS67" i="49"/>
  <c r="AR67" i="49"/>
  <c r="AT67" i="49"/>
  <c r="Z67" i="49"/>
  <c r="Q67" i="49"/>
  <c r="J67" i="49"/>
  <c r="I67" i="49"/>
  <c r="H67" i="49"/>
  <c r="G67" i="49"/>
  <c r="B67" i="49"/>
  <c r="AS66" i="49"/>
  <c r="AR66" i="49"/>
  <c r="AT66" i="49"/>
  <c r="Z66" i="49"/>
  <c r="Q66" i="49"/>
  <c r="J66" i="49"/>
  <c r="I66" i="49"/>
  <c r="H66" i="49"/>
  <c r="G66" i="49"/>
  <c r="AV66" i="49" s="1"/>
  <c r="B66" i="49"/>
  <c r="AS65" i="49"/>
  <c r="AR65" i="49"/>
  <c r="AT65" i="49"/>
  <c r="Z65" i="49"/>
  <c r="Q65" i="49"/>
  <c r="J65" i="49"/>
  <c r="I65" i="49"/>
  <c r="H65" i="49"/>
  <c r="G65" i="49"/>
  <c r="AV65" i="49" s="1"/>
  <c r="B65" i="49"/>
  <c r="AS64" i="49"/>
  <c r="AR64" i="49"/>
  <c r="AT64" i="49"/>
  <c r="Z64" i="49"/>
  <c r="Q64" i="49"/>
  <c r="J64" i="49"/>
  <c r="I64" i="49"/>
  <c r="H64" i="49"/>
  <c r="G64" i="49"/>
  <c r="B64" i="49"/>
  <c r="AS63" i="49"/>
  <c r="AR63" i="49"/>
  <c r="AT63" i="49"/>
  <c r="Z63" i="49"/>
  <c r="Q63" i="49"/>
  <c r="J63" i="49"/>
  <c r="I63" i="49"/>
  <c r="H63" i="49"/>
  <c r="G63" i="49"/>
  <c r="B63" i="49"/>
  <c r="AS62" i="49"/>
  <c r="AR62" i="49"/>
  <c r="AT62" i="49"/>
  <c r="Z62" i="49"/>
  <c r="Q62" i="49"/>
  <c r="J62" i="49"/>
  <c r="I62" i="49"/>
  <c r="H62" i="49"/>
  <c r="G62" i="49"/>
  <c r="AV62" i="49" s="1"/>
  <c r="B62" i="49"/>
  <c r="AS61" i="49"/>
  <c r="AR61" i="49"/>
  <c r="AT61" i="49"/>
  <c r="Z61" i="49"/>
  <c r="Q61" i="49"/>
  <c r="J61" i="49"/>
  <c r="I61" i="49"/>
  <c r="H61" i="49"/>
  <c r="G61" i="49"/>
  <c r="AV61" i="49" s="1"/>
  <c r="B61" i="49"/>
  <c r="AS60" i="49"/>
  <c r="AR60" i="49"/>
  <c r="AT60" i="49"/>
  <c r="Z60" i="49"/>
  <c r="Q60" i="49"/>
  <c r="J60" i="49"/>
  <c r="I60" i="49"/>
  <c r="H60" i="49"/>
  <c r="G60" i="49"/>
  <c r="B60" i="49"/>
  <c r="AS59" i="49"/>
  <c r="AR59" i="49"/>
  <c r="AT59" i="49"/>
  <c r="Q59" i="49"/>
  <c r="J59" i="49"/>
  <c r="I59" i="49"/>
  <c r="H59" i="49"/>
  <c r="G59" i="49"/>
  <c r="B59" i="49"/>
  <c r="AS58" i="49"/>
  <c r="AR58" i="49"/>
  <c r="AT58" i="49"/>
  <c r="Q58" i="49"/>
  <c r="J58" i="49"/>
  <c r="I58" i="49"/>
  <c r="H58" i="49"/>
  <c r="G58" i="49"/>
  <c r="AV58" i="49" s="1"/>
  <c r="B58" i="49"/>
  <c r="AS57" i="49"/>
  <c r="AR57" i="49"/>
  <c r="AT57" i="49"/>
  <c r="Q57" i="49"/>
  <c r="J57" i="49"/>
  <c r="I57" i="49"/>
  <c r="H57" i="49"/>
  <c r="G57" i="49"/>
  <c r="AV57" i="49" s="1"/>
  <c r="B57" i="49"/>
  <c r="AS56" i="49"/>
  <c r="AR56" i="49"/>
  <c r="AT56" i="49"/>
  <c r="Q56" i="49"/>
  <c r="J56" i="49"/>
  <c r="I56" i="49"/>
  <c r="H56" i="49"/>
  <c r="G56" i="49"/>
  <c r="AV56" i="49" s="1"/>
  <c r="B56" i="49"/>
  <c r="AS55" i="49"/>
  <c r="AR55" i="49"/>
  <c r="AT55" i="49"/>
  <c r="Q55" i="49"/>
  <c r="J55" i="49"/>
  <c r="I55" i="49"/>
  <c r="H55" i="49"/>
  <c r="G55" i="49"/>
  <c r="B55" i="49"/>
  <c r="AS54" i="49"/>
  <c r="AR54" i="49"/>
  <c r="AT54" i="49"/>
  <c r="Q54" i="49"/>
  <c r="J54" i="49"/>
  <c r="I54" i="49"/>
  <c r="H54" i="49"/>
  <c r="G54" i="49"/>
  <c r="AV54" i="49" s="1"/>
  <c r="B54" i="49"/>
  <c r="AS53" i="49"/>
  <c r="AR53" i="49"/>
  <c r="AT53" i="49"/>
  <c r="Q53" i="49"/>
  <c r="J53" i="49"/>
  <c r="I53" i="49"/>
  <c r="H53" i="49"/>
  <c r="G53" i="49"/>
  <c r="AV53" i="49" s="1"/>
  <c r="B53" i="49"/>
  <c r="AS52" i="49"/>
  <c r="AR52" i="49"/>
  <c r="AT52" i="49"/>
  <c r="Q52" i="49"/>
  <c r="J52" i="49"/>
  <c r="I52" i="49"/>
  <c r="H52" i="49"/>
  <c r="G52" i="49"/>
  <c r="AV52" i="49" s="1"/>
  <c r="B52" i="49"/>
  <c r="AS51" i="49"/>
  <c r="AR51" i="49"/>
  <c r="AT51" i="49"/>
  <c r="Q51" i="49"/>
  <c r="J51" i="49"/>
  <c r="I51" i="49"/>
  <c r="H51" i="49"/>
  <c r="G51" i="49"/>
  <c r="B51" i="49"/>
  <c r="AS50" i="49"/>
  <c r="AR50" i="49"/>
  <c r="AT50" i="49"/>
  <c r="Q50" i="49"/>
  <c r="J50" i="49"/>
  <c r="I50" i="49"/>
  <c r="H50" i="49"/>
  <c r="G50" i="49"/>
  <c r="AV50" i="49" s="1"/>
  <c r="B50" i="49"/>
  <c r="AS49" i="49"/>
  <c r="AR49" i="49"/>
  <c r="AT49" i="49"/>
  <c r="Q49" i="49"/>
  <c r="J49" i="49"/>
  <c r="I49" i="49"/>
  <c r="H49" i="49"/>
  <c r="G49" i="49"/>
  <c r="AV49" i="49" s="1"/>
  <c r="B49" i="49"/>
  <c r="AS48" i="49"/>
  <c r="AR48" i="49"/>
  <c r="AT48" i="49"/>
  <c r="Q48" i="49"/>
  <c r="J48" i="49"/>
  <c r="I48" i="49"/>
  <c r="H48" i="49"/>
  <c r="G48" i="49"/>
  <c r="AV48" i="49" s="1"/>
  <c r="B48" i="49"/>
  <c r="AS47" i="49"/>
  <c r="AR47" i="49"/>
  <c r="AT47" i="49"/>
  <c r="Q47" i="49"/>
  <c r="J47" i="49"/>
  <c r="I47" i="49"/>
  <c r="H47" i="49"/>
  <c r="G47" i="49"/>
  <c r="B47" i="49"/>
  <c r="AS46" i="49"/>
  <c r="AR46" i="49"/>
  <c r="AT46" i="49"/>
  <c r="Q46" i="49"/>
  <c r="J46" i="49"/>
  <c r="I46" i="49"/>
  <c r="H46" i="49"/>
  <c r="G46" i="49"/>
  <c r="AV46" i="49" s="1"/>
  <c r="B46" i="49"/>
  <c r="AS45" i="49"/>
  <c r="AR45" i="49"/>
  <c r="AT45" i="49"/>
  <c r="Q45" i="49"/>
  <c r="J45" i="49"/>
  <c r="I45" i="49"/>
  <c r="H45" i="49"/>
  <c r="G45" i="49"/>
  <c r="AV45" i="49" s="1"/>
  <c r="B45" i="49"/>
  <c r="AS44" i="49"/>
  <c r="AR44" i="49"/>
  <c r="AT44" i="49"/>
  <c r="Q44" i="49"/>
  <c r="J44" i="49"/>
  <c r="I44" i="49"/>
  <c r="H44" i="49"/>
  <c r="G44" i="49"/>
  <c r="AV44" i="49" s="1"/>
  <c r="B44" i="49"/>
  <c r="AS43" i="49"/>
  <c r="AR43" i="49"/>
  <c r="AT43" i="49"/>
  <c r="Q43" i="49"/>
  <c r="J43" i="49"/>
  <c r="I43" i="49"/>
  <c r="H43" i="49"/>
  <c r="G43" i="49"/>
  <c r="B43" i="49"/>
  <c r="AS42" i="49"/>
  <c r="AR42" i="49"/>
  <c r="AT42" i="49"/>
  <c r="Q42" i="49"/>
  <c r="J42" i="49"/>
  <c r="I42" i="49"/>
  <c r="H42" i="49"/>
  <c r="G42" i="49"/>
  <c r="AV42" i="49" s="1"/>
  <c r="B42" i="49"/>
  <c r="AS41" i="49"/>
  <c r="AR41" i="49"/>
  <c r="AT41" i="49"/>
  <c r="Q41" i="49"/>
  <c r="J41" i="49"/>
  <c r="I41" i="49"/>
  <c r="H41" i="49"/>
  <c r="G41" i="49"/>
  <c r="AV41" i="49" s="1"/>
  <c r="B41" i="49"/>
  <c r="AS40" i="49"/>
  <c r="AR40" i="49"/>
  <c r="AT40" i="49"/>
  <c r="Q40" i="49"/>
  <c r="J40" i="49"/>
  <c r="I40" i="49"/>
  <c r="H40" i="49"/>
  <c r="G40" i="49"/>
  <c r="AV40" i="49" s="1"/>
  <c r="B40" i="49"/>
  <c r="AS39" i="49"/>
  <c r="AR39" i="49"/>
  <c r="AT39" i="49"/>
  <c r="Q39" i="49"/>
  <c r="J39" i="49"/>
  <c r="I39" i="49"/>
  <c r="H39" i="49"/>
  <c r="G39" i="49"/>
  <c r="B39" i="49"/>
  <c r="AS38" i="49"/>
  <c r="AR38" i="49"/>
  <c r="AT38" i="49"/>
  <c r="Q38" i="49"/>
  <c r="J38" i="49"/>
  <c r="I38" i="49"/>
  <c r="H38" i="49"/>
  <c r="G38" i="49"/>
  <c r="AV38" i="49" s="1"/>
  <c r="B38" i="49"/>
  <c r="AS37" i="49"/>
  <c r="AR37" i="49"/>
  <c r="AT37" i="49"/>
  <c r="Q37" i="49"/>
  <c r="J37" i="49"/>
  <c r="I37" i="49"/>
  <c r="H37" i="49"/>
  <c r="G37" i="49"/>
  <c r="AV37" i="49" s="1"/>
  <c r="B37" i="49"/>
  <c r="AS36" i="49"/>
  <c r="AR36" i="49"/>
  <c r="AT36" i="49"/>
  <c r="Q36" i="49"/>
  <c r="J36" i="49"/>
  <c r="I36" i="49"/>
  <c r="H36" i="49"/>
  <c r="G36" i="49"/>
  <c r="B36" i="49"/>
  <c r="AS35" i="49"/>
  <c r="AR35" i="49"/>
  <c r="AT35" i="49"/>
  <c r="Q35" i="49"/>
  <c r="J35" i="49"/>
  <c r="I35" i="49"/>
  <c r="H35" i="49"/>
  <c r="G35" i="49"/>
  <c r="B35" i="49"/>
  <c r="AS34" i="49"/>
  <c r="AR34" i="49"/>
  <c r="AT34" i="49"/>
  <c r="Q34" i="49"/>
  <c r="J34" i="49"/>
  <c r="I34" i="49"/>
  <c r="H34" i="49"/>
  <c r="G34" i="49"/>
  <c r="AV34" i="49" s="1"/>
  <c r="B34" i="49"/>
  <c r="AS33" i="49"/>
  <c r="AR33" i="49"/>
  <c r="AT33" i="49"/>
  <c r="Q33" i="49"/>
  <c r="J33" i="49"/>
  <c r="I33" i="49"/>
  <c r="H33" i="49"/>
  <c r="G33" i="49"/>
  <c r="AV33" i="49" s="1"/>
  <c r="B33" i="49"/>
  <c r="AT32" i="49" s="1"/>
  <c r="AS32" i="49"/>
  <c r="AR32" i="49"/>
  <c r="Q32" i="49"/>
  <c r="I32" i="49"/>
  <c r="H32" i="49"/>
  <c r="G32" i="49"/>
  <c r="AS31" i="49"/>
  <c r="AR31" i="49"/>
  <c r="Q31" i="49"/>
  <c r="I31" i="49"/>
  <c r="H31" i="49"/>
  <c r="G31" i="49"/>
  <c r="AS30" i="49"/>
  <c r="AR30" i="49"/>
  <c r="Q30" i="49"/>
  <c r="I30" i="49"/>
  <c r="H30" i="49"/>
  <c r="G30" i="49"/>
  <c r="AS29" i="49"/>
  <c r="AR29" i="49"/>
  <c r="Q29" i="49"/>
  <c r="I29" i="49"/>
  <c r="H29" i="49"/>
  <c r="G29" i="49"/>
  <c r="AS28" i="49"/>
  <c r="AR28" i="49"/>
  <c r="Q28" i="49"/>
  <c r="I28" i="49"/>
  <c r="H28" i="49"/>
  <c r="G28" i="49"/>
  <c r="AS27" i="49"/>
  <c r="AR27" i="49"/>
  <c r="Q27" i="49"/>
  <c r="I27" i="49"/>
  <c r="H27" i="49"/>
  <c r="G27" i="49"/>
  <c r="AS26" i="49"/>
  <c r="AR26" i="49"/>
  <c r="Q26" i="49"/>
  <c r="I26" i="49"/>
  <c r="H26" i="49"/>
  <c r="G26" i="49"/>
  <c r="AS25" i="49"/>
  <c r="AR25" i="49"/>
  <c r="Q25" i="49"/>
  <c r="I25" i="49"/>
  <c r="H25" i="49"/>
  <c r="G25" i="49"/>
  <c r="AS24" i="49"/>
  <c r="AR24" i="49"/>
  <c r="Q24" i="49"/>
  <c r="I24" i="49"/>
  <c r="H24" i="49"/>
  <c r="G24" i="49"/>
  <c r="AS23" i="49"/>
  <c r="AR23" i="49"/>
  <c r="Z23" i="49"/>
  <c r="Q23" i="49"/>
  <c r="I23" i="49"/>
  <c r="H23" i="49"/>
  <c r="G23" i="49"/>
  <c r="AS22" i="49"/>
  <c r="AR22" i="49"/>
  <c r="Z22" i="49"/>
  <c r="Q22" i="49"/>
  <c r="I22" i="49"/>
  <c r="H22" i="49"/>
  <c r="G22" i="49"/>
  <c r="AS21" i="49"/>
  <c r="AR21" i="49"/>
  <c r="Z21" i="49"/>
  <c r="Q21" i="49"/>
  <c r="I21" i="49"/>
  <c r="H21" i="49"/>
  <c r="G21" i="49"/>
  <c r="AS20" i="49"/>
  <c r="AR20" i="49"/>
  <c r="Z20" i="49"/>
  <c r="Q20" i="49"/>
  <c r="I20" i="49"/>
  <c r="H20" i="49"/>
  <c r="G20" i="49"/>
  <c r="AS19" i="49"/>
  <c r="AR19" i="49"/>
  <c r="Z19" i="49"/>
  <c r="Q19" i="49"/>
  <c r="I19" i="49"/>
  <c r="H19" i="49"/>
  <c r="G19" i="49"/>
  <c r="AS18" i="49"/>
  <c r="AR18" i="49"/>
  <c r="Z18" i="49"/>
  <c r="Q18" i="49"/>
  <c r="I18" i="49"/>
  <c r="H18" i="49"/>
  <c r="G18" i="49"/>
  <c r="AS17" i="49"/>
  <c r="AR17" i="49"/>
  <c r="Z17" i="49"/>
  <c r="Q17" i="49"/>
  <c r="I17" i="49"/>
  <c r="H17" i="49"/>
  <c r="G17" i="49"/>
  <c r="AS16" i="49"/>
  <c r="AR16" i="49"/>
  <c r="Z16" i="49"/>
  <c r="Q16" i="49"/>
  <c r="I16" i="49"/>
  <c r="H120" i="49" s="1"/>
  <c r="H16" i="49"/>
  <c r="G16" i="49"/>
  <c r="B16" i="49"/>
  <c r="AY15" i="49"/>
  <c r="AV15" i="49"/>
  <c r="H14" i="49"/>
  <c r="B10" i="49"/>
  <c r="D7" i="49"/>
  <c r="C3" i="49"/>
  <c r="AV2" i="49"/>
  <c r="E3" i="41"/>
  <c r="D127" i="46"/>
  <c r="AV127" i="46" s="1"/>
  <c r="B127" i="46"/>
  <c r="D126" i="46"/>
  <c r="AV126" i="46" s="1"/>
  <c r="B126" i="46"/>
  <c r="D125" i="46"/>
  <c r="AV125" i="46" s="1"/>
  <c r="B125" i="46"/>
  <c r="D124" i="46"/>
  <c r="AV124" i="46" s="1"/>
  <c r="B124" i="46"/>
  <c r="D123" i="46"/>
  <c r="AV123" i="46" s="1"/>
  <c r="B123" i="46"/>
  <c r="D122" i="46"/>
  <c r="AV122" i="46" s="1"/>
  <c r="B122" i="46"/>
  <c r="D121" i="46"/>
  <c r="AV121" i="46" s="1"/>
  <c r="B121" i="46"/>
  <c r="AS115" i="46"/>
  <c r="AR115" i="46"/>
  <c r="Z115" i="46"/>
  <c r="Q115" i="46"/>
  <c r="J115" i="46"/>
  <c r="I115" i="46"/>
  <c r="H115" i="46"/>
  <c r="G115" i="46"/>
  <c r="AV115" i="46" s="1"/>
  <c r="B115" i="46"/>
  <c r="AS114" i="46"/>
  <c r="AR114" i="46"/>
  <c r="Z114" i="46"/>
  <c r="Q114" i="46"/>
  <c r="J114" i="46"/>
  <c r="I114" i="46"/>
  <c r="H114" i="46"/>
  <c r="G114" i="46"/>
  <c r="AV114" i="46" s="1"/>
  <c r="B114" i="46"/>
  <c r="AS113" i="46"/>
  <c r="AR113" i="46"/>
  <c r="Z113" i="46"/>
  <c r="Q113" i="46"/>
  <c r="J113" i="46"/>
  <c r="I113" i="46"/>
  <c r="H113" i="46"/>
  <c r="G113" i="46"/>
  <c r="AV113" i="46" s="1"/>
  <c r="B113" i="46"/>
  <c r="AS112" i="46"/>
  <c r="AR112" i="46"/>
  <c r="Z112" i="46"/>
  <c r="Q112" i="46"/>
  <c r="J112" i="46"/>
  <c r="I112" i="46"/>
  <c r="H112" i="46"/>
  <c r="G112" i="46"/>
  <c r="B112" i="46"/>
  <c r="AS111" i="46"/>
  <c r="AR111" i="46"/>
  <c r="Z111" i="46"/>
  <c r="Q111" i="46"/>
  <c r="J111" i="46"/>
  <c r="I111" i="46"/>
  <c r="H111" i="46"/>
  <c r="G111" i="46"/>
  <c r="AV111" i="46" s="1"/>
  <c r="B111" i="46"/>
  <c r="AS110" i="46"/>
  <c r="AR110" i="46"/>
  <c r="Z110" i="46"/>
  <c r="Q110" i="46"/>
  <c r="J110" i="46"/>
  <c r="I110" i="46"/>
  <c r="H110" i="46"/>
  <c r="G110" i="46"/>
  <c r="AV110" i="46" s="1"/>
  <c r="B110" i="46"/>
  <c r="AS109" i="46"/>
  <c r="AR109" i="46"/>
  <c r="Z109" i="46"/>
  <c r="Q109" i="46"/>
  <c r="J109" i="46"/>
  <c r="I109" i="46"/>
  <c r="H109" i="46"/>
  <c r="G109" i="46"/>
  <c r="AV109" i="46" s="1"/>
  <c r="B109" i="46"/>
  <c r="AS108" i="46"/>
  <c r="AR108" i="46"/>
  <c r="Z108" i="46"/>
  <c r="Q108" i="46"/>
  <c r="J108" i="46"/>
  <c r="I108" i="46"/>
  <c r="H108" i="46"/>
  <c r="G108" i="46"/>
  <c r="B108" i="46"/>
  <c r="AS107" i="46"/>
  <c r="AR107" i="46"/>
  <c r="Z107" i="46"/>
  <c r="Q107" i="46"/>
  <c r="J107" i="46"/>
  <c r="I107" i="46"/>
  <c r="H107" i="46"/>
  <c r="G107" i="46"/>
  <c r="AV107" i="46" s="1"/>
  <c r="B107" i="46"/>
  <c r="AS106" i="46"/>
  <c r="AR106" i="46"/>
  <c r="Z106" i="46"/>
  <c r="Q106" i="46"/>
  <c r="J106" i="46"/>
  <c r="I106" i="46"/>
  <c r="H106" i="46"/>
  <c r="G106" i="46"/>
  <c r="AV106" i="46" s="1"/>
  <c r="B106" i="46"/>
  <c r="AS105" i="46"/>
  <c r="AR105" i="46"/>
  <c r="Z105" i="46"/>
  <c r="Q105" i="46"/>
  <c r="J105" i="46"/>
  <c r="I105" i="46"/>
  <c r="H105" i="46"/>
  <c r="G105" i="46"/>
  <c r="AV105" i="46" s="1"/>
  <c r="B105" i="46"/>
  <c r="AS104" i="46"/>
  <c r="AR104" i="46"/>
  <c r="Z104" i="46"/>
  <c r="Q104" i="46"/>
  <c r="J104" i="46"/>
  <c r="I104" i="46"/>
  <c r="H104" i="46"/>
  <c r="G104" i="46"/>
  <c r="B104" i="46"/>
  <c r="AS103" i="46"/>
  <c r="AR103" i="46"/>
  <c r="Z103" i="46"/>
  <c r="Q103" i="46"/>
  <c r="J103" i="46"/>
  <c r="I103" i="46"/>
  <c r="H103" i="46"/>
  <c r="G103" i="46"/>
  <c r="AV103" i="46" s="1"/>
  <c r="B103" i="46"/>
  <c r="AS102" i="46"/>
  <c r="AR102" i="46"/>
  <c r="Z102" i="46"/>
  <c r="Q102" i="46"/>
  <c r="J102" i="46"/>
  <c r="I102" i="46"/>
  <c r="H102" i="46"/>
  <c r="G102" i="46"/>
  <c r="AV102" i="46" s="1"/>
  <c r="B102" i="46"/>
  <c r="AS101" i="46"/>
  <c r="AR101" i="46"/>
  <c r="Z101" i="46"/>
  <c r="Q101" i="46"/>
  <c r="J101" i="46"/>
  <c r="I101" i="46"/>
  <c r="H101" i="46"/>
  <c r="G101" i="46"/>
  <c r="AV101" i="46" s="1"/>
  <c r="B101" i="46"/>
  <c r="AS100" i="46"/>
  <c r="AR100" i="46"/>
  <c r="Z100" i="46"/>
  <c r="Q100" i="46"/>
  <c r="J100" i="46"/>
  <c r="I100" i="46"/>
  <c r="H100" i="46"/>
  <c r="G100" i="46"/>
  <c r="B100" i="46"/>
  <c r="AS99" i="46"/>
  <c r="AR99" i="46"/>
  <c r="Z99" i="46"/>
  <c r="Q99" i="46"/>
  <c r="J99" i="46"/>
  <c r="I99" i="46"/>
  <c r="H99" i="46"/>
  <c r="G99" i="46"/>
  <c r="AV99" i="46" s="1"/>
  <c r="B99" i="46"/>
  <c r="AS98" i="46"/>
  <c r="AR98" i="46"/>
  <c r="Z98" i="46"/>
  <c r="Q98" i="46"/>
  <c r="J98" i="46"/>
  <c r="I98" i="46"/>
  <c r="H98" i="46"/>
  <c r="G98" i="46"/>
  <c r="AV98" i="46" s="1"/>
  <c r="B98" i="46"/>
  <c r="AS97" i="46"/>
  <c r="AR97" i="46"/>
  <c r="Z97" i="46"/>
  <c r="Q97" i="46"/>
  <c r="J97" i="46"/>
  <c r="I97" i="46"/>
  <c r="H97" i="46"/>
  <c r="G97" i="46"/>
  <c r="AV97" i="46" s="1"/>
  <c r="B97" i="46"/>
  <c r="AS96" i="46"/>
  <c r="AR96" i="46"/>
  <c r="Z96" i="46"/>
  <c r="Q96" i="46"/>
  <c r="J96" i="46"/>
  <c r="I96" i="46"/>
  <c r="H96" i="46"/>
  <c r="G96" i="46"/>
  <c r="B96" i="46"/>
  <c r="AS95" i="46"/>
  <c r="AR95" i="46"/>
  <c r="Z95" i="46"/>
  <c r="Q95" i="46"/>
  <c r="J95" i="46"/>
  <c r="I95" i="46"/>
  <c r="H95" i="46"/>
  <c r="G95" i="46"/>
  <c r="AV95" i="46" s="1"/>
  <c r="B95" i="46"/>
  <c r="AS94" i="46"/>
  <c r="AR94" i="46"/>
  <c r="Z94" i="46"/>
  <c r="Q94" i="46"/>
  <c r="J94" i="46"/>
  <c r="I94" i="46"/>
  <c r="H94" i="46"/>
  <c r="G94" i="46"/>
  <c r="AV94" i="46" s="1"/>
  <c r="B94" i="46"/>
  <c r="AS93" i="46"/>
  <c r="AR93" i="46"/>
  <c r="Z93" i="46"/>
  <c r="Q93" i="46"/>
  <c r="J93" i="46"/>
  <c r="I93" i="46"/>
  <c r="H93" i="46"/>
  <c r="G93" i="46"/>
  <c r="AV93" i="46" s="1"/>
  <c r="B93" i="46"/>
  <c r="AS92" i="46"/>
  <c r="AR92" i="46"/>
  <c r="Z92" i="46"/>
  <c r="Q92" i="46"/>
  <c r="J92" i="46"/>
  <c r="I92" i="46"/>
  <c r="H92" i="46"/>
  <c r="G92" i="46"/>
  <c r="B92" i="46"/>
  <c r="AS91" i="46"/>
  <c r="AR91" i="46"/>
  <c r="Z91" i="46"/>
  <c r="Q91" i="46"/>
  <c r="J91" i="46"/>
  <c r="I91" i="46"/>
  <c r="H91" i="46"/>
  <c r="G91" i="46"/>
  <c r="AV91" i="46" s="1"/>
  <c r="B91" i="46"/>
  <c r="AS90" i="46"/>
  <c r="AR90" i="46"/>
  <c r="Z90" i="46"/>
  <c r="Q90" i="46"/>
  <c r="J90" i="46"/>
  <c r="I90" i="46"/>
  <c r="H90" i="46"/>
  <c r="G90" i="46"/>
  <c r="AV90" i="46" s="1"/>
  <c r="B90" i="46"/>
  <c r="AS89" i="46"/>
  <c r="AR89" i="46"/>
  <c r="Z89" i="46"/>
  <c r="Q89" i="46"/>
  <c r="J89" i="46"/>
  <c r="I89" i="46"/>
  <c r="H89" i="46"/>
  <c r="G89" i="46"/>
  <c r="AV89" i="46" s="1"/>
  <c r="B89" i="46"/>
  <c r="AS88" i="46"/>
  <c r="AR88" i="46"/>
  <c r="Z88" i="46"/>
  <c r="Q88" i="46"/>
  <c r="J88" i="46"/>
  <c r="I88" i="46"/>
  <c r="H88" i="46"/>
  <c r="G88" i="46"/>
  <c r="B88" i="46"/>
  <c r="AS87" i="46"/>
  <c r="AR87" i="46"/>
  <c r="Z87" i="46"/>
  <c r="Q87" i="46"/>
  <c r="J87" i="46"/>
  <c r="I87" i="46"/>
  <c r="H87" i="46"/>
  <c r="G87" i="46"/>
  <c r="AV87" i="46" s="1"/>
  <c r="B87" i="46"/>
  <c r="AS86" i="46"/>
  <c r="AR86" i="46"/>
  <c r="Z86" i="46"/>
  <c r="Q86" i="46"/>
  <c r="J86" i="46"/>
  <c r="I86" i="46"/>
  <c r="H86" i="46"/>
  <c r="G86" i="46"/>
  <c r="AV86" i="46" s="1"/>
  <c r="B86" i="46"/>
  <c r="AS85" i="46"/>
  <c r="AR85" i="46"/>
  <c r="Z85" i="46"/>
  <c r="Q85" i="46"/>
  <c r="J85" i="46"/>
  <c r="I85" i="46"/>
  <c r="H85" i="46"/>
  <c r="G85" i="46"/>
  <c r="AV85" i="46" s="1"/>
  <c r="B85" i="46"/>
  <c r="AS84" i="46"/>
  <c r="AR84" i="46"/>
  <c r="Z84" i="46"/>
  <c r="Q84" i="46"/>
  <c r="J84" i="46"/>
  <c r="I84" i="46"/>
  <c r="H84" i="46"/>
  <c r="G84" i="46"/>
  <c r="B84" i="46"/>
  <c r="AS83" i="46"/>
  <c r="AR83" i="46"/>
  <c r="Z83" i="46"/>
  <c r="Q83" i="46"/>
  <c r="J83" i="46"/>
  <c r="I83" i="46"/>
  <c r="H83" i="46"/>
  <c r="G83" i="46"/>
  <c r="AV83" i="46" s="1"/>
  <c r="B83" i="46"/>
  <c r="AS82" i="46"/>
  <c r="AR82" i="46"/>
  <c r="Z82" i="46"/>
  <c r="Q82" i="46"/>
  <c r="J82" i="46"/>
  <c r="I82" i="46"/>
  <c r="H82" i="46"/>
  <c r="G82" i="46"/>
  <c r="AV82" i="46" s="1"/>
  <c r="B82" i="46"/>
  <c r="AS81" i="46"/>
  <c r="AR81" i="46"/>
  <c r="Z81" i="46"/>
  <c r="Q81" i="46"/>
  <c r="J81" i="46"/>
  <c r="I81" i="46"/>
  <c r="H81" i="46"/>
  <c r="G81" i="46"/>
  <c r="AV81" i="46" s="1"/>
  <c r="B81" i="46"/>
  <c r="AS80" i="46"/>
  <c r="AR80" i="46"/>
  <c r="Z80" i="46"/>
  <c r="Q80" i="46"/>
  <c r="J80" i="46"/>
  <c r="I80" i="46"/>
  <c r="H80" i="46"/>
  <c r="G80" i="46"/>
  <c r="B80" i="46"/>
  <c r="AS79" i="46"/>
  <c r="AR79" i="46"/>
  <c r="Z79" i="46"/>
  <c r="Q79" i="46"/>
  <c r="J79" i="46"/>
  <c r="I79" i="46"/>
  <c r="H79" i="46"/>
  <c r="G79" i="46"/>
  <c r="AV79" i="46" s="1"/>
  <c r="B79" i="46"/>
  <c r="AS78" i="46"/>
  <c r="AR78" i="46"/>
  <c r="Z78" i="46"/>
  <c r="Q78" i="46"/>
  <c r="J78" i="46"/>
  <c r="I78" i="46"/>
  <c r="H78" i="46"/>
  <c r="G78" i="46"/>
  <c r="AV78" i="46" s="1"/>
  <c r="B78" i="46"/>
  <c r="AS77" i="46"/>
  <c r="AR77" i="46"/>
  <c r="Z77" i="46"/>
  <c r="Q77" i="46"/>
  <c r="J77" i="46"/>
  <c r="I77" i="46"/>
  <c r="H77" i="46"/>
  <c r="G77" i="46"/>
  <c r="AV77" i="46" s="1"/>
  <c r="B77" i="46"/>
  <c r="AS76" i="46"/>
  <c r="AR76" i="46"/>
  <c r="Z76" i="46"/>
  <c r="Q76" i="46"/>
  <c r="J76" i="46"/>
  <c r="I76" i="46"/>
  <c r="H76" i="46"/>
  <c r="G76" i="46"/>
  <c r="B76" i="46"/>
  <c r="AS75" i="46"/>
  <c r="AR75" i="46"/>
  <c r="Z75" i="46"/>
  <c r="Q75" i="46"/>
  <c r="J75" i="46"/>
  <c r="I75" i="46"/>
  <c r="H75" i="46"/>
  <c r="G75" i="46"/>
  <c r="AV75" i="46" s="1"/>
  <c r="B75" i="46"/>
  <c r="AS74" i="46"/>
  <c r="AR74" i="46"/>
  <c r="Z74" i="46"/>
  <c r="Q74" i="46"/>
  <c r="J74" i="46"/>
  <c r="I74" i="46"/>
  <c r="H74" i="46"/>
  <c r="G74" i="46"/>
  <c r="AV74" i="46" s="1"/>
  <c r="B74" i="46"/>
  <c r="AS73" i="46"/>
  <c r="AR73" i="46"/>
  <c r="Z73" i="46"/>
  <c r="Q73" i="46"/>
  <c r="J73" i="46"/>
  <c r="I73" i="46"/>
  <c r="H73" i="46"/>
  <c r="G73" i="46"/>
  <c r="AV73" i="46" s="1"/>
  <c r="B73" i="46"/>
  <c r="AS72" i="46"/>
  <c r="AR72" i="46"/>
  <c r="Z72" i="46"/>
  <c r="Q72" i="46"/>
  <c r="J72" i="46"/>
  <c r="I72" i="46"/>
  <c r="H72" i="46"/>
  <c r="G72" i="46"/>
  <c r="B72" i="46"/>
  <c r="AS71" i="46"/>
  <c r="AR71" i="46"/>
  <c r="Z71" i="46"/>
  <c r="Q71" i="46"/>
  <c r="J71" i="46"/>
  <c r="I71" i="46"/>
  <c r="H71" i="46"/>
  <c r="G71" i="46"/>
  <c r="AV71" i="46" s="1"/>
  <c r="B71" i="46"/>
  <c r="AS70" i="46"/>
  <c r="AR70" i="46"/>
  <c r="Z70" i="46"/>
  <c r="Q70" i="46"/>
  <c r="J70" i="46"/>
  <c r="I70" i="46"/>
  <c r="H70" i="46"/>
  <c r="G70" i="46"/>
  <c r="AV70" i="46" s="1"/>
  <c r="B70" i="46"/>
  <c r="AS69" i="46"/>
  <c r="AR69" i="46"/>
  <c r="Z69" i="46"/>
  <c r="Q69" i="46"/>
  <c r="J69" i="46"/>
  <c r="I69" i="46"/>
  <c r="H69" i="46"/>
  <c r="G69" i="46"/>
  <c r="AV69" i="46" s="1"/>
  <c r="B69" i="46"/>
  <c r="AS68" i="46"/>
  <c r="AR68" i="46"/>
  <c r="Z68" i="46"/>
  <c r="Q68" i="46"/>
  <c r="J68" i="46"/>
  <c r="I68" i="46"/>
  <c r="H68" i="46"/>
  <c r="G68" i="46"/>
  <c r="B68" i="46"/>
  <c r="AS67" i="46"/>
  <c r="AR67" i="46"/>
  <c r="Z67" i="46"/>
  <c r="Q67" i="46"/>
  <c r="J67" i="46"/>
  <c r="I67" i="46"/>
  <c r="H67" i="46"/>
  <c r="G67" i="46"/>
  <c r="AV67" i="46" s="1"/>
  <c r="B67" i="46"/>
  <c r="AS66" i="46"/>
  <c r="AR66" i="46"/>
  <c r="Z66" i="46"/>
  <c r="Q66" i="46"/>
  <c r="J66" i="46"/>
  <c r="I66" i="46"/>
  <c r="H66" i="46"/>
  <c r="G66" i="46"/>
  <c r="AV66" i="46" s="1"/>
  <c r="B66" i="46"/>
  <c r="AS65" i="46"/>
  <c r="AR65" i="46"/>
  <c r="Z65" i="46"/>
  <c r="Q65" i="46"/>
  <c r="J65" i="46"/>
  <c r="I65" i="46"/>
  <c r="H65" i="46"/>
  <c r="G65" i="46"/>
  <c r="AV65" i="46" s="1"/>
  <c r="B65" i="46"/>
  <c r="AS64" i="46"/>
  <c r="AR64" i="46"/>
  <c r="Z64" i="46"/>
  <c r="Q64" i="46"/>
  <c r="J64" i="46"/>
  <c r="I64" i="46"/>
  <c r="H64" i="46"/>
  <c r="G64" i="46"/>
  <c r="B64" i="46"/>
  <c r="AS63" i="46"/>
  <c r="AR63" i="46"/>
  <c r="Z63" i="46"/>
  <c r="Q63" i="46"/>
  <c r="J63" i="46"/>
  <c r="I63" i="46"/>
  <c r="H63" i="46"/>
  <c r="G63" i="46"/>
  <c r="AV63" i="46" s="1"/>
  <c r="B63" i="46"/>
  <c r="AS62" i="46"/>
  <c r="AR62" i="46"/>
  <c r="Z62" i="46"/>
  <c r="Q62" i="46"/>
  <c r="J62" i="46"/>
  <c r="I62" i="46"/>
  <c r="H62" i="46"/>
  <c r="G62" i="46"/>
  <c r="AV62" i="46" s="1"/>
  <c r="B62" i="46"/>
  <c r="AS61" i="46"/>
  <c r="AR61" i="46"/>
  <c r="Z61" i="46"/>
  <c r="Q61" i="46"/>
  <c r="J61" i="46"/>
  <c r="I61" i="46"/>
  <c r="H61" i="46"/>
  <c r="G61" i="46"/>
  <c r="AV61" i="46" s="1"/>
  <c r="B61" i="46"/>
  <c r="AS60" i="46"/>
  <c r="AR60" i="46"/>
  <c r="Z60" i="46"/>
  <c r="Q60" i="46"/>
  <c r="J60" i="46"/>
  <c r="I60" i="46"/>
  <c r="H60" i="46"/>
  <c r="G60" i="46"/>
  <c r="B60" i="46"/>
  <c r="AS59" i="46"/>
  <c r="AR59" i="46"/>
  <c r="Q59" i="46"/>
  <c r="J59" i="46"/>
  <c r="I59" i="46"/>
  <c r="H59" i="46"/>
  <c r="G59" i="46"/>
  <c r="B59" i="46"/>
  <c r="AS58" i="46"/>
  <c r="AR58" i="46"/>
  <c r="Q58" i="46"/>
  <c r="J58" i="46"/>
  <c r="I58" i="46"/>
  <c r="H58" i="46"/>
  <c r="G58" i="46"/>
  <c r="B58" i="46"/>
  <c r="AS57" i="46"/>
  <c r="AR57" i="46"/>
  <c r="Q57" i="46"/>
  <c r="J57" i="46"/>
  <c r="I57" i="46"/>
  <c r="H57" i="46"/>
  <c r="G57" i="46"/>
  <c r="AV57" i="46" s="1"/>
  <c r="B57" i="46"/>
  <c r="AS56" i="46"/>
  <c r="AR56" i="46"/>
  <c r="Q56" i="46"/>
  <c r="J56" i="46"/>
  <c r="I56" i="46"/>
  <c r="H56" i="46"/>
  <c r="G56" i="46"/>
  <c r="AV56" i="46" s="1"/>
  <c r="B56" i="46"/>
  <c r="AS55" i="46"/>
  <c r="AR55" i="46"/>
  <c r="Q55" i="46"/>
  <c r="J55" i="46"/>
  <c r="I55" i="46"/>
  <c r="H55" i="46"/>
  <c r="G55" i="46"/>
  <c r="B55" i="46"/>
  <c r="AS54" i="46"/>
  <c r="AR54" i="46"/>
  <c r="Q54" i="46"/>
  <c r="J54" i="46"/>
  <c r="I54" i="46"/>
  <c r="H54" i="46"/>
  <c r="G54" i="46"/>
  <c r="B54" i="46"/>
  <c r="AS53" i="46"/>
  <c r="AR53" i="46"/>
  <c r="Q53" i="46"/>
  <c r="J53" i="46"/>
  <c r="I53" i="46"/>
  <c r="H53" i="46"/>
  <c r="G53" i="46"/>
  <c r="AV53" i="46" s="1"/>
  <c r="B53" i="46"/>
  <c r="AS52" i="46"/>
  <c r="AR52" i="46"/>
  <c r="Q52" i="46"/>
  <c r="J52" i="46"/>
  <c r="I52" i="46"/>
  <c r="H52" i="46"/>
  <c r="G52" i="46"/>
  <c r="AV52" i="46" s="1"/>
  <c r="B52" i="46"/>
  <c r="AS51" i="46"/>
  <c r="AR51" i="46"/>
  <c r="Q51" i="46"/>
  <c r="J51" i="46"/>
  <c r="I51" i="46"/>
  <c r="H51" i="46"/>
  <c r="G51" i="46"/>
  <c r="B51" i="46"/>
  <c r="AS50" i="46"/>
  <c r="AR50" i="46"/>
  <c r="Q50" i="46"/>
  <c r="J50" i="46"/>
  <c r="I50" i="46"/>
  <c r="H50" i="46"/>
  <c r="G50" i="46"/>
  <c r="B50" i="46"/>
  <c r="AS49" i="46"/>
  <c r="AR49" i="46"/>
  <c r="Q49" i="46"/>
  <c r="J49" i="46"/>
  <c r="I49" i="46"/>
  <c r="H49" i="46"/>
  <c r="G49" i="46"/>
  <c r="AV49" i="46" s="1"/>
  <c r="B49" i="46"/>
  <c r="AS48" i="46"/>
  <c r="AR48" i="46"/>
  <c r="Q48" i="46"/>
  <c r="J48" i="46"/>
  <c r="I48" i="46"/>
  <c r="H48" i="46"/>
  <c r="G48" i="46"/>
  <c r="B48" i="46"/>
  <c r="AS47" i="46"/>
  <c r="AR47" i="46"/>
  <c r="Q47" i="46"/>
  <c r="J47" i="46"/>
  <c r="I47" i="46"/>
  <c r="H47" i="46"/>
  <c r="G47" i="46"/>
  <c r="B47" i="46"/>
  <c r="AS46" i="46"/>
  <c r="AR46" i="46"/>
  <c r="Q46" i="46"/>
  <c r="J46" i="46"/>
  <c r="I46" i="46"/>
  <c r="H46" i="46"/>
  <c r="G46" i="46"/>
  <c r="B46" i="46"/>
  <c r="AS45" i="46"/>
  <c r="AR45" i="46"/>
  <c r="Q45" i="46"/>
  <c r="J45" i="46"/>
  <c r="I45" i="46"/>
  <c r="H45" i="46"/>
  <c r="G45" i="46"/>
  <c r="AV45" i="46" s="1"/>
  <c r="B45" i="46"/>
  <c r="AS44" i="46"/>
  <c r="AR44" i="46"/>
  <c r="Q44" i="46"/>
  <c r="J44" i="46"/>
  <c r="I44" i="46"/>
  <c r="H44" i="46"/>
  <c r="G44" i="46"/>
  <c r="B44" i="46"/>
  <c r="AS43" i="46"/>
  <c r="AR43" i="46"/>
  <c r="Q43" i="46"/>
  <c r="J43" i="46"/>
  <c r="I43" i="46"/>
  <c r="H43" i="46"/>
  <c r="G43" i="46"/>
  <c r="B43" i="46"/>
  <c r="AS42" i="46"/>
  <c r="AR42" i="46"/>
  <c r="Q42" i="46"/>
  <c r="J42" i="46"/>
  <c r="I42" i="46"/>
  <c r="H42" i="46"/>
  <c r="G42" i="46"/>
  <c r="B42" i="46"/>
  <c r="AS41" i="46"/>
  <c r="AR41" i="46"/>
  <c r="Q41" i="46"/>
  <c r="J41" i="46"/>
  <c r="I41" i="46"/>
  <c r="H41" i="46"/>
  <c r="G41" i="46"/>
  <c r="AV41" i="46" s="1"/>
  <c r="B41" i="46"/>
  <c r="AS40" i="46"/>
  <c r="AR40" i="46"/>
  <c r="Q40" i="46"/>
  <c r="J40" i="46"/>
  <c r="I40" i="46"/>
  <c r="H40" i="46"/>
  <c r="G40" i="46"/>
  <c r="B40" i="46"/>
  <c r="AS39" i="46"/>
  <c r="AR39" i="46"/>
  <c r="Q39" i="46"/>
  <c r="J39" i="46"/>
  <c r="I39" i="46"/>
  <c r="H39" i="46"/>
  <c r="G39" i="46"/>
  <c r="B39" i="46"/>
  <c r="AS38" i="46"/>
  <c r="AR38" i="46"/>
  <c r="Q38" i="46"/>
  <c r="J38" i="46"/>
  <c r="I38" i="46"/>
  <c r="H38" i="46"/>
  <c r="G38" i="46"/>
  <c r="B38" i="46"/>
  <c r="AS37" i="46"/>
  <c r="AR37" i="46"/>
  <c r="Q37" i="46"/>
  <c r="J37" i="46"/>
  <c r="I37" i="46"/>
  <c r="H37" i="46"/>
  <c r="G37" i="46"/>
  <c r="AV37" i="46" s="1"/>
  <c r="B37" i="46"/>
  <c r="AS36" i="46"/>
  <c r="AR36" i="46"/>
  <c r="Q36" i="46"/>
  <c r="J36" i="46"/>
  <c r="I36" i="46"/>
  <c r="H36" i="46"/>
  <c r="G36" i="46"/>
  <c r="B36" i="46"/>
  <c r="AS35" i="46"/>
  <c r="AR35" i="46"/>
  <c r="Q35" i="46"/>
  <c r="J35" i="46"/>
  <c r="I35" i="46"/>
  <c r="H35" i="46"/>
  <c r="G35" i="46"/>
  <c r="B35" i="46"/>
  <c r="AS34" i="46"/>
  <c r="AR34" i="46"/>
  <c r="Q34" i="46"/>
  <c r="J34" i="46"/>
  <c r="I34" i="46"/>
  <c r="H34" i="46"/>
  <c r="G34" i="46"/>
  <c r="B34" i="46"/>
  <c r="AS33" i="46"/>
  <c r="AR33" i="46"/>
  <c r="Q33" i="46"/>
  <c r="J33" i="46"/>
  <c r="I33" i="46"/>
  <c r="H33" i="46"/>
  <c r="G33" i="46"/>
  <c r="AV33" i="46" s="1"/>
  <c r="B33" i="46"/>
  <c r="AS32" i="46"/>
  <c r="AR32" i="46"/>
  <c r="Q32" i="46"/>
  <c r="J32" i="46"/>
  <c r="I32" i="46"/>
  <c r="H32" i="46"/>
  <c r="G32" i="46"/>
  <c r="B32" i="46"/>
  <c r="AS31" i="46"/>
  <c r="AR31" i="46"/>
  <c r="Q31" i="46"/>
  <c r="J31" i="46"/>
  <c r="I31" i="46"/>
  <c r="H31" i="46"/>
  <c r="G31" i="46"/>
  <c r="B31" i="46"/>
  <c r="AS30" i="46"/>
  <c r="AR30" i="46"/>
  <c r="Q30" i="46"/>
  <c r="J30" i="46"/>
  <c r="I30" i="46"/>
  <c r="H30" i="46"/>
  <c r="G30" i="46"/>
  <c r="AV30" i="46" s="1"/>
  <c r="B30" i="46"/>
  <c r="AS29" i="46"/>
  <c r="AR29" i="46"/>
  <c r="Q29" i="46"/>
  <c r="J29" i="46"/>
  <c r="I29" i="46"/>
  <c r="H29" i="46"/>
  <c r="G29" i="46"/>
  <c r="AV29" i="46" s="1"/>
  <c r="B29" i="46"/>
  <c r="AS28" i="46"/>
  <c r="AR28" i="46"/>
  <c r="Q28" i="46"/>
  <c r="J28" i="46"/>
  <c r="I28" i="46"/>
  <c r="H28" i="46"/>
  <c r="G28" i="46"/>
  <c r="B28" i="46"/>
  <c r="AS27" i="46"/>
  <c r="AR27" i="46"/>
  <c r="Q27" i="46"/>
  <c r="J27" i="46"/>
  <c r="I27" i="46"/>
  <c r="H27" i="46"/>
  <c r="G27" i="46"/>
  <c r="B27" i="46"/>
  <c r="AS26" i="46"/>
  <c r="AR26" i="46"/>
  <c r="Q26" i="46"/>
  <c r="J26" i="46"/>
  <c r="I26" i="46"/>
  <c r="H26" i="46"/>
  <c r="G26" i="46"/>
  <c r="AV26" i="46" s="1"/>
  <c r="B26" i="46"/>
  <c r="AS25" i="46"/>
  <c r="AR25" i="46"/>
  <c r="Q25" i="46"/>
  <c r="J25" i="46"/>
  <c r="I25" i="46"/>
  <c r="H25" i="46"/>
  <c r="G25" i="46"/>
  <c r="AV25" i="46" s="1"/>
  <c r="B25" i="46"/>
  <c r="AS24" i="46"/>
  <c r="AR24" i="46"/>
  <c r="Q24" i="46"/>
  <c r="J24" i="46"/>
  <c r="I24" i="46"/>
  <c r="H24" i="46"/>
  <c r="G24" i="46"/>
  <c r="B24" i="46"/>
  <c r="AS23" i="46"/>
  <c r="AR23" i="46"/>
  <c r="Z23" i="46"/>
  <c r="Q23" i="46"/>
  <c r="I23" i="46"/>
  <c r="H23" i="46"/>
  <c r="G23" i="46"/>
  <c r="AS22" i="46"/>
  <c r="AR22" i="46"/>
  <c r="Z22" i="46"/>
  <c r="Q22" i="46"/>
  <c r="I22" i="46"/>
  <c r="H22" i="46"/>
  <c r="G22" i="46"/>
  <c r="AS21" i="46"/>
  <c r="AR21" i="46"/>
  <c r="Z21" i="46"/>
  <c r="Q21" i="46"/>
  <c r="I21" i="46"/>
  <c r="H21" i="46"/>
  <c r="G21" i="46"/>
  <c r="AS20" i="46"/>
  <c r="AR20" i="46"/>
  <c r="Z20" i="46"/>
  <c r="Q20" i="46"/>
  <c r="I20" i="46"/>
  <c r="H20" i="46"/>
  <c r="G20" i="46"/>
  <c r="AS19" i="46"/>
  <c r="AR19" i="46"/>
  <c r="Z19" i="46"/>
  <c r="Q19" i="46"/>
  <c r="I19" i="46"/>
  <c r="H19" i="46"/>
  <c r="G19" i="46"/>
  <c r="AS18" i="46"/>
  <c r="AR18" i="46"/>
  <c r="Z18" i="46"/>
  <c r="Q18" i="46"/>
  <c r="I18" i="46"/>
  <c r="H18" i="46"/>
  <c r="G18" i="46"/>
  <c r="AS17" i="46"/>
  <c r="AR17" i="46"/>
  <c r="Z17" i="46"/>
  <c r="Q17" i="46"/>
  <c r="I17" i="46"/>
  <c r="H17" i="46"/>
  <c r="G17" i="46"/>
  <c r="AS16" i="46"/>
  <c r="AR16" i="46"/>
  <c r="Z16" i="46"/>
  <c r="Q16" i="46"/>
  <c r="I16" i="46"/>
  <c r="H120" i="46" s="1"/>
  <c r="H16" i="46"/>
  <c r="G16" i="46"/>
  <c r="B16" i="46"/>
  <c r="B17" i="46" s="1"/>
  <c r="AY15" i="46"/>
  <c r="AV15" i="46"/>
  <c r="H14" i="46"/>
  <c r="B10" i="46"/>
  <c r="AV2" i="46"/>
  <c r="B1352" i="40" a="1"/>
  <c r="BB251" i="11" l="1"/>
  <c r="BB250" i="11"/>
  <c r="AA20" i="57"/>
  <c r="AT19" i="57"/>
  <c r="C11" i="57"/>
  <c r="J18" i="51"/>
  <c r="B1352" i="40"/>
  <c r="J81" i="54"/>
  <c r="J85" i="54"/>
  <c r="AV85" i="54" s="1"/>
  <c r="J97" i="54"/>
  <c r="J101" i="54"/>
  <c r="J105" i="54"/>
  <c r="AV105" i="54" s="1"/>
  <c r="AV107" i="54"/>
  <c r="J108" i="54"/>
  <c r="J112" i="54"/>
  <c r="AV115" i="54"/>
  <c r="J58" i="54"/>
  <c r="J62" i="54"/>
  <c r="J66" i="54"/>
  <c r="J70" i="54"/>
  <c r="J74" i="54"/>
  <c r="J78" i="54"/>
  <c r="AV81" i="54"/>
  <c r="J82" i="54"/>
  <c r="J86" i="54"/>
  <c r="J90" i="54"/>
  <c r="J94" i="54"/>
  <c r="AV97" i="54"/>
  <c r="J98" i="54"/>
  <c r="AV101" i="54"/>
  <c r="J102" i="54"/>
  <c r="AV102" i="54" s="1"/>
  <c r="J109" i="54"/>
  <c r="J113" i="54"/>
  <c r="J73" i="54"/>
  <c r="AV73" i="54" s="1"/>
  <c r="J77" i="54"/>
  <c r="AV77" i="54" s="1"/>
  <c r="J55" i="54"/>
  <c r="AV58" i="54"/>
  <c r="J59" i="54"/>
  <c r="AV62" i="54"/>
  <c r="J63" i="54"/>
  <c r="AV66" i="54"/>
  <c r="J67" i="54"/>
  <c r="AV70" i="54"/>
  <c r="J71" i="54"/>
  <c r="AV74" i="54"/>
  <c r="J75" i="54"/>
  <c r="AV78" i="54"/>
  <c r="J79" i="54"/>
  <c r="AV82" i="54"/>
  <c r="J83" i="54"/>
  <c r="AV86" i="54"/>
  <c r="J87" i="54"/>
  <c r="AV90" i="54"/>
  <c r="J91" i="54"/>
  <c r="J95" i="54"/>
  <c r="AV95" i="54" s="1"/>
  <c r="J99" i="54"/>
  <c r="J103" i="54"/>
  <c r="J106" i="54"/>
  <c r="AV109" i="54"/>
  <c r="J110" i="54"/>
  <c r="AV113" i="54"/>
  <c r="J57" i="54"/>
  <c r="AV57" i="54" s="1"/>
  <c r="J61" i="54"/>
  <c r="AV61" i="54" s="1"/>
  <c r="J65" i="54"/>
  <c r="AV65" i="54" s="1"/>
  <c r="J69" i="54"/>
  <c r="AV69" i="54" s="1"/>
  <c r="J89" i="54"/>
  <c r="AV89" i="54" s="1"/>
  <c r="J93" i="54"/>
  <c r="AV93" i="54" s="1"/>
  <c r="J30" i="54"/>
  <c r="AV55" i="54"/>
  <c r="B56" i="54"/>
  <c r="J56" i="54"/>
  <c r="AV56" i="54" s="1"/>
  <c r="AV59" i="54"/>
  <c r="AV63" i="54"/>
  <c r="AV67" i="54"/>
  <c r="AV71" i="54"/>
  <c r="AV75" i="54"/>
  <c r="AV79" i="54"/>
  <c r="AV83" i="54"/>
  <c r="AV87" i="54"/>
  <c r="AV91" i="54"/>
  <c r="AV99" i="54"/>
  <c r="AV103" i="54"/>
  <c r="J107" i="54"/>
  <c r="J111" i="54"/>
  <c r="AV111" i="54" s="1"/>
  <c r="J115" i="54"/>
  <c r="J46" i="54"/>
  <c r="AV46" i="54" s="1"/>
  <c r="J36" i="54"/>
  <c r="AV36" i="54" s="1"/>
  <c r="B147" i="44"/>
  <c r="J32" i="54"/>
  <c r="J49" i="54"/>
  <c r="AV49" i="54" s="1"/>
  <c r="J52" i="54"/>
  <c r="J54" i="54"/>
  <c r="J16" i="51"/>
  <c r="J39" i="54"/>
  <c r="AV39" i="54" s="1"/>
  <c r="J48" i="54"/>
  <c r="AV48" i="54" s="1"/>
  <c r="U120" i="50"/>
  <c r="J33" i="54"/>
  <c r="AV33" i="54" s="1"/>
  <c r="J38" i="54"/>
  <c r="AV38" i="54" s="1"/>
  <c r="J20" i="51"/>
  <c r="AV20" i="51" s="1"/>
  <c r="J27" i="51"/>
  <c r="J29" i="51"/>
  <c r="J25" i="54"/>
  <c r="J28" i="54"/>
  <c r="J31" i="54"/>
  <c r="AV31" i="54" s="1"/>
  <c r="J41" i="54"/>
  <c r="AV41" i="54" s="1"/>
  <c r="J44" i="54"/>
  <c r="J47" i="54"/>
  <c r="AV47" i="54" s="1"/>
  <c r="AV122" i="54"/>
  <c r="J50" i="54"/>
  <c r="AV50" i="54" s="1"/>
  <c r="J42" i="54"/>
  <c r="J34" i="54"/>
  <c r="AV34" i="54" s="1"/>
  <c r="J26" i="54"/>
  <c r="AV26" i="54" s="1"/>
  <c r="J17" i="50"/>
  <c r="J18" i="50"/>
  <c r="J17" i="51"/>
  <c r="J19" i="51"/>
  <c r="AV19" i="51" s="1"/>
  <c r="J21" i="51"/>
  <c r="J25" i="51"/>
  <c r="AV25" i="51" s="1"/>
  <c r="J28" i="51"/>
  <c r="J17" i="54"/>
  <c r="AV17" i="54" s="1"/>
  <c r="J18" i="54"/>
  <c r="AV18" i="54" s="1"/>
  <c r="J20" i="54"/>
  <c r="J24" i="54"/>
  <c r="AV24" i="54" s="1"/>
  <c r="J40" i="54"/>
  <c r="AV40" i="54" s="1"/>
  <c r="J26" i="51"/>
  <c r="J29" i="54"/>
  <c r="AV29" i="54" s="1"/>
  <c r="J37" i="54"/>
  <c r="AV37" i="54" s="1"/>
  <c r="J45" i="54"/>
  <c r="J53" i="54"/>
  <c r="J22" i="51"/>
  <c r="J23" i="51"/>
  <c r="J24" i="51"/>
  <c r="AV24" i="51" s="1"/>
  <c r="J23" i="54"/>
  <c r="J27" i="54"/>
  <c r="AV27" i="54" s="1"/>
  <c r="J35" i="54"/>
  <c r="AV35" i="54" s="1"/>
  <c r="J43" i="54"/>
  <c r="J51" i="54"/>
  <c r="J21" i="54"/>
  <c r="AV21" i="54" s="1"/>
  <c r="J22" i="54"/>
  <c r="AV22" i="54" s="1"/>
  <c r="AV28" i="54"/>
  <c r="AV30" i="54"/>
  <c r="AV32" i="54"/>
  <c r="AV42" i="54"/>
  <c r="AV44" i="54"/>
  <c r="AV52" i="54"/>
  <c r="AV54" i="54"/>
  <c r="AV23" i="54"/>
  <c r="B17" i="54"/>
  <c r="J19" i="54"/>
  <c r="AV19" i="54" s="1"/>
  <c r="AV25" i="54"/>
  <c r="AV43" i="54"/>
  <c r="AV45" i="54"/>
  <c r="AV51" i="54"/>
  <c r="AV53" i="54"/>
  <c r="U120" i="54"/>
  <c r="G120" i="54"/>
  <c r="B138" i="54" s="1"/>
  <c r="C118" i="54"/>
  <c r="D118" i="54" s="1"/>
  <c r="AV118" i="54" s="1"/>
  <c r="AV120" i="54"/>
  <c r="B137" i="54"/>
  <c r="AV16" i="54"/>
  <c r="AV20" i="54"/>
  <c r="AV60" i="54"/>
  <c r="AV64" i="54"/>
  <c r="AV68" i="54"/>
  <c r="AV72" i="54"/>
  <c r="AV76" i="54"/>
  <c r="AV80" i="54"/>
  <c r="AV84" i="54"/>
  <c r="AV88" i="54"/>
  <c r="AV92" i="54"/>
  <c r="AV96" i="54"/>
  <c r="AV100" i="54"/>
  <c r="AV104" i="54"/>
  <c r="AV108" i="54"/>
  <c r="AV112" i="54"/>
  <c r="AY16" i="54"/>
  <c r="AV94" i="54"/>
  <c r="AV98" i="54"/>
  <c r="AV106" i="54"/>
  <c r="AV110" i="54"/>
  <c r="AV114" i="54"/>
  <c r="B129" i="54"/>
  <c r="AV23" i="51"/>
  <c r="AV16" i="51"/>
  <c r="B18" i="51"/>
  <c r="AT16" i="51"/>
  <c r="AV27" i="51"/>
  <c r="AV29" i="51"/>
  <c r="AV21" i="51"/>
  <c r="AV17" i="51"/>
  <c r="AV26" i="51"/>
  <c r="AV28" i="51"/>
  <c r="U120" i="51"/>
  <c r="G120" i="51"/>
  <c r="B138" i="51" s="1"/>
  <c r="C118" i="51"/>
  <c r="D118" i="51" s="1"/>
  <c r="AV118" i="51" s="1"/>
  <c r="AV120" i="51"/>
  <c r="B137" i="51"/>
  <c r="AY16" i="51"/>
  <c r="AY17" i="51" s="1"/>
  <c r="AY18" i="51" s="1"/>
  <c r="AY19" i="51" s="1"/>
  <c r="AV18" i="51"/>
  <c r="AV22" i="51"/>
  <c r="AV62" i="51"/>
  <c r="AV66" i="51"/>
  <c r="AV70" i="51"/>
  <c r="AV74" i="51"/>
  <c r="AV78" i="51"/>
  <c r="AV82" i="51"/>
  <c r="AV86" i="51"/>
  <c r="AV90" i="51"/>
  <c r="AV94" i="51"/>
  <c r="AV98" i="51"/>
  <c r="AV102" i="51"/>
  <c r="AV106" i="51"/>
  <c r="AV110" i="51"/>
  <c r="AV114" i="51"/>
  <c r="B129" i="51"/>
  <c r="B129" i="49"/>
  <c r="B129" i="41"/>
  <c r="B129" i="46"/>
  <c r="B129" i="50"/>
  <c r="AT16" i="50"/>
  <c r="B18" i="50"/>
  <c r="J16" i="50"/>
  <c r="AY16" i="50" s="1"/>
  <c r="AY17" i="50" s="1"/>
  <c r="AY18" i="50" s="1"/>
  <c r="AY19" i="50" s="1"/>
  <c r="AY20" i="50" s="1"/>
  <c r="AY21" i="50" s="1"/>
  <c r="AY22" i="50" s="1"/>
  <c r="AY23" i="50" s="1"/>
  <c r="AY24" i="50" s="1"/>
  <c r="AY25" i="50" s="1"/>
  <c r="AY26" i="50" s="1"/>
  <c r="AY27" i="50" s="1"/>
  <c r="AY28" i="50" s="1"/>
  <c r="AY29" i="50" s="1"/>
  <c r="AY30" i="50" s="1"/>
  <c r="AY31" i="50" s="1"/>
  <c r="AY32" i="50" s="1"/>
  <c r="AY33" i="50" s="1"/>
  <c r="AY34" i="50" s="1"/>
  <c r="AY35" i="50" s="1"/>
  <c r="AY36" i="50" s="1"/>
  <c r="AY37" i="50" s="1"/>
  <c r="AY38" i="50" s="1"/>
  <c r="AY39" i="50" s="1"/>
  <c r="AY40" i="50" s="1"/>
  <c r="AY41" i="50" s="1"/>
  <c r="AY42" i="50" s="1"/>
  <c r="AY43" i="50" s="1"/>
  <c r="AY44" i="50" s="1"/>
  <c r="AY45" i="50" s="1"/>
  <c r="AY46" i="50" s="1"/>
  <c r="AY47" i="50" s="1"/>
  <c r="AY48" i="50" s="1"/>
  <c r="AY49" i="50" s="1"/>
  <c r="AY50" i="50" s="1"/>
  <c r="AY51" i="50" s="1"/>
  <c r="AY52" i="50" s="1"/>
  <c r="AY53" i="50" s="1"/>
  <c r="AY54" i="50" s="1"/>
  <c r="AY55" i="50" s="1"/>
  <c r="AY56" i="50" s="1"/>
  <c r="AY57" i="50" s="1"/>
  <c r="AY58" i="50" s="1"/>
  <c r="AY59" i="50" s="1"/>
  <c r="AY60" i="50" s="1"/>
  <c r="AY61" i="50" s="1"/>
  <c r="AY62" i="50" s="1"/>
  <c r="AY63" i="50" s="1"/>
  <c r="AY64" i="50" s="1"/>
  <c r="AY65" i="50" s="1"/>
  <c r="AY66" i="50" s="1"/>
  <c r="AY67" i="50" s="1"/>
  <c r="AY68" i="50" s="1"/>
  <c r="AY69" i="50" s="1"/>
  <c r="AY70" i="50" s="1"/>
  <c r="AY71" i="50" s="1"/>
  <c r="AY72" i="50" s="1"/>
  <c r="AY73" i="50" s="1"/>
  <c r="AY74" i="50" s="1"/>
  <c r="AY75" i="50" s="1"/>
  <c r="AY76" i="50" s="1"/>
  <c r="AY77" i="50" s="1"/>
  <c r="AY78" i="50" s="1"/>
  <c r="AY79" i="50" s="1"/>
  <c r="AY80" i="50" s="1"/>
  <c r="AY81" i="50" s="1"/>
  <c r="AY82" i="50" s="1"/>
  <c r="AY83" i="50" s="1"/>
  <c r="AY84" i="50" s="1"/>
  <c r="AY85" i="50" s="1"/>
  <c r="AY86" i="50" s="1"/>
  <c r="AY87" i="50" s="1"/>
  <c r="AY88" i="50" s="1"/>
  <c r="AY89" i="50" s="1"/>
  <c r="AY90" i="50" s="1"/>
  <c r="AY91" i="50" s="1"/>
  <c r="AY92" i="50" s="1"/>
  <c r="AY93" i="50" s="1"/>
  <c r="AY94" i="50" s="1"/>
  <c r="AY95" i="50" s="1"/>
  <c r="AY96" i="50" s="1"/>
  <c r="AY97" i="50" s="1"/>
  <c r="AY98" i="50" s="1"/>
  <c r="AY99" i="50" s="1"/>
  <c r="AY100" i="50" s="1"/>
  <c r="AY101" i="50" s="1"/>
  <c r="AY102" i="50" s="1"/>
  <c r="AY103" i="50" s="1"/>
  <c r="AY104" i="50" s="1"/>
  <c r="AY105" i="50" s="1"/>
  <c r="AY106" i="50" s="1"/>
  <c r="AY107" i="50" s="1"/>
  <c r="AY108" i="50" s="1"/>
  <c r="AY109" i="50" s="1"/>
  <c r="AY110" i="50" s="1"/>
  <c r="AY111" i="50" s="1"/>
  <c r="AY112" i="50" s="1"/>
  <c r="AY113" i="50" s="1"/>
  <c r="AY114" i="50" s="1"/>
  <c r="AY115" i="50" s="1"/>
  <c r="AY116" i="50" s="1"/>
  <c r="AV18" i="50"/>
  <c r="G120" i="50"/>
  <c r="B138" i="50" s="1"/>
  <c r="C118" i="50"/>
  <c r="D118" i="50" s="1"/>
  <c r="AV118" i="50" s="1"/>
  <c r="AV120" i="50"/>
  <c r="AV17" i="50"/>
  <c r="AV21" i="50"/>
  <c r="AV61" i="50"/>
  <c r="AV65" i="50"/>
  <c r="AV69" i="50"/>
  <c r="AV73" i="50"/>
  <c r="AV77" i="50"/>
  <c r="AV81" i="50"/>
  <c r="AV85" i="50"/>
  <c r="AV89" i="50"/>
  <c r="AV93" i="50"/>
  <c r="AV97" i="50"/>
  <c r="AV101" i="50"/>
  <c r="AV105" i="50"/>
  <c r="AV109" i="50"/>
  <c r="AV113" i="50"/>
  <c r="AV22" i="50"/>
  <c r="AV62" i="50"/>
  <c r="AV66" i="50"/>
  <c r="AV70" i="50"/>
  <c r="AV74" i="50"/>
  <c r="AV78" i="50"/>
  <c r="AV82" i="50"/>
  <c r="AV86" i="50"/>
  <c r="AV90" i="50"/>
  <c r="AV94" i="50"/>
  <c r="AV98" i="50"/>
  <c r="AV102" i="50"/>
  <c r="AV106" i="50"/>
  <c r="AV110" i="50"/>
  <c r="AV114" i="50"/>
  <c r="D120" i="49"/>
  <c r="J32" i="49" s="1"/>
  <c r="AV32" i="49" s="1"/>
  <c r="B17" i="49"/>
  <c r="AV36" i="49"/>
  <c r="AV35" i="49"/>
  <c r="AV39" i="49"/>
  <c r="AV43" i="49"/>
  <c r="AV47" i="49"/>
  <c r="AV51" i="49"/>
  <c r="AV55" i="49"/>
  <c r="AV59" i="49"/>
  <c r="AV63" i="49"/>
  <c r="AV67" i="49"/>
  <c r="AV71" i="49"/>
  <c r="AV75" i="49"/>
  <c r="AV79" i="49"/>
  <c r="AV83" i="49"/>
  <c r="AV87" i="49"/>
  <c r="AV91" i="49"/>
  <c r="AV95" i="49"/>
  <c r="AV99" i="49"/>
  <c r="AV103" i="49"/>
  <c r="AV107" i="49"/>
  <c r="AV111" i="49"/>
  <c r="AV115" i="49"/>
  <c r="AV60" i="49"/>
  <c r="AV64" i="49"/>
  <c r="AV68" i="49"/>
  <c r="AV72" i="49"/>
  <c r="AV76" i="49"/>
  <c r="AV80" i="49"/>
  <c r="AV84" i="49"/>
  <c r="AV88" i="49"/>
  <c r="AV92" i="49"/>
  <c r="AV96" i="49"/>
  <c r="AV100" i="49"/>
  <c r="AV104" i="49"/>
  <c r="AV108" i="49"/>
  <c r="AV112" i="49"/>
  <c r="J17" i="46"/>
  <c r="J21" i="46"/>
  <c r="AV24" i="46"/>
  <c r="AV28" i="46"/>
  <c r="AV36" i="46"/>
  <c r="AV40" i="46"/>
  <c r="AV48" i="46"/>
  <c r="J16" i="46"/>
  <c r="AY16" i="46" s="1"/>
  <c r="J20" i="46"/>
  <c r="AV60" i="46"/>
  <c r="AV76" i="46"/>
  <c r="AV92" i="46"/>
  <c r="AV108" i="46"/>
  <c r="AV32" i="46"/>
  <c r="AV44" i="46"/>
  <c r="AV104" i="46"/>
  <c r="AV68" i="46"/>
  <c r="AV84" i="46"/>
  <c r="AV100" i="46"/>
  <c r="AV72" i="46"/>
  <c r="AV88" i="46"/>
  <c r="B18" i="46"/>
  <c r="AV16" i="46"/>
  <c r="AV20" i="46"/>
  <c r="AV27" i="46"/>
  <c r="AV31" i="46"/>
  <c r="AV35" i="46"/>
  <c r="AV39" i="46"/>
  <c r="AV43" i="46"/>
  <c r="AV47" i="46"/>
  <c r="AV51" i="46"/>
  <c r="AV55" i="46"/>
  <c r="AV59" i="46"/>
  <c r="AV64" i="46"/>
  <c r="AV80" i="46"/>
  <c r="AV96" i="46"/>
  <c r="AV112" i="46"/>
  <c r="D120" i="46"/>
  <c r="AV34" i="46"/>
  <c r="AV38" i="46"/>
  <c r="AV42" i="46"/>
  <c r="AV46" i="46"/>
  <c r="AV50" i="46"/>
  <c r="AV54" i="46"/>
  <c r="AV58" i="46"/>
  <c r="B136" i="57" l="1"/>
  <c r="V3" i="57"/>
  <c r="AY20" i="51"/>
  <c r="AY21" i="51" s="1"/>
  <c r="AY22" i="51" s="1"/>
  <c r="AY23" i="51" s="1"/>
  <c r="AY24" i="51" s="1"/>
  <c r="AY25" i="51" s="1"/>
  <c r="AY26" i="51" s="1"/>
  <c r="AY27" i="51" s="1"/>
  <c r="AY28" i="51" s="1"/>
  <c r="AY29" i="51" s="1"/>
  <c r="AY30" i="51" s="1"/>
  <c r="AY31" i="51" s="1"/>
  <c r="AY32" i="51" s="1"/>
  <c r="AY33" i="51" s="1"/>
  <c r="AY34" i="51" s="1"/>
  <c r="AY35" i="51" s="1"/>
  <c r="AY36" i="51" s="1"/>
  <c r="AY37" i="51" s="1"/>
  <c r="AY38" i="51" s="1"/>
  <c r="AY39" i="51" s="1"/>
  <c r="AY40" i="51" s="1"/>
  <c r="AY41" i="51" s="1"/>
  <c r="AY42" i="51" s="1"/>
  <c r="AY43" i="51" s="1"/>
  <c r="AY44" i="51" s="1"/>
  <c r="AY45" i="51" s="1"/>
  <c r="AY46" i="51" s="1"/>
  <c r="AY47" i="51" s="1"/>
  <c r="AY48" i="51" s="1"/>
  <c r="AY49" i="51" s="1"/>
  <c r="AY50" i="51" s="1"/>
  <c r="AY51" i="51" s="1"/>
  <c r="AY52" i="51" s="1"/>
  <c r="AY53" i="51" s="1"/>
  <c r="AY54" i="51" s="1"/>
  <c r="AY55" i="51" s="1"/>
  <c r="AY56" i="51" s="1"/>
  <c r="AY57" i="51" s="1"/>
  <c r="AY58" i="51" s="1"/>
  <c r="AY59" i="51" s="1"/>
  <c r="AY60" i="51" s="1"/>
  <c r="AY61" i="51" s="1"/>
  <c r="AY62" i="51" s="1"/>
  <c r="AY63" i="51" s="1"/>
  <c r="AY64" i="51" s="1"/>
  <c r="AY65" i="51" s="1"/>
  <c r="AY66" i="51" s="1"/>
  <c r="AY67" i="51" s="1"/>
  <c r="AY68" i="51" s="1"/>
  <c r="AY69" i="51" s="1"/>
  <c r="AY70" i="51" s="1"/>
  <c r="AY71" i="51" s="1"/>
  <c r="AY72" i="51" s="1"/>
  <c r="AY73" i="51" s="1"/>
  <c r="AY74" i="51" s="1"/>
  <c r="AY75" i="51" s="1"/>
  <c r="AY76" i="51" s="1"/>
  <c r="AY77" i="51" s="1"/>
  <c r="AY78" i="51" s="1"/>
  <c r="AY79" i="51" s="1"/>
  <c r="AY80" i="51" s="1"/>
  <c r="AY81" i="51" s="1"/>
  <c r="AY82" i="51" s="1"/>
  <c r="AY83" i="51" s="1"/>
  <c r="AY84" i="51" s="1"/>
  <c r="AY85" i="51" s="1"/>
  <c r="AY86" i="51" s="1"/>
  <c r="AY87" i="51" s="1"/>
  <c r="AY88" i="51" s="1"/>
  <c r="AY89" i="51" s="1"/>
  <c r="AY90" i="51" s="1"/>
  <c r="AY91" i="51" s="1"/>
  <c r="AY92" i="51" s="1"/>
  <c r="AY93" i="51" s="1"/>
  <c r="AY94" i="51" s="1"/>
  <c r="AY95" i="51" s="1"/>
  <c r="AY96" i="51" s="1"/>
  <c r="AY97" i="51" s="1"/>
  <c r="AY98" i="51" s="1"/>
  <c r="AY99" i="51" s="1"/>
  <c r="AY100" i="51" s="1"/>
  <c r="AY101" i="51" s="1"/>
  <c r="AY102" i="51" s="1"/>
  <c r="AY103" i="51" s="1"/>
  <c r="AY104" i="51" s="1"/>
  <c r="AY105" i="51" s="1"/>
  <c r="AY106" i="51" s="1"/>
  <c r="AY107" i="51" s="1"/>
  <c r="AY108" i="51" s="1"/>
  <c r="AY109" i="51" s="1"/>
  <c r="AY110" i="51" s="1"/>
  <c r="AY111" i="51" s="1"/>
  <c r="AY112" i="51" s="1"/>
  <c r="AY113" i="51" s="1"/>
  <c r="AY114" i="51" s="1"/>
  <c r="AY115" i="51" s="1"/>
  <c r="AY116" i="51" s="1"/>
  <c r="AY17" i="54"/>
  <c r="AY18" i="54" s="1"/>
  <c r="AY19" i="54" s="1"/>
  <c r="AY20" i="54" s="1"/>
  <c r="AT55" i="54"/>
  <c r="B57" i="54"/>
  <c r="J29" i="49"/>
  <c r="AV29" i="49" s="1"/>
  <c r="J23" i="49"/>
  <c r="AV23" i="49" s="1"/>
  <c r="G120" i="49"/>
  <c r="B138" i="49" s="1"/>
  <c r="J19" i="49"/>
  <c r="AV19" i="49" s="1"/>
  <c r="B137" i="46"/>
  <c r="U120" i="46"/>
  <c r="J16" i="49"/>
  <c r="U120" i="49"/>
  <c r="B137" i="49"/>
  <c r="AV120" i="49"/>
  <c r="J26" i="49"/>
  <c r="AV26" i="49" s="1"/>
  <c r="J17" i="49"/>
  <c r="AV17" i="49" s="1"/>
  <c r="J24" i="49"/>
  <c r="AV24" i="49" s="1"/>
  <c r="C118" i="49"/>
  <c r="D118" i="49" s="1"/>
  <c r="AV118" i="49" s="1"/>
  <c r="J21" i="49"/>
  <c r="AV21" i="49" s="1"/>
  <c r="J25" i="49"/>
  <c r="AV25" i="49" s="1"/>
  <c r="J27" i="49"/>
  <c r="AV27" i="49" s="1"/>
  <c r="AY21" i="54"/>
  <c r="AY22" i="54" s="1"/>
  <c r="AY23" i="54" s="1"/>
  <c r="AY24" i="54" s="1"/>
  <c r="AY25" i="54" s="1"/>
  <c r="AY26" i="54" s="1"/>
  <c r="AY27" i="54" s="1"/>
  <c r="AY28" i="54" s="1"/>
  <c r="AY29" i="54" s="1"/>
  <c r="AY30" i="54" s="1"/>
  <c r="AY31" i="54" s="1"/>
  <c r="AY32" i="54" s="1"/>
  <c r="AY33" i="54" s="1"/>
  <c r="AY34" i="54" s="1"/>
  <c r="AY35" i="54" s="1"/>
  <c r="AY36" i="54" s="1"/>
  <c r="AY37" i="54" s="1"/>
  <c r="AY38" i="54" s="1"/>
  <c r="AY39" i="54" s="1"/>
  <c r="AY40" i="54" s="1"/>
  <c r="AY41" i="54" s="1"/>
  <c r="AY42" i="54" s="1"/>
  <c r="AY43" i="54" s="1"/>
  <c r="AY44" i="54" s="1"/>
  <c r="AY45" i="54" s="1"/>
  <c r="AY46" i="54" s="1"/>
  <c r="AY47" i="54" s="1"/>
  <c r="AY48" i="54" s="1"/>
  <c r="AY49" i="54" s="1"/>
  <c r="AY50" i="54" s="1"/>
  <c r="AY51" i="54" s="1"/>
  <c r="AY52" i="54" s="1"/>
  <c r="AY53" i="54" s="1"/>
  <c r="AY54" i="54" s="1"/>
  <c r="AY55" i="54" s="1"/>
  <c r="AY56" i="54" s="1"/>
  <c r="AY57" i="54" s="1"/>
  <c r="AY58" i="54" s="1"/>
  <c r="AY59" i="54" s="1"/>
  <c r="AY60" i="54" s="1"/>
  <c r="AY61" i="54" s="1"/>
  <c r="AY62" i="54" s="1"/>
  <c r="AY63" i="54" s="1"/>
  <c r="AY64" i="54" s="1"/>
  <c r="AY65" i="54" s="1"/>
  <c r="AY66" i="54" s="1"/>
  <c r="AY67" i="54" s="1"/>
  <c r="AY68" i="54" s="1"/>
  <c r="AY69" i="54" s="1"/>
  <c r="AY70" i="54" s="1"/>
  <c r="AY71" i="54" s="1"/>
  <c r="AY72" i="54" s="1"/>
  <c r="AY73" i="54" s="1"/>
  <c r="AY74" i="54" s="1"/>
  <c r="AY75" i="54" s="1"/>
  <c r="AY76" i="54" s="1"/>
  <c r="AY77" i="54" s="1"/>
  <c r="AY78" i="54" s="1"/>
  <c r="AY79" i="54" s="1"/>
  <c r="AY80" i="54" s="1"/>
  <c r="AY81" i="54" s="1"/>
  <c r="AY82" i="54" s="1"/>
  <c r="AY83" i="54" s="1"/>
  <c r="AY84" i="54" s="1"/>
  <c r="AY85" i="54" s="1"/>
  <c r="AY86" i="54" s="1"/>
  <c r="AY87" i="54" s="1"/>
  <c r="AY88" i="54" s="1"/>
  <c r="AY89" i="54" s="1"/>
  <c r="AY90" i="54" s="1"/>
  <c r="AY91" i="54" s="1"/>
  <c r="AY92" i="54" s="1"/>
  <c r="AY93" i="54" s="1"/>
  <c r="AY94" i="54" s="1"/>
  <c r="AY95" i="54" s="1"/>
  <c r="AY96" i="54" s="1"/>
  <c r="AY97" i="54" s="1"/>
  <c r="AY98" i="54" s="1"/>
  <c r="AY99" i="54" s="1"/>
  <c r="AY100" i="54" s="1"/>
  <c r="AY101" i="54" s="1"/>
  <c r="AY102" i="54" s="1"/>
  <c r="AY103" i="54" s="1"/>
  <c r="AY104" i="54" s="1"/>
  <c r="AY105" i="54" s="1"/>
  <c r="AY106" i="54" s="1"/>
  <c r="AY107" i="54" s="1"/>
  <c r="AY108" i="54" s="1"/>
  <c r="AY109" i="54" s="1"/>
  <c r="AY110" i="54" s="1"/>
  <c r="AY111" i="54" s="1"/>
  <c r="AY112" i="54" s="1"/>
  <c r="AY113" i="54" s="1"/>
  <c r="AY114" i="54" s="1"/>
  <c r="AY115" i="54" s="1"/>
  <c r="AY116" i="54" s="1"/>
  <c r="B18" i="54"/>
  <c r="AT16" i="54"/>
  <c r="B19" i="51"/>
  <c r="AT17" i="51"/>
  <c r="AV16" i="50"/>
  <c r="C14" i="50"/>
  <c r="AT17" i="50"/>
  <c r="C11" i="50" s="1"/>
  <c r="B136" i="50" s="1"/>
  <c r="AV16" i="49"/>
  <c r="AY16" i="49"/>
  <c r="J31" i="49"/>
  <c r="AV31" i="49" s="1"/>
  <c r="J20" i="49"/>
  <c r="AV20" i="49" s="1"/>
  <c r="J30" i="49"/>
  <c r="AV30" i="49" s="1"/>
  <c r="J18" i="49"/>
  <c r="AV18" i="49" s="1"/>
  <c r="J22" i="49"/>
  <c r="AV22" i="49" s="1"/>
  <c r="J28" i="49"/>
  <c r="AV28" i="49" s="1"/>
  <c r="AT16" i="49"/>
  <c r="B18" i="49"/>
  <c r="AY17" i="46"/>
  <c r="AV120" i="46"/>
  <c r="G120" i="46"/>
  <c r="B138" i="46" s="1"/>
  <c r="C118" i="46"/>
  <c r="D118" i="46" s="1"/>
  <c r="AV118" i="46" s="1"/>
  <c r="B19" i="46"/>
  <c r="J22" i="46"/>
  <c r="J18" i="46"/>
  <c r="J23" i="46"/>
  <c r="J19" i="46"/>
  <c r="AV21" i="46"/>
  <c r="AV17" i="46"/>
  <c r="O26" i="45" a="1"/>
  <c r="L27" i="45" a="1"/>
  <c r="O35" i="45" a="1"/>
  <c r="H34" i="45" a="1"/>
  <c r="I26" i="45" a="1"/>
  <c r="G25" i="45" a="1"/>
  <c r="I42" i="45" a="1"/>
  <c r="L33" i="45" a="1"/>
  <c r="P40" i="45" a="1"/>
  <c r="I21" i="45" a="1"/>
  <c r="I36" i="45" a="1"/>
  <c r="G41" i="45" a="1"/>
  <c r="O33" i="45" a="1"/>
  <c r="L36" i="45" a="1"/>
  <c r="P33" i="45" a="1"/>
  <c r="O24" i="45" a="1"/>
  <c r="N26" i="45" a="1"/>
  <c r="I34" i="45" a="1"/>
  <c r="N35" i="45" a="1"/>
  <c r="N31" i="45" a="1"/>
  <c r="M27" i="45" a="1"/>
  <c r="J33" i="45" a="1"/>
  <c r="O21" i="45" a="1"/>
  <c r="L18" i="45" a="1"/>
  <c r="P18" i="45" a="1"/>
  <c r="L42" i="45" a="1"/>
  <c r="G20" i="45" a="1"/>
  <c r="G36" i="45" a="1"/>
  <c r="H41" i="45" a="1"/>
  <c r="N29" i="45" a="1"/>
  <c r="I18" i="45" a="1"/>
  <c r="H39" i="45" a="1"/>
  <c r="M38" i="45" a="1"/>
  <c r="M35" i="45" a="1"/>
  <c r="L28" i="45" a="1"/>
  <c r="O30" i="45" a="1"/>
  <c r="O42" i="45" a="1"/>
  <c r="P36" i="45" a="1"/>
  <c r="M26" i="45" a="1"/>
  <c r="H19" i="45" a="1"/>
  <c r="O16" i="45" a="1"/>
  <c r="L40" i="45" a="1"/>
  <c r="M32" i="45" a="1"/>
  <c r="H40" i="45" a="1"/>
  <c r="P19" i="45" a="1"/>
  <c r="G39" i="45" a="1"/>
  <c r="L22" i="45" a="1"/>
  <c r="M34" i="45" a="1"/>
  <c r="L31" i="45" a="1"/>
  <c r="G42" i="45" a="1"/>
  <c r="I38" i="45" a="1"/>
  <c r="H35" i="45" a="1"/>
  <c r="P32" i="45" a="1"/>
  <c r="P24" i="45" a="1"/>
  <c r="O13" i="45" a="1"/>
  <c r="I33" i="45" a="1"/>
  <c r="O40" i="45" a="1"/>
  <c r="I31" i="45" a="1"/>
  <c r="N30" i="45" a="1"/>
  <c r="J19" i="45" a="1"/>
  <c r="O18" i="45" a="1"/>
  <c r="L21" i="45" a="1"/>
  <c r="O14" i="45" a="1"/>
  <c r="I22" i="45" a="1"/>
  <c r="N38" i="45" a="1"/>
  <c r="O34" i="45" a="1"/>
  <c r="O38" i="45" a="1"/>
  <c r="O17" i="45" a="1"/>
  <c r="H36" i="45" a="1"/>
  <c r="J25" i="45" a="1"/>
  <c r="J40" i="45" a="1"/>
  <c r="H26" i="45" a="1"/>
  <c r="P16" i="45" a="1"/>
  <c r="P41" i="45" a="1"/>
  <c r="N25" i="45" a="1"/>
  <c r="H27" i="45" a="1"/>
  <c r="L29" i="45" a="1"/>
  <c r="G34" i="45" a="1"/>
  <c r="G24" i="45" a="1"/>
  <c r="L30" i="45" a="1"/>
  <c r="J22" i="45" a="1"/>
  <c r="P15" i="45" a="1"/>
  <c r="G6" i="45" a="1"/>
  <c r="N34" i="45" a="1"/>
  <c r="P22" i="45" a="1"/>
  <c r="N37" i="45" a="1"/>
  <c r="I35" i="45" a="1"/>
  <c r="G37" i="45" a="1"/>
  <c r="G26" i="45" a="1"/>
  <c r="N28" i="45" a="1"/>
  <c r="O29" i="45" a="1"/>
  <c r="H20" i="45" a="1"/>
  <c r="G21" i="45" a="1"/>
  <c r="L38" i="45" a="1"/>
  <c r="O25" i="45" a="1"/>
  <c r="P13" i="45" a="1"/>
  <c r="P28" i="45" a="1"/>
  <c r="J24" i="45" a="1"/>
  <c r="G22" i="45" a="1"/>
  <c r="O41" i="45" a="1"/>
  <c r="I20" i="45" a="1"/>
  <c r="M25" i="45" a="1"/>
  <c r="P39" i="45" a="1"/>
  <c r="O20" i="45" a="1"/>
  <c r="J20" i="45" a="1"/>
  <c r="G32" i="45" a="1"/>
  <c r="P26" i="45" a="1"/>
  <c r="M30" i="45" a="1"/>
  <c r="I39" i="45" a="1"/>
  <c r="H31" i="45" a="1"/>
  <c r="H24" i="45" a="1"/>
  <c r="M31" i="45" a="1"/>
  <c r="L35" i="45" a="1"/>
  <c r="G27" i="45" a="1"/>
  <c r="H30" i="45" a="1"/>
  <c r="O39" i="45" a="1"/>
  <c r="M37" i="45" a="1"/>
  <c r="J28" i="45" a="1"/>
  <c r="P14" i="45" a="1"/>
  <c r="L26" i="45" a="1"/>
  <c r="I30" i="45" a="1"/>
  <c r="J21" i="45" a="1"/>
  <c r="H28" i="45" a="1"/>
  <c r="J18" i="45" a="1"/>
  <c r="G40" i="45" a="1"/>
  <c r="H38" i="45" a="1"/>
  <c r="I41" i="45" a="1"/>
  <c r="M20" i="45" a="1"/>
  <c r="J29" i="45" a="1"/>
  <c r="J42" i="45" a="1"/>
  <c r="P42" i="45" a="1"/>
  <c r="P29" i="45" a="1"/>
  <c r="L32" i="45" a="1"/>
  <c r="M41" i="45" a="1"/>
  <c r="O32" i="45" a="1"/>
  <c r="H32" i="45" a="1"/>
  <c r="O36" i="45" a="1"/>
  <c r="H33" i="45" a="1"/>
  <c r="L39" i="45" a="1"/>
  <c r="P37" i="45" a="1"/>
  <c r="J34" i="45" a="1"/>
  <c r="J37" i="45" a="1"/>
  <c r="N42" i="45" a="1"/>
  <c r="G28" i="45" a="1"/>
  <c r="H37" i="45" a="1"/>
  <c r="N39" i="45" a="1"/>
  <c r="G29" i="45" a="1"/>
  <c r="G38" i="45" a="1"/>
  <c r="P20" i="45" a="1"/>
  <c r="H29" i="45" a="1"/>
  <c r="M29" i="45" a="1"/>
  <c r="M39" i="45" a="1"/>
  <c r="I32" i="45" a="1"/>
  <c r="P38" i="45" a="1"/>
  <c r="H21" i="45" a="1"/>
  <c r="N36" i="45" a="1"/>
  <c r="I29" i="45" a="1"/>
  <c r="M28" i="45" a="1"/>
  <c r="M33" i="45" a="1"/>
  <c r="I25" i="45" a="1"/>
  <c r="P21" i="45" a="1"/>
  <c r="I40" i="45" a="1"/>
  <c r="H18" i="45" a="1"/>
  <c r="I19" i="45" a="1"/>
  <c r="I37" i="45" a="1"/>
  <c r="O27" i="45" a="1"/>
  <c r="O19" i="45" a="1"/>
  <c r="L20" i="45" a="1"/>
  <c r="M40" i="45" a="1"/>
  <c r="O15" i="45" a="1"/>
  <c r="N27" i="45" a="1"/>
  <c r="P30" i="45" a="1"/>
  <c r="J32" i="45" a="1"/>
  <c r="O37" i="45" a="1"/>
  <c r="P25" i="45" a="1"/>
  <c r="G31" i="45" a="1"/>
  <c r="H42" i="45" a="1"/>
  <c r="J36" i="45" a="1"/>
  <c r="C52" i="11" a="1"/>
  <c r="P34" i="45" a="1"/>
  <c r="I24" i="45" a="1"/>
  <c r="L19" i="45" a="1"/>
  <c r="J26" i="45" a="1"/>
  <c r="N33" i="45" a="1"/>
  <c r="H22" i="45" a="1"/>
  <c r="M42" i="45" a="1"/>
  <c r="J31" i="45" a="1"/>
  <c r="L24" i="45" a="1"/>
  <c r="G33" i="45" a="1"/>
  <c r="O28" i="45" a="1"/>
  <c r="P31" i="45" a="1"/>
  <c r="J27" i="45" a="1"/>
  <c r="G35" i="45" a="1"/>
  <c r="M24" i="45" a="1"/>
  <c r="P17" i="45" a="1"/>
  <c r="M36" i="45" a="1"/>
  <c r="I28" i="45" a="1"/>
  <c r="J30" i="45" a="1"/>
  <c r="P35" i="45" a="1"/>
  <c r="O31" i="45" a="1"/>
  <c r="N40" i="45" a="1"/>
  <c r="I27" i="45" a="1"/>
  <c r="N32" i="45" a="1"/>
  <c r="L41" i="45" a="1"/>
  <c r="L25" i="45" a="1"/>
  <c r="L34" i="45" a="1"/>
  <c r="G19" i="45" a="1"/>
  <c r="H25" i="45" a="1"/>
  <c r="N41" i="45" a="1"/>
  <c r="P27" i="45" a="1"/>
  <c r="O22" i="45" a="1"/>
  <c r="G30" i="45" a="1"/>
  <c r="J38" i="45" a="1"/>
  <c r="L37" i="45" a="1"/>
  <c r="G18" i="45" a="1"/>
  <c r="J35" i="45" a="1"/>
  <c r="J41" i="45" a="1"/>
  <c r="J39" i="45" a="1"/>
  <c r="B849" i="40"/>
  <c r="B21" i="40" a="1"/>
  <c r="B10" i="40" a="1"/>
  <c r="B1354" i="40"/>
  <c r="B22" i="40" a="1"/>
  <c r="B24" i="40" a="1"/>
  <c r="A849" i="40"/>
  <c r="F1352" i="40" a="1"/>
  <c r="B9" i="40" a="1"/>
  <c r="B8" i="40" a="1"/>
  <c r="B12" i="40" a="1"/>
  <c r="B1353" i="40"/>
  <c r="B11" i="40" a="1"/>
  <c r="B23" i="40" a="1"/>
  <c r="B20" i="40" a="1"/>
  <c r="S120" i="57" l="1"/>
  <c r="Z124" i="57" s="1"/>
  <c r="V2" i="57"/>
  <c r="D850" i="40"/>
  <c r="D851" i="40" s="1"/>
  <c r="D852" i="40" s="1"/>
  <c r="D853" i="40" s="1"/>
  <c r="D854" i="40" s="1"/>
  <c r="O38" i="45"/>
  <c r="G31" i="45"/>
  <c r="N28" i="45"/>
  <c r="G6" i="45"/>
  <c r="N41" i="45"/>
  <c r="H26" i="45"/>
  <c r="O15" i="45"/>
  <c r="G21" i="45"/>
  <c r="N32" i="45"/>
  <c r="H24" i="45"/>
  <c r="L27" i="45"/>
  <c r="I24" i="45"/>
  <c r="L24" i="45"/>
  <c r="P19" i="45"/>
  <c r="J27" i="45"/>
  <c r="O37" i="45"/>
  <c r="J32" i="45"/>
  <c r="G28" i="45"/>
  <c r="P31" i="45"/>
  <c r="P39" i="45"/>
  <c r="J37" i="45"/>
  <c r="J31" i="45"/>
  <c r="P36" i="45"/>
  <c r="O27" i="45"/>
  <c r="H36" i="45"/>
  <c r="J19" i="45"/>
  <c r="O28" i="45"/>
  <c r="L29" i="45"/>
  <c r="G37" i="45"/>
  <c r="P35" i="45"/>
  <c r="L39" i="45"/>
  <c r="P27" i="45"/>
  <c r="M37" i="45"/>
  <c r="N40" i="45"/>
  <c r="H31" i="45"/>
  <c r="H42" i="45"/>
  <c r="P32" i="45"/>
  <c r="H34" i="45"/>
  <c r="B24" i="40"/>
  <c r="H20" i="45"/>
  <c r="G26" i="45"/>
  <c r="N25" i="45"/>
  <c r="M38" i="45"/>
  <c r="L28" i="45"/>
  <c r="J20" i="45"/>
  <c r="G35" i="45"/>
  <c r="B20" i="40"/>
  <c r="G20" i="45"/>
  <c r="I31" i="45"/>
  <c r="O13" i="45"/>
  <c r="G38" i="45"/>
  <c r="H22" i="45"/>
  <c r="N33" i="45"/>
  <c r="J42" i="45"/>
  <c r="I29" i="45"/>
  <c r="J21" i="45"/>
  <c r="L26" i="45"/>
  <c r="F849" i="40"/>
  <c r="L33" i="45"/>
  <c r="P34" i="45"/>
  <c r="J29" i="45"/>
  <c r="N35" i="45"/>
  <c r="O21" i="45"/>
  <c r="H41" i="45"/>
  <c r="M24" i="45"/>
  <c r="J39" i="45"/>
  <c r="M26" i="45"/>
  <c r="I18" i="45"/>
  <c r="H38" i="45"/>
  <c r="G39" i="45"/>
  <c r="O32" i="45"/>
  <c r="J36" i="45"/>
  <c r="N38" i="45"/>
  <c r="G34" i="45"/>
  <c r="B8" i="40"/>
  <c r="H21" i="45"/>
  <c r="B22" i="40"/>
  <c r="H19" i="45"/>
  <c r="J28" i="45"/>
  <c r="M31" i="45"/>
  <c r="G29" i="45"/>
  <c r="L38" i="45"/>
  <c r="N36" i="45"/>
  <c r="H30" i="45"/>
  <c r="P24" i="45"/>
  <c r="H40" i="45"/>
  <c r="P25" i="45"/>
  <c r="I28" i="45"/>
  <c r="P22" i="45"/>
  <c r="B21" i="40"/>
  <c r="P29" i="45"/>
  <c r="O14" i="45"/>
  <c r="O19" i="45"/>
  <c r="G24" i="45"/>
  <c r="M33" i="45"/>
  <c r="J18" i="45"/>
  <c r="B12" i="40"/>
  <c r="G36" i="45"/>
  <c r="I32" i="45"/>
  <c r="L30" i="45"/>
  <c r="I39" i="45"/>
  <c r="M35" i="45"/>
  <c r="I33" i="45"/>
  <c r="N31" i="45"/>
  <c r="M25" i="45"/>
  <c r="O20" i="45"/>
  <c r="P15" i="45"/>
  <c r="I26" i="45"/>
  <c r="P26" i="45"/>
  <c r="O36" i="45"/>
  <c r="O30" i="45"/>
  <c r="H33" i="45"/>
  <c r="G32" i="45"/>
  <c r="J41" i="45"/>
  <c r="P28" i="45"/>
  <c r="B11" i="40"/>
  <c r="I38" i="45"/>
  <c r="P42" i="45"/>
  <c r="H25" i="45"/>
  <c r="G41" i="45"/>
  <c r="G40" i="45"/>
  <c r="I40" i="45"/>
  <c r="J24" i="45"/>
  <c r="M30" i="45"/>
  <c r="H28" i="45"/>
  <c r="O25" i="45"/>
  <c r="O31" i="45"/>
  <c r="L41" i="45"/>
  <c r="H27" i="45"/>
  <c r="G30" i="45"/>
  <c r="I20" i="45"/>
  <c r="M28" i="45"/>
  <c r="O41" i="45"/>
  <c r="M39" i="45"/>
  <c r="O35" i="45"/>
  <c r="M29" i="45"/>
  <c r="C52" i="11"/>
  <c r="P37" i="45"/>
  <c r="P30" i="45"/>
  <c r="P33" i="45"/>
  <c r="I36" i="45"/>
  <c r="N37" i="45"/>
  <c r="L31" i="45"/>
  <c r="G19" i="45"/>
  <c r="M34" i="45"/>
  <c r="G27" i="45"/>
  <c r="L42" i="45"/>
  <c r="L18" i="45"/>
  <c r="O29" i="45"/>
  <c r="J22" i="45"/>
  <c r="O34" i="45"/>
  <c r="P38" i="45"/>
  <c r="J35" i="45"/>
  <c r="I21" i="45"/>
  <c r="M36" i="45"/>
  <c r="P21" i="45"/>
  <c r="O42" i="45"/>
  <c r="P13" i="45"/>
  <c r="G22" i="45"/>
  <c r="O26" i="45"/>
  <c r="I42" i="45"/>
  <c r="O16" i="45"/>
  <c r="M41" i="45"/>
  <c r="J38" i="45"/>
  <c r="P20" i="45"/>
  <c r="H32" i="45"/>
  <c r="I41" i="45"/>
  <c r="P17" i="45"/>
  <c r="M27" i="45"/>
  <c r="B10" i="40"/>
  <c r="I22" i="45"/>
  <c r="N29" i="45"/>
  <c r="M42" i="45"/>
  <c r="O39" i="45"/>
  <c r="L21" i="45"/>
  <c r="L37" i="45"/>
  <c r="G42" i="45"/>
  <c r="H37" i="45"/>
  <c r="P14" i="45"/>
  <c r="O17" i="45"/>
  <c r="H29" i="45"/>
  <c r="L20" i="45"/>
  <c r="P40" i="45"/>
  <c r="M40" i="45"/>
  <c r="P41" i="45"/>
  <c r="B9" i="40"/>
  <c r="M32" i="45"/>
  <c r="B23" i="40"/>
  <c r="O24" i="45"/>
  <c r="J34" i="45"/>
  <c r="L34" i="45"/>
  <c r="O40" i="45"/>
  <c r="I37" i="45"/>
  <c r="L40" i="45"/>
  <c r="O22" i="45"/>
  <c r="H35" i="45"/>
  <c r="I35" i="45"/>
  <c r="L19" i="45"/>
  <c r="H39" i="45"/>
  <c r="P18" i="45"/>
  <c r="P16" i="45"/>
  <c r="O18" i="45"/>
  <c r="L36" i="45"/>
  <c r="I34" i="45"/>
  <c r="I30" i="45"/>
  <c r="H18" i="45"/>
  <c r="J26" i="45"/>
  <c r="I25" i="45"/>
  <c r="L35" i="45"/>
  <c r="G33" i="45"/>
  <c r="N30" i="45"/>
  <c r="G18" i="45"/>
  <c r="G25" i="45"/>
  <c r="J33" i="45"/>
  <c r="J30" i="45"/>
  <c r="N42" i="45"/>
  <c r="F1352" i="40"/>
  <c r="J40" i="45"/>
  <c r="I19" i="45"/>
  <c r="N34" i="45"/>
  <c r="O33" i="45"/>
  <c r="L32" i="45"/>
  <c r="J25" i="45"/>
  <c r="I27" i="45"/>
  <c r="N26" i="45"/>
  <c r="L22" i="45"/>
  <c r="N27" i="45"/>
  <c r="L25" i="45"/>
  <c r="N39" i="45"/>
  <c r="AY17" i="49"/>
  <c r="B58" i="54"/>
  <c r="AT56" i="54"/>
  <c r="B19" i="54"/>
  <c r="AT17" i="54"/>
  <c r="AT18" i="51"/>
  <c r="B20" i="51"/>
  <c r="M20" i="45"/>
  <c r="V3" i="50"/>
  <c r="E14" i="50"/>
  <c r="AY18" i="49"/>
  <c r="AY19" i="49" s="1"/>
  <c r="AY20" i="49" s="1"/>
  <c r="AY21" i="49" s="1"/>
  <c r="AY22" i="49" s="1"/>
  <c r="AY23" i="49" s="1"/>
  <c r="AY24" i="49" s="1"/>
  <c r="AY25" i="49" s="1"/>
  <c r="AY26" i="49" s="1"/>
  <c r="AY27" i="49" s="1"/>
  <c r="AY28" i="49" s="1"/>
  <c r="AY29" i="49" s="1"/>
  <c r="AY30" i="49" s="1"/>
  <c r="AY31" i="49" s="1"/>
  <c r="AY32" i="49" s="1"/>
  <c r="AY33" i="49" s="1"/>
  <c r="AY34" i="49" s="1"/>
  <c r="AY35" i="49" s="1"/>
  <c r="AY36" i="49" s="1"/>
  <c r="AY37" i="49" s="1"/>
  <c r="AY38" i="49" s="1"/>
  <c r="AY39" i="49" s="1"/>
  <c r="AY40" i="49" s="1"/>
  <c r="AY41" i="49" s="1"/>
  <c r="AY42" i="49" s="1"/>
  <c r="AY43" i="49" s="1"/>
  <c r="AY44" i="49" s="1"/>
  <c r="AY45" i="49" s="1"/>
  <c r="AY46" i="49" s="1"/>
  <c r="AY47" i="49" s="1"/>
  <c r="AY48" i="49" s="1"/>
  <c r="AY49" i="49" s="1"/>
  <c r="AY50" i="49" s="1"/>
  <c r="AY51" i="49" s="1"/>
  <c r="AY52" i="49" s="1"/>
  <c r="AY53" i="49" s="1"/>
  <c r="AY54" i="49" s="1"/>
  <c r="AY55" i="49" s="1"/>
  <c r="AY56" i="49" s="1"/>
  <c r="AY57" i="49" s="1"/>
  <c r="AY58" i="49" s="1"/>
  <c r="AY59" i="49" s="1"/>
  <c r="AY60" i="49" s="1"/>
  <c r="AY61" i="49" s="1"/>
  <c r="AY62" i="49" s="1"/>
  <c r="AY63" i="49" s="1"/>
  <c r="AY64" i="49" s="1"/>
  <c r="AY65" i="49" s="1"/>
  <c r="AY66" i="49" s="1"/>
  <c r="AY67" i="49" s="1"/>
  <c r="AY68" i="49" s="1"/>
  <c r="AY69" i="49" s="1"/>
  <c r="AY70" i="49" s="1"/>
  <c r="AY71" i="49" s="1"/>
  <c r="AY72" i="49" s="1"/>
  <c r="AY73" i="49" s="1"/>
  <c r="AY74" i="49" s="1"/>
  <c r="AY75" i="49" s="1"/>
  <c r="AY76" i="49" s="1"/>
  <c r="AY77" i="49" s="1"/>
  <c r="AY78" i="49" s="1"/>
  <c r="AY79" i="49" s="1"/>
  <c r="AY80" i="49" s="1"/>
  <c r="AY81" i="49" s="1"/>
  <c r="AY82" i="49" s="1"/>
  <c r="AY83" i="49" s="1"/>
  <c r="AY84" i="49" s="1"/>
  <c r="AY85" i="49" s="1"/>
  <c r="AY86" i="49" s="1"/>
  <c r="AY87" i="49" s="1"/>
  <c r="AY88" i="49" s="1"/>
  <c r="AY89" i="49" s="1"/>
  <c r="AY90" i="49" s="1"/>
  <c r="AY91" i="49" s="1"/>
  <c r="AY92" i="49" s="1"/>
  <c r="AY93" i="49" s="1"/>
  <c r="AY94" i="49" s="1"/>
  <c r="AY95" i="49" s="1"/>
  <c r="AY96" i="49" s="1"/>
  <c r="AY97" i="49" s="1"/>
  <c r="AY98" i="49" s="1"/>
  <c r="AY99" i="49" s="1"/>
  <c r="AY100" i="49" s="1"/>
  <c r="AY101" i="49" s="1"/>
  <c r="AY102" i="49" s="1"/>
  <c r="AY103" i="49" s="1"/>
  <c r="AY104" i="49" s="1"/>
  <c r="AY105" i="49" s="1"/>
  <c r="AY106" i="49" s="1"/>
  <c r="AY107" i="49" s="1"/>
  <c r="AY108" i="49" s="1"/>
  <c r="AY109" i="49" s="1"/>
  <c r="AY110" i="49" s="1"/>
  <c r="AY111" i="49" s="1"/>
  <c r="AY112" i="49" s="1"/>
  <c r="AY113" i="49" s="1"/>
  <c r="AY114" i="49" s="1"/>
  <c r="AY115" i="49" s="1"/>
  <c r="AY116" i="49" s="1"/>
  <c r="B19" i="49"/>
  <c r="AT17" i="49"/>
  <c r="AV19" i="46"/>
  <c r="AV18" i="46"/>
  <c r="AY18" i="46"/>
  <c r="AY19" i="46" s="1"/>
  <c r="AY20" i="46" s="1"/>
  <c r="AY21" i="46" s="1"/>
  <c r="AY22" i="46" s="1"/>
  <c r="AY23" i="46" s="1"/>
  <c r="AY24" i="46" s="1"/>
  <c r="AY25" i="46" s="1"/>
  <c r="AY26" i="46" s="1"/>
  <c r="AY27" i="46" s="1"/>
  <c r="AY28" i="46" s="1"/>
  <c r="AY29" i="46" s="1"/>
  <c r="AY30" i="46" s="1"/>
  <c r="AY31" i="46" s="1"/>
  <c r="AY32" i="46" s="1"/>
  <c r="AY33" i="46" s="1"/>
  <c r="AY34" i="46" s="1"/>
  <c r="AY35" i="46" s="1"/>
  <c r="AY36" i="46" s="1"/>
  <c r="AY37" i="46" s="1"/>
  <c r="AY38" i="46" s="1"/>
  <c r="AY39" i="46" s="1"/>
  <c r="AY40" i="46" s="1"/>
  <c r="AY41" i="46" s="1"/>
  <c r="AY42" i="46" s="1"/>
  <c r="AY43" i="46" s="1"/>
  <c r="AY44" i="46" s="1"/>
  <c r="AY45" i="46" s="1"/>
  <c r="AY46" i="46" s="1"/>
  <c r="AY47" i="46" s="1"/>
  <c r="AY48" i="46" s="1"/>
  <c r="AY49" i="46" s="1"/>
  <c r="AY50" i="46" s="1"/>
  <c r="AY51" i="46" s="1"/>
  <c r="AY52" i="46" s="1"/>
  <c r="AY53" i="46" s="1"/>
  <c r="AY54" i="46" s="1"/>
  <c r="AY55" i="46" s="1"/>
  <c r="AY56" i="46" s="1"/>
  <c r="AY57" i="46" s="1"/>
  <c r="AY58" i="46" s="1"/>
  <c r="AY59" i="46" s="1"/>
  <c r="AY60" i="46" s="1"/>
  <c r="AY61" i="46" s="1"/>
  <c r="AY62" i="46" s="1"/>
  <c r="AY63" i="46" s="1"/>
  <c r="AY64" i="46" s="1"/>
  <c r="AY65" i="46" s="1"/>
  <c r="AY66" i="46" s="1"/>
  <c r="AY67" i="46" s="1"/>
  <c r="AY68" i="46" s="1"/>
  <c r="AY69" i="46" s="1"/>
  <c r="AY70" i="46" s="1"/>
  <c r="AY71" i="46" s="1"/>
  <c r="AY72" i="46" s="1"/>
  <c r="AY73" i="46" s="1"/>
  <c r="AY74" i="46" s="1"/>
  <c r="AY75" i="46" s="1"/>
  <c r="AY76" i="46" s="1"/>
  <c r="AY77" i="46" s="1"/>
  <c r="AY78" i="46" s="1"/>
  <c r="AY79" i="46" s="1"/>
  <c r="AY80" i="46" s="1"/>
  <c r="AY81" i="46" s="1"/>
  <c r="AY82" i="46" s="1"/>
  <c r="AY83" i="46" s="1"/>
  <c r="AY84" i="46" s="1"/>
  <c r="AY85" i="46" s="1"/>
  <c r="AY86" i="46" s="1"/>
  <c r="AY87" i="46" s="1"/>
  <c r="AY88" i="46" s="1"/>
  <c r="AY89" i="46" s="1"/>
  <c r="AY90" i="46" s="1"/>
  <c r="AY91" i="46" s="1"/>
  <c r="AY92" i="46" s="1"/>
  <c r="AY93" i="46" s="1"/>
  <c r="AY94" i="46" s="1"/>
  <c r="AY95" i="46" s="1"/>
  <c r="AY96" i="46" s="1"/>
  <c r="AY97" i="46" s="1"/>
  <c r="AY98" i="46" s="1"/>
  <c r="AY99" i="46" s="1"/>
  <c r="AY100" i="46" s="1"/>
  <c r="AY101" i="46" s="1"/>
  <c r="AY102" i="46" s="1"/>
  <c r="AY103" i="46" s="1"/>
  <c r="AY104" i="46" s="1"/>
  <c r="AY105" i="46" s="1"/>
  <c r="AY106" i="46" s="1"/>
  <c r="AY107" i="46" s="1"/>
  <c r="AY108" i="46" s="1"/>
  <c r="AY109" i="46" s="1"/>
  <c r="AY110" i="46" s="1"/>
  <c r="AY111" i="46" s="1"/>
  <c r="AY112" i="46" s="1"/>
  <c r="AY113" i="46" s="1"/>
  <c r="AY114" i="46" s="1"/>
  <c r="AY115" i="46" s="1"/>
  <c r="AY116" i="46" s="1"/>
  <c r="AV22" i="46"/>
  <c r="AV23" i="46"/>
  <c r="B20" i="46"/>
  <c r="D7" i="38"/>
  <c r="B10" i="38"/>
  <c r="D7" i="30"/>
  <c r="D7" i="34"/>
  <c r="B10" i="30"/>
  <c r="B10" i="34"/>
  <c r="B10" i="42"/>
  <c r="B10" i="44"/>
  <c r="D7" i="42"/>
  <c r="D7" i="44"/>
  <c r="C3" i="44"/>
  <c r="B10" i="41"/>
  <c r="D7" i="41"/>
  <c r="L4" i="45"/>
  <c r="D33" i="45"/>
  <c r="D34" i="45"/>
  <c r="D35" i="45" s="1"/>
  <c r="D36" i="45" s="1"/>
  <c r="D37" i="45" s="1"/>
  <c r="D38" i="45" s="1"/>
  <c r="D39" i="45" s="1"/>
  <c r="D40" i="45" s="1"/>
  <c r="D41" i="45" s="1"/>
  <c r="D42" i="45" s="1"/>
  <c r="D26" i="45"/>
  <c r="D27" i="45"/>
  <c r="D28" i="45"/>
  <c r="D29" i="45"/>
  <c r="D30" i="45"/>
  <c r="D31" i="45"/>
  <c r="D32" i="45"/>
  <c r="D14" i="45"/>
  <c r="D15" i="45" s="1"/>
  <c r="D16" i="45" s="1"/>
  <c r="D17" i="45" s="1"/>
  <c r="D18" i="45" s="1"/>
  <c r="D19" i="45" s="1"/>
  <c r="D20" i="45" s="1"/>
  <c r="D21" i="45" s="1"/>
  <c r="D22" i="45" s="1"/>
  <c r="D23" i="45" s="1"/>
  <c r="D24" i="45" s="1"/>
  <c r="D25" i="45" s="1"/>
  <c r="C3" i="38"/>
  <c r="C3" i="34"/>
  <c r="C3" i="30"/>
  <c r="C3" i="42"/>
  <c r="C3" i="41"/>
  <c r="C12" i="11"/>
  <c r="F10" i="12" s="1"/>
  <c r="H14" i="45" a="1"/>
  <c r="K41" i="45" a="1"/>
  <c r="K30" i="45" a="1"/>
  <c r="K33" i="45" a="1"/>
  <c r="K40" i="45" a="1"/>
  <c r="G17" i="45" a="1"/>
  <c r="J16" i="45" a="1"/>
  <c r="K34" i="45" a="1"/>
  <c r="K32" i="45" a="1"/>
  <c r="L13" i="45" a="1"/>
  <c r="K37" i="45" a="1"/>
  <c r="H13" i="45" a="1"/>
  <c r="J14" i="45" a="1"/>
  <c r="I15" i="45" a="1"/>
  <c r="H17" i="45" a="1"/>
  <c r="J15" i="45" a="1"/>
  <c r="K27" i="45" a="1"/>
  <c r="K26" i="45" a="1"/>
  <c r="K35" i="45" a="1"/>
  <c r="K39" i="45" a="1"/>
  <c r="J13" i="45" a="1"/>
  <c r="I17" i="45" a="1"/>
  <c r="K36" i="45" a="1"/>
  <c r="K28" i="45" a="1"/>
  <c r="L15" i="45" a="1"/>
  <c r="K42" i="45" a="1"/>
  <c r="H16" i="45" a="1"/>
  <c r="I13" i="45" a="1"/>
  <c r="I16" i="45" a="1"/>
  <c r="H15" i="45" a="1"/>
  <c r="K29" i="45" a="1"/>
  <c r="K31" i="45" a="1"/>
  <c r="L17" i="45" a="1"/>
  <c r="K38" i="45" a="1"/>
  <c r="J17" i="45" a="1"/>
  <c r="L14" i="45" a="1"/>
  <c r="Q23" i="45" a="1"/>
  <c r="A1356" i="40"/>
  <c r="F1354" i="40" a="1"/>
  <c r="F1353" i="40" a="1"/>
  <c r="B1356" i="40"/>
  <c r="B1355" i="40"/>
  <c r="Q23" i="45" l="1"/>
  <c r="X124" i="57"/>
  <c r="C4" i="50"/>
  <c r="C12" i="50" s="1"/>
  <c r="F37" i="40"/>
  <c r="F34" i="40"/>
  <c r="D1357" i="40"/>
  <c r="D1358" i="40" s="1"/>
  <c r="D1359" i="40" s="1"/>
  <c r="D1360" i="40" s="1"/>
  <c r="F44" i="40"/>
  <c r="F30" i="40"/>
  <c r="F41" i="40"/>
  <c r="F40" i="40"/>
  <c r="F39" i="40"/>
  <c r="F42" i="40"/>
  <c r="F43" i="40"/>
  <c r="F29" i="40"/>
  <c r="F36" i="40"/>
  <c r="F38" i="40"/>
  <c r="F32" i="40"/>
  <c r="F35" i="40"/>
  <c r="F33" i="40"/>
  <c r="F31" i="40"/>
  <c r="F19" i="40"/>
  <c r="F25" i="40"/>
  <c r="F1353" i="40"/>
  <c r="K41" i="45"/>
  <c r="K33" i="45"/>
  <c r="K27" i="45"/>
  <c r="K35" i="45"/>
  <c r="K28" i="45"/>
  <c r="K30" i="45"/>
  <c r="K36" i="45"/>
  <c r="K26" i="45"/>
  <c r="K37" i="45"/>
  <c r="K31" i="45"/>
  <c r="K38" i="45"/>
  <c r="K42" i="45"/>
  <c r="K40" i="45"/>
  <c r="K32" i="45"/>
  <c r="K29" i="45"/>
  <c r="K34" i="45"/>
  <c r="K39" i="45"/>
  <c r="C4" i="51"/>
  <c r="C12" i="51" s="1"/>
  <c r="C4" i="46"/>
  <c r="C12" i="46" s="1"/>
  <c r="C4" i="54"/>
  <c r="C12" i="54" s="1"/>
  <c r="B12" i="54" s="1"/>
  <c r="F12" i="12"/>
  <c r="F14" i="12"/>
  <c r="F15" i="12"/>
  <c r="F13" i="12"/>
  <c r="F16" i="12"/>
  <c r="F1354" i="40"/>
  <c r="F1356" i="40"/>
  <c r="B59" i="54"/>
  <c r="AT57" i="54"/>
  <c r="F9" i="12"/>
  <c r="F18" i="12"/>
  <c r="F22" i="12"/>
  <c r="F26" i="12"/>
  <c r="F27" i="12"/>
  <c r="F20" i="12"/>
  <c r="F24" i="12"/>
  <c r="F28" i="12"/>
  <c r="F17" i="12"/>
  <c r="F21" i="12"/>
  <c r="F25" i="12"/>
  <c r="F11" i="12"/>
  <c r="F19" i="12"/>
  <c r="F23" i="12"/>
  <c r="C13" i="45"/>
  <c r="C14" i="45"/>
  <c r="C18" i="45"/>
  <c r="C22" i="45"/>
  <c r="C26" i="45"/>
  <c r="C30" i="45"/>
  <c r="C34" i="45"/>
  <c r="C38" i="45"/>
  <c r="C42" i="45"/>
  <c r="C25" i="45"/>
  <c r="E25" i="45" s="1"/>
  <c r="C15" i="45"/>
  <c r="E15" i="45" s="1"/>
  <c r="C19" i="45"/>
  <c r="E19" i="45" s="1"/>
  <c r="C23" i="45"/>
  <c r="E23" i="45" s="1"/>
  <c r="C27" i="45"/>
  <c r="C31" i="45"/>
  <c r="C35" i="45"/>
  <c r="C39" i="45"/>
  <c r="C17" i="45"/>
  <c r="E17" i="45" s="1"/>
  <c r="C16" i="45"/>
  <c r="C20" i="45"/>
  <c r="C24" i="45"/>
  <c r="E24" i="45" s="1"/>
  <c r="C28" i="45"/>
  <c r="E28" i="45" s="1"/>
  <c r="C32" i="45"/>
  <c r="E32" i="45" s="1"/>
  <c r="C36" i="45"/>
  <c r="E36" i="45" s="1"/>
  <c r="C40" i="45"/>
  <c r="E40" i="45" s="1"/>
  <c r="C21" i="45"/>
  <c r="C29" i="45"/>
  <c r="E29" i="45" s="1"/>
  <c r="C33" i="45"/>
  <c r="E33" i="45" s="1"/>
  <c r="C37" i="45"/>
  <c r="E37" i="45" s="1"/>
  <c r="C41" i="45"/>
  <c r="E41" i="45" s="1"/>
  <c r="V2" i="50"/>
  <c r="S120" i="50"/>
  <c r="Z124" i="50" s="1"/>
  <c r="AT18" i="54"/>
  <c r="B20" i="54"/>
  <c r="B21" i="51"/>
  <c r="AT19" i="51"/>
  <c r="AT18" i="49"/>
  <c r="B20" i="49"/>
  <c r="B21" i="46"/>
  <c r="H15" i="45"/>
  <c r="H17" i="45"/>
  <c r="H16" i="45"/>
  <c r="H14" i="45"/>
  <c r="H13" i="45"/>
  <c r="L17" i="45"/>
  <c r="L15" i="45"/>
  <c r="L14" i="45"/>
  <c r="L13" i="45"/>
  <c r="J17" i="45"/>
  <c r="J16" i="45"/>
  <c r="I17" i="45"/>
  <c r="G17" i="45"/>
  <c r="I16" i="45"/>
  <c r="I15" i="45"/>
  <c r="I13" i="45"/>
  <c r="J15" i="45"/>
  <c r="J14" i="45"/>
  <c r="J13" i="45"/>
  <c r="G9" i="13"/>
  <c r="G2" i="13"/>
  <c r="G14" i="45" a="1"/>
  <c r="K21" i="45" a="1"/>
  <c r="K20" i="45" a="1"/>
  <c r="K25" i="45" a="1"/>
  <c r="B854" i="40"/>
  <c r="F1355" i="40" a="1"/>
  <c r="A854" i="40"/>
  <c r="B12" i="50" l="1"/>
  <c r="K25" i="45"/>
  <c r="D855" i="40"/>
  <c r="D856" i="40" s="1"/>
  <c r="D857" i="40" s="1"/>
  <c r="D858" i="40" s="1"/>
  <c r="D859" i="40" s="1"/>
  <c r="F1355" i="40"/>
  <c r="K20" i="45"/>
  <c r="K21" i="45"/>
  <c r="B12" i="51"/>
  <c r="X124" i="50"/>
  <c r="F854" i="40"/>
  <c r="B60" i="54"/>
  <c r="AT58" i="54"/>
  <c r="E20" i="45"/>
  <c r="E31" i="45"/>
  <c r="E30" i="45"/>
  <c r="E14" i="45"/>
  <c r="E21" i="45"/>
  <c r="E16" i="45"/>
  <c r="E27" i="45"/>
  <c r="E42" i="45"/>
  <c r="E26" i="45"/>
  <c r="E13" i="45"/>
  <c r="E39" i="45"/>
  <c r="E38" i="45"/>
  <c r="E22" i="45"/>
  <c r="E35" i="45"/>
  <c r="E34" i="45"/>
  <c r="E18" i="45"/>
  <c r="AT19" i="54"/>
  <c r="B21" i="54"/>
  <c r="B22" i="51"/>
  <c r="AT20" i="51"/>
  <c r="C4" i="49"/>
  <c r="C12" i="49" s="1"/>
  <c r="B21" i="49"/>
  <c r="AT19" i="49"/>
  <c r="B22" i="46"/>
  <c r="C4" i="38"/>
  <c r="C12" i="38" s="1"/>
  <c r="C4" i="34"/>
  <c r="C12" i="34" s="1"/>
  <c r="C4" i="30"/>
  <c r="C12" i="30" s="1"/>
  <c r="C4" i="42"/>
  <c r="C12" i="42" s="1"/>
  <c r="C4" i="41"/>
  <c r="C12" i="41" s="1"/>
  <c r="C4" i="44"/>
  <c r="C12" i="44" s="1"/>
  <c r="G14" i="45"/>
  <c r="BB5" i="11"/>
  <c r="K24" i="45" a="1"/>
  <c r="K19" i="45" a="1"/>
  <c r="K22" i="45" a="1"/>
  <c r="B1357" i="40" a="1"/>
  <c r="K22" i="45" l="1"/>
  <c r="K24" i="45"/>
  <c r="G15" i="12"/>
  <c r="B1357" i="40"/>
  <c r="AT59" i="54"/>
  <c r="B61" i="54"/>
  <c r="E11" i="45"/>
  <c r="AT20" i="54"/>
  <c r="B22" i="54"/>
  <c r="B23" i="51"/>
  <c r="AT21" i="51"/>
  <c r="B12" i="46"/>
  <c r="B12" i="30"/>
  <c r="K19" i="45"/>
  <c r="B12" i="49"/>
  <c r="AT20" i="49"/>
  <c r="B22" i="49"/>
  <c r="B23" i="46"/>
  <c r="Z20" i="44"/>
  <c r="Z21" i="44"/>
  <c r="Z22" i="44"/>
  <c r="Z23" i="44"/>
  <c r="Z24" i="44"/>
  <c r="Z25" i="44"/>
  <c r="D127" i="44"/>
  <c r="AV127" i="44" s="1"/>
  <c r="B127" i="44"/>
  <c r="D126" i="44"/>
  <c r="AV126" i="44" s="1"/>
  <c r="B126" i="44"/>
  <c r="D125" i="44"/>
  <c r="AV125" i="44" s="1"/>
  <c r="B125" i="44"/>
  <c r="D124" i="44"/>
  <c r="AV124" i="44" s="1"/>
  <c r="B124" i="44"/>
  <c r="D123" i="44"/>
  <c r="AV123" i="44" s="1"/>
  <c r="B123" i="44"/>
  <c r="D122" i="44"/>
  <c r="AV122" i="44" s="1"/>
  <c r="B122" i="44"/>
  <c r="D121" i="44"/>
  <c r="AV121" i="44" s="1"/>
  <c r="B121" i="44"/>
  <c r="AT116" i="44"/>
  <c r="AS115" i="44"/>
  <c r="AR115" i="44"/>
  <c r="AT115" i="44"/>
  <c r="Z115" i="44"/>
  <c r="Q115" i="44"/>
  <c r="J115" i="44"/>
  <c r="I115" i="44"/>
  <c r="H115" i="44"/>
  <c r="G115" i="44"/>
  <c r="AV115" i="44" s="1"/>
  <c r="B115" i="44"/>
  <c r="AS114" i="44"/>
  <c r="AR114" i="44"/>
  <c r="AT114" i="44"/>
  <c r="Z114" i="44"/>
  <c r="Q114" i="44"/>
  <c r="J114" i="44"/>
  <c r="I114" i="44"/>
  <c r="H114" i="44"/>
  <c r="G114" i="44"/>
  <c r="AV114" i="44" s="1"/>
  <c r="B114" i="44"/>
  <c r="AS113" i="44"/>
  <c r="AR113" i="44"/>
  <c r="AT113" i="44"/>
  <c r="Z113" i="44"/>
  <c r="Q113" i="44"/>
  <c r="J113" i="44"/>
  <c r="I113" i="44"/>
  <c r="H113" i="44"/>
  <c r="G113" i="44"/>
  <c r="AV113" i="44" s="1"/>
  <c r="B113" i="44"/>
  <c r="AS112" i="44"/>
  <c r="AR112" i="44"/>
  <c r="AT112" i="44"/>
  <c r="Z112" i="44"/>
  <c r="Q112" i="44"/>
  <c r="J112" i="44"/>
  <c r="I112" i="44"/>
  <c r="H112" i="44"/>
  <c r="G112" i="44"/>
  <c r="AV112" i="44" s="1"/>
  <c r="B112" i="44"/>
  <c r="AS111" i="44"/>
  <c r="AR111" i="44"/>
  <c r="AT111" i="44"/>
  <c r="Z111" i="44"/>
  <c r="Q111" i="44"/>
  <c r="J111" i="44"/>
  <c r="I111" i="44"/>
  <c r="H111" i="44"/>
  <c r="G111" i="44"/>
  <c r="AV111" i="44" s="1"/>
  <c r="B111" i="44"/>
  <c r="AS110" i="44"/>
  <c r="AR110" i="44"/>
  <c r="AT110" i="44"/>
  <c r="Z110" i="44"/>
  <c r="Q110" i="44"/>
  <c r="J110" i="44"/>
  <c r="I110" i="44"/>
  <c r="H110" i="44"/>
  <c r="G110" i="44"/>
  <c r="AV110" i="44" s="1"/>
  <c r="B110" i="44"/>
  <c r="AS109" i="44"/>
  <c r="AR109" i="44"/>
  <c r="AT109" i="44"/>
  <c r="Z109" i="44"/>
  <c r="Q109" i="44"/>
  <c r="J109" i="44"/>
  <c r="I109" i="44"/>
  <c r="H109" i="44"/>
  <c r="G109" i="44"/>
  <c r="AV109" i="44" s="1"/>
  <c r="B109" i="44"/>
  <c r="AS108" i="44"/>
  <c r="AR108" i="44"/>
  <c r="AT108" i="44"/>
  <c r="Z108" i="44"/>
  <c r="Q108" i="44"/>
  <c r="J108" i="44"/>
  <c r="I108" i="44"/>
  <c r="H108" i="44"/>
  <c r="G108" i="44"/>
  <c r="AV108" i="44" s="1"/>
  <c r="B108" i="44"/>
  <c r="AS107" i="44"/>
  <c r="AR107" i="44"/>
  <c r="AT107" i="44"/>
  <c r="Z107" i="44"/>
  <c r="Q107" i="44"/>
  <c r="J107" i="44"/>
  <c r="I107" i="44"/>
  <c r="H107" i="44"/>
  <c r="G107" i="44"/>
  <c r="AV107" i="44" s="1"/>
  <c r="B107" i="44"/>
  <c r="AS106" i="44"/>
  <c r="AR106" i="44"/>
  <c r="AT106" i="44"/>
  <c r="Z106" i="44"/>
  <c r="Q106" i="44"/>
  <c r="J106" i="44"/>
  <c r="I106" i="44"/>
  <c r="H106" i="44"/>
  <c r="G106" i="44"/>
  <c r="AV106" i="44" s="1"/>
  <c r="B106" i="44"/>
  <c r="AS105" i="44"/>
  <c r="AR105" i="44"/>
  <c r="AT105" i="44"/>
  <c r="Z105" i="44"/>
  <c r="Q105" i="44"/>
  <c r="J105" i="44"/>
  <c r="I105" i="44"/>
  <c r="H105" i="44"/>
  <c r="G105" i="44"/>
  <c r="AV105" i="44" s="1"/>
  <c r="B105" i="44"/>
  <c r="AS104" i="44"/>
  <c r="AR104" i="44"/>
  <c r="AT104" i="44"/>
  <c r="Z104" i="44"/>
  <c r="Q104" i="44"/>
  <c r="J104" i="44"/>
  <c r="I104" i="44"/>
  <c r="H104" i="44"/>
  <c r="G104" i="44"/>
  <c r="AV104" i="44" s="1"/>
  <c r="B104" i="44"/>
  <c r="AS103" i="44"/>
  <c r="AR103" i="44"/>
  <c r="AT103" i="44"/>
  <c r="Z103" i="44"/>
  <c r="Q103" i="44"/>
  <c r="J103" i="44"/>
  <c r="I103" i="44"/>
  <c r="H103" i="44"/>
  <c r="G103" i="44"/>
  <c r="AV103" i="44" s="1"/>
  <c r="B103" i="44"/>
  <c r="AS102" i="44"/>
  <c r="AR102" i="44"/>
  <c r="AT102" i="44"/>
  <c r="Z102" i="44"/>
  <c r="Q102" i="44"/>
  <c r="J102" i="44"/>
  <c r="I102" i="44"/>
  <c r="H102" i="44"/>
  <c r="G102" i="44"/>
  <c r="AV102" i="44" s="1"/>
  <c r="B102" i="44"/>
  <c r="AS101" i="44"/>
  <c r="AR101" i="44"/>
  <c r="AT101" i="44"/>
  <c r="Z101" i="44"/>
  <c r="Q101" i="44"/>
  <c r="J101" i="44"/>
  <c r="I101" i="44"/>
  <c r="H101" i="44"/>
  <c r="G101" i="44"/>
  <c r="AV101" i="44" s="1"/>
  <c r="B101" i="44"/>
  <c r="AS100" i="44"/>
  <c r="AR100" i="44"/>
  <c r="AT100" i="44"/>
  <c r="Z100" i="44"/>
  <c r="Q100" i="44"/>
  <c r="J100" i="44"/>
  <c r="I100" i="44"/>
  <c r="H100" i="44"/>
  <c r="G100" i="44"/>
  <c r="AV100" i="44" s="1"/>
  <c r="B100" i="44"/>
  <c r="AS99" i="44"/>
  <c r="AR99" i="44"/>
  <c r="AT99" i="44"/>
  <c r="Z99" i="44"/>
  <c r="Q99" i="44"/>
  <c r="J99" i="44"/>
  <c r="I99" i="44"/>
  <c r="H99" i="44"/>
  <c r="G99" i="44"/>
  <c r="AV99" i="44" s="1"/>
  <c r="B99" i="44"/>
  <c r="AS98" i="44"/>
  <c r="AR98" i="44"/>
  <c r="AT98" i="44"/>
  <c r="Z98" i="44"/>
  <c r="Q98" i="44"/>
  <c r="J98" i="44"/>
  <c r="I98" i="44"/>
  <c r="H98" i="44"/>
  <c r="G98" i="44"/>
  <c r="AV98" i="44" s="1"/>
  <c r="B98" i="44"/>
  <c r="AS97" i="44"/>
  <c r="AR97" i="44"/>
  <c r="AT97" i="44"/>
  <c r="Z97" i="44"/>
  <c r="Q97" i="44"/>
  <c r="J97" i="44"/>
  <c r="I97" i="44"/>
  <c r="H97" i="44"/>
  <c r="G97" i="44"/>
  <c r="AV97" i="44" s="1"/>
  <c r="B97" i="44"/>
  <c r="AS96" i="44"/>
  <c r="AR96" i="44"/>
  <c r="AT96" i="44"/>
  <c r="Z96" i="44"/>
  <c r="Q96" i="44"/>
  <c r="J96" i="44"/>
  <c r="I96" i="44"/>
  <c r="H96" i="44"/>
  <c r="G96" i="44"/>
  <c r="AV96" i="44" s="1"/>
  <c r="B96" i="44"/>
  <c r="AS95" i="44"/>
  <c r="AR95" i="44"/>
  <c r="AT95" i="44"/>
  <c r="Z95" i="44"/>
  <c r="Q95" i="44"/>
  <c r="J95" i="44"/>
  <c r="I95" i="44"/>
  <c r="H95" i="44"/>
  <c r="G95" i="44"/>
  <c r="AV95" i="44" s="1"/>
  <c r="B95" i="44"/>
  <c r="AS94" i="44"/>
  <c r="AR94" i="44"/>
  <c r="AT94" i="44"/>
  <c r="Z94" i="44"/>
  <c r="Q94" i="44"/>
  <c r="J94" i="44"/>
  <c r="I94" i="44"/>
  <c r="H94" i="44"/>
  <c r="G94" i="44"/>
  <c r="AV94" i="44" s="1"/>
  <c r="B94" i="44"/>
  <c r="AS93" i="44"/>
  <c r="AR93" i="44"/>
  <c r="AT93" i="44"/>
  <c r="Z93" i="44"/>
  <c r="Q93" i="44"/>
  <c r="J93" i="44"/>
  <c r="I93" i="44"/>
  <c r="H93" i="44"/>
  <c r="G93" i="44"/>
  <c r="AV93" i="44" s="1"/>
  <c r="B93" i="44"/>
  <c r="AS92" i="44"/>
  <c r="AR92" i="44"/>
  <c r="AT92" i="44"/>
  <c r="Z92" i="44"/>
  <c r="Q92" i="44"/>
  <c r="J92" i="44"/>
  <c r="I92" i="44"/>
  <c r="H92" i="44"/>
  <c r="G92" i="44"/>
  <c r="AV92" i="44" s="1"/>
  <c r="B92" i="44"/>
  <c r="AS91" i="44"/>
  <c r="AR91" i="44"/>
  <c r="AT91" i="44"/>
  <c r="Z91" i="44"/>
  <c r="Q91" i="44"/>
  <c r="J91" i="44"/>
  <c r="I91" i="44"/>
  <c r="H91" i="44"/>
  <c r="G91" i="44"/>
  <c r="AV91" i="44" s="1"/>
  <c r="B91" i="44"/>
  <c r="AS90" i="44"/>
  <c r="AR90" i="44"/>
  <c r="AT90" i="44"/>
  <c r="Z90" i="44"/>
  <c r="Q90" i="44"/>
  <c r="J90" i="44"/>
  <c r="I90" i="44"/>
  <c r="H90" i="44"/>
  <c r="G90" i="44"/>
  <c r="B90" i="44"/>
  <c r="AS89" i="44"/>
  <c r="AR89" i="44"/>
  <c r="AT89" i="44"/>
  <c r="Z89" i="44"/>
  <c r="Q89" i="44"/>
  <c r="J89" i="44"/>
  <c r="I89" i="44"/>
  <c r="H89" i="44"/>
  <c r="G89" i="44"/>
  <c r="B89" i="44"/>
  <c r="AS88" i="44"/>
  <c r="AR88" i="44"/>
  <c r="AT88" i="44"/>
  <c r="Z88" i="44"/>
  <c r="Q88" i="44"/>
  <c r="J88" i="44"/>
  <c r="I88" i="44"/>
  <c r="H88" i="44"/>
  <c r="G88" i="44"/>
  <c r="AV88" i="44" s="1"/>
  <c r="B88" i="44"/>
  <c r="AS87" i="44"/>
  <c r="AR87" i="44"/>
  <c r="AT87" i="44"/>
  <c r="Z87" i="44"/>
  <c r="Q87" i="44"/>
  <c r="J87" i="44"/>
  <c r="I87" i="44"/>
  <c r="H87" i="44"/>
  <c r="G87" i="44"/>
  <c r="B87" i="44"/>
  <c r="AS86" i="44"/>
  <c r="AR86" i="44"/>
  <c r="AT86" i="44"/>
  <c r="Z86" i="44"/>
  <c r="Q86" i="44"/>
  <c r="J86" i="44"/>
  <c r="I86" i="44"/>
  <c r="H86" i="44"/>
  <c r="G86" i="44"/>
  <c r="B86" i="44"/>
  <c r="AS85" i="44"/>
  <c r="AR85" i="44"/>
  <c r="AT85" i="44"/>
  <c r="Z85" i="44"/>
  <c r="Q85" i="44"/>
  <c r="J85" i="44"/>
  <c r="I85" i="44"/>
  <c r="H85" i="44"/>
  <c r="G85" i="44"/>
  <c r="B85" i="44"/>
  <c r="AS84" i="44"/>
  <c r="AR84" i="44"/>
  <c r="AT84" i="44"/>
  <c r="Z84" i="44"/>
  <c r="Q84" i="44"/>
  <c r="J84" i="44"/>
  <c r="I84" i="44"/>
  <c r="H84" i="44"/>
  <c r="G84" i="44"/>
  <c r="AV84" i="44" s="1"/>
  <c r="B84" i="44"/>
  <c r="AS83" i="44"/>
  <c r="AR83" i="44"/>
  <c r="AT83" i="44"/>
  <c r="Z83" i="44"/>
  <c r="Q83" i="44"/>
  <c r="J83" i="44"/>
  <c r="I83" i="44"/>
  <c r="H83" i="44"/>
  <c r="G83" i="44"/>
  <c r="B83" i="44"/>
  <c r="AS82" i="44"/>
  <c r="AR82" i="44"/>
  <c r="AT82" i="44"/>
  <c r="Z82" i="44"/>
  <c r="Q82" i="44"/>
  <c r="J82" i="44"/>
  <c r="I82" i="44"/>
  <c r="H82" i="44"/>
  <c r="G82" i="44"/>
  <c r="B82" i="44"/>
  <c r="AS81" i="44"/>
  <c r="AR81" i="44"/>
  <c r="AT81" i="44"/>
  <c r="Z81" i="44"/>
  <c r="Q81" i="44"/>
  <c r="J81" i="44"/>
  <c r="I81" i="44"/>
  <c r="H81" i="44"/>
  <c r="G81" i="44"/>
  <c r="B81" i="44"/>
  <c r="AS80" i="44"/>
  <c r="AR80" i="44"/>
  <c r="AT80" i="44"/>
  <c r="Z80" i="44"/>
  <c r="Q80" i="44"/>
  <c r="J80" i="44"/>
  <c r="I80" i="44"/>
  <c r="H80" i="44"/>
  <c r="G80" i="44"/>
  <c r="AV80" i="44" s="1"/>
  <c r="B80" i="44"/>
  <c r="AS79" i="44"/>
  <c r="AR79" i="44"/>
  <c r="AT79" i="44"/>
  <c r="Z79" i="44"/>
  <c r="Q79" i="44"/>
  <c r="J79" i="44"/>
  <c r="I79" i="44"/>
  <c r="H79" i="44"/>
  <c r="G79" i="44"/>
  <c r="B79" i="44"/>
  <c r="AS78" i="44"/>
  <c r="AR78" i="44"/>
  <c r="AT78" i="44"/>
  <c r="Z78" i="44"/>
  <c r="Q78" i="44"/>
  <c r="J78" i="44"/>
  <c r="I78" i="44"/>
  <c r="H78" i="44"/>
  <c r="G78" i="44"/>
  <c r="B78" i="44"/>
  <c r="AS77" i="44"/>
  <c r="AR77" i="44"/>
  <c r="AT77" i="44"/>
  <c r="Z77" i="44"/>
  <c r="Q77" i="44"/>
  <c r="J77" i="44"/>
  <c r="I77" i="44"/>
  <c r="H77" i="44"/>
  <c r="G77" i="44"/>
  <c r="B77" i="44"/>
  <c r="AS76" i="44"/>
  <c r="AR76" i="44"/>
  <c r="AT76" i="44"/>
  <c r="Z76" i="44"/>
  <c r="Q76" i="44"/>
  <c r="J76" i="44"/>
  <c r="I76" i="44"/>
  <c r="H76" i="44"/>
  <c r="G76" i="44"/>
  <c r="AV76" i="44" s="1"/>
  <c r="B76" i="44"/>
  <c r="AS75" i="44"/>
  <c r="AR75" i="44"/>
  <c r="AT75" i="44"/>
  <c r="Z75" i="44"/>
  <c r="Q75" i="44"/>
  <c r="J75" i="44"/>
  <c r="I75" i="44"/>
  <c r="H75" i="44"/>
  <c r="G75" i="44"/>
  <c r="B75" i="44"/>
  <c r="AS74" i="44"/>
  <c r="AR74" i="44"/>
  <c r="AT74" i="44"/>
  <c r="Z74" i="44"/>
  <c r="Q74" i="44"/>
  <c r="J74" i="44"/>
  <c r="I74" i="44"/>
  <c r="H74" i="44"/>
  <c r="G74" i="44"/>
  <c r="B74" i="44"/>
  <c r="AS73" i="44"/>
  <c r="AR73" i="44"/>
  <c r="AT73" i="44"/>
  <c r="Z73" i="44"/>
  <c r="Q73" i="44"/>
  <c r="J73" i="44"/>
  <c r="I73" i="44"/>
  <c r="H73" i="44"/>
  <c r="G73" i="44"/>
  <c r="B73" i="44"/>
  <c r="AS72" i="44"/>
  <c r="AR72" i="44"/>
  <c r="AT72" i="44"/>
  <c r="Z72" i="44"/>
  <c r="Q72" i="44"/>
  <c r="J72" i="44"/>
  <c r="I72" i="44"/>
  <c r="H72" i="44"/>
  <c r="G72" i="44"/>
  <c r="AV72" i="44" s="1"/>
  <c r="B72" i="44"/>
  <c r="AS71" i="44"/>
  <c r="AR71" i="44"/>
  <c r="AT71" i="44"/>
  <c r="Z71" i="44"/>
  <c r="Q71" i="44"/>
  <c r="J71" i="44"/>
  <c r="I71" i="44"/>
  <c r="H71" i="44"/>
  <c r="G71" i="44"/>
  <c r="B71" i="44"/>
  <c r="AS70" i="44"/>
  <c r="AR70" i="44"/>
  <c r="AT70" i="44"/>
  <c r="Z70" i="44"/>
  <c r="Q70" i="44"/>
  <c r="J70" i="44"/>
  <c r="I70" i="44"/>
  <c r="H70" i="44"/>
  <c r="G70" i="44"/>
  <c r="B70" i="44"/>
  <c r="AS69" i="44"/>
  <c r="AR69" i="44"/>
  <c r="AT69" i="44"/>
  <c r="Z69" i="44"/>
  <c r="Q69" i="44"/>
  <c r="J69" i="44"/>
  <c r="I69" i="44"/>
  <c r="H69" i="44"/>
  <c r="G69" i="44"/>
  <c r="B69" i="44"/>
  <c r="AS68" i="44"/>
  <c r="AR68" i="44"/>
  <c r="AT68" i="44"/>
  <c r="Z68" i="44"/>
  <c r="Q68" i="44"/>
  <c r="J68" i="44"/>
  <c r="I68" i="44"/>
  <c r="H68" i="44"/>
  <c r="G68" i="44"/>
  <c r="AV68" i="44" s="1"/>
  <c r="B68" i="44"/>
  <c r="AS67" i="44"/>
  <c r="AR67" i="44"/>
  <c r="AT67" i="44"/>
  <c r="Z67" i="44"/>
  <c r="Q67" i="44"/>
  <c r="J67" i="44"/>
  <c r="I67" i="44"/>
  <c r="H67" i="44"/>
  <c r="G67" i="44"/>
  <c r="B67" i="44"/>
  <c r="AS66" i="44"/>
  <c r="AR66" i="44"/>
  <c r="AT66" i="44"/>
  <c r="Z66" i="44"/>
  <c r="Q66" i="44"/>
  <c r="J66" i="44"/>
  <c r="I66" i="44"/>
  <c r="H66" i="44"/>
  <c r="G66" i="44"/>
  <c r="B66" i="44"/>
  <c r="AS65" i="44"/>
  <c r="AR65" i="44"/>
  <c r="AT65" i="44"/>
  <c r="Z65" i="44"/>
  <c r="Q65" i="44"/>
  <c r="J65" i="44"/>
  <c r="I65" i="44"/>
  <c r="H65" i="44"/>
  <c r="G65" i="44"/>
  <c r="B65" i="44"/>
  <c r="AV64" i="44"/>
  <c r="AS64" i="44"/>
  <c r="AR64" i="44"/>
  <c r="AT64" i="44"/>
  <c r="Z64" i="44"/>
  <c r="Q64" i="44"/>
  <c r="J64" i="44"/>
  <c r="I64" i="44"/>
  <c r="H64" i="44"/>
  <c r="G64" i="44"/>
  <c r="B64" i="44"/>
  <c r="AS63" i="44"/>
  <c r="AR63" i="44"/>
  <c r="AT63" i="44"/>
  <c r="Z63" i="44"/>
  <c r="Q63" i="44"/>
  <c r="J63" i="44"/>
  <c r="I63" i="44"/>
  <c r="H63" i="44"/>
  <c r="G63" i="44"/>
  <c r="B63" i="44"/>
  <c r="AS62" i="44"/>
  <c r="AR62" i="44"/>
  <c r="AT62" i="44"/>
  <c r="Z62" i="44"/>
  <c r="Q62" i="44"/>
  <c r="J62" i="44"/>
  <c r="I62" i="44"/>
  <c r="H62" i="44"/>
  <c r="G62" i="44"/>
  <c r="B62" i="44"/>
  <c r="AS61" i="44"/>
  <c r="AR61" i="44"/>
  <c r="AT61" i="44"/>
  <c r="Z61" i="44"/>
  <c r="Q61" i="44"/>
  <c r="J61" i="44"/>
  <c r="I61" i="44"/>
  <c r="H61" i="44"/>
  <c r="G61" i="44"/>
  <c r="B61" i="44"/>
  <c r="AS60" i="44"/>
  <c r="AR60" i="44"/>
  <c r="AT60" i="44"/>
  <c r="Z60" i="44"/>
  <c r="Q60" i="44"/>
  <c r="J60" i="44"/>
  <c r="I60" i="44"/>
  <c r="H60" i="44"/>
  <c r="G60" i="44"/>
  <c r="AV60" i="44" s="1"/>
  <c r="B60" i="44"/>
  <c r="AS59" i="44"/>
  <c r="AR59" i="44"/>
  <c r="AT59" i="44"/>
  <c r="Z59" i="44"/>
  <c r="Q59" i="44"/>
  <c r="J59" i="44"/>
  <c r="I59" i="44"/>
  <c r="H59" i="44"/>
  <c r="G59" i="44"/>
  <c r="B59" i="44"/>
  <c r="AS58" i="44"/>
  <c r="AR58" i="44"/>
  <c r="AT58" i="44"/>
  <c r="Z58" i="44"/>
  <c r="Q58" i="44"/>
  <c r="J58" i="44"/>
  <c r="I58" i="44"/>
  <c r="H58" i="44"/>
  <c r="G58" i="44"/>
  <c r="B58" i="44"/>
  <c r="AS57" i="44"/>
  <c r="AR57" i="44"/>
  <c r="AT57" i="44"/>
  <c r="Z57" i="44"/>
  <c r="Q57" i="44"/>
  <c r="J57" i="44"/>
  <c r="I57" i="44"/>
  <c r="H57" i="44"/>
  <c r="G57" i="44"/>
  <c r="B57" i="44"/>
  <c r="AS56" i="44"/>
  <c r="AR56" i="44"/>
  <c r="AT56" i="44"/>
  <c r="Z56" i="44"/>
  <c r="Q56" i="44"/>
  <c r="J56" i="44"/>
  <c r="I56" i="44"/>
  <c r="H56" i="44"/>
  <c r="G56" i="44"/>
  <c r="AV56" i="44" s="1"/>
  <c r="B56" i="44"/>
  <c r="AS55" i="44"/>
  <c r="AR55" i="44"/>
  <c r="AT55" i="44"/>
  <c r="Z55" i="44"/>
  <c r="Q55" i="44"/>
  <c r="J55" i="44"/>
  <c r="I55" i="44"/>
  <c r="H55" i="44"/>
  <c r="G55" i="44"/>
  <c r="B55" i="44"/>
  <c r="AS54" i="44"/>
  <c r="AR54" i="44"/>
  <c r="AT54" i="44"/>
  <c r="Z54" i="44"/>
  <c r="Q54" i="44"/>
  <c r="J54" i="44"/>
  <c r="I54" i="44"/>
  <c r="H54" i="44"/>
  <c r="G54" i="44"/>
  <c r="B54" i="44"/>
  <c r="AS53" i="44"/>
  <c r="AR53" i="44"/>
  <c r="AT53" i="44"/>
  <c r="Z53" i="44"/>
  <c r="Q53" i="44"/>
  <c r="J53" i="44"/>
  <c r="I53" i="44"/>
  <c r="H53" i="44"/>
  <c r="G53" i="44"/>
  <c r="B53" i="44"/>
  <c r="AS52" i="44"/>
  <c r="AR52" i="44"/>
  <c r="AT52" i="44"/>
  <c r="Z52" i="44"/>
  <c r="Q52" i="44"/>
  <c r="J52" i="44"/>
  <c r="I52" i="44"/>
  <c r="H52" i="44"/>
  <c r="G52" i="44"/>
  <c r="AV52" i="44" s="1"/>
  <c r="B52" i="44"/>
  <c r="AS51" i="44"/>
  <c r="AR51" i="44"/>
  <c r="AT51" i="44"/>
  <c r="Z51" i="44"/>
  <c r="Q51" i="44"/>
  <c r="J51" i="44"/>
  <c r="I51" i="44"/>
  <c r="H51" i="44"/>
  <c r="G51" i="44"/>
  <c r="B51" i="44"/>
  <c r="AS50" i="44"/>
  <c r="AR50" i="44"/>
  <c r="AT50" i="44"/>
  <c r="Z50" i="44"/>
  <c r="Q50" i="44"/>
  <c r="J50" i="44"/>
  <c r="I50" i="44"/>
  <c r="H50" i="44"/>
  <c r="G50" i="44"/>
  <c r="B50" i="44"/>
  <c r="AS49" i="44"/>
  <c r="AR49" i="44"/>
  <c r="AT49" i="44"/>
  <c r="Z49" i="44"/>
  <c r="Q49" i="44"/>
  <c r="J49" i="44"/>
  <c r="I49" i="44"/>
  <c r="H49" i="44"/>
  <c r="G49" i="44"/>
  <c r="B49" i="44"/>
  <c r="AS48" i="44"/>
  <c r="AR48" i="44"/>
  <c r="AT48" i="44"/>
  <c r="Z48" i="44"/>
  <c r="Q48" i="44"/>
  <c r="J48" i="44"/>
  <c r="I48" i="44"/>
  <c r="H48" i="44"/>
  <c r="G48" i="44"/>
  <c r="AV48" i="44" s="1"/>
  <c r="B48" i="44"/>
  <c r="AS47" i="44"/>
  <c r="AR47" i="44"/>
  <c r="AT47" i="44"/>
  <c r="Z47" i="44"/>
  <c r="Q47" i="44"/>
  <c r="J47" i="44"/>
  <c r="I47" i="44"/>
  <c r="H47" i="44"/>
  <c r="G47" i="44"/>
  <c r="B47" i="44"/>
  <c r="AS46" i="44"/>
  <c r="AR46" i="44"/>
  <c r="AT46" i="44"/>
  <c r="Z46" i="44"/>
  <c r="Q46" i="44"/>
  <c r="J46" i="44"/>
  <c r="I46" i="44"/>
  <c r="H46" i="44"/>
  <c r="G46" i="44"/>
  <c r="B46" i="44"/>
  <c r="AS45" i="44"/>
  <c r="AR45" i="44"/>
  <c r="AT45" i="44"/>
  <c r="Z45" i="44"/>
  <c r="Q45" i="44"/>
  <c r="J45" i="44"/>
  <c r="I45" i="44"/>
  <c r="H45" i="44"/>
  <c r="G45" i="44"/>
  <c r="B45" i="44"/>
  <c r="AS44" i="44"/>
  <c r="AR44" i="44"/>
  <c r="AT44" i="44"/>
  <c r="Z44" i="44"/>
  <c r="Q44" i="44"/>
  <c r="J44" i="44"/>
  <c r="I44" i="44"/>
  <c r="H44" i="44"/>
  <c r="G44" i="44"/>
  <c r="AV44" i="44" s="1"/>
  <c r="B44" i="44"/>
  <c r="AS43" i="44"/>
  <c r="AR43" i="44"/>
  <c r="AT43" i="44"/>
  <c r="Z43" i="44"/>
  <c r="Q43" i="44"/>
  <c r="J43" i="44"/>
  <c r="I43" i="44"/>
  <c r="H43" i="44"/>
  <c r="G43" i="44"/>
  <c r="B43" i="44"/>
  <c r="AS42" i="44"/>
  <c r="AR42" i="44"/>
  <c r="AT42" i="44"/>
  <c r="Z42" i="44"/>
  <c r="Q42" i="44"/>
  <c r="J42" i="44"/>
  <c r="I42" i="44"/>
  <c r="H42" i="44"/>
  <c r="G42" i="44"/>
  <c r="B42" i="44"/>
  <c r="AS41" i="44"/>
  <c r="AR41" i="44"/>
  <c r="AT41" i="44"/>
  <c r="Z41" i="44"/>
  <c r="Q41" i="44"/>
  <c r="J41" i="44"/>
  <c r="I41" i="44"/>
  <c r="H41" i="44"/>
  <c r="G41" i="44"/>
  <c r="B41" i="44"/>
  <c r="AS40" i="44"/>
  <c r="AR40" i="44"/>
  <c r="AT40" i="44"/>
  <c r="Z40" i="44"/>
  <c r="Q40" i="44"/>
  <c r="J40" i="44"/>
  <c r="I40" i="44"/>
  <c r="H40" i="44"/>
  <c r="G40" i="44"/>
  <c r="AV40" i="44" s="1"/>
  <c r="B40" i="44"/>
  <c r="AS39" i="44"/>
  <c r="AR39" i="44"/>
  <c r="AT39" i="44"/>
  <c r="Z39" i="44"/>
  <c r="Q39" i="44"/>
  <c r="J39" i="44"/>
  <c r="I39" i="44"/>
  <c r="H39" i="44"/>
  <c r="G39" i="44"/>
  <c r="B39" i="44"/>
  <c r="AS38" i="44"/>
  <c r="AR38" i="44"/>
  <c r="AT38" i="44"/>
  <c r="Z38" i="44"/>
  <c r="Q38" i="44"/>
  <c r="J38" i="44"/>
  <c r="I38" i="44"/>
  <c r="H38" i="44"/>
  <c r="G38" i="44"/>
  <c r="B38" i="44"/>
  <c r="AS37" i="44"/>
  <c r="AR37" i="44"/>
  <c r="AT37" i="44"/>
  <c r="Z37" i="44"/>
  <c r="Q37" i="44"/>
  <c r="J37" i="44"/>
  <c r="I37" i="44"/>
  <c r="H37" i="44"/>
  <c r="G37" i="44"/>
  <c r="B37" i="44"/>
  <c r="AS36" i="44"/>
  <c r="AR36" i="44"/>
  <c r="AT36" i="44"/>
  <c r="Z36" i="44"/>
  <c r="Q36" i="44"/>
  <c r="J36" i="44"/>
  <c r="I36" i="44"/>
  <c r="H36" i="44"/>
  <c r="G36" i="44"/>
  <c r="B36" i="44"/>
  <c r="AS35" i="44"/>
  <c r="AR35" i="44"/>
  <c r="AT35" i="44"/>
  <c r="Z35" i="44"/>
  <c r="Q35" i="44"/>
  <c r="J35" i="44"/>
  <c r="I35" i="44"/>
  <c r="H35" i="44"/>
  <c r="G35" i="44"/>
  <c r="B35" i="44"/>
  <c r="AS34" i="44"/>
  <c r="AR34" i="44"/>
  <c r="AT34" i="44"/>
  <c r="Z34" i="44"/>
  <c r="Q34" i="44"/>
  <c r="J34" i="44"/>
  <c r="I34" i="44"/>
  <c r="H34" i="44"/>
  <c r="G34" i="44"/>
  <c r="B34" i="44"/>
  <c r="AS33" i="44"/>
  <c r="AR33" i="44"/>
  <c r="AT33" i="44"/>
  <c r="Z33" i="44"/>
  <c r="Q33" i="44"/>
  <c r="J33" i="44"/>
  <c r="I33" i="44"/>
  <c r="H33" i="44"/>
  <c r="G33" i="44"/>
  <c r="B33" i="44"/>
  <c r="AS32" i="44"/>
  <c r="AR32" i="44"/>
  <c r="AT32" i="44"/>
  <c r="Z32" i="44"/>
  <c r="Q32" i="44"/>
  <c r="J32" i="44"/>
  <c r="I32" i="44"/>
  <c r="H32" i="44"/>
  <c r="G32" i="44"/>
  <c r="B32" i="44"/>
  <c r="AS31" i="44"/>
  <c r="AR31" i="44"/>
  <c r="AT31" i="44"/>
  <c r="Z31" i="44"/>
  <c r="Q31" i="44"/>
  <c r="J31" i="44"/>
  <c r="I31" i="44"/>
  <c r="H31" i="44"/>
  <c r="G31" i="44"/>
  <c r="B31" i="44"/>
  <c r="AS30" i="44"/>
  <c r="AR30" i="44"/>
  <c r="AT30" i="44"/>
  <c r="Z30" i="44"/>
  <c r="Q30" i="44"/>
  <c r="J30" i="44"/>
  <c r="I30" i="44"/>
  <c r="H30" i="44"/>
  <c r="G30" i="44"/>
  <c r="B30" i="44"/>
  <c r="AS29" i="44"/>
  <c r="AR29" i="44"/>
  <c r="AT29" i="44"/>
  <c r="Z29" i="44"/>
  <c r="Q29" i="44"/>
  <c r="J29" i="44"/>
  <c r="I29" i="44"/>
  <c r="H29" i="44"/>
  <c r="G29" i="44"/>
  <c r="B29" i="44"/>
  <c r="AS28" i="44"/>
  <c r="AR28" i="44"/>
  <c r="AT28" i="44"/>
  <c r="Z28" i="44"/>
  <c r="Q28" i="44"/>
  <c r="J28" i="44"/>
  <c r="I28" i="44"/>
  <c r="H28" i="44"/>
  <c r="G28" i="44"/>
  <c r="B28" i="44"/>
  <c r="AS27" i="44"/>
  <c r="AR27" i="44"/>
  <c r="AT27" i="44"/>
  <c r="Z27" i="44"/>
  <c r="Q27" i="44"/>
  <c r="J27" i="44"/>
  <c r="I27" i="44"/>
  <c r="H27" i="44"/>
  <c r="G27" i="44"/>
  <c r="B27" i="44"/>
  <c r="AS26" i="44"/>
  <c r="AR26" i="44"/>
  <c r="AT26" i="44"/>
  <c r="Z26" i="44"/>
  <c r="Q26" i="44"/>
  <c r="J26" i="44"/>
  <c r="I26" i="44"/>
  <c r="H26" i="44"/>
  <c r="G26" i="44"/>
  <c r="B26" i="44"/>
  <c r="AS25" i="44"/>
  <c r="AR25" i="44"/>
  <c r="AT25" i="44"/>
  <c r="Q25" i="44"/>
  <c r="J25" i="44"/>
  <c r="I25" i="44"/>
  <c r="H25" i="44"/>
  <c r="G25" i="44"/>
  <c r="B25" i="44"/>
  <c r="AS24" i="44"/>
  <c r="AR24" i="44"/>
  <c r="AT24" i="44"/>
  <c r="Q24" i="44"/>
  <c r="J24" i="44"/>
  <c r="I24" i="44"/>
  <c r="H24" i="44"/>
  <c r="G24" i="44"/>
  <c r="B24" i="44"/>
  <c r="AS23" i="44"/>
  <c r="AR23" i="44"/>
  <c r="AT23" i="44"/>
  <c r="Q23" i="44"/>
  <c r="J23" i="44"/>
  <c r="I23" i="44"/>
  <c r="H23" i="44"/>
  <c r="G23" i="44"/>
  <c r="B23" i="44"/>
  <c r="AT22" i="44" s="1"/>
  <c r="AS22" i="44"/>
  <c r="AR22" i="44"/>
  <c r="Q22" i="44"/>
  <c r="J22" i="44"/>
  <c r="I22" i="44"/>
  <c r="H22" i="44"/>
  <c r="G22" i="44"/>
  <c r="AS21" i="44"/>
  <c r="AR21" i="44"/>
  <c r="Q21" i="44"/>
  <c r="J21" i="44"/>
  <c r="I21" i="44"/>
  <c r="H21" i="44"/>
  <c r="G21" i="44"/>
  <c r="AS20" i="44"/>
  <c r="AR20" i="44"/>
  <c r="Q20" i="44"/>
  <c r="J20" i="44"/>
  <c r="I20" i="44"/>
  <c r="H20" i="44"/>
  <c r="G20" i="44"/>
  <c r="AS19" i="44"/>
  <c r="AR19" i="44"/>
  <c r="Z19" i="44"/>
  <c r="Q19" i="44"/>
  <c r="I19" i="44"/>
  <c r="H19" i="44"/>
  <c r="G19" i="44"/>
  <c r="AS18" i="44"/>
  <c r="AR18" i="44"/>
  <c r="Z18" i="44"/>
  <c r="Q18" i="44"/>
  <c r="I18" i="44"/>
  <c r="H18" i="44"/>
  <c r="G18" i="44"/>
  <c r="AS17" i="44"/>
  <c r="AR17" i="44"/>
  <c r="Z17" i="44"/>
  <c r="Q17" i="44"/>
  <c r="I17" i="44"/>
  <c r="H17" i="44"/>
  <c r="G17" i="44"/>
  <c r="AS16" i="44"/>
  <c r="AR16" i="44"/>
  <c r="Z16" i="44"/>
  <c r="Q16" i="44"/>
  <c r="I16" i="44"/>
  <c r="H120" i="44" s="1"/>
  <c r="H16" i="44"/>
  <c r="G16" i="44"/>
  <c r="D120" i="44" s="1"/>
  <c r="B16" i="44"/>
  <c r="AY15" i="44"/>
  <c r="AV15" i="44"/>
  <c r="H14" i="44"/>
  <c r="AV2" i="44"/>
  <c r="I14" i="45" a="1"/>
  <c r="K18" i="45" a="1"/>
  <c r="F1357" i="40" a="1"/>
  <c r="B855" i="40" a="1"/>
  <c r="B1358" i="40"/>
  <c r="F1357" i="40" l="1"/>
  <c r="D1361" i="40"/>
  <c r="B855" i="40"/>
  <c r="B62" i="54"/>
  <c r="AT60" i="54"/>
  <c r="U120" i="44"/>
  <c r="B137" i="44"/>
  <c r="B23" i="54"/>
  <c r="AT21" i="54"/>
  <c r="AT22" i="51"/>
  <c r="B24" i="51"/>
  <c r="K18" i="45"/>
  <c r="B12" i="38"/>
  <c r="J19" i="44"/>
  <c r="B23" i="49"/>
  <c r="AT21" i="49"/>
  <c r="C11" i="46"/>
  <c r="C14" i="46"/>
  <c r="E14" i="46" s="1"/>
  <c r="I14" i="45"/>
  <c r="J16" i="44"/>
  <c r="J17" i="44"/>
  <c r="J18" i="44"/>
  <c r="AY18" i="44" s="1"/>
  <c r="G120" i="44"/>
  <c r="B138" i="44" s="1"/>
  <c r="AY19" i="44"/>
  <c r="AY20" i="44" s="1"/>
  <c r="AY21" i="44" s="1"/>
  <c r="AY22" i="44" s="1"/>
  <c r="AY23" i="44" s="1"/>
  <c r="AY24" i="44" s="1"/>
  <c r="AY25" i="44" s="1"/>
  <c r="AY26" i="44" s="1"/>
  <c r="AY27" i="44" s="1"/>
  <c r="AY28" i="44" s="1"/>
  <c r="AY29" i="44" s="1"/>
  <c r="AY30" i="44" s="1"/>
  <c r="AY31" i="44" s="1"/>
  <c r="AY32" i="44" s="1"/>
  <c r="AY33" i="44" s="1"/>
  <c r="AY34" i="44" s="1"/>
  <c r="AY35" i="44" s="1"/>
  <c r="AY36" i="44" s="1"/>
  <c r="AY37" i="44" s="1"/>
  <c r="AY38" i="44" s="1"/>
  <c r="AY39" i="44" s="1"/>
  <c r="AY40" i="44" s="1"/>
  <c r="AY41" i="44" s="1"/>
  <c r="AY42" i="44" s="1"/>
  <c r="AY43" i="44" s="1"/>
  <c r="AY44" i="44" s="1"/>
  <c r="AY45" i="44" s="1"/>
  <c r="AY46" i="44" s="1"/>
  <c r="AY47" i="44" s="1"/>
  <c r="AY48" i="44" s="1"/>
  <c r="AY49" i="44" s="1"/>
  <c r="AY50" i="44" s="1"/>
  <c r="AY51" i="44" s="1"/>
  <c r="AY52" i="44" s="1"/>
  <c r="AY53" i="44" s="1"/>
  <c r="AY54" i="44" s="1"/>
  <c r="AY55" i="44" s="1"/>
  <c r="AY56" i="44" s="1"/>
  <c r="AY57" i="44" s="1"/>
  <c r="AY58" i="44" s="1"/>
  <c r="AY59" i="44" s="1"/>
  <c r="AY60" i="44" s="1"/>
  <c r="AY61" i="44" s="1"/>
  <c r="AY62" i="44" s="1"/>
  <c r="AY63" i="44" s="1"/>
  <c r="AY64" i="44" s="1"/>
  <c r="AY65" i="44" s="1"/>
  <c r="AY66" i="44" s="1"/>
  <c r="AY67" i="44" s="1"/>
  <c r="AY68" i="44" s="1"/>
  <c r="AY69" i="44" s="1"/>
  <c r="AY70" i="44" s="1"/>
  <c r="AY71" i="44" s="1"/>
  <c r="AY72" i="44" s="1"/>
  <c r="AY73" i="44" s="1"/>
  <c r="AY74" i="44" s="1"/>
  <c r="AY75" i="44" s="1"/>
  <c r="AY76" i="44" s="1"/>
  <c r="AY77" i="44" s="1"/>
  <c r="AY78" i="44" s="1"/>
  <c r="AY79" i="44" s="1"/>
  <c r="AY80" i="44" s="1"/>
  <c r="AY81" i="44" s="1"/>
  <c r="AY82" i="44" s="1"/>
  <c r="AY83" i="44" s="1"/>
  <c r="AY84" i="44" s="1"/>
  <c r="AY85" i="44" s="1"/>
  <c r="AY86" i="44" s="1"/>
  <c r="AY87" i="44" s="1"/>
  <c r="AY88" i="44" s="1"/>
  <c r="AY89" i="44" s="1"/>
  <c r="AY90" i="44" s="1"/>
  <c r="AY91" i="44" s="1"/>
  <c r="AY92" i="44" s="1"/>
  <c r="AY93" i="44" s="1"/>
  <c r="AY94" i="44" s="1"/>
  <c r="AY95" i="44" s="1"/>
  <c r="AY96" i="44" s="1"/>
  <c r="AY97" i="44" s="1"/>
  <c r="AY98" i="44" s="1"/>
  <c r="AY99" i="44" s="1"/>
  <c r="AY100" i="44" s="1"/>
  <c r="AY101" i="44" s="1"/>
  <c r="AY102" i="44" s="1"/>
  <c r="AY103" i="44" s="1"/>
  <c r="AY104" i="44" s="1"/>
  <c r="AY105" i="44" s="1"/>
  <c r="AY106" i="44" s="1"/>
  <c r="AY107" i="44" s="1"/>
  <c r="AY108" i="44" s="1"/>
  <c r="AY109" i="44" s="1"/>
  <c r="AY110" i="44" s="1"/>
  <c r="AY111" i="44" s="1"/>
  <c r="AY112" i="44" s="1"/>
  <c r="AY113" i="44" s="1"/>
  <c r="AY114" i="44" s="1"/>
  <c r="AY115" i="44" s="1"/>
  <c r="AY116" i="44" s="1"/>
  <c r="AY17" i="44"/>
  <c r="AV55" i="44"/>
  <c r="AV59" i="44"/>
  <c r="AV63" i="44"/>
  <c r="AV67" i="44"/>
  <c r="AV71" i="44"/>
  <c r="AV75" i="44"/>
  <c r="AV79" i="44"/>
  <c r="AV83" i="44"/>
  <c r="AV87" i="44"/>
  <c r="AV120" i="44"/>
  <c r="AV39" i="44"/>
  <c r="AV43" i="44"/>
  <c r="AV47" i="44"/>
  <c r="AV51" i="44"/>
  <c r="AV16" i="44"/>
  <c r="AV17" i="44"/>
  <c r="AV19" i="44"/>
  <c r="AV20" i="44"/>
  <c r="AV21" i="44"/>
  <c r="AV22" i="44"/>
  <c r="AV23" i="44"/>
  <c r="AV24" i="44"/>
  <c r="AV25" i="44"/>
  <c r="AV26" i="44"/>
  <c r="AV27" i="44"/>
  <c r="AV28" i="44"/>
  <c r="AV29" i="44"/>
  <c r="AV30" i="44"/>
  <c r="AV31" i="44"/>
  <c r="AV32" i="44"/>
  <c r="AV33" i="44"/>
  <c r="AV34" i="44"/>
  <c r="AV35" i="44"/>
  <c r="AV36" i="44"/>
  <c r="AV37" i="44"/>
  <c r="AV38" i="44"/>
  <c r="AV42" i="44"/>
  <c r="AV46" i="44"/>
  <c r="AV50" i="44"/>
  <c r="AV54" i="44"/>
  <c r="AV58" i="44"/>
  <c r="AV62" i="44"/>
  <c r="AV66" i="44"/>
  <c r="AV70" i="44"/>
  <c r="AV74" i="44"/>
  <c r="AV78" i="44"/>
  <c r="AV82" i="44"/>
  <c r="AV86" i="44"/>
  <c r="AV90" i="44"/>
  <c r="B17" i="44"/>
  <c r="AY16" i="44"/>
  <c r="AV41" i="44"/>
  <c r="AV45" i="44"/>
  <c r="AV49" i="44"/>
  <c r="AV53" i="44"/>
  <c r="AV57" i="44"/>
  <c r="AV61" i="44"/>
  <c r="AV65" i="44"/>
  <c r="AV69" i="44"/>
  <c r="AV73" i="44"/>
  <c r="AV77" i="44"/>
  <c r="AV81" i="44"/>
  <c r="AV85" i="44"/>
  <c r="AV89" i="44"/>
  <c r="C118" i="44"/>
  <c r="D118" i="44" s="1"/>
  <c r="AV118" i="44" s="1"/>
  <c r="BX1000" i="11"/>
  <c r="BX998" i="11"/>
  <c r="BX999" i="11"/>
  <c r="BX988" i="11"/>
  <c r="BX989" i="11"/>
  <c r="BX990" i="11"/>
  <c r="BX991" i="11"/>
  <c r="BX992" i="11"/>
  <c r="BX993" i="11"/>
  <c r="BX994" i="11"/>
  <c r="BX995" i="11"/>
  <c r="BX996" i="11"/>
  <c r="BX997" i="11"/>
  <c r="BX975" i="11"/>
  <c r="BX976" i="11"/>
  <c r="BX977" i="11"/>
  <c r="BX978" i="11"/>
  <c r="BX979" i="11"/>
  <c r="BX980" i="11"/>
  <c r="BX981" i="11"/>
  <c r="BX982" i="11"/>
  <c r="BX983" i="11"/>
  <c r="BX984" i="11"/>
  <c r="BX985" i="11"/>
  <c r="BX986" i="11"/>
  <c r="BX987" i="11"/>
  <c r="BX961" i="11"/>
  <c r="BX962" i="11"/>
  <c r="BX963" i="11"/>
  <c r="BX964" i="11"/>
  <c r="BX965" i="11"/>
  <c r="BX966" i="11"/>
  <c r="BX967" i="11"/>
  <c r="BX968" i="11"/>
  <c r="BX969" i="11"/>
  <c r="BX970" i="11"/>
  <c r="BX971" i="11"/>
  <c r="BX972" i="11"/>
  <c r="BX973" i="11"/>
  <c r="BX974" i="11"/>
  <c r="BX947" i="11"/>
  <c r="BX948" i="11"/>
  <c r="BX949" i="11"/>
  <c r="BX950" i="11"/>
  <c r="BX951" i="11"/>
  <c r="BX952" i="11"/>
  <c r="BX953" i="11"/>
  <c r="BX954" i="11"/>
  <c r="BX955" i="11"/>
  <c r="BX956" i="11"/>
  <c r="BX957" i="11"/>
  <c r="BX958" i="11"/>
  <c r="BX959" i="11"/>
  <c r="BX960" i="11"/>
  <c r="BX931" i="11"/>
  <c r="BX932" i="11"/>
  <c r="BX933" i="11"/>
  <c r="BX934" i="11"/>
  <c r="BX935" i="11"/>
  <c r="BX936" i="11"/>
  <c r="BX937" i="11"/>
  <c r="BX938" i="11"/>
  <c r="BX939" i="11"/>
  <c r="BX940" i="11"/>
  <c r="BX941" i="11"/>
  <c r="BX942" i="11"/>
  <c r="BX943" i="11"/>
  <c r="BX944" i="11"/>
  <c r="BX945" i="11"/>
  <c r="BX946" i="11"/>
  <c r="BX908" i="11"/>
  <c r="BX909" i="11"/>
  <c r="BX910" i="11"/>
  <c r="BX911" i="11"/>
  <c r="BX912" i="11"/>
  <c r="BX913" i="11"/>
  <c r="BX914" i="11"/>
  <c r="BX915" i="11"/>
  <c r="BX916" i="11"/>
  <c r="BX917" i="11"/>
  <c r="BX918" i="11"/>
  <c r="BX919" i="11"/>
  <c r="BX920" i="11"/>
  <c r="BX921" i="11"/>
  <c r="BX922" i="11"/>
  <c r="BX923" i="11"/>
  <c r="BX924" i="11"/>
  <c r="BX925" i="11"/>
  <c r="BX926" i="11"/>
  <c r="BX927" i="11"/>
  <c r="BX928" i="11"/>
  <c r="BX929" i="11"/>
  <c r="BX930" i="11"/>
  <c r="BX8" i="11"/>
  <c r="BX9" i="11"/>
  <c r="BX10" i="11"/>
  <c r="BX11" i="11"/>
  <c r="BX12" i="11"/>
  <c r="BX13" i="11"/>
  <c r="BX14" i="11"/>
  <c r="BX15" i="11"/>
  <c r="BX16" i="11"/>
  <c r="BX17" i="11"/>
  <c r="BX18" i="11"/>
  <c r="BX19" i="11"/>
  <c r="BX20" i="11"/>
  <c r="BX21" i="11"/>
  <c r="BX22" i="11"/>
  <c r="BX23" i="11"/>
  <c r="BX24" i="11"/>
  <c r="BX25" i="11"/>
  <c r="BX26" i="11"/>
  <c r="BX27" i="11"/>
  <c r="BX28" i="11"/>
  <c r="BX29" i="11"/>
  <c r="BX30" i="11"/>
  <c r="BX31" i="11"/>
  <c r="BX32" i="11"/>
  <c r="BX33" i="11"/>
  <c r="BX34" i="11"/>
  <c r="BX35" i="11"/>
  <c r="BX36" i="11"/>
  <c r="BX37" i="11"/>
  <c r="BX38" i="11"/>
  <c r="BX39" i="11"/>
  <c r="BX40" i="11"/>
  <c r="BX41" i="11"/>
  <c r="BX42" i="11"/>
  <c r="BX43" i="11"/>
  <c r="BX44" i="11"/>
  <c r="BX45" i="11"/>
  <c r="BX46" i="11"/>
  <c r="BX47" i="11"/>
  <c r="BX48" i="11"/>
  <c r="BX49" i="11"/>
  <c r="BX50" i="11"/>
  <c r="BX51" i="11"/>
  <c r="BX52" i="11"/>
  <c r="BX53" i="11"/>
  <c r="BX54" i="11"/>
  <c r="BX55" i="11"/>
  <c r="BX56" i="11"/>
  <c r="BX57" i="11"/>
  <c r="BX58" i="11"/>
  <c r="BX59" i="11"/>
  <c r="BX60" i="11"/>
  <c r="BX61" i="11"/>
  <c r="BX62" i="11"/>
  <c r="BX63" i="11"/>
  <c r="BX64" i="11"/>
  <c r="BX65" i="11"/>
  <c r="BX66" i="11"/>
  <c r="BX67" i="11"/>
  <c r="BX68" i="11"/>
  <c r="BX69" i="11"/>
  <c r="BX70" i="11"/>
  <c r="BX71" i="11"/>
  <c r="BX72" i="11"/>
  <c r="BX73" i="11"/>
  <c r="BX74" i="11"/>
  <c r="BX75" i="11"/>
  <c r="BX76" i="11"/>
  <c r="BX77" i="11"/>
  <c r="BX78" i="11"/>
  <c r="BX79" i="11"/>
  <c r="BX80" i="11"/>
  <c r="BX81" i="11"/>
  <c r="BX82" i="11"/>
  <c r="BX83" i="11"/>
  <c r="BX84" i="11"/>
  <c r="BX85" i="11"/>
  <c r="BX86" i="11"/>
  <c r="BX87" i="11"/>
  <c r="BX88" i="11"/>
  <c r="BX89" i="11"/>
  <c r="BX90" i="11"/>
  <c r="BX91" i="11"/>
  <c r="BX92" i="11"/>
  <c r="BX93" i="11"/>
  <c r="BX94" i="11"/>
  <c r="BX95" i="11"/>
  <c r="BX96" i="11"/>
  <c r="BX97" i="11"/>
  <c r="BX98" i="11"/>
  <c r="BX99" i="11"/>
  <c r="BX100" i="11"/>
  <c r="BX102" i="11"/>
  <c r="BX103" i="11"/>
  <c r="BX104" i="11"/>
  <c r="BX105" i="11"/>
  <c r="BX106" i="11"/>
  <c r="BX107" i="11"/>
  <c r="BX108" i="11"/>
  <c r="BX109" i="11"/>
  <c r="BX110" i="11"/>
  <c r="BX111" i="11"/>
  <c r="BX112" i="11"/>
  <c r="BX113" i="11"/>
  <c r="BX114" i="11"/>
  <c r="BX115" i="11"/>
  <c r="BX116" i="11"/>
  <c r="BX117" i="11"/>
  <c r="BX118" i="11"/>
  <c r="BX119" i="11"/>
  <c r="BX120" i="11"/>
  <c r="BX121" i="11"/>
  <c r="BX122" i="11"/>
  <c r="BX123" i="11"/>
  <c r="BX124" i="11"/>
  <c r="BX125" i="11"/>
  <c r="BX126" i="11"/>
  <c r="BX127" i="11"/>
  <c r="BX128" i="11"/>
  <c r="BX129" i="11"/>
  <c r="BX130" i="11"/>
  <c r="BX131" i="11"/>
  <c r="BX132" i="11"/>
  <c r="BX133" i="11"/>
  <c r="BX134" i="11"/>
  <c r="BX135" i="11"/>
  <c r="BX136" i="11"/>
  <c r="BX137" i="11"/>
  <c r="BX138" i="11"/>
  <c r="BX139" i="11"/>
  <c r="BX140" i="11"/>
  <c r="BX141" i="11"/>
  <c r="BX142" i="11"/>
  <c r="BX143" i="11"/>
  <c r="BX144" i="11"/>
  <c r="BX145" i="11"/>
  <c r="BX146" i="11"/>
  <c r="BX147" i="11"/>
  <c r="BX148" i="11"/>
  <c r="BX149"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77" i="11"/>
  <c r="BX178" i="11"/>
  <c r="BX179" i="11"/>
  <c r="BX180" i="11"/>
  <c r="BX181" i="11"/>
  <c r="BX182" i="11"/>
  <c r="BX183" i="11"/>
  <c r="BX184" i="11"/>
  <c r="BX185" i="11"/>
  <c r="BX186" i="11"/>
  <c r="BX187" i="11"/>
  <c r="BX188" i="11"/>
  <c r="BX189" i="11"/>
  <c r="BX190" i="11"/>
  <c r="BX191" i="11"/>
  <c r="BX192" i="11"/>
  <c r="BX193" i="11"/>
  <c r="BX194" i="11"/>
  <c r="BX195" i="11"/>
  <c r="BX196" i="11"/>
  <c r="BX197" i="11"/>
  <c r="BX198" i="11"/>
  <c r="BX199" i="11"/>
  <c r="BX200" i="11"/>
  <c r="BX201" i="11"/>
  <c r="BX202" i="11"/>
  <c r="BX203" i="11"/>
  <c r="BX204" i="11"/>
  <c r="BX205" i="11"/>
  <c r="BX206" i="11"/>
  <c r="BX207" i="11"/>
  <c r="BX208" i="11"/>
  <c r="BX209" i="11"/>
  <c r="BX210" i="11"/>
  <c r="BX211" i="11"/>
  <c r="BX212" i="11"/>
  <c r="BX213" i="11"/>
  <c r="BX214" i="11"/>
  <c r="BX215" i="11"/>
  <c r="BX216" i="11"/>
  <c r="BX217" i="11"/>
  <c r="BX218" i="11"/>
  <c r="BX219" i="11"/>
  <c r="BX220" i="11"/>
  <c r="BX221" i="11"/>
  <c r="BX222" i="11"/>
  <c r="BX223" i="11"/>
  <c r="BX224" i="11"/>
  <c r="BX225" i="11"/>
  <c r="BX226" i="11"/>
  <c r="BX227" i="11"/>
  <c r="BX228" i="11"/>
  <c r="BX229" i="11"/>
  <c r="BX230" i="11"/>
  <c r="BX231" i="11"/>
  <c r="BX232" i="11"/>
  <c r="BX233" i="11"/>
  <c r="BX234" i="11"/>
  <c r="BX235" i="11"/>
  <c r="BX236" i="11"/>
  <c r="BX237" i="11"/>
  <c r="BX238" i="11"/>
  <c r="BX239" i="11"/>
  <c r="BX240" i="11"/>
  <c r="BX241" i="11"/>
  <c r="BX242" i="11"/>
  <c r="BX243" i="11"/>
  <c r="BX244" i="11"/>
  <c r="BX245" i="11"/>
  <c r="BX246" i="11"/>
  <c r="BX247" i="11"/>
  <c r="BX248" i="11"/>
  <c r="BX249" i="11"/>
  <c r="BX250" i="11"/>
  <c r="BX251" i="11"/>
  <c r="BX252" i="11"/>
  <c r="BX253" i="11"/>
  <c r="BX254" i="11"/>
  <c r="BX255" i="11"/>
  <c r="BX256" i="11"/>
  <c r="BX257" i="11"/>
  <c r="BX258" i="11"/>
  <c r="BX259" i="11"/>
  <c r="BX260" i="11"/>
  <c r="BX261" i="11"/>
  <c r="BX262" i="11"/>
  <c r="BX263" i="11"/>
  <c r="BX264" i="11"/>
  <c r="BX265" i="11"/>
  <c r="BX266" i="11"/>
  <c r="BX267" i="11"/>
  <c r="BX268" i="11"/>
  <c r="BX269" i="11"/>
  <c r="BX270" i="11"/>
  <c r="BX271" i="11"/>
  <c r="BX272" i="11"/>
  <c r="BX273" i="11"/>
  <c r="BX274" i="11"/>
  <c r="BX275" i="11"/>
  <c r="BX276" i="11"/>
  <c r="BX277" i="11"/>
  <c r="BX278" i="11"/>
  <c r="BX279" i="11"/>
  <c r="BX280" i="11"/>
  <c r="BX281" i="11"/>
  <c r="BX282" i="11"/>
  <c r="BX283" i="11"/>
  <c r="BX284" i="11"/>
  <c r="BX285" i="11"/>
  <c r="BX286" i="11"/>
  <c r="BX287" i="11"/>
  <c r="BX288" i="11"/>
  <c r="BX289" i="11"/>
  <c r="BX290" i="11"/>
  <c r="BX291" i="11"/>
  <c r="BX292" i="11"/>
  <c r="BX293" i="11"/>
  <c r="BX294" i="11"/>
  <c r="BX295" i="11"/>
  <c r="BX296" i="11"/>
  <c r="BX297" i="11"/>
  <c r="BX298" i="11"/>
  <c r="BX299" i="11"/>
  <c r="BX300" i="11"/>
  <c r="BX301" i="11"/>
  <c r="BX302" i="11"/>
  <c r="BX303" i="11"/>
  <c r="BX304" i="11"/>
  <c r="BX305" i="11"/>
  <c r="BX306" i="11"/>
  <c r="BX307" i="11"/>
  <c r="BX308" i="11"/>
  <c r="BX309" i="11"/>
  <c r="BX310" i="11"/>
  <c r="BX311" i="11"/>
  <c r="BX312" i="11"/>
  <c r="BX313" i="11"/>
  <c r="BX314" i="11"/>
  <c r="BX315" i="11"/>
  <c r="BX316" i="11"/>
  <c r="BX317" i="11"/>
  <c r="BX318" i="11"/>
  <c r="BX319" i="11"/>
  <c r="BX320" i="11"/>
  <c r="BX321" i="11"/>
  <c r="BX322" i="11"/>
  <c r="BX323" i="11"/>
  <c r="BX324" i="11"/>
  <c r="BX325" i="11"/>
  <c r="BX326" i="11"/>
  <c r="BX327" i="11"/>
  <c r="BX328" i="11"/>
  <c r="BX329" i="11"/>
  <c r="BX330" i="11"/>
  <c r="BX331" i="11"/>
  <c r="BX332" i="11"/>
  <c r="BX333" i="11"/>
  <c r="BX334" i="11"/>
  <c r="BX335" i="11"/>
  <c r="BX336" i="11"/>
  <c r="BX337" i="11"/>
  <c r="BX338" i="11"/>
  <c r="BX339" i="11"/>
  <c r="BX340" i="11"/>
  <c r="BX341" i="11"/>
  <c r="BX342" i="11"/>
  <c r="BX343" i="11"/>
  <c r="BX344" i="11"/>
  <c r="BX345" i="11"/>
  <c r="BX346" i="11"/>
  <c r="BX347" i="11"/>
  <c r="BX348" i="11"/>
  <c r="BX349" i="11"/>
  <c r="BX350" i="11"/>
  <c r="BX351" i="11"/>
  <c r="BX352" i="11"/>
  <c r="BX353" i="11"/>
  <c r="BX354" i="11"/>
  <c r="BX355" i="11"/>
  <c r="BX356" i="11"/>
  <c r="BX357" i="11"/>
  <c r="BX358" i="11"/>
  <c r="BX359" i="11"/>
  <c r="BX360" i="11"/>
  <c r="BX361" i="11"/>
  <c r="BX362" i="11"/>
  <c r="BX363" i="11"/>
  <c r="BX364" i="11"/>
  <c r="BX365" i="11"/>
  <c r="BX366" i="11"/>
  <c r="BX367" i="11"/>
  <c r="BX368" i="11"/>
  <c r="BX369" i="11"/>
  <c r="BX370" i="11"/>
  <c r="BX371" i="11"/>
  <c r="BX372" i="11"/>
  <c r="BX373" i="11"/>
  <c r="BX374" i="11"/>
  <c r="BX375" i="11"/>
  <c r="BX376" i="11"/>
  <c r="BX377" i="11"/>
  <c r="BX378" i="11"/>
  <c r="BX379" i="11"/>
  <c r="BX380" i="11"/>
  <c r="BX381" i="11"/>
  <c r="BX382" i="11"/>
  <c r="BX383" i="11"/>
  <c r="BX384" i="11"/>
  <c r="BX385" i="11"/>
  <c r="BX386" i="11"/>
  <c r="BX387" i="11"/>
  <c r="BX388" i="11"/>
  <c r="BX389" i="11"/>
  <c r="BX390" i="11"/>
  <c r="BX391" i="11"/>
  <c r="BX392" i="11"/>
  <c r="BX393" i="11"/>
  <c r="BX394" i="11"/>
  <c r="BX395" i="11"/>
  <c r="BX396" i="11"/>
  <c r="BX397" i="11"/>
  <c r="BX398" i="11"/>
  <c r="BX399" i="11"/>
  <c r="BX400" i="11"/>
  <c r="BX401" i="11"/>
  <c r="BX402" i="11"/>
  <c r="BX403" i="11"/>
  <c r="BX404" i="11"/>
  <c r="BX405" i="11"/>
  <c r="BX406" i="11"/>
  <c r="BX407" i="11"/>
  <c r="BX408" i="11"/>
  <c r="BX409" i="11"/>
  <c r="BX410" i="11"/>
  <c r="BX411" i="11"/>
  <c r="BX412" i="11"/>
  <c r="BX413" i="11"/>
  <c r="BX414" i="11"/>
  <c r="BX415" i="11"/>
  <c r="BX416" i="11"/>
  <c r="BX417" i="11"/>
  <c r="BX418" i="11"/>
  <c r="BX419" i="11"/>
  <c r="BX420" i="11"/>
  <c r="BX421" i="11"/>
  <c r="BX422" i="11"/>
  <c r="BX423" i="11"/>
  <c r="BX424" i="11"/>
  <c r="BX425" i="11"/>
  <c r="BX426" i="11"/>
  <c r="BX427" i="11"/>
  <c r="BX428" i="11"/>
  <c r="BX429" i="11"/>
  <c r="BX430" i="11"/>
  <c r="BX431" i="11"/>
  <c r="BX432" i="11"/>
  <c r="BX433" i="11"/>
  <c r="BX434" i="11"/>
  <c r="BX435" i="11"/>
  <c r="BX436" i="11"/>
  <c r="BX437" i="11"/>
  <c r="BX438" i="11"/>
  <c r="BX439" i="11"/>
  <c r="BX440" i="11"/>
  <c r="BX441" i="11"/>
  <c r="BX442" i="11"/>
  <c r="BX443" i="11"/>
  <c r="BX444" i="11"/>
  <c r="BX445" i="11"/>
  <c r="BX446" i="11"/>
  <c r="BX447" i="11"/>
  <c r="BX448" i="11"/>
  <c r="BX449" i="11"/>
  <c r="BX450" i="11"/>
  <c r="BX451" i="11"/>
  <c r="BX452" i="11"/>
  <c r="BX453" i="11"/>
  <c r="BX454" i="11"/>
  <c r="BX455" i="11"/>
  <c r="BX456" i="11"/>
  <c r="BX457" i="11"/>
  <c r="BX458" i="11"/>
  <c r="BX459" i="11"/>
  <c r="BX460" i="11"/>
  <c r="BX461" i="11"/>
  <c r="BX462" i="11"/>
  <c r="BX463" i="11"/>
  <c r="BX464" i="11"/>
  <c r="BX465" i="11"/>
  <c r="BX466" i="11"/>
  <c r="BX467" i="11"/>
  <c r="BX468" i="11"/>
  <c r="BX469" i="11"/>
  <c r="BX470" i="11"/>
  <c r="BX471" i="11"/>
  <c r="BX472" i="11"/>
  <c r="BX473" i="11"/>
  <c r="BX474" i="11"/>
  <c r="BX475" i="11"/>
  <c r="BX476" i="11"/>
  <c r="BX477" i="11"/>
  <c r="BX478" i="11"/>
  <c r="BX479" i="11"/>
  <c r="BX480" i="11"/>
  <c r="BX481" i="11"/>
  <c r="BX482" i="11"/>
  <c r="BX483" i="11"/>
  <c r="BX484" i="11"/>
  <c r="BX485" i="11"/>
  <c r="BX486" i="11"/>
  <c r="BX487" i="11"/>
  <c r="BX488" i="11"/>
  <c r="BX489" i="11"/>
  <c r="BX490" i="11"/>
  <c r="BX491" i="11"/>
  <c r="BX492" i="11"/>
  <c r="BX493" i="11"/>
  <c r="BX494" i="11"/>
  <c r="BX495" i="11"/>
  <c r="BX496" i="11"/>
  <c r="BX497" i="11"/>
  <c r="BX498" i="11"/>
  <c r="BX499" i="11"/>
  <c r="BX500" i="11"/>
  <c r="BX501" i="11"/>
  <c r="BX502" i="11"/>
  <c r="BX503" i="11"/>
  <c r="BX504" i="11"/>
  <c r="BX505" i="11"/>
  <c r="BX506" i="11"/>
  <c r="BX507" i="11"/>
  <c r="BX508" i="11"/>
  <c r="BX509" i="11"/>
  <c r="BX510" i="11"/>
  <c r="BX511" i="11"/>
  <c r="BX512" i="11"/>
  <c r="BX513" i="11"/>
  <c r="BX514" i="11"/>
  <c r="BX515" i="11"/>
  <c r="BX516" i="11"/>
  <c r="BX517" i="11"/>
  <c r="BX518" i="11"/>
  <c r="BX519" i="11"/>
  <c r="BX520" i="11"/>
  <c r="BX521" i="11"/>
  <c r="BX522" i="11"/>
  <c r="BX523" i="11"/>
  <c r="BX524" i="11"/>
  <c r="BX525" i="11"/>
  <c r="BX526" i="11"/>
  <c r="BX527" i="11"/>
  <c r="BX528" i="11"/>
  <c r="BX529" i="11"/>
  <c r="BX530" i="11"/>
  <c r="BX531" i="11"/>
  <c r="BX532" i="11"/>
  <c r="BX533" i="11"/>
  <c r="BX534" i="11"/>
  <c r="BX535" i="11"/>
  <c r="BX536" i="11"/>
  <c r="BX537" i="11"/>
  <c r="BX538" i="11"/>
  <c r="BX539" i="11"/>
  <c r="BX540" i="11"/>
  <c r="BX541" i="11"/>
  <c r="BX542" i="11"/>
  <c r="BX543" i="11"/>
  <c r="BX544" i="11"/>
  <c r="BX545" i="11"/>
  <c r="BX546" i="11"/>
  <c r="BX547" i="11"/>
  <c r="BX548" i="11"/>
  <c r="BX549" i="11"/>
  <c r="BX550" i="11"/>
  <c r="BX551" i="11"/>
  <c r="BX552" i="11"/>
  <c r="BX553" i="11"/>
  <c r="BX554" i="11"/>
  <c r="BX555" i="11"/>
  <c r="BX556" i="11"/>
  <c r="BX557" i="11"/>
  <c r="BX558" i="11"/>
  <c r="BX559" i="11"/>
  <c r="BX560" i="11"/>
  <c r="BX561" i="11"/>
  <c r="BX562" i="11"/>
  <c r="BX563" i="11"/>
  <c r="BX564" i="11"/>
  <c r="BX565" i="11"/>
  <c r="BX566" i="11"/>
  <c r="BX567" i="11"/>
  <c r="BX568" i="11"/>
  <c r="BX569" i="11"/>
  <c r="BX570" i="11"/>
  <c r="BX571" i="11"/>
  <c r="BX572" i="11"/>
  <c r="BX573" i="11"/>
  <c r="BX574" i="11"/>
  <c r="BX575" i="11"/>
  <c r="BX576" i="11"/>
  <c r="BX577" i="11"/>
  <c r="BX578" i="11"/>
  <c r="BX579" i="11"/>
  <c r="BX580" i="11"/>
  <c r="BX581" i="11"/>
  <c r="BX582" i="11"/>
  <c r="BX583" i="11"/>
  <c r="BX584" i="11"/>
  <c r="BX585" i="11"/>
  <c r="BX586" i="11"/>
  <c r="BX587" i="11"/>
  <c r="BX588" i="11"/>
  <c r="BX589" i="11"/>
  <c r="BX590" i="11"/>
  <c r="BX591" i="11"/>
  <c r="BX592" i="11"/>
  <c r="BX593" i="11"/>
  <c r="BX594" i="11"/>
  <c r="BX595" i="11"/>
  <c r="BX596" i="11"/>
  <c r="BX597" i="11"/>
  <c r="BX598" i="11"/>
  <c r="BX599" i="11"/>
  <c r="BX600" i="11"/>
  <c r="BX601" i="11"/>
  <c r="BX602" i="11"/>
  <c r="BX603" i="11"/>
  <c r="BX604" i="11"/>
  <c r="BX605" i="11"/>
  <c r="BX606" i="11"/>
  <c r="BX607" i="11"/>
  <c r="BX608" i="11"/>
  <c r="BX609" i="11"/>
  <c r="BX610" i="11"/>
  <c r="BX611" i="11"/>
  <c r="BX612" i="11"/>
  <c r="BX613" i="11"/>
  <c r="BX614" i="11"/>
  <c r="BX615" i="11"/>
  <c r="BX616" i="11"/>
  <c r="BX617" i="11"/>
  <c r="BX618" i="11"/>
  <c r="BX619" i="11"/>
  <c r="BX620" i="11"/>
  <c r="BX621" i="11"/>
  <c r="BX622" i="11"/>
  <c r="BX623" i="11"/>
  <c r="BX624" i="11"/>
  <c r="BX625" i="11"/>
  <c r="BX626" i="11"/>
  <c r="BX627" i="11"/>
  <c r="BX628" i="11"/>
  <c r="BX629" i="11"/>
  <c r="BX630" i="11"/>
  <c r="BX631" i="11"/>
  <c r="BX632" i="11"/>
  <c r="BX633" i="11"/>
  <c r="BX634" i="11"/>
  <c r="BX635" i="11"/>
  <c r="BX636" i="11"/>
  <c r="BX637" i="11"/>
  <c r="BX638" i="11"/>
  <c r="BX639" i="11"/>
  <c r="BX640" i="11"/>
  <c r="BX641" i="11"/>
  <c r="BX642" i="11"/>
  <c r="BX643" i="11"/>
  <c r="BX644" i="11"/>
  <c r="BX645" i="11"/>
  <c r="BX646" i="11"/>
  <c r="BX647" i="11"/>
  <c r="BX648" i="11"/>
  <c r="BX649" i="11"/>
  <c r="BX650" i="11"/>
  <c r="BX651" i="11"/>
  <c r="BX652" i="11"/>
  <c r="BX653" i="11"/>
  <c r="BX654" i="11"/>
  <c r="BX655" i="11"/>
  <c r="BX656" i="11"/>
  <c r="BX657" i="11"/>
  <c r="BX658" i="11"/>
  <c r="BX659" i="11"/>
  <c r="BX660" i="11"/>
  <c r="BX661" i="11"/>
  <c r="BX662" i="11"/>
  <c r="BX663" i="11"/>
  <c r="BX664" i="11"/>
  <c r="BX665" i="11"/>
  <c r="BX666" i="11"/>
  <c r="BX667" i="11"/>
  <c r="BX668" i="11"/>
  <c r="BX669" i="11"/>
  <c r="BX670" i="11"/>
  <c r="BX671" i="11"/>
  <c r="BX672" i="11"/>
  <c r="BX673" i="11"/>
  <c r="BX674" i="11"/>
  <c r="BX675" i="11"/>
  <c r="BX676" i="11"/>
  <c r="BX677" i="11"/>
  <c r="BX678" i="11"/>
  <c r="BX679" i="11"/>
  <c r="BX680" i="11"/>
  <c r="BX681" i="11"/>
  <c r="BX682" i="11"/>
  <c r="BX683" i="11"/>
  <c r="BX684" i="11"/>
  <c r="BX685" i="11"/>
  <c r="BX686" i="11"/>
  <c r="BX687" i="11"/>
  <c r="BX688" i="11"/>
  <c r="BX689" i="11"/>
  <c r="BX690" i="11"/>
  <c r="BX691" i="11"/>
  <c r="BX692" i="11"/>
  <c r="BX693" i="11"/>
  <c r="BX694" i="11"/>
  <c r="BX695" i="11"/>
  <c r="BX696" i="11"/>
  <c r="BX697" i="11"/>
  <c r="BX698" i="11"/>
  <c r="BX699" i="11"/>
  <c r="BX700" i="11"/>
  <c r="BX701" i="11"/>
  <c r="BX702" i="11"/>
  <c r="BX703" i="11"/>
  <c r="BX704" i="11"/>
  <c r="BX705" i="11"/>
  <c r="BX706" i="11"/>
  <c r="BX707" i="11"/>
  <c r="BX708" i="11"/>
  <c r="BX709" i="11"/>
  <c r="BX710" i="11"/>
  <c r="BX711" i="11"/>
  <c r="BX712" i="11"/>
  <c r="BX713" i="11"/>
  <c r="BX714" i="11"/>
  <c r="BX715" i="11"/>
  <c r="BX716" i="11"/>
  <c r="BX717" i="11"/>
  <c r="BX718" i="11"/>
  <c r="BX719" i="11"/>
  <c r="BX720" i="11"/>
  <c r="BX721" i="11"/>
  <c r="BX722" i="11"/>
  <c r="BX723" i="11"/>
  <c r="BX724" i="11"/>
  <c r="BX725" i="11"/>
  <c r="BX726" i="11"/>
  <c r="BX727" i="11"/>
  <c r="BX728" i="11"/>
  <c r="BX729" i="11"/>
  <c r="BX730" i="11"/>
  <c r="BX731" i="11"/>
  <c r="BX732" i="11"/>
  <c r="BX733" i="11"/>
  <c r="BX734" i="11"/>
  <c r="BX735" i="11"/>
  <c r="BX736" i="11"/>
  <c r="BX737" i="11"/>
  <c r="BX738" i="11"/>
  <c r="BX739" i="11"/>
  <c r="BX740" i="11"/>
  <c r="BX741" i="11"/>
  <c r="BX742" i="11"/>
  <c r="BX743" i="11"/>
  <c r="BX744" i="11"/>
  <c r="BX745" i="11"/>
  <c r="BX746" i="11"/>
  <c r="BX747" i="11"/>
  <c r="BX748" i="11"/>
  <c r="BX749" i="11"/>
  <c r="BX750" i="11"/>
  <c r="BX751" i="11"/>
  <c r="BX752" i="11"/>
  <c r="BX753" i="11"/>
  <c r="BX754" i="11"/>
  <c r="BX755" i="11"/>
  <c r="BX756" i="11"/>
  <c r="BX757" i="11"/>
  <c r="BX758" i="11"/>
  <c r="BX759" i="11"/>
  <c r="BX760" i="11"/>
  <c r="BX761" i="11"/>
  <c r="BX762" i="11"/>
  <c r="BX763" i="11"/>
  <c r="BX764" i="11"/>
  <c r="BX765" i="11"/>
  <c r="BX766" i="11"/>
  <c r="BX767" i="11"/>
  <c r="BX768" i="11"/>
  <c r="BX769" i="11"/>
  <c r="BX770" i="11"/>
  <c r="BX771" i="11"/>
  <c r="BX772" i="11"/>
  <c r="BX773" i="11"/>
  <c r="BX774" i="11"/>
  <c r="BX775" i="11"/>
  <c r="BX776" i="11"/>
  <c r="BX777" i="11"/>
  <c r="BX778" i="11"/>
  <c r="BX779" i="11"/>
  <c r="BX780" i="11"/>
  <c r="BX781" i="11"/>
  <c r="BX782" i="11"/>
  <c r="BX783" i="11"/>
  <c r="BX784" i="11"/>
  <c r="BX785" i="11"/>
  <c r="BX786" i="11"/>
  <c r="BX787" i="11"/>
  <c r="BX788" i="11"/>
  <c r="BX789" i="11"/>
  <c r="BX790" i="11"/>
  <c r="BX791" i="11"/>
  <c r="BX792" i="11"/>
  <c r="BX793" i="11"/>
  <c r="BX794" i="11"/>
  <c r="BX795" i="11"/>
  <c r="BX796" i="11"/>
  <c r="BX797" i="11"/>
  <c r="BX798" i="11"/>
  <c r="BX799" i="11"/>
  <c r="BX800" i="11"/>
  <c r="BX801" i="11"/>
  <c r="BX802" i="11"/>
  <c r="BX803" i="11"/>
  <c r="BX804" i="11"/>
  <c r="BX805" i="11"/>
  <c r="BX806" i="11"/>
  <c r="BX807" i="11"/>
  <c r="BX808" i="11"/>
  <c r="BX809" i="11"/>
  <c r="BX810" i="11"/>
  <c r="BX811" i="11"/>
  <c r="BX812" i="11"/>
  <c r="BX813" i="11"/>
  <c r="BX814" i="11"/>
  <c r="BX815" i="11"/>
  <c r="BX816" i="11"/>
  <c r="BX817" i="11"/>
  <c r="BX818" i="11"/>
  <c r="BX819" i="11"/>
  <c r="BX820" i="11"/>
  <c r="BX821" i="11"/>
  <c r="BX822" i="11"/>
  <c r="BX823" i="11"/>
  <c r="BX824" i="11"/>
  <c r="BX825" i="11"/>
  <c r="BX826" i="11"/>
  <c r="BX827" i="11"/>
  <c r="BX828" i="11"/>
  <c r="BX829" i="11"/>
  <c r="BX830" i="11"/>
  <c r="BX831" i="11"/>
  <c r="BX832" i="11"/>
  <c r="BX833" i="11"/>
  <c r="BX834" i="11"/>
  <c r="BX835" i="11"/>
  <c r="BX836" i="11"/>
  <c r="BX837" i="11"/>
  <c r="BX838" i="11"/>
  <c r="BX839" i="11"/>
  <c r="BX840" i="11"/>
  <c r="BX841" i="11"/>
  <c r="BX842" i="11"/>
  <c r="BX843" i="11"/>
  <c r="BX844" i="11"/>
  <c r="BX845" i="11"/>
  <c r="BX846" i="11"/>
  <c r="BX847" i="11"/>
  <c r="BX848" i="11"/>
  <c r="BX849" i="11"/>
  <c r="BX850" i="11"/>
  <c r="BX851" i="11"/>
  <c r="BX852" i="11"/>
  <c r="BX853" i="11"/>
  <c r="BX854" i="11"/>
  <c r="BX855" i="11"/>
  <c r="BX856" i="11"/>
  <c r="BX857" i="11"/>
  <c r="BX858" i="11"/>
  <c r="BX859" i="11"/>
  <c r="BX860" i="11"/>
  <c r="BX861" i="11"/>
  <c r="BX862" i="11"/>
  <c r="BX863" i="11"/>
  <c r="BX864" i="11"/>
  <c r="BX865" i="11"/>
  <c r="BX866" i="11"/>
  <c r="BX867" i="11"/>
  <c r="BX868" i="11"/>
  <c r="BX869" i="11"/>
  <c r="BX870" i="11"/>
  <c r="BX871" i="11"/>
  <c r="BX872" i="11"/>
  <c r="BX873" i="11"/>
  <c r="BX874" i="11"/>
  <c r="BX875" i="11"/>
  <c r="BX876" i="11"/>
  <c r="BX877" i="11"/>
  <c r="BX878" i="11"/>
  <c r="BX879" i="11"/>
  <c r="BX880" i="11"/>
  <c r="BX881" i="11"/>
  <c r="BX882" i="11"/>
  <c r="BX883" i="11"/>
  <c r="BX884" i="11"/>
  <c r="BX885" i="11"/>
  <c r="BX886" i="11"/>
  <c r="BX887" i="11"/>
  <c r="BX888" i="11"/>
  <c r="BX889" i="11"/>
  <c r="BX890" i="11"/>
  <c r="BX891" i="11"/>
  <c r="BX892" i="11"/>
  <c r="BX893" i="11"/>
  <c r="BX894" i="11"/>
  <c r="BX895" i="11"/>
  <c r="BX896" i="11"/>
  <c r="BX897" i="11"/>
  <c r="BX898" i="11"/>
  <c r="BX899" i="11"/>
  <c r="BX900" i="11"/>
  <c r="BX901" i="11"/>
  <c r="BX902" i="11"/>
  <c r="BX903" i="11"/>
  <c r="BX904" i="11"/>
  <c r="BX905" i="11"/>
  <c r="BX906" i="11"/>
  <c r="BX907" i="11"/>
  <c r="D127" i="42"/>
  <c r="AV127" i="42" s="1"/>
  <c r="B127" i="42"/>
  <c r="D126" i="42"/>
  <c r="AV126" i="42" s="1"/>
  <c r="B126" i="42"/>
  <c r="D125" i="42"/>
  <c r="AV125" i="42" s="1"/>
  <c r="B125" i="42"/>
  <c r="D124" i="42"/>
  <c r="AV124" i="42" s="1"/>
  <c r="B124" i="42"/>
  <c r="D123" i="42"/>
  <c r="AV123" i="42" s="1"/>
  <c r="B123" i="42"/>
  <c r="D122" i="42"/>
  <c r="AV122" i="42" s="1"/>
  <c r="B122" i="42"/>
  <c r="D121" i="42"/>
  <c r="AV121" i="42" s="1"/>
  <c r="B121" i="42"/>
  <c r="AT116" i="42"/>
  <c r="AS115" i="42"/>
  <c r="AR115" i="42"/>
  <c r="AT115" i="42"/>
  <c r="Z115" i="42"/>
  <c r="Q115" i="42"/>
  <c r="J115" i="42"/>
  <c r="I115" i="42"/>
  <c r="H115" i="42"/>
  <c r="G115" i="42"/>
  <c r="B115" i="42"/>
  <c r="AS114" i="42"/>
  <c r="AR114" i="42"/>
  <c r="AT114" i="42"/>
  <c r="Z114" i="42"/>
  <c r="Q114" i="42"/>
  <c r="J114" i="42"/>
  <c r="I114" i="42"/>
  <c r="H114" i="42"/>
  <c r="G114" i="42"/>
  <c r="AV114" i="42" s="1"/>
  <c r="B114" i="42"/>
  <c r="AS113" i="42"/>
  <c r="AR113" i="42"/>
  <c r="AT113" i="42"/>
  <c r="Z113" i="42"/>
  <c r="Q113" i="42"/>
  <c r="J113" i="42"/>
  <c r="I113" i="42"/>
  <c r="H113" i="42"/>
  <c r="G113" i="42"/>
  <c r="AV113" i="42" s="1"/>
  <c r="B113" i="42"/>
  <c r="AS112" i="42"/>
  <c r="AR112" i="42"/>
  <c r="AT112" i="42"/>
  <c r="Z112" i="42"/>
  <c r="Q112" i="42"/>
  <c r="J112" i="42"/>
  <c r="I112" i="42"/>
  <c r="H112" i="42"/>
  <c r="G112" i="42"/>
  <c r="B112" i="42"/>
  <c r="AS111" i="42"/>
  <c r="AR111" i="42"/>
  <c r="AT111" i="42"/>
  <c r="Z111" i="42"/>
  <c r="Q111" i="42"/>
  <c r="J111" i="42"/>
  <c r="I111" i="42"/>
  <c r="H111" i="42"/>
  <c r="G111" i="42"/>
  <c r="B111" i="42"/>
  <c r="AS110" i="42"/>
  <c r="AR110" i="42"/>
  <c r="AT110" i="42"/>
  <c r="Z110" i="42"/>
  <c r="Q110" i="42"/>
  <c r="J110" i="42"/>
  <c r="I110" i="42"/>
  <c r="H110" i="42"/>
  <c r="G110" i="42"/>
  <c r="AV110" i="42" s="1"/>
  <c r="B110" i="42"/>
  <c r="AS109" i="42"/>
  <c r="AR109" i="42"/>
  <c r="AT109" i="42"/>
  <c r="Z109" i="42"/>
  <c r="Q109" i="42"/>
  <c r="J109" i="42"/>
  <c r="I109" i="42"/>
  <c r="H109" i="42"/>
  <c r="G109" i="42"/>
  <c r="AV109" i="42" s="1"/>
  <c r="B109" i="42"/>
  <c r="AS108" i="42"/>
  <c r="AR108" i="42"/>
  <c r="AT108" i="42"/>
  <c r="Z108" i="42"/>
  <c r="Q108" i="42"/>
  <c r="J108" i="42"/>
  <c r="I108" i="42"/>
  <c r="H108" i="42"/>
  <c r="G108" i="42"/>
  <c r="B108" i="42"/>
  <c r="AS107" i="42"/>
  <c r="AR107" i="42"/>
  <c r="AT107" i="42"/>
  <c r="Z107" i="42"/>
  <c r="Q107" i="42"/>
  <c r="J107" i="42"/>
  <c r="I107" i="42"/>
  <c r="H107" i="42"/>
  <c r="G107" i="42"/>
  <c r="B107" i="42"/>
  <c r="AS106" i="42"/>
  <c r="AR106" i="42"/>
  <c r="AT106" i="42"/>
  <c r="Z106" i="42"/>
  <c r="Q106" i="42"/>
  <c r="J106" i="42"/>
  <c r="I106" i="42"/>
  <c r="H106" i="42"/>
  <c r="G106" i="42"/>
  <c r="AV106" i="42" s="1"/>
  <c r="B106" i="42"/>
  <c r="AS105" i="42"/>
  <c r="AR105" i="42"/>
  <c r="AT105" i="42"/>
  <c r="Z105" i="42"/>
  <c r="Q105" i="42"/>
  <c r="J105" i="42"/>
  <c r="I105" i="42"/>
  <c r="H105" i="42"/>
  <c r="G105" i="42"/>
  <c r="AV105" i="42" s="1"/>
  <c r="B105" i="42"/>
  <c r="AS104" i="42"/>
  <c r="AR104" i="42"/>
  <c r="AT104" i="42"/>
  <c r="Z104" i="42"/>
  <c r="Q104" i="42"/>
  <c r="J104" i="42"/>
  <c r="I104" i="42"/>
  <c r="H104" i="42"/>
  <c r="G104" i="42"/>
  <c r="B104" i="42"/>
  <c r="AS103" i="42"/>
  <c r="AR103" i="42"/>
  <c r="AT103" i="42"/>
  <c r="Z103" i="42"/>
  <c r="Q103" i="42"/>
  <c r="J103" i="42"/>
  <c r="I103" i="42"/>
  <c r="H103" i="42"/>
  <c r="G103" i="42"/>
  <c r="B103" i="42"/>
  <c r="AS102" i="42"/>
  <c r="AR102" i="42"/>
  <c r="AT102" i="42"/>
  <c r="Z102" i="42"/>
  <c r="Q102" i="42"/>
  <c r="J102" i="42"/>
  <c r="I102" i="42"/>
  <c r="H102" i="42"/>
  <c r="G102" i="42"/>
  <c r="AV102" i="42" s="1"/>
  <c r="B102" i="42"/>
  <c r="AS101" i="42"/>
  <c r="AR101" i="42"/>
  <c r="AT101" i="42"/>
  <c r="Z101" i="42"/>
  <c r="Q101" i="42"/>
  <c r="J101" i="42"/>
  <c r="I101" i="42"/>
  <c r="H101" i="42"/>
  <c r="G101" i="42"/>
  <c r="AV101" i="42" s="1"/>
  <c r="B101" i="42"/>
  <c r="AS100" i="42"/>
  <c r="AR100" i="42"/>
  <c r="AT100" i="42"/>
  <c r="Z100" i="42"/>
  <c r="Q100" i="42"/>
  <c r="J100" i="42"/>
  <c r="I100" i="42"/>
  <c r="H100" i="42"/>
  <c r="G100" i="42"/>
  <c r="B100" i="42"/>
  <c r="AS99" i="42"/>
  <c r="AR99" i="42"/>
  <c r="AT99" i="42"/>
  <c r="Z99" i="42"/>
  <c r="Q99" i="42"/>
  <c r="J99" i="42"/>
  <c r="I99" i="42"/>
  <c r="H99" i="42"/>
  <c r="G99" i="42"/>
  <c r="B99" i="42"/>
  <c r="AS98" i="42"/>
  <c r="AR98" i="42"/>
  <c r="AT98" i="42"/>
  <c r="Z98" i="42"/>
  <c r="Q98" i="42"/>
  <c r="J98" i="42"/>
  <c r="I98" i="42"/>
  <c r="H98" i="42"/>
  <c r="G98" i="42"/>
  <c r="AV98" i="42" s="1"/>
  <c r="B98" i="42"/>
  <c r="AS97" i="42"/>
  <c r="AR97" i="42"/>
  <c r="AT97" i="42"/>
  <c r="Z97" i="42"/>
  <c r="Q97" i="42"/>
  <c r="J97" i="42"/>
  <c r="I97" i="42"/>
  <c r="H97" i="42"/>
  <c r="G97" i="42"/>
  <c r="AV97" i="42" s="1"/>
  <c r="B97" i="42"/>
  <c r="AS96" i="42"/>
  <c r="AR96" i="42"/>
  <c r="AT96" i="42"/>
  <c r="Z96" i="42"/>
  <c r="Q96" i="42"/>
  <c r="J96" i="42"/>
  <c r="I96" i="42"/>
  <c r="H96" i="42"/>
  <c r="G96" i="42"/>
  <c r="B96" i="42"/>
  <c r="AS95" i="42"/>
  <c r="AR95" i="42"/>
  <c r="AT95" i="42"/>
  <c r="Z95" i="42"/>
  <c r="Q95" i="42"/>
  <c r="J95" i="42"/>
  <c r="I95" i="42"/>
  <c r="H95" i="42"/>
  <c r="G95" i="42"/>
  <c r="B95" i="42"/>
  <c r="AS94" i="42"/>
  <c r="AR94" i="42"/>
  <c r="AT94" i="42"/>
  <c r="Z94" i="42"/>
  <c r="Q94" i="42"/>
  <c r="J94" i="42"/>
  <c r="I94" i="42"/>
  <c r="H94" i="42"/>
  <c r="G94" i="42"/>
  <c r="AV94" i="42" s="1"/>
  <c r="B94" i="42"/>
  <c r="AS93" i="42"/>
  <c r="AR93" i="42"/>
  <c r="AT93" i="42"/>
  <c r="Z93" i="42"/>
  <c r="Q93" i="42"/>
  <c r="J93" i="42"/>
  <c r="I93" i="42"/>
  <c r="H93" i="42"/>
  <c r="G93" i="42"/>
  <c r="AV93" i="42" s="1"/>
  <c r="B93" i="42"/>
  <c r="AS92" i="42"/>
  <c r="AR92" i="42"/>
  <c r="AT92" i="42"/>
  <c r="Z92" i="42"/>
  <c r="Q92" i="42"/>
  <c r="J92" i="42"/>
  <c r="I92" i="42"/>
  <c r="H92" i="42"/>
  <c r="G92" i="42"/>
  <c r="B92" i="42"/>
  <c r="AS91" i="42"/>
  <c r="AR91" i="42"/>
  <c r="AT91" i="42"/>
  <c r="Z91" i="42"/>
  <c r="Q91" i="42"/>
  <c r="J91" i="42"/>
  <c r="I91" i="42"/>
  <c r="H91" i="42"/>
  <c r="G91" i="42"/>
  <c r="B91" i="42"/>
  <c r="AS90" i="42"/>
  <c r="AR90" i="42"/>
  <c r="AT90" i="42"/>
  <c r="Z90" i="42"/>
  <c r="Q90" i="42"/>
  <c r="J90" i="42"/>
  <c r="I90" i="42"/>
  <c r="H90" i="42"/>
  <c r="G90" i="42"/>
  <c r="AV90" i="42" s="1"/>
  <c r="B90" i="42"/>
  <c r="AS89" i="42"/>
  <c r="AR89" i="42"/>
  <c r="AT89" i="42"/>
  <c r="Z89" i="42"/>
  <c r="Q89" i="42"/>
  <c r="J89" i="42"/>
  <c r="I89" i="42"/>
  <c r="H89" i="42"/>
  <c r="G89" i="42"/>
  <c r="AV89" i="42" s="1"/>
  <c r="B89" i="42"/>
  <c r="AS88" i="42"/>
  <c r="AR88" i="42"/>
  <c r="AT88" i="42"/>
  <c r="Z88" i="42"/>
  <c r="Q88" i="42"/>
  <c r="J88" i="42"/>
  <c r="I88" i="42"/>
  <c r="H88" i="42"/>
  <c r="G88" i="42"/>
  <c r="B88" i="42"/>
  <c r="AV87" i="42"/>
  <c r="AS87" i="42"/>
  <c r="AR87" i="42"/>
  <c r="AT87" i="42"/>
  <c r="Z87" i="42"/>
  <c r="Q87" i="42"/>
  <c r="J87" i="42"/>
  <c r="I87" i="42"/>
  <c r="H87" i="42"/>
  <c r="G87" i="42"/>
  <c r="B87" i="42"/>
  <c r="AS86" i="42"/>
  <c r="AR86" i="42"/>
  <c r="AT86" i="42"/>
  <c r="Z86" i="42"/>
  <c r="Q86" i="42"/>
  <c r="J86" i="42"/>
  <c r="I86" i="42"/>
  <c r="H86" i="42"/>
  <c r="G86" i="42"/>
  <c r="AV86" i="42" s="1"/>
  <c r="B86" i="42"/>
  <c r="AS85" i="42"/>
  <c r="AR85" i="42"/>
  <c r="AT85" i="42"/>
  <c r="Z85" i="42"/>
  <c r="Q85" i="42"/>
  <c r="J85" i="42"/>
  <c r="I85" i="42"/>
  <c r="H85" i="42"/>
  <c r="G85" i="42"/>
  <c r="AV85" i="42" s="1"/>
  <c r="B85" i="42"/>
  <c r="AS84" i="42"/>
  <c r="AR84" i="42"/>
  <c r="AT84" i="42"/>
  <c r="Z84" i="42"/>
  <c r="Q84" i="42"/>
  <c r="J84" i="42"/>
  <c r="I84" i="42"/>
  <c r="H84" i="42"/>
  <c r="G84" i="42"/>
  <c r="B84" i="42"/>
  <c r="AS83" i="42"/>
  <c r="AR83" i="42"/>
  <c r="AT83" i="42"/>
  <c r="Z83" i="42"/>
  <c r="Q83" i="42"/>
  <c r="J83" i="42"/>
  <c r="I83" i="42"/>
  <c r="H83" i="42"/>
  <c r="G83" i="42"/>
  <c r="AV83" i="42" s="1"/>
  <c r="B83" i="42"/>
  <c r="AS82" i="42"/>
  <c r="AR82" i="42"/>
  <c r="AT82" i="42"/>
  <c r="Z82" i="42"/>
  <c r="Q82" i="42"/>
  <c r="J82" i="42"/>
  <c r="I82" i="42"/>
  <c r="H82" i="42"/>
  <c r="G82" i="42"/>
  <c r="AV82" i="42" s="1"/>
  <c r="B82" i="42"/>
  <c r="AS81" i="42"/>
  <c r="AR81" i="42"/>
  <c r="AT81" i="42"/>
  <c r="Z81" i="42"/>
  <c r="Q81" i="42"/>
  <c r="J81" i="42"/>
  <c r="I81" i="42"/>
  <c r="H81" i="42"/>
  <c r="G81" i="42"/>
  <c r="AV81" i="42" s="1"/>
  <c r="B81" i="42"/>
  <c r="AS80" i="42"/>
  <c r="AR80" i="42"/>
  <c r="AT80" i="42"/>
  <c r="Z80" i="42"/>
  <c r="Q80" i="42"/>
  <c r="J80" i="42"/>
  <c r="I80" i="42"/>
  <c r="H80" i="42"/>
  <c r="G80" i="42"/>
  <c r="B80" i="42"/>
  <c r="AS79" i="42"/>
  <c r="AR79" i="42"/>
  <c r="AT79" i="42"/>
  <c r="Z79" i="42"/>
  <c r="Q79" i="42"/>
  <c r="J79" i="42"/>
  <c r="I79" i="42"/>
  <c r="H79" i="42"/>
  <c r="G79" i="42"/>
  <c r="AV79" i="42" s="1"/>
  <c r="B79" i="42"/>
  <c r="AS78" i="42"/>
  <c r="AR78" i="42"/>
  <c r="AT78" i="42"/>
  <c r="Z78" i="42"/>
  <c r="Q78" i="42"/>
  <c r="J78" i="42"/>
  <c r="I78" i="42"/>
  <c r="H78" i="42"/>
  <c r="G78" i="42"/>
  <c r="AV78" i="42" s="1"/>
  <c r="B78" i="42"/>
  <c r="AS77" i="42"/>
  <c r="AR77" i="42"/>
  <c r="AT77" i="42"/>
  <c r="Z77" i="42"/>
  <c r="Q77" i="42"/>
  <c r="J77" i="42"/>
  <c r="I77" i="42"/>
  <c r="H77" i="42"/>
  <c r="G77" i="42"/>
  <c r="AV77" i="42" s="1"/>
  <c r="B77" i="42"/>
  <c r="AS76" i="42"/>
  <c r="AR76" i="42"/>
  <c r="AT76" i="42"/>
  <c r="Z76" i="42"/>
  <c r="Q76" i="42"/>
  <c r="J76" i="42"/>
  <c r="I76" i="42"/>
  <c r="H76" i="42"/>
  <c r="G76" i="42"/>
  <c r="B76" i="42"/>
  <c r="AS75" i="42"/>
  <c r="AR75" i="42"/>
  <c r="AT75" i="42"/>
  <c r="Z75" i="42"/>
  <c r="Q75" i="42"/>
  <c r="J75" i="42"/>
  <c r="I75" i="42"/>
  <c r="H75" i="42"/>
  <c r="G75" i="42"/>
  <c r="AV75" i="42" s="1"/>
  <c r="B75" i="42"/>
  <c r="AS74" i="42"/>
  <c r="AR74" i="42"/>
  <c r="AT74" i="42"/>
  <c r="Z74" i="42"/>
  <c r="Q74" i="42"/>
  <c r="J74" i="42"/>
  <c r="I74" i="42"/>
  <c r="H74" i="42"/>
  <c r="G74" i="42"/>
  <c r="AV74" i="42" s="1"/>
  <c r="B74" i="42"/>
  <c r="AS73" i="42"/>
  <c r="AR73" i="42"/>
  <c r="AT73" i="42"/>
  <c r="Z73" i="42"/>
  <c r="Q73" i="42"/>
  <c r="J73" i="42"/>
  <c r="I73" i="42"/>
  <c r="H73" i="42"/>
  <c r="G73" i="42"/>
  <c r="AV73" i="42" s="1"/>
  <c r="B73" i="42"/>
  <c r="AS72" i="42"/>
  <c r="AR72" i="42"/>
  <c r="AT72" i="42"/>
  <c r="Z72" i="42"/>
  <c r="Q72" i="42"/>
  <c r="J72" i="42"/>
  <c r="I72" i="42"/>
  <c r="H72" i="42"/>
  <c r="G72" i="42"/>
  <c r="B72" i="42"/>
  <c r="AS71" i="42"/>
  <c r="AR71" i="42"/>
  <c r="AT71" i="42"/>
  <c r="Z71" i="42"/>
  <c r="Q71" i="42"/>
  <c r="J71" i="42"/>
  <c r="I71" i="42"/>
  <c r="H71" i="42"/>
  <c r="G71" i="42"/>
  <c r="AV71" i="42" s="1"/>
  <c r="B71" i="42"/>
  <c r="AS70" i="42"/>
  <c r="AR70" i="42"/>
  <c r="AT70" i="42"/>
  <c r="Z70" i="42"/>
  <c r="Q70" i="42"/>
  <c r="J70" i="42"/>
  <c r="I70" i="42"/>
  <c r="H70" i="42"/>
  <c r="G70" i="42"/>
  <c r="AV70" i="42" s="1"/>
  <c r="B70" i="42"/>
  <c r="AS69" i="42"/>
  <c r="AR69" i="42"/>
  <c r="AT69" i="42"/>
  <c r="Z69" i="42"/>
  <c r="Q69" i="42"/>
  <c r="J69" i="42"/>
  <c r="I69" i="42"/>
  <c r="H69" i="42"/>
  <c r="G69" i="42"/>
  <c r="AV69" i="42" s="1"/>
  <c r="B69" i="42"/>
  <c r="AS68" i="42"/>
  <c r="AR68" i="42"/>
  <c r="AT68" i="42"/>
  <c r="Z68" i="42"/>
  <c r="Q68" i="42"/>
  <c r="J68" i="42"/>
  <c r="I68" i="42"/>
  <c r="H68" i="42"/>
  <c r="G68" i="42"/>
  <c r="B68" i="42"/>
  <c r="AS67" i="42"/>
  <c r="AR67" i="42"/>
  <c r="AT67" i="42"/>
  <c r="Z67" i="42"/>
  <c r="Q67" i="42"/>
  <c r="J67" i="42"/>
  <c r="I67" i="42"/>
  <c r="H67" i="42"/>
  <c r="G67" i="42"/>
  <c r="AV67" i="42" s="1"/>
  <c r="B67" i="42"/>
  <c r="AS66" i="42"/>
  <c r="AR66" i="42"/>
  <c r="AT66" i="42"/>
  <c r="Z66" i="42"/>
  <c r="Q66" i="42"/>
  <c r="J66" i="42"/>
  <c r="I66" i="42"/>
  <c r="H66" i="42"/>
  <c r="G66" i="42"/>
  <c r="AV66" i="42" s="1"/>
  <c r="B66" i="42"/>
  <c r="AS65" i="42"/>
  <c r="AR65" i="42"/>
  <c r="AT65" i="42"/>
  <c r="Z65" i="42"/>
  <c r="Q65" i="42"/>
  <c r="J65" i="42"/>
  <c r="I65" i="42"/>
  <c r="H65" i="42"/>
  <c r="G65" i="42"/>
  <c r="AV65" i="42" s="1"/>
  <c r="B65" i="42"/>
  <c r="AS64" i="42"/>
  <c r="AR64" i="42"/>
  <c r="AT64" i="42"/>
  <c r="Z64" i="42"/>
  <c r="Q64" i="42"/>
  <c r="J64" i="42"/>
  <c r="I64" i="42"/>
  <c r="H64" i="42"/>
  <c r="G64" i="42"/>
  <c r="B64" i="42"/>
  <c r="AS63" i="42"/>
  <c r="AR63" i="42"/>
  <c r="AT63" i="42"/>
  <c r="Z63" i="42"/>
  <c r="Q63" i="42"/>
  <c r="J63" i="42"/>
  <c r="I63" i="42"/>
  <c r="H63" i="42"/>
  <c r="G63" i="42"/>
  <c r="AV63" i="42" s="1"/>
  <c r="B63" i="42"/>
  <c r="AS62" i="42"/>
  <c r="AR62" i="42"/>
  <c r="AT62" i="42"/>
  <c r="Z62" i="42"/>
  <c r="Q62" i="42"/>
  <c r="J62" i="42"/>
  <c r="I62" i="42"/>
  <c r="H62" i="42"/>
  <c r="G62" i="42"/>
  <c r="AV62" i="42" s="1"/>
  <c r="B62" i="42"/>
  <c r="AS61" i="42"/>
  <c r="AR61" i="42"/>
  <c r="AT61" i="42"/>
  <c r="Z61" i="42"/>
  <c r="Q61" i="42"/>
  <c r="J61" i="42"/>
  <c r="I61" i="42"/>
  <c r="H61" i="42"/>
  <c r="G61" i="42"/>
  <c r="AV61" i="42" s="1"/>
  <c r="B61" i="42"/>
  <c r="AS60" i="42"/>
  <c r="AR60" i="42"/>
  <c r="AT60" i="42"/>
  <c r="Z60" i="42"/>
  <c r="Q60" i="42"/>
  <c r="J60" i="42"/>
  <c r="I60" i="42"/>
  <c r="H60" i="42"/>
  <c r="G60" i="42"/>
  <c r="B60" i="42"/>
  <c r="AS59" i="42"/>
  <c r="AR59" i="42"/>
  <c r="AT59" i="42"/>
  <c r="Z59" i="42"/>
  <c r="Q59" i="42"/>
  <c r="J59" i="42"/>
  <c r="I59" i="42"/>
  <c r="H59" i="42"/>
  <c r="G59" i="42"/>
  <c r="AV59" i="42" s="1"/>
  <c r="B59" i="42"/>
  <c r="AS58" i="42"/>
  <c r="AR58" i="42"/>
  <c r="AT58" i="42"/>
  <c r="Z58" i="42"/>
  <c r="Q58" i="42"/>
  <c r="I58" i="42"/>
  <c r="H58" i="42"/>
  <c r="G58" i="42"/>
  <c r="AS57" i="42"/>
  <c r="AR57" i="42"/>
  <c r="Z57" i="42"/>
  <c r="Q57" i="42"/>
  <c r="I57" i="42"/>
  <c r="H57" i="42"/>
  <c r="G57" i="42"/>
  <c r="AS56" i="42"/>
  <c r="AR56" i="42"/>
  <c r="Z56" i="42"/>
  <c r="Q56" i="42"/>
  <c r="I56" i="42"/>
  <c r="H56" i="42"/>
  <c r="G56" i="42"/>
  <c r="AS55" i="42"/>
  <c r="AR55" i="42"/>
  <c r="Z55" i="42"/>
  <c r="Q55" i="42"/>
  <c r="I55" i="42"/>
  <c r="H55" i="42"/>
  <c r="G55" i="42"/>
  <c r="AS54" i="42"/>
  <c r="AR54" i="42"/>
  <c r="Z54" i="42"/>
  <c r="Q54" i="42"/>
  <c r="I54" i="42"/>
  <c r="H54" i="42"/>
  <c r="G54" i="42"/>
  <c r="AS53" i="42"/>
  <c r="AR53" i="42"/>
  <c r="Z53" i="42"/>
  <c r="Q53" i="42"/>
  <c r="I53" i="42"/>
  <c r="H53" i="42"/>
  <c r="G53" i="42"/>
  <c r="AS52" i="42"/>
  <c r="AR52" i="42"/>
  <c r="Z52" i="42"/>
  <c r="Q52" i="42"/>
  <c r="I52" i="42"/>
  <c r="H52" i="42"/>
  <c r="G52" i="42"/>
  <c r="AS51" i="42"/>
  <c r="AR51" i="42"/>
  <c r="Z51" i="42"/>
  <c r="Q51" i="42"/>
  <c r="I51" i="42"/>
  <c r="H51" i="42"/>
  <c r="G51" i="42"/>
  <c r="AS50" i="42"/>
  <c r="AR50" i="42"/>
  <c r="Z50" i="42"/>
  <c r="Q50" i="42"/>
  <c r="I50" i="42"/>
  <c r="H50" i="42"/>
  <c r="G50" i="42"/>
  <c r="AS49" i="42"/>
  <c r="AR49" i="42"/>
  <c r="Z49" i="42"/>
  <c r="Q49" i="42"/>
  <c r="I49" i="42"/>
  <c r="H49" i="42"/>
  <c r="G49" i="42"/>
  <c r="AS48" i="42"/>
  <c r="AR48" i="42"/>
  <c r="Z48" i="42"/>
  <c r="Q48" i="42"/>
  <c r="I48" i="42"/>
  <c r="H48" i="42"/>
  <c r="G48" i="42"/>
  <c r="AS47" i="42"/>
  <c r="AR47" i="42"/>
  <c r="Z47" i="42"/>
  <c r="Q47" i="42"/>
  <c r="I47" i="42"/>
  <c r="H47" i="42"/>
  <c r="G47" i="42"/>
  <c r="AS46" i="42"/>
  <c r="AR46" i="42"/>
  <c r="Z46" i="42"/>
  <c r="Q46" i="42"/>
  <c r="I46" i="42"/>
  <c r="H46" i="42"/>
  <c r="G46" i="42"/>
  <c r="AS45" i="42"/>
  <c r="AR45" i="42"/>
  <c r="Z45" i="42"/>
  <c r="Q45" i="42"/>
  <c r="I45" i="42"/>
  <c r="H45" i="42"/>
  <c r="G45" i="42"/>
  <c r="AS44" i="42"/>
  <c r="AR44" i="42"/>
  <c r="Z44" i="42"/>
  <c r="Q44" i="42"/>
  <c r="I44" i="42"/>
  <c r="H44" i="42"/>
  <c r="G44" i="42"/>
  <c r="AS43" i="42"/>
  <c r="AR43" i="42"/>
  <c r="Z43" i="42"/>
  <c r="Q43" i="42"/>
  <c r="I43" i="42"/>
  <c r="H43" i="42"/>
  <c r="G43" i="42"/>
  <c r="AS42" i="42"/>
  <c r="AR42" i="42"/>
  <c r="Z42" i="42"/>
  <c r="Q42" i="42"/>
  <c r="I42" i="42"/>
  <c r="H42" i="42"/>
  <c r="G42" i="42"/>
  <c r="AS41" i="42"/>
  <c r="AR41" i="42"/>
  <c r="Z41" i="42"/>
  <c r="Q41" i="42"/>
  <c r="I41" i="42"/>
  <c r="H41" i="42"/>
  <c r="G41" i="42"/>
  <c r="AS40" i="42"/>
  <c r="AR40" i="42"/>
  <c r="Z40" i="42"/>
  <c r="Q40" i="42"/>
  <c r="I40" i="42"/>
  <c r="H40" i="42"/>
  <c r="G40" i="42"/>
  <c r="AS39" i="42"/>
  <c r="AR39" i="42"/>
  <c r="Z39" i="42"/>
  <c r="Q39" i="42"/>
  <c r="I39" i="42"/>
  <c r="H39" i="42"/>
  <c r="G39" i="42"/>
  <c r="AS38" i="42"/>
  <c r="AR38" i="42"/>
  <c r="Z38" i="42"/>
  <c r="Q38" i="42"/>
  <c r="I38" i="42"/>
  <c r="H38" i="42"/>
  <c r="G38" i="42"/>
  <c r="AS37" i="42"/>
  <c r="AR37" i="42"/>
  <c r="Z37" i="42"/>
  <c r="Q37" i="42"/>
  <c r="I37" i="42"/>
  <c r="H37" i="42"/>
  <c r="G37" i="42"/>
  <c r="AS36" i="42"/>
  <c r="AR36" i="42"/>
  <c r="Z36" i="42"/>
  <c r="Q36" i="42"/>
  <c r="I36" i="42"/>
  <c r="H36" i="42"/>
  <c r="G36" i="42"/>
  <c r="AS35" i="42"/>
  <c r="AR35" i="42"/>
  <c r="Z35" i="42"/>
  <c r="Q35" i="42"/>
  <c r="I35" i="42"/>
  <c r="H35" i="42"/>
  <c r="G35" i="42"/>
  <c r="AS34" i="42"/>
  <c r="AR34" i="42"/>
  <c r="Z34" i="42"/>
  <c r="Q34" i="42"/>
  <c r="I34" i="42"/>
  <c r="H34" i="42"/>
  <c r="G34" i="42"/>
  <c r="AS33" i="42"/>
  <c r="AR33" i="42"/>
  <c r="Z33" i="42"/>
  <c r="Q33" i="42"/>
  <c r="I33" i="42"/>
  <c r="H33" i="42"/>
  <c r="G33" i="42"/>
  <c r="AS32" i="42"/>
  <c r="AR32" i="42"/>
  <c r="Z32" i="42"/>
  <c r="Q32" i="42"/>
  <c r="I32" i="42"/>
  <c r="H32" i="42"/>
  <c r="G32" i="42"/>
  <c r="J32" i="42" s="1"/>
  <c r="AS31" i="42"/>
  <c r="AR31" i="42"/>
  <c r="Z31" i="42"/>
  <c r="Q31" i="42"/>
  <c r="I31" i="42"/>
  <c r="H31" i="42"/>
  <c r="G31" i="42"/>
  <c r="J31" i="42" s="1"/>
  <c r="AS30" i="42"/>
  <c r="AR30" i="42"/>
  <c r="Z30" i="42"/>
  <c r="Q30" i="42"/>
  <c r="I30" i="42"/>
  <c r="H30" i="42"/>
  <c r="G30" i="42"/>
  <c r="J30" i="42" s="1"/>
  <c r="AS29" i="42"/>
  <c r="AR29" i="42"/>
  <c r="Z29" i="42"/>
  <c r="Q29" i="42"/>
  <c r="I29" i="42"/>
  <c r="H29" i="42"/>
  <c r="G29" i="42"/>
  <c r="J29" i="42" s="1"/>
  <c r="AS28" i="42"/>
  <c r="AR28" i="42"/>
  <c r="Z28" i="42"/>
  <c r="Q28" i="42"/>
  <c r="I28" i="42"/>
  <c r="H28" i="42"/>
  <c r="G28" i="42"/>
  <c r="J28" i="42" s="1"/>
  <c r="AS27" i="42"/>
  <c r="AR27" i="42"/>
  <c r="Z27" i="42"/>
  <c r="Q27" i="42"/>
  <c r="I27" i="42"/>
  <c r="H27" i="42"/>
  <c r="G27" i="42"/>
  <c r="J27" i="42" s="1"/>
  <c r="AS26" i="42"/>
  <c r="AR26" i="42"/>
  <c r="Z26" i="42"/>
  <c r="Q26" i="42"/>
  <c r="I26" i="42"/>
  <c r="H26" i="42"/>
  <c r="G26" i="42"/>
  <c r="J26" i="42" s="1"/>
  <c r="AS25" i="42"/>
  <c r="AR25" i="42"/>
  <c r="Z25" i="42"/>
  <c r="Q25" i="42"/>
  <c r="I25" i="42"/>
  <c r="H25" i="42"/>
  <c r="G25" i="42"/>
  <c r="J25" i="42" s="1"/>
  <c r="AS24" i="42"/>
  <c r="AR24" i="42"/>
  <c r="Z24" i="42"/>
  <c r="Q24" i="42"/>
  <c r="I24" i="42"/>
  <c r="H24" i="42"/>
  <c r="G24" i="42"/>
  <c r="J24" i="42" s="1"/>
  <c r="AS23" i="42"/>
  <c r="AR23" i="42"/>
  <c r="Z23" i="42"/>
  <c r="Q23" i="42"/>
  <c r="I23" i="42"/>
  <c r="H23" i="42"/>
  <c r="G23" i="42"/>
  <c r="J23" i="42" s="1"/>
  <c r="AS22" i="42"/>
  <c r="AR22" i="42"/>
  <c r="Z22" i="42"/>
  <c r="Q22" i="42"/>
  <c r="I22" i="42"/>
  <c r="H22" i="42"/>
  <c r="G22" i="42"/>
  <c r="AS21" i="42"/>
  <c r="AR21" i="42"/>
  <c r="Z21" i="42"/>
  <c r="Q21" i="42"/>
  <c r="I21" i="42"/>
  <c r="H21" i="42"/>
  <c r="G21" i="42"/>
  <c r="AS20" i="42"/>
  <c r="AR20" i="42"/>
  <c r="Z20" i="42"/>
  <c r="Q20" i="42"/>
  <c r="I20" i="42"/>
  <c r="H20" i="42"/>
  <c r="G20" i="42"/>
  <c r="AS19" i="42"/>
  <c r="AR19" i="42"/>
  <c r="Z19" i="42"/>
  <c r="Q19" i="42"/>
  <c r="I19" i="42"/>
  <c r="H19" i="42"/>
  <c r="G19" i="42"/>
  <c r="AS18" i="42"/>
  <c r="AR18" i="42"/>
  <c r="Z18" i="42"/>
  <c r="Q18" i="42"/>
  <c r="I18" i="42"/>
  <c r="H18" i="42"/>
  <c r="G18" i="42"/>
  <c r="AS17" i="42"/>
  <c r="AR17" i="42"/>
  <c r="Z17" i="42"/>
  <c r="Q17" i="42"/>
  <c r="I17" i="42"/>
  <c r="H17" i="42"/>
  <c r="G17" i="42"/>
  <c r="AS16" i="42"/>
  <c r="AR16" i="42"/>
  <c r="Z16" i="42"/>
  <c r="Q16" i="42"/>
  <c r="I16" i="42"/>
  <c r="H120" i="42" s="1"/>
  <c r="H16" i="42"/>
  <c r="G16" i="42"/>
  <c r="D120" i="42" s="1"/>
  <c r="B16" i="42"/>
  <c r="B17" i="42" s="1"/>
  <c r="AY15" i="42"/>
  <c r="AV15" i="42"/>
  <c r="H14" i="42"/>
  <c r="AV2" i="42"/>
  <c r="F7" i="40"/>
  <c r="BX1" i="11"/>
  <c r="BX7" i="11"/>
  <c r="BX6" i="11"/>
  <c r="BX5" i="11"/>
  <c r="BX4" i="11"/>
  <c r="BX3" i="11"/>
  <c r="BX2" i="11"/>
  <c r="D127" i="41"/>
  <c r="AV127" i="41" s="1"/>
  <c r="B127" i="41"/>
  <c r="D126" i="41"/>
  <c r="AV126" i="41" s="1"/>
  <c r="B126" i="41"/>
  <c r="D125" i="41"/>
  <c r="AV125" i="41" s="1"/>
  <c r="B125" i="41"/>
  <c r="D124" i="41"/>
  <c r="AV124" i="41" s="1"/>
  <c r="B124" i="41"/>
  <c r="D123" i="41"/>
  <c r="AV123" i="41" s="1"/>
  <c r="B123" i="41"/>
  <c r="D122" i="41"/>
  <c r="AV122" i="41" s="1"/>
  <c r="B122" i="41"/>
  <c r="D121" i="41"/>
  <c r="AV121" i="41" s="1"/>
  <c r="B121" i="41"/>
  <c r="AT116" i="41"/>
  <c r="AS115" i="41"/>
  <c r="AR115" i="41"/>
  <c r="AT115" i="41"/>
  <c r="Z115" i="41"/>
  <c r="S115" i="41"/>
  <c r="Q115" i="41"/>
  <c r="J115" i="41"/>
  <c r="I115" i="41"/>
  <c r="H115" i="41"/>
  <c r="G115" i="41"/>
  <c r="AV115" i="41" s="1"/>
  <c r="B115" i="41"/>
  <c r="AS114" i="41"/>
  <c r="AR114" i="41"/>
  <c r="AT114" i="41"/>
  <c r="Z114" i="41"/>
  <c r="S114" i="41"/>
  <c r="Q114" i="41"/>
  <c r="J114" i="41"/>
  <c r="I114" i="41"/>
  <c r="H114" i="41"/>
  <c r="G114" i="41"/>
  <c r="AV114" i="41" s="1"/>
  <c r="B114" i="41"/>
  <c r="AS113" i="41"/>
  <c r="AR113" i="41"/>
  <c r="AT113" i="41"/>
  <c r="Z113" i="41"/>
  <c r="S113" i="41"/>
  <c r="Q113" i="41"/>
  <c r="J113" i="41"/>
  <c r="I113" i="41"/>
  <c r="H113" i="41"/>
  <c r="G113" i="41"/>
  <c r="B113" i="41"/>
  <c r="AS112" i="41"/>
  <c r="AR112" i="41"/>
  <c r="AT112" i="41"/>
  <c r="Z112" i="41"/>
  <c r="S112" i="41"/>
  <c r="Q112" i="41"/>
  <c r="J112" i="41"/>
  <c r="I112" i="41"/>
  <c r="H112" i="41"/>
  <c r="G112" i="41"/>
  <c r="B112" i="41"/>
  <c r="AS111" i="41"/>
  <c r="AR111" i="41"/>
  <c r="AT111" i="41"/>
  <c r="Z111" i="41"/>
  <c r="S111" i="41"/>
  <c r="Q111" i="41"/>
  <c r="J111" i="41"/>
  <c r="I111" i="41"/>
  <c r="H111" i="41"/>
  <c r="G111" i="41"/>
  <c r="AV111" i="41" s="1"/>
  <c r="B111" i="41"/>
  <c r="AS110" i="41"/>
  <c r="AR110" i="41"/>
  <c r="AT110" i="41"/>
  <c r="Z110" i="41"/>
  <c r="S110" i="41"/>
  <c r="Q110" i="41"/>
  <c r="J110" i="41"/>
  <c r="I110" i="41"/>
  <c r="H110" i="41"/>
  <c r="G110" i="41"/>
  <c r="AV110" i="41" s="1"/>
  <c r="B110" i="41"/>
  <c r="AS109" i="41"/>
  <c r="AR109" i="41"/>
  <c r="AT109" i="41"/>
  <c r="Z109" i="41"/>
  <c r="S109" i="41"/>
  <c r="Q109" i="41"/>
  <c r="J109" i="41"/>
  <c r="I109" i="41"/>
  <c r="H109" i="41"/>
  <c r="G109" i="41"/>
  <c r="B109" i="41"/>
  <c r="AS108" i="41"/>
  <c r="AR108" i="41"/>
  <c r="AT108" i="41"/>
  <c r="Z108" i="41"/>
  <c r="S108" i="41"/>
  <c r="Q108" i="41"/>
  <c r="J108" i="41"/>
  <c r="I108" i="41"/>
  <c r="H108" i="41"/>
  <c r="G108" i="41"/>
  <c r="B108" i="41"/>
  <c r="AS107" i="41"/>
  <c r="AR107" i="41"/>
  <c r="AT107" i="41"/>
  <c r="Z107" i="41"/>
  <c r="S107" i="41"/>
  <c r="Q107" i="41"/>
  <c r="J107" i="41"/>
  <c r="I107" i="41"/>
  <c r="H107" i="41"/>
  <c r="G107" i="41"/>
  <c r="AV107" i="41" s="1"/>
  <c r="B107" i="41"/>
  <c r="AS106" i="41"/>
  <c r="AR106" i="41"/>
  <c r="AT106" i="41"/>
  <c r="Z106" i="41"/>
  <c r="S106" i="41"/>
  <c r="Q106" i="41"/>
  <c r="J106" i="41"/>
  <c r="I106" i="41"/>
  <c r="H106" i="41"/>
  <c r="G106" i="41"/>
  <c r="AV106" i="41" s="1"/>
  <c r="B106" i="41"/>
  <c r="AS105" i="41"/>
  <c r="AR105" i="41"/>
  <c r="AT105" i="41"/>
  <c r="Z105" i="41"/>
  <c r="S105" i="41"/>
  <c r="Q105" i="41"/>
  <c r="J105" i="41"/>
  <c r="I105" i="41"/>
  <c r="H105" i="41"/>
  <c r="G105" i="41"/>
  <c r="B105" i="41"/>
  <c r="AS104" i="41"/>
  <c r="AR104" i="41"/>
  <c r="AT104" i="41"/>
  <c r="Z104" i="41"/>
  <c r="S104" i="41"/>
  <c r="Q104" i="41"/>
  <c r="J104" i="41"/>
  <c r="I104" i="41"/>
  <c r="H104" i="41"/>
  <c r="G104" i="41"/>
  <c r="B104" i="41"/>
  <c r="AS103" i="41"/>
  <c r="AR103" i="41"/>
  <c r="AT103" i="41"/>
  <c r="Z103" i="41"/>
  <c r="S103" i="41"/>
  <c r="Q103" i="41"/>
  <c r="J103" i="41"/>
  <c r="I103" i="41"/>
  <c r="H103" i="41"/>
  <c r="G103" i="41"/>
  <c r="AV103" i="41" s="1"/>
  <c r="B103" i="41"/>
  <c r="AS102" i="41"/>
  <c r="AR102" i="41"/>
  <c r="AT102" i="41"/>
  <c r="Z102" i="41"/>
  <c r="S102" i="41"/>
  <c r="Q102" i="41"/>
  <c r="J102" i="41"/>
  <c r="I102" i="41"/>
  <c r="H102" i="41"/>
  <c r="G102" i="41"/>
  <c r="AV102" i="41" s="1"/>
  <c r="B102" i="41"/>
  <c r="AS101" i="41"/>
  <c r="AR101" i="41"/>
  <c r="AT101" i="41"/>
  <c r="Z101" i="41"/>
  <c r="S101" i="41"/>
  <c r="Q101" i="41"/>
  <c r="J101" i="41"/>
  <c r="I101" i="41"/>
  <c r="H101" i="41"/>
  <c r="G101" i="41"/>
  <c r="B101" i="41"/>
  <c r="AS100" i="41"/>
  <c r="AR100" i="41"/>
  <c r="AT100" i="41"/>
  <c r="Z100" i="41"/>
  <c r="S100" i="41"/>
  <c r="Q100" i="41"/>
  <c r="J100" i="41"/>
  <c r="I100" i="41"/>
  <c r="H100" i="41"/>
  <c r="G100" i="41"/>
  <c r="AV100" i="41" s="1"/>
  <c r="B100" i="41"/>
  <c r="AS99" i="41"/>
  <c r="AR99" i="41"/>
  <c r="AT99" i="41"/>
  <c r="Z99" i="41"/>
  <c r="S99" i="41"/>
  <c r="Q99" i="41"/>
  <c r="J99" i="41"/>
  <c r="I99" i="41"/>
  <c r="H99" i="41"/>
  <c r="G99" i="41"/>
  <c r="AV99" i="41" s="1"/>
  <c r="B99" i="41"/>
  <c r="AS98" i="41"/>
  <c r="AR98" i="41"/>
  <c r="AT98" i="41"/>
  <c r="Z98" i="41"/>
  <c r="S98" i="41"/>
  <c r="Q98" i="41"/>
  <c r="J98" i="41"/>
  <c r="I98" i="41"/>
  <c r="H98" i="41"/>
  <c r="G98" i="41"/>
  <c r="AV98" i="41" s="1"/>
  <c r="B98" i="41"/>
  <c r="AS97" i="41"/>
  <c r="AR97" i="41"/>
  <c r="AT97" i="41"/>
  <c r="Z97" i="41"/>
  <c r="S97" i="41"/>
  <c r="Q97" i="41"/>
  <c r="J97" i="41"/>
  <c r="I97" i="41"/>
  <c r="H97" i="41"/>
  <c r="G97" i="41"/>
  <c r="B97" i="41"/>
  <c r="AS96" i="41"/>
  <c r="AR96" i="41"/>
  <c r="AT96" i="41"/>
  <c r="Z96" i="41"/>
  <c r="S96" i="41"/>
  <c r="Q96" i="41"/>
  <c r="J96" i="41"/>
  <c r="I96" i="41"/>
  <c r="H96" i="41"/>
  <c r="G96" i="41"/>
  <c r="AV96" i="41" s="1"/>
  <c r="B96" i="41"/>
  <c r="AS95" i="41"/>
  <c r="AR95" i="41"/>
  <c r="AT95" i="41"/>
  <c r="Z95" i="41"/>
  <c r="S95" i="41"/>
  <c r="Q95" i="41"/>
  <c r="J95" i="41"/>
  <c r="I95" i="41"/>
  <c r="H95" i="41"/>
  <c r="G95" i="41"/>
  <c r="AV95" i="41" s="1"/>
  <c r="B95" i="41"/>
  <c r="AS94" i="41"/>
  <c r="AR94" i="41"/>
  <c r="AT94" i="41"/>
  <c r="Z94" i="41"/>
  <c r="S94" i="41"/>
  <c r="Q94" i="41"/>
  <c r="J94" i="41"/>
  <c r="I94" i="41"/>
  <c r="H94" i="41"/>
  <c r="G94" i="41"/>
  <c r="AV94" i="41" s="1"/>
  <c r="B94" i="41"/>
  <c r="AS93" i="41"/>
  <c r="AR93" i="41"/>
  <c r="AT93" i="41"/>
  <c r="Z93" i="41"/>
  <c r="S93" i="41"/>
  <c r="Q93" i="41"/>
  <c r="J93" i="41"/>
  <c r="I93" i="41"/>
  <c r="H93" i="41"/>
  <c r="G93" i="41"/>
  <c r="B93" i="41"/>
  <c r="AS92" i="41"/>
  <c r="AR92" i="41"/>
  <c r="AT92" i="41"/>
  <c r="Z92" i="41"/>
  <c r="S92" i="41"/>
  <c r="Q92" i="41"/>
  <c r="J92" i="41"/>
  <c r="I92" i="41"/>
  <c r="H92" i="41"/>
  <c r="G92" i="41"/>
  <c r="AV92" i="41" s="1"/>
  <c r="B92" i="41"/>
  <c r="AS91" i="41"/>
  <c r="AR91" i="41"/>
  <c r="AT91" i="41"/>
  <c r="Z91" i="41"/>
  <c r="S91" i="41"/>
  <c r="Q91" i="41"/>
  <c r="J91" i="41"/>
  <c r="I91" i="41"/>
  <c r="H91" i="41"/>
  <c r="G91" i="41"/>
  <c r="AV91" i="41" s="1"/>
  <c r="B91" i="41"/>
  <c r="AS90" i="41"/>
  <c r="AR90" i="41"/>
  <c r="AT90" i="41"/>
  <c r="Z90" i="41"/>
  <c r="S90" i="41"/>
  <c r="Q90" i="41"/>
  <c r="J90" i="41"/>
  <c r="I90" i="41"/>
  <c r="H90" i="41"/>
  <c r="G90" i="41"/>
  <c r="AV90" i="41" s="1"/>
  <c r="B90" i="41"/>
  <c r="AS89" i="41"/>
  <c r="AR89" i="41"/>
  <c r="AT89" i="41"/>
  <c r="Z89" i="41"/>
  <c r="S89" i="41"/>
  <c r="Q89" i="41"/>
  <c r="J89" i="41"/>
  <c r="I89" i="41"/>
  <c r="H89" i="41"/>
  <c r="G89" i="41"/>
  <c r="B89" i="41"/>
  <c r="AS88" i="41"/>
  <c r="AR88" i="41"/>
  <c r="AT88" i="41"/>
  <c r="Z88" i="41"/>
  <c r="S88" i="41"/>
  <c r="Q88" i="41"/>
  <c r="J88" i="41"/>
  <c r="I88" i="41"/>
  <c r="H88" i="41"/>
  <c r="G88" i="41"/>
  <c r="AV88" i="41" s="1"/>
  <c r="B88" i="41"/>
  <c r="AS87" i="41"/>
  <c r="AR87" i="41"/>
  <c r="AT87" i="41"/>
  <c r="Z87" i="41"/>
  <c r="S87" i="41"/>
  <c r="Q87" i="41"/>
  <c r="J87" i="41"/>
  <c r="I87" i="41"/>
  <c r="H87" i="41"/>
  <c r="G87" i="41"/>
  <c r="AV87" i="41" s="1"/>
  <c r="B87" i="41"/>
  <c r="AS86" i="41"/>
  <c r="AR86" i="41"/>
  <c r="AT86" i="41"/>
  <c r="Z86" i="41"/>
  <c r="S86" i="41"/>
  <c r="Q86" i="41"/>
  <c r="J86" i="41"/>
  <c r="I86" i="41"/>
  <c r="H86" i="41"/>
  <c r="G86" i="41"/>
  <c r="AV86" i="41" s="1"/>
  <c r="B86" i="41"/>
  <c r="AS85" i="41"/>
  <c r="AR85" i="41"/>
  <c r="AT85" i="41"/>
  <c r="Z85" i="41"/>
  <c r="S85" i="41"/>
  <c r="Q85" i="41"/>
  <c r="J85" i="41"/>
  <c r="I85" i="41"/>
  <c r="H85" i="41"/>
  <c r="G85" i="41"/>
  <c r="B85" i="41"/>
  <c r="AS84" i="41"/>
  <c r="AR84" i="41"/>
  <c r="AT84" i="41"/>
  <c r="Z84" i="41"/>
  <c r="S84" i="41"/>
  <c r="Q84" i="41"/>
  <c r="J84" i="41"/>
  <c r="I84" i="41"/>
  <c r="H84" i="41"/>
  <c r="G84" i="41"/>
  <c r="AV84" i="41" s="1"/>
  <c r="B84" i="41"/>
  <c r="AS83" i="41"/>
  <c r="AR83" i="41"/>
  <c r="AT83" i="41"/>
  <c r="Z83" i="41"/>
  <c r="S83" i="41"/>
  <c r="Q83" i="41"/>
  <c r="J83" i="41"/>
  <c r="I83" i="41"/>
  <c r="H83" i="41"/>
  <c r="G83" i="41"/>
  <c r="AV83" i="41" s="1"/>
  <c r="B83" i="41"/>
  <c r="AS82" i="41"/>
  <c r="AR82" i="41"/>
  <c r="AT82" i="41"/>
  <c r="Z82" i="41"/>
  <c r="S82" i="41"/>
  <c r="Q82" i="41"/>
  <c r="J82" i="41"/>
  <c r="I82" i="41"/>
  <c r="H82" i="41"/>
  <c r="G82" i="41"/>
  <c r="AV82" i="41" s="1"/>
  <c r="B82" i="41"/>
  <c r="AS81" i="41"/>
  <c r="AR81" i="41"/>
  <c r="AT81" i="41"/>
  <c r="Z81" i="41"/>
  <c r="S81" i="41"/>
  <c r="Q81" i="41"/>
  <c r="J81" i="41"/>
  <c r="I81" i="41"/>
  <c r="H81" i="41"/>
  <c r="G81" i="41"/>
  <c r="AV81" i="41" s="1"/>
  <c r="B81" i="41"/>
  <c r="AS80" i="41"/>
  <c r="AR80" i="41"/>
  <c r="AT80" i="41"/>
  <c r="Z80" i="41"/>
  <c r="S80" i="41"/>
  <c r="Q80" i="41"/>
  <c r="J80" i="41"/>
  <c r="I80" i="41"/>
  <c r="H80" i="41"/>
  <c r="G80" i="41"/>
  <c r="AV80" i="41" s="1"/>
  <c r="B80" i="41"/>
  <c r="AS79" i="41"/>
  <c r="AR79" i="41"/>
  <c r="AT79" i="41"/>
  <c r="Z79" i="41"/>
  <c r="S79" i="41"/>
  <c r="Q79" i="41"/>
  <c r="J79" i="41"/>
  <c r="I79" i="41"/>
  <c r="H79" i="41"/>
  <c r="G79" i="41"/>
  <c r="AV79" i="41" s="1"/>
  <c r="B79" i="41"/>
  <c r="AS78" i="41"/>
  <c r="AR78" i="41"/>
  <c r="AT78" i="41"/>
  <c r="Z78" i="41"/>
  <c r="S78" i="41"/>
  <c r="Q78" i="41"/>
  <c r="J78" i="41"/>
  <c r="I78" i="41"/>
  <c r="H78" i="41"/>
  <c r="G78" i="41"/>
  <c r="AV78" i="41" s="1"/>
  <c r="B78" i="41"/>
  <c r="AS77" i="41"/>
  <c r="AR77" i="41"/>
  <c r="AT77" i="41"/>
  <c r="Z77" i="41"/>
  <c r="S77" i="41"/>
  <c r="Q77" i="41"/>
  <c r="J77" i="41"/>
  <c r="I77" i="41"/>
  <c r="H77" i="41"/>
  <c r="G77" i="41"/>
  <c r="B77" i="41"/>
  <c r="AS76" i="41"/>
  <c r="AR76" i="41"/>
  <c r="AT76" i="41"/>
  <c r="Z76" i="41"/>
  <c r="S76" i="41"/>
  <c r="Q76" i="41"/>
  <c r="J76" i="41"/>
  <c r="I76" i="41"/>
  <c r="H76" i="41"/>
  <c r="G76" i="41"/>
  <c r="AV76" i="41" s="1"/>
  <c r="B76" i="41"/>
  <c r="AS75" i="41"/>
  <c r="AR75" i="41"/>
  <c r="AT75" i="41"/>
  <c r="Z75" i="41"/>
  <c r="S75" i="41"/>
  <c r="Q75" i="41"/>
  <c r="J75" i="41"/>
  <c r="I75" i="41"/>
  <c r="H75" i="41"/>
  <c r="G75" i="41"/>
  <c r="B75" i="41"/>
  <c r="AS74" i="41"/>
  <c r="AR74" i="41"/>
  <c r="AT74" i="41"/>
  <c r="Z74" i="41"/>
  <c r="S74" i="41"/>
  <c r="Q74" i="41"/>
  <c r="J74" i="41"/>
  <c r="I74" i="41"/>
  <c r="H74" i="41"/>
  <c r="G74" i="41"/>
  <c r="AV74" i="41" s="1"/>
  <c r="B74" i="41"/>
  <c r="AS73" i="41"/>
  <c r="AR73" i="41"/>
  <c r="AT73" i="41"/>
  <c r="Z73" i="41"/>
  <c r="S73" i="41"/>
  <c r="Q73" i="41"/>
  <c r="J73" i="41"/>
  <c r="I73" i="41"/>
  <c r="H73" i="41"/>
  <c r="G73" i="41"/>
  <c r="B73" i="41"/>
  <c r="AS72" i="41"/>
  <c r="AR72" i="41"/>
  <c r="AT72" i="41"/>
  <c r="Z72" i="41"/>
  <c r="S72" i="41"/>
  <c r="Q72" i="41"/>
  <c r="J72" i="41"/>
  <c r="I72" i="41"/>
  <c r="H72" i="41"/>
  <c r="G72" i="41"/>
  <c r="AV72" i="41" s="1"/>
  <c r="B72" i="41"/>
  <c r="AS71" i="41"/>
  <c r="AR71" i="41"/>
  <c r="AT71" i="41"/>
  <c r="Z71" i="41"/>
  <c r="S71" i="41"/>
  <c r="Q71" i="41"/>
  <c r="J71" i="41"/>
  <c r="I71" i="41"/>
  <c r="H71" i="41"/>
  <c r="G71" i="41"/>
  <c r="B71" i="41"/>
  <c r="AS70" i="41"/>
  <c r="AR70" i="41"/>
  <c r="AT70" i="41"/>
  <c r="Z70" i="41"/>
  <c r="S70" i="41"/>
  <c r="Q70" i="41"/>
  <c r="J70" i="41"/>
  <c r="I70" i="41"/>
  <c r="H70" i="41"/>
  <c r="G70" i="41"/>
  <c r="AV70" i="41" s="1"/>
  <c r="B70" i="41"/>
  <c r="AS69" i="41"/>
  <c r="AR69" i="41"/>
  <c r="AT69" i="41"/>
  <c r="Z69" i="41"/>
  <c r="S69" i="41"/>
  <c r="Q69" i="41"/>
  <c r="J69" i="41"/>
  <c r="I69" i="41"/>
  <c r="H69" i="41"/>
  <c r="G69" i="41"/>
  <c r="AV69" i="41" s="1"/>
  <c r="B69" i="41"/>
  <c r="AS68" i="41"/>
  <c r="AR68" i="41"/>
  <c r="AT68" i="41"/>
  <c r="Z68" i="41"/>
  <c r="S68" i="41"/>
  <c r="Q68" i="41"/>
  <c r="J68" i="41"/>
  <c r="I68" i="41"/>
  <c r="H68" i="41"/>
  <c r="G68" i="41"/>
  <c r="AV68" i="41" s="1"/>
  <c r="B68" i="41"/>
  <c r="AS67" i="41"/>
  <c r="AR67" i="41"/>
  <c r="AT67" i="41"/>
  <c r="Z67" i="41"/>
  <c r="S67" i="41"/>
  <c r="Q67" i="41"/>
  <c r="J67" i="41"/>
  <c r="I67" i="41"/>
  <c r="H67" i="41"/>
  <c r="G67" i="41"/>
  <c r="AV67" i="41" s="1"/>
  <c r="B67" i="41"/>
  <c r="AS66" i="41"/>
  <c r="AR66" i="41"/>
  <c r="AT66" i="41"/>
  <c r="Z66" i="41"/>
  <c r="S66" i="41"/>
  <c r="Q66" i="41"/>
  <c r="J66" i="41"/>
  <c r="I66" i="41"/>
  <c r="H66" i="41"/>
  <c r="G66" i="41"/>
  <c r="AV66" i="41" s="1"/>
  <c r="B66" i="41"/>
  <c r="AS65" i="41"/>
  <c r="AR65" i="41"/>
  <c r="AT65" i="41"/>
  <c r="Z65" i="41"/>
  <c r="S65" i="41"/>
  <c r="Q65" i="41"/>
  <c r="J65" i="41"/>
  <c r="I65" i="41"/>
  <c r="H65" i="41"/>
  <c r="G65" i="41"/>
  <c r="AV65" i="41" s="1"/>
  <c r="B65" i="41"/>
  <c r="AS64" i="41"/>
  <c r="AR64" i="41"/>
  <c r="AT64" i="41"/>
  <c r="Z64" i="41"/>
  <c r="S64" i="41"/>
  <c r="Q64" i="41"/>
  <c r="J64" i="41"/>
  <c r="I64" i="41"/>
  <c r="H64" i="41"/>
  <c r="G64" i="41"/>
  <c r="AV64" i="41" s="1"/>
  <c r="B64" i="41"/>
  <c r="AS63" i="41"/>
  <c r="AR63" i="41"/>
  <c r="AT63" i="41"/>
  <c r="Z63" i="41"/>
  <c r="S63" i="41"/>
  <c r="Q63" i="41"/>
  <c r="J63" i="41"/>
  <c r="I63" i="41"/>
  <c r="H63" i="41"/>
  <c r="G63" i="41"/>
  <c r="AV63" i="41" s="1"/>
  <c r="B63" i="41"/>
  <c r="AS62" i="41"/>
  <c r="AR62" i="41"/>
  <c r="AT62" i="41"/>
  <c r="Z62" i="41"/>
  <c r="S62" i="41"/>
  <c r="Q62" i="41"/>
  <c r="J62" i="41"/>
  <c r="I62" i="41"/>
  <c r="H62" i="41"/>
  <c r="G62" i="41"/>
  <c r="AV62" i="41" s="1"/>
  <c r="B62" i="41"/>
  <c r="AS61" i="41"/>
  <c r="AR61" i="41"/>
  <c r="AT61" i="41"/>
  <c r="Z61" i="41"/>
  <c r="S61" i="41"/>
  <c r="Q61" i="41"/>
  <c r="J61" i="41"/>
  <c r="I61" i="41"/>
  <c r="H61" i="41"/>
  <c r="G61" i="41"/>
  <c r="B61" i="41"/>
  <c r="AS60" i="41"/>
  <c r="AR60" i="41"/>
  <c r="AT60" i="41"/>
  <c r="Z60" i="41"/>
  <c r="S60" i="41"/>
  <c r="Q60" i="41"/>
  <c r="J60" i="41"/>
  <c r="I60" i="41"/>
  <c r="H60" i="41"/>
  <c r="G60" i="41"/>
  <c r="AV60" i="41" s="1"/>
  <c r="B60" i="41"/>
  <c r="AS59" i="41"/>
  <c r="AR59" i="41"/>
  <c r="AT59" i="41"/>
  <c r="Q59" i="41"/>
  <c r="J59" i="41"/>
  <c r="I59" i="41"/>
  <c r="H59" i="41"/>
  <c r="G59" i="41"/>
  <c r="B59" i="41"/>
  <c r="AT58" i="41" s="1"/>
  <c r="AS58" i="41"/>
  <c r="AR58" i="41"/>
  <c r="Q58" i="41"/>
  <c r="I58" i="41"/>
  <c r="H58" i="41"/>
  <c r="G58" i="41"/>
  <c r="AS57" i="41"/>
  <c r="AR57" i="41"/>
  <c r="Q57" i="41"/>
  <c r="I57" i="41"/>
  <c r="H57" i="41"/>
  <c r="G57" i="41"/>
  <c r="AS56" i="41"/>
  <c r="AR56" i="41"/>
  <c r="Q56" i="41"/>
  <c r="I56" i="41"/>
  <c r="H56" i="41"/>
  <c r="G56" i="41"/>
  <c r="AS55" i="41"/>
  <c r="AR55" i="41"/>
  <c r="Q55" i="41"/>
  <c r="I55" i="41"/>
  <c r="H55" i="41"/>
  <c r="G55" i="41"/>
  <c r="AS54" i="41"/>
  <c r="AR54" i="41"/>
  <c r="Q54" i="41"/>
  <c r="I54" i="41"/>
  <c r="H54" i="41"/>
  <c r="G54" i="41"/>
  <c r="AS53" i="41"/>
  <c r="AR53" i="41"/>
  <c r="Q53" i="41"/>
  <c r="I53" i="41"/>
  <c r="H53" i="41"/>
  <c r="G53" i="41"/>
  <c r="AS52" i="41"/>
  <c r="AR52" i="41"/>
  <c r="Q52" i="41"/>
  <c r="I52" i="41"/>
  <c r="H52" i="41"/>
  <c r="G52" i="41"/>
  <c r="AS51" i="41"/>
  <c r="AR51" i="41"/>
  <c r="Q51" i="41"/>
  <c r="I51" i="41"/>
  <c r="H51" i="41"/>
  <c r="G51" i="41"/>
  <c r="AS50" i="41"/>
  <c r="AR50" i="41"/>
  <c r="Q50" i="41"/>
  <c r="I50" i="41"/>
  <c r="H50" i="41"/>
  <c r="G50" i="41"/>
  <c r="AS49" i="41"/>
  <c r="AR49" i="41"/>
  <c r="Q49" i="41"/>
  <c r="I49" i="41"/>
  <c r="H49" i="41"/>
  <c r="G49" i="41"/>
  <c r="AS48" i="41"/>
  <c r="AR48" i="41"/>
  <c r="Q48" i="41"/>
  <c r="I48" i="41"/>
  <c r="H48" i="41"/>
  <c r="G48" i="41"/>
  <c r="AS47" i="41"/>
  <c r="AR47" i="41"/>
  <c r="Q47" i="41"/>
  <c r="I47" i="41"/>
  <c r="H47" i="41"/>
  <c r="G47" i="41"/>
  <c r="AS46" i="41"/>
  <c r="AR46" i="41"/>
  <c r="Q46" i="41"/>
  <c r="I46" i="41"/>
  <c r="H46" i="41"/>
  <c r="G46" i="41"/>
  <c r="AS45" i="41"/>
  <c r="AR45" i="41"/>
  <c r="Q45" i="41"/>
  <c r="I45" i="41"/>
  <c r="H45" i="41"/>
  <c r="G45" i="41"/>
  <c r="AS44" i="41"/>
  <c r="AR44" i="41"/>
  <c r="Q44" i="41"/>
  <c r="I44" i="41"/>
  <c r="H44" i="41"/>
  <c r="G44" i="41"/>
  <c r="AS43" i="41"/>
  <c r="AR43" i="41"/>
  <c r="Q43" i="41"/>
  <c r="I43" i="41"/>
  <c r="H43" i="41"/>
  <c r="G43" i="41"/>
  <c r="AS42" i="41"/>
  <c r="AR42" i="41"/>
  <c r="Q42" i="41"/>
  <c r="I42" i="41"/>
  <c r="H42" i="41"/>
  <c r="G42" i="41"/>
  <c r="AS41" i="41"/>
  <c r="AR41" i="41"/>
  <c r="Q41" i="41"/>
  <c r="I41" i="41"/>
  <c r="H41" i="41"/>
  <c r="G41" i="41"/>
  <c r="AS40" i="41"/>
  <c r="AR40" i="41"/>
  <c r="Q40" i="41"/>
  <c r="I40" i="41"/>
  <c r="H40" i="41"/>
  <c r="G40" i="41"/>
  <c r="AS39" i="41"/>
  <c r="AR39" i="41"/>
  <c r="Q39" i="41"/>
  <c r="I39" i="41"/>
  <c r="H39" i="41"/>
  <c r="G39" i="41"/>
  <c r="AS38" i="41"/>
  <c r="AR38" i="41"/>
  <c r="Q38" i="41"/>
  <c r="I38" i="41"/>
  <c r="H38" i="41"/>
  <c r="G38" i="41"/>
  <c r="AS37" i="41"/>
  <c r="AR37" i="41"/>
  <c r="Q37" i="41"/>
  <c r="I37" i="41"/>
  <c r="H37" i="41"/>
  <c r="G37" i="41"/>
  <c r="AS36" i="41"/>
  <c r="AR36" i="41"/>
  <c r="Q36" i="41"/>
  <c r="I36" i="41"/>
  <c r="H36" i="41"/>
  <c r="G36" i="41"/>
  <c r="AS35" i="41"/>
  <c r="AR35" i="41"/>
  <c r="Q35" i="41"/>
  <c r="I35" i="41"/>
  <c r="H35" i="41"/>
  <c r="G35" i="41"/>
  <c r="AS34" i="41"/>
  <c r="AR34" i="41"/>
  <c r="Q34" i="41"/>
  <c r="I34" i="41"/>
  <c r="H34" i="41"/>
  <c r="G34" i="41"/>
  <c r="AS33" i="41"/>
  <c r="AR33" i="41"/>
  <c r="Q33" i="41"/>
  <c r="I33" i="41"/>
  <c r="H33" i="41"/>
  <c r="G33" i="41"/>
  <c r="AS32" i="41"/>
  <c r="AR32" i="41"/>
  <c r="Q32" i="41"/>
  <c r="I32" i="41"/>
  <c r="H32" i="41"/>
  <c r="G32" i="41"/>
  <c r="AS31" i="41"/>
  <c r="AR31" i="41"/>
  <c r="Q31" i="41"/>
  <c r="I31" i="41"/>
  <c r="H31" i="41"/>
  <c r="G31" i="41"/>
  <c r="AS30" i="41"/>
  <c r="AR30" i="41"/>
  <c r="Q30" i="41"/>
  <c r="I30" i="41"/>
  <c r="H30" i="41"/>
  <c r="G30" i="41"/>
  <c r="AS29" i="41"/>
  <c r="AR29" i="41"/>
  <c r="Q29" i="41"/>
  <c r="I29" i="41"/>
  <c r="H29" i="41"/>
  <c r="G29" i="41"/>
  <c r="AS28" i="41"/>
  <c r="AR28" i="41"/>
  <c r="Q28" i="41"/>
  <c r="I28" i="41"/>
  <c r="H28" i="41"/>
  <c r="G28" i="41"/>
  <c r="AS27" i="41"/>
  <c r="AR27" i="41"/>
  <c r="Q27" i="41"/>
  <c r="I27" i="41"/>
  <c r="H27" i="41"/>
  <c r="G27" i="41"/>
  <c r="AS26" i="41"/>
  <c r="AR26" i="41"/>
  <c r="Q26" i="41"/>
  <c r="I26" i="41"/>
  <c r="H26" i="41"/>
  <c r="G26" i="41"/>
  <c r="AS25" i="41"/>
  <c r="AR25" i="41"/>
  <c r="Q25" i="41"/>
  <c r="I25" i="41"/>
  <c r="H25" i="41"/>
  <c r="G25" i="41"/>
  <c r="AS24" i="41"/>
  <c r="AR24" i="41"/>
  <c r="Q24" i="41"/>
  <c r="I24" i="41"/>
  <c r="H24" i="41"/>
  <c r="G24" i="41"/>
  <c r="AS23" i="41"/>
  <c r="AR23" i="41"/>
  <c r="Z23" i="41"/>
  <c r="Q23" i="41"/>
  <c r="I23" i="41"/>
  <c r="H23" i="41"/>
  <c r="G23" i="41"/>
  <c r="AS22" i="41"/>
  <c r="AR22" i="41"/>
  <c r="Z22" i="41"/>
  <c r="Q22" i="41"/>
  <c r="I22" i="41"/>
  <c r="H22" i="41"/>
  <c r="G22" i="41"/>
  <c r="AS21" i="41"/>
  <c r="AR21" i="41"/>
  <c r="Z21" i="41"/>
  <c r="Q21" i="41"/>
  <c r="I21" i="41"/>
  <c r="H21" i="41"/>
  <c r="G21" i="41"/>
  <c r="AS20" i="41"/>
  <c r="AR20" i="41"/>
  <c r="Z20" i="41"/>
  <c r="Q20" i="41"/>
  <c r="I20" i="41"/>
  <c r="H20" i="41"/>
  <c r="G20" i="41"/>
  <c r="AS19" i="41"/>
  <c r="AR19" i="41"/>
  <c r="Z19" i="41"/>
  <c r="Q19" i="41"/>
  <c r="I19" i="41"/>
  <c r="H19" i="41"/>
  <c r="G19" i="41"/>
  <c r="AS18" i="41"/>
  <c r="AR18" i="41"/>
  <c r="Z18" i="41"/>
  <c r="Q18" i="41"/>
  <c r="I18" i="41"/>
  <c r="H18" i="41"/>
  <c r="G18" i="41"/>
  <c r="AS17" i="41"/>
  <c r="AR17" i="41"/>
  <c r="Z17" i="41"/>
  <c r="Q17" i="41"/>
  <c r="I17" i="41"/>
  <c r="H17" i="41"/>
  <c r="G17" i="41"/>
  <c r="AS16" i="41"/>
  <c r="AR16" i="41"/>
  <c r="Z16" i="41"/>
  <c r="Q16" i="41"/>
  <c r="I16" i="41"/>
  <c r="H120" i="41" s="1"/>
  <c r="H16" i="41"/>
  <c r="G16" i="41"/>
  <c r="D120" i="41" s="1"/>
  <c r="B16" i="41"/>
  <c r="B17" i="41" s="1"/>
  <c r="AY15" i="41"/>
  <c r="AV15" i="41"/>
  <c r="H14" i="41"/>
  <c r="AV2" i="41"/>
  <c r="F24" i="40"/>
  <c r="F23" i="40"/>
  <c r="F22" i="40"/>
  <c r="F21" i="40"/>
  <c r="F12" i="40"/>
  <c r="F11" i="40"/>
  <c r="F10" i="40"/>
  <c r="F9" i="40"/>
  <c r="F8" i="40"/>
  <c r="Z19" i="38"/>
  <c r="Z17" i="38"/>
  <c r="Z18" i="38"/>
  <c r="Z20" i="38"/>
  <c r="Z21" i="38"/>
  <c r="Z22" i="38"/>
  <c r="Z23" i="38"/>
  <c r="Z24" i="38"/>
  <c r="Z25" i="38"/>
  <c r="Z26" i="38"/>
  <c r="Z27" i="38"/>
  <c r="Z28" i="38"/>
  <c r="Z29" i="38"/>
  <c r="Z30" i="38"/>
  <c r="Z31" i="38"/>
  <c r="Z32" i="38"/>
  <c r="Z33" i="38"/>
  <c r="Z34" i="38"/>
  <c r="Z35" i="38"/>
  <c r="Z36" i="38"/>
  <c r="Z37" i="38"/>
  <c r="Z38" i="38"/>
  <c r="Z39" i="38"/>
  <c r="Z40" i="38"/>
  <c r="Z41" i="38"/>
  <c r="Z42" i="38"/>
  <c r="Z43" i="38"/>
  <c r="Z44" i="38"/>
  <c r="Z45" i="38"/>
  <c r="Z46" i="38"/>
  <c r="Z47" i="38"/>
  <c r="Z48" i="38"/>
  <c r="Z49" i="38"/>
  <c r="Z50" i="38"/>
  <c r="Z51" i="38"/>
  <c r="Z52" i="38"/>
  <c r="Z53" i="38"/>
  <c r="Z54" i="38"/>
  <c r="Z55" i="38"/>
  <c r="Z56" i="38"/>
  <c r="Z57" i="38"/>
  <c r="Z58" i="38"/>
  <c r="Z59" i="38"/>
  <c r="Z60" i="38"/>
  <c r="Z61" i="38"/>
  <c r="Z62" i="38"/>
  <c r="Z63" i="38"/>
  <c r="Z64" i="38"/>
  <c r="Z65" i="38"/>
  <c r="Z66" i="38"/>
  <c r="Z67" i="38"/>
  <c r="Z68" i="38"/>
  <c r="Z69" i="38"/>
  <c r="Z70" i="38"/>
  <c r="Z71" i="38"/>
  <c r="Z72" i="38"/>
  <c r="Z73" i="38"/>
  <c r="Z74" i="38"/>
  <c r="Z75" i="38"/>
  <c r="Z76" i="38"/>
  <c r="Z77" i="38"/>
  <c r="Z78" i="38"/>
  <c r="Z79" i="38"/>
  <c r="Z80" i="38"/>
  <c r="Z81" i="38"/>
  <c r="Z82" i="38"/>
  <c r="Z83" i="38"/>
  <c r="Z84" i="38"/>
  <c r="Z85" i="38"/>
  <c r="Z86" i="38"/>
  <c r="Z87" i="38"/>
  <c r="Z88" i="38"/>
  <c r="Z89" i="38"/>
  <c r="Z90" i="38"/>
  <c r="Z91" i="38"/>
  <c r="Z92" i="38"/>
  <c r="Z93" i="38"/>
  <c r="Z94" i="38"/>
  <c r="Z95" i="38"/>
  <c r="Z96" i="38"/>
  <c r="Z97" i="38"/>
  <c r="Z98" i="38"/>
  <c r="Z99" i="38"/>
  <c r="Z100" i="38"/>
  <c r="Z101" i="38"/>
  <c r="Z102" i="38"/>
  <c r="Z103" i="38"/>
  <c r="Z104" i="38"/>
  <c r="Z105" i="38"/>
  <c r="Z106" i="38"/>
  <c r="Z107" i="38"/>
  <c r="Z108" i="38"/>
  <c r="Z109" i="38"/>
  <c r="Z110" i="38"/>
  <c r="Z111" i="38"/>
  <c r="Z112" i="38"/>
  <c r="Z113" i="38"/>
  <c r="Z114" i="38"/>
  <c r="Z115" i="38"/>
  <c r="B28" i="40"/>
  <c r="F28" i="40" s="1"/>
  <c r="B27" i="40"/>
  <c r="F27" i="40" s="1"/>
  <c r="B26" i="40"/>
  <c r="F26" i="40" s="1"/>
  <c r="D127" i="38"/>
  <c r="AV127" i="38" s="1"/>
  <c r="B127" i="38"/>
  <c r="D126" i="38"/>
  <c r="AV126" i="38" s="1"/>
  <c r="B126" i="38"/>
  <c r="D125" i="38"/>
  <c r="AV125" i="38" s="1"/>
  <c r="B125" i="38"/>
  <c r="D124" i="38"/>
  <c r="AV124" i="38" s="1"/>
  <c r="B124" i="38"/>
  <c r="D123" i="38"/>
  <c r="AV123" i="38" s="1"/>
  <c r="B123" i="38"/>
  <c r="D122" i="38"/>
  <c r="AV122" i="38" s="1"/>
  <c r="B122" i="38"/>
  <c r="D121" i="38"/>
  <c r="AV121" i="38" s="1"/>
  <c r="B121" i="38"/>
  <c r="AT116" i="38"/>
  <c r="AS115" i="38"/>
  <c r="AR115" i="38"/>
  <c r="AT115" i="38"/>
  <c r="S115" i="38"/>
  <c r="Q115" i="38"/>
  <c r="J115" i="38"/>
  <c r="I115" i="38"/>
  <c r="H115" i="38"/>
  <c r="G115" i="38"/>
  <c r="AV115" i="38" s="1"/>
  <c r="B115" i="38"/>
  <c r="AS114" i="38"/>
  <c r="AR114" i="38"/>
  <c r="AT114" i="38"/>
  <c r="S114" i="38"/>
  <c r="Q114" i="38"/>
  <c r="J114" i="38"/>
  <c r="I114" i="38"/>
  <c r="H114" i="38"/>
  <c r="G114" i="38"/>
  <c r="AV114" i="38" s="1"/>
  <c r="B114" i="38"/>
  <c r="AS113" i="38"/>
  <c r="AR113" i="38"/>
  <c r="AT113" i="38"/>
  <c r="S113" i="38"/>
  <c r="Q113" i="38"/>
  <c r="J113" i="38"/>
  <c r="I113" i="38"/>
  <c r="H113" i="38"/>
  <c r="G113" i="38"/>
  <c r="B113" i="38"/>
  <c r="AS112" i="38"/>
  <c r="AR112" i="38"/>
  <c r="AT112" i="38"/>
  <c r="S112" i="38"/>
  <c r="Q112" i="38"/>
  <c r="J112" i="38"/>
  <c r="I112" i="38"/>
  <c r="H112" i="38"/>
  <c r="G112" i="38"/>
  <c r="B112" i="38"/>
  <c r="AS111" i="38"/>
  <c r="AR111" i="38"/>
  <c r="AT111" i="38"/>
  <c r="S111" i="38"/>
  <c r="Q111" i="38"/>
  <c r="J111" i="38"/>
  <c r="I111" i="38"/>
  <c r="H111" i="38"/>
  <c r="G111" i="38"/>
  <c r="AV111" i="38" s="1"/>
  <c r="B111" i="38"/>
  <c r="AS110" i="38"/>
  <c r="AR110" i="38"/>
  <c r="AT110" i="38"/>
  <c r="S110" i="38"/>
  <c r="Q110" i="38"/>
  <c r="J110" i="38"/>
  <c r="I110" i="38"/>
  <c r="H110" i="38"/>
  <c r="G110" i="38"/>
  <c r="AV110" i="38" s="1"/>
  <c r="B110" i="38"/>
  <c r="AS109" i="38"/>
  <c r="AR109" i="38"/>
  <c r="AT109" i="38"/>
  <c r="S109" i="38"/>
  <c r="Q109" i="38"/>
  <c r="J109" i="38"/>
  <c r="I109" i="38"/>
  <c r="H109" i="38"/>
  <c r="G109" i="38"/>
  <c r="B109" i="38"/>
  <c r="AS108" i="38"/>
  <c r="AR108" i="38"/>
  <c r="AT108" i="38"/>
  <c r="S108" i="38"/>
  <c r="Q108" i="38"/>
  <c r="J108" i="38"/>
  <c r="I108" i="38"/>
  <c r="H108" i="38"/>
  <c r="G108" i="38"/>
  <c r="B108" i="38"/>
  <c r="AS107" i="38"/>
  <c r="AR107" i="38"/>
  <c r="AT107" i="38"/>
  <c r="S107" i="38"/>
  <c r="Q107" i="38"/>
  <c r="J107" i="38"/>
  <c r="I107" i="38"/>
  <c r="H107" i="38"/>
  <c r="G107" i="38"/>
  <c r="AV107" i="38" s="1"/>
  <c r="B107" i="38"/>
  <c r="AS106" i="38"/>
  <c r="AR106" i="38"/>
  <c r="AT106" i="38"/>
  <c r="S106" i="38"/>
  <c r="Q106" i="38"/>
  <c r="J106" i="38"/>
  <c r="I106" i="38"/>
  <c r="H106" i="38"/>
  <c r="G106" i="38"/>
  <c r="AV106" i="38" s="1"/>
  <c r="B106" i="38"/>
  <c r="AS105" i="38"/>
  <c r="AR105" i="38"/>
  <c r="AT105" i="38"/>
  <c r="S105" i="38"/>
  <c r="Q105" i="38"/>
  <c r="J105" i="38"/>
  <c r="I105" i="38"/>
  <c r="H105" i="38"/>
  <c r="G105" i="38"/>
  <c r="B105" i="38"/>
  <c r="AS104" i="38"/>
  <c r="AR104" i="38"/>
  <c r="AT104" i="38"/>
  <c r="S104" i="38"/>
  <c r="Q104" i="38"/>
  <c r="J104" i="38"/>
  <c r="I104" i="38"/>
  <c r="H104" i="38"/>
  <c r="G104" i="38"/>
  <c r="B104" i="38"/>
  <c r="AS103" i="38"/>
  <c r="AR103" i="38"/>
  <c r="AT103" i="38"/>
  <c r="S103" i="38"/>
  <c r="Q103" i="38"/>
  <c r="J103" i="38"/>
  <c r="I103" i="38"/>
  <c r="H103" i="38"/>
  <c r="G103" i="38"/>
  <c r="AV103" i="38" s="1"/>
  <c r="B103" i="38"/>
  <c r="AS102" i="38"/>
  <c r="AR102" i="38"/>
  <c r="AT102" i="38"/>
  <c r="S102" i="38"/>
  <c r="Q102" i="38"/>
  <c r="J102" i="38"/>
  <c r="I102" i="38"/>
  <c r="H102" i="38"/>
  <c r="G102" i="38"/>
  <c r="AV102" i="38" s="1"/>
  <c r="B102" i="38"/>
  <c r="AS101" i="38"/>
  <c r="AR101" i="38"/>
  <c r="AT101" i="38"/>
  <c r="S101" i="38"/>
  <c r="Q101" i="38"/>
  <c r="J101" i="38"/>
  <c r="I101" i="38"/>
  <c r="H101" i="38"/>
  <c r="G101" i="38"/>
  <c r="B101" i="38"/>
  <c r="AS100" i="38"/>
  <c r="AR100" i="38"/>
  <c r="AT100" i="38"/>
  <c r="S100" i="38"/>
  <c r="Q100" i="38"/>
  <c r="J100" i="38"/>
  <c r="I100" i="38"/>
  <c r="H100" i="38"/>
  <c r="G100" i="38"/>
  <c r="B100" i="38"/>
  <c r="AS99" i="38"/>
  <c r="AR99" i="38"/>
  <c r="AT99" i="38"/>
  <c r="S99" i="38"/>
  <c r="Q99" i="38"/>
  <c r="J99" i="38"/>
  <c r="I99" i="38"/>
  <c r="H99" i="38"/>
  <c r="G99" i="38"/>
  <c r="AV99" i="38" s="1"/>
  <c r="B99" i="38"/>
  <c r="AS98" i="38"/>
  <c r="AR98" i="38"/>
  <c r="AT98" i="38"/>
  <c r="S98" i="38"/>
  <c r="Q98" i="38"/>
  <c r="J98" i="38"/>
  <c r="I98" i="38"/>
  <c r="H98" i="38"/>
  <c r="G98" i="38"/>
  <c r="AV98" i="38" s="1"/>
  <c r="B98" i="38"/>
  <c r="AS97" i="38"/>
  <c r="AR97" i="38"/>
  <c r="AT97" i="38"/>
  <c r="S97" i="38"/>
  <c r="Q97" i="38"/>
  <c r="J97" i="38"/>
  <c r="I97" i="38"/>
  <c r="H97" i="38"/>
  <c r="G97" i="38"/>
  <c r="B97" i="38"/>
  <c r="AS96" i="38"/>
  <c r="AR96" i="38"/>
  <c r="AT96" i="38"/>
  <c r="S96" i="38"/>
  <c r="Q96" i="38"/>
  <c r="J96" i="38"/>
  <c r="I96" i="38"/>
  <c r="H96" i="38"/>
  <c r="G96" i="38"/>
  <c r="B96" i="38"/>
  <c r="AS95" i="38"/>
  <c r="AR95" i="38"/>
  <c r="AT95" i="38"/>
  <c r="S95" i="38"/>
  <c r="Q95" i="38"/>
  <c r="J95" i="38"/>
  <c r="I95" i="38"/>
  <c r="H95" i="38"/>
  <c r="G95" i="38"/>
  <c r="AV95" i="38" s="1"/>
  <c r="B95" i="38"/>
  <c r="AS94" i="38"/>
  <c r="AR94" i="38"/>
  <c r="AT94" i="38"/>
  <c r="S94" i="38"/>
  <c r="Q94" i="38"/>
  <c r="J94" i="38"/>
  <c r="I94" i="38"/>
  <c r="H94" i="38"/>
  <c r="G94" i="38"/>
  <c r="AV94" i="38" s="1"/>
  <c r="B94" i="38"/>
  <c r="AS93" i="38"/>
  <c r="AR93" i="38"/>
  <c r="AT93" i="38"/>
  <c r="S93" i="38"/>
  <c r="Q93" i="38"/>
  <c r="J93" i="38"/>
  <c r="I93" i="38"/>
  <c r="H93" i="38"/>
  <c r="G93" i="38"/>
  <c r="B93" i="38"/>
  <c r="AS92" i="38"/>
  <c r="AR92" i="38"/>
  <c r="AT92" i="38"/>
  <c r="S92" i="38"/>
  <c r="Q92" i="38"/>
  <c r="J92" i="38"/>
  <c r="I92" i="38"/>
  <c r="H92" i="38"/>
  <c r="G92" i="38"/>
  <c r="B92" i="38"/>
  <c r="AS91" i="38"/>
  <c r="AR91" i="38"/>
  <c r="AT91" i="38"/>
  <c r="S91" i="38"/>
  <c r="Q91" i="38"/>
  <c r="J91" i="38"/>
  <c r="I91" i="38"/>
  <c r="H91" i="38"/>
  <c r="G91" i="38"/>
  <c r="AV91" i="38" s="1"/>
  <c r="B91" i="38"/>
  <c r="AS90" i="38"/>
  <c r="AR90" i="38"/>
  <c r="AT90" i="38"/>
  <c r="S90" i="38"/>
  <c r="Q90" i="38"/>
  <c r="J90" i="38"/>
  <c r="I90" i="38"/>
  <c r="H90" i="38"/>
  <c r="G90" i="38"/>
  <c r="AV90" i="38" s="1"/>
  <c r="B90" i="38"/>
  <c r="AS89" i="38"/>
  <c r="AR89" i="38"/>
  <c r="AT89" i="38"/>
  <c r="S89" i="38"/>
  <c r="Q89" i="38"/>
  <c r="J89" i="38"/>
  <c r="I89" i="38"/>
  <c r="H89" i="38"/>
  <c r="G89" i="38"/>
  <c r="B89" i="38"/>
  <c r="AS88" i="38"/>
  <c r="AR88" i="38"/>
  <c r="AT88" i="38"/>
  <c r="S88" i="38"/>
  <c r="Q88" i="38"/>
  <c r="J88" i="38"/>
  <c r="I88" i="38"/>
  <c r="H88" i="38"/>
  <c r="G88" i="38"/>
  <c r="B88" i="38"/>
  <c r="AS87" i="38"/>
  <c r="AR87" i="38"/>
  <c r="AT87" i="38"/>
  <c r="S87" i="38"/>
  <c r="Q87" i="38"/>
  <c r="J87" i="38"/>
  <c r="I87" i="38"/>
  <c r="H87" i="38"/>
  <c r="G87" i="38"/>
  <c r="AV87" i="38" s="1"/>
  <c r="B87" i="38"/>
  <c r="AS86" i="38"/>
  <c r="AR86" i="38"/>
  <c r="AT86" i="38"/>
  <c r="S86" i="38"/>
  <c r="Q86" i="38"/>
  <c r="J86" i="38"/>
  <c r="I86" i="38"/>
  <c r="H86" i="38"/>
  <c r="G86" i="38"/>
  <c r="AV86" i="38" s="1"/>
  <c r="B86" i="38"/>
  <c r="AS85" i="38"/>
  <c r="AR85" i="38"/>
  <c r="AT85" i="38"/>
  <c r="S85" i="38"/>
  <c r="Q85" i="38"/>
  <c r="J85" i="38"/>
  <c r="I85" i="38"/>
  <c r="H85" i="38"/>
  <c r="G85" i="38"/>
  <c r="B85" i="38"/>
  <c r="AS84" i="38"/>
  <c r="AR84" i="38"/>
  <c r="AT84" i="38"/>
  <c r="S84" i="38"/>
  <c r="Q84" i="38"/>
  <c r="J84" i="38"/>
  <c r="I84" i="38"/>
  <c r="H84" i="38"/>
  <c r="G84" i="38"/>
  <c r="B84" i="38"/>
  <c r="AS83" i="38"/>
  <c r="AR83" i="38"/>
  <c r="AT83" i="38"/>
  <c r="S83" i="38"/>
  <c r="Q83" i="38"/>
  <c r="J83" i="38"/>
  <c r="I83" i="38"/>
  <c r="H83" i="38"/>
  <c r="G83" i="38"/>
  <c r="AV83" i="38" s="1"/>
  <c r="B83" i="38"/>
  <c r="AS82" i="38"/>
  <c r="AR82" i="38"/>
  <c r="AT82" i="38"/>
  <c r="S82" i="38"/>
  <c r="Q82" i="38"/>
  <c r="J82" i="38"/>
  <c r="I82" i="38"/>
  <c r="H82" i="38"/>
  <c r="G82" i="38"/>
  <c r="AV82" i="38" s="1"/>
  <c r="B82" i="38"/>
  <c r="AS81" i="38"/>
  <c r="AR81" i="38"/>
  <c r="AT81" i="38"/>
  <c r="S81" i="38"/>
  <c r="Q81" i="38"/>
  <c r="J81" i="38"/>
  <c r="I81" i="38"/>
  <c r="H81" i="38"/>
  <c r="G81" i="38"/>
  <c r="B81" i="38"/>
  <c r="AS80" i="38"/>
  <c r="AR80" i="38"/>
  <c r="AT80" i="38"/>
  <c r="S80" i="38"/>
  <c r="Q80" i="38"/>
  <c r="J80" i="38"/>
  <c r="I80" i="38"/>
  <c r="H80" i="38"/>
  <c r="G80" i="38"/>
  <c r="B80" i="38"/>
  <c r="AS79" i="38"/>
  <c r="AR79" i="38"/>
  <c r="AT79" i="38"/>
  <c r="S79" i="38"/>
  <c r="Q79" i="38"/>
  <c r="J79" i="38"/>
  <c r="I79" i="38"/>
  <c r="H79" i="38"/>
  <c r="G79" i="38"/>
  <c r="AV79" i="38" s="1"/>
  <c r="B79" i="38"/>
  <c r="AS78" i="38"/>
  <c r="AR78" i="38"/>
  <c r="AT78" i="38"/>
  <c r="S78" i="38"/>
  <c r="Q78" i="38"/>
  <c r="J78" i="38"/>
  <c r="I78" i="38"/>
  <c r="H78" i="38"/>
  <c r="G78" i="38"/>
  <c r="AV78" i="38" s="1"/>
  <c r="B78" i="38"/>
  <c r="AS77" i="38"/>
  <c r="AR77" i="38"/>
  <c r="AT77" i="38"/>
  <c r="S77" i="38"/>
  <c r="Q77" i="38"/>
  <c r="J77" i="38"/>
  <c r="I77" i="38"/>
  <c r="H77" i="38"/>
  <c r="G77" i="38"/>
  <c r="B77" i="38"/>
  <c r="AS76" i="38"/>
  <c r="AR76" i="38"/>
  <c r="AT76" i="38"/>
  <c r="S76" i="38"/>
  <c r="Q76" i="38"/>
  <c r="J76" i="38"/>
  <c r="I76" i="38"/>
  <c r="H76" i="38"/>
  <c r="G76" i="38"/>
  <c r="B76" i="38"/>
  <c r="AS75" i="38"/>
  <c r="AR75" i="38"/>
  <c r="AT75" i="38"/>
  <c r="S75" i="38"/>
  <c r="Q75" i="38"/>
  <c r="J75" i="38"/>
  <c r="I75" i="38"/>
  <c r="H75" i="38"/>
  <c r="G75" i="38"/>
  <c r="AV75" i="38" s="1"/>
  <c r="B75" i="38"/>
  <c r="AS74" i="38"/>
  <c r="AR74" i="38"/>
  <c r="AT74" i="38"/>
  <c r="S74" i="38"/>
  <c r="Q74" i="38"/>
  <c r="J74" i="38"/>
  <c r="I74" i="38"/>
  <c r="H74" i="38"/>
  <c r="G74" i="38"/>
  <c r="AV74" i="38" s="1"/>
  <c r="B74" i="38"/>
  <c r="AS73" i="38"/>
  <c r="AR73" i="38"/>
  <c r="AT73" i="38"/>
  <c r="S73" i="38"/>
  <c r="Q73" i="38"/>
  <c r="J73" i="38"/>
  <c r="I73" i="38"/>
  <c r="H73" i="38"/>
  <c r="G73" i="38"/>
  <c r="B73" i="38"/>
  <c r="AS72" i="38"/>
  <c r="AR72" i="38"/>
  <c r="AT72" i="38"/>
  <c r="S72" i="38"/>
  <c r="Q72" i="38"/>
  <c r="J72" i="38"/>
  <c r="I72" i="38"/>
  <c r="H72" i="38"/>
  <c r="G72" i="38"/>
  <c r="B72" i="38"/>
  <c r="AS71" i="38"/>
  <c r="AR71" i="38"/>
  <c r="AT71" i="38"/>
  <c r="S71" i="38"/>
  <c r="Q71" i="38"/>
  <c r="J71" i="38"/>
  <c r="I71" i="38"/>
  <c r="H71" i="38"/>
  <c r="G71" i="38"/>
  <c r="AV71" i="38" s="1"/>
  <c r="B71" i="38"/>
  <c r="AS70" i="38"/>
  <c r="AR70" i="38"/>
  <c r="AT70" i="38"/>
  <c r="S70" i="38"/>
  <c r="Q70" i="38"/>
  <c r="J70" i="38"/>
  <c r="I70" i="38"/>
  <c r="H70" i="38"/>
  <c r="G70" i="38"/>
  <c r="AV70" i="38" s="1"/>
  <c r="B70" i="38"/>
  <c r="AS69" i="38"/>
  <c r="AR69" i="38"/>
  <c r="AT69" i="38"/>
  <c r="S69" i="38"/>
  <c r="Q69" i="38"/>
  <c r="J69" i="38"/>
  <c r="I69" i="38"/>
  <c r="H69" i="38"/>
  <c r="G69" i="38"/>
  <c r="B69" i="38"/>
  <c r="AS68" i="38"/>
  <c r="AR68" i="38"/>
  <c r="AT68" i="38"/>
  <c r="S68" i="38"/>
  <c r="Q68" i="38"/>
  <c r="J68" i="38"/>
  <c r="I68" i="38"/>
  <c r="H68" i="38"/>
  <c r="G68" i="38"/>
  <c r="B68" i="38"/>
  <c r="AS67" i="38"/>
  <c r="AR67" i="38"/>
  <c r="AT67" i="38"/>
  <c r="S67" i="38"/>
  <c r="Q67" i="38"/>
  <c r="J67" i="38"/>
  <c r="I67" i="38"/>
  <c r="H67" i="38"/>
  <c r="G67" i="38"/>
  <c r="AV67" i="38" s="1"/>
  <c r="B67" i="38"/>
  <c r="AS66" i="38"/>
  <c r="AR66" i="38"/>
  <c r="AT66" i="38"/>
  <c r="S66" i="38"/>
  <c r="Q66" i="38"/>
  <c r="J66" i="38"/>
  <c r="I66" i="38"/>
  <c r="H66" i="38"/>
  <c r="G66" i="38"/>
  <c r="AV66" i="38" s="1"/>
  <c r="B66" i="38"/>
  <c r="AS65" i="38"/>
  <c r="AR65" i="38"/>
  <c r="AT65" i="38"/>
  <c r="S65" i="38"/>
  <c r="Q65" i="38"/>
  <c r="J65" i="38"/>
  <c r="I65" i="38"/>
  <c r="H65" i="38"/>
  <c r="G65" i="38"/>
  <c r="B65" i="38"/>
  <c r="AS64" i="38"/>
  <c r="AR64" i="38"/>
  <c r="AT64" i="38"/>
  <c r="S64" i="38"/>
  <c r="Q64" i="38"/>
  <c r="J64" i="38"/>
  <c r="I64" i="38"/>
  <c r="H64" i="38"/>
  <c r="G64" i="38"/>
  <c r="B64" i="38"/>
  <c r="AS63" i="38"/>
  <c r="AR63" i="38"/>
  <c r="AT63" i="38"/>
  <c r="S63" i="38"/>
  <c r="Q63" i="38"/>
  <c r="J63" i="38"/>
  <c r="I63" i="38"/>
  <c r="H63" i="38"/>
  <c r="G63" i="38"/>
  <c r="AV63" i="38" s="1"/>
  <c r="B63" i="38"/>
  <c r="AS62" i="38"/>
  <c r="AR62" i="38"/>
  <c r="AT62" i="38"/>
  <c r="S62" i="38"/>
  <c r="Q62" i="38"/>
  <c r="J62" i="38"/>
  <c r="I62" i="38"/>
  <c r="H62" i="38"/>
  <c r="G62" i="38"/>
  <c r="AV62" i="38" s="1"/>
  <c r="B62" i="38"/>
  <c r="AS61" i="38"/>
  <c r="AR61" i="38"/>
  <c r="AT61" i="38"/>
  <c r="S61" i="38"/>
  <c r="Q61" i="38"/>
  <c r="J61" i="38"/>
  <c r="I61" i="38"/>
  <c r="H61" i="38"/>
  <c r="G61" i="38"/>
  <c r="B61" i="38"/>
  <c r="AS60" i="38"/>
  <c r="AR60" i="38"/>
  <c r="AT60" i="38"/>
  <c r="S60" i="38"/>
  <c r="Q60" i="38"/>
  <c r="J60" i="38"/>
  <c r="I60" i="38"/>
  <c r="H60" i="38"/>
  <c r="G60" i="38"/>
  <c r="B60" i="38"/>
  <c r="AS59" i="38"/>
  <c r="AR59" i="38"/>
  <c r="AT59" i="38"/>
  <c r="S59" i="38"/>
  <c r="Q59" i="38"/>
  <c r="J59" i="38"/>
  <c r="I59" i="38"/>
  <c r="H59" i="38"/>
  <c r="G59" i="38"/>
  <c r="AV59" i="38" s="1"/>
  <c r="B59" i="38"/>
  <c r="AT58" i="38" s="1"/>
  <c r="AS58" i="38"/>
  <c r="AR58" i="38"/>
  <c r="Q58" i="38"/>
  <c r="I58" i="38"/>
  <c r="H58" i="38"/>
  <c r="G58" i="38"/>
  <c r="AS57" i="38"/>
  <c r="AR57" i="38"/>
  <c r="Q57" i="38"/>
  <c r="I57" i="38"/>
  <c r="H57" i="38"/>
  <c r="G57" i="38"/>
  <c r="AS56" i="38"/>
  <c r="AR56" i="38"/>
  <c r="Q56" i="38"/>
  <c r="I56" i="38"/>
  <c r="H56" i="38"/>
  <c r="G56" i="38"/>
  <c r="AS55" i="38"/>
  <c r="AR55" i="38"/>
  <c r="Q55" i="38"/>
  <c r="I55" i="38"/>
  <c r="H55" i="38"/>
  <c r="G55" i="38"/>
  <c r="AS54" i="38"/>
  <c r="AR54" i="38"/>
  <c r="Q54" i="38"/>
  <c r="I54" i="38"/>
  <c r="H54" i="38"/>
  <c r="G54" i="38"/>
  <c r="AS53" i="38"/>
  <c r="AR53" i="38"/>
  <c r="Q53" i="38"/>
  <c r="I53" i="38"/>
  <c r="H53" i="38"/>
  <c r="G53" i="38"/>
  <c r="AS52" i="38"/>
  <c r="AR52" i="38"/>
  <c r="Q52" i="38"/>
  <c r="I52" i="38"/>
  <c r="H52" i="38"/>
  <c r="G52" i="38"/>
  <c r="AS51" i="38"/>
  <c r="AR51" i="38"/>
  <c r="Q51" i="38"/>
  <c r="I51" i="38"/>
  <c r="H51" i="38"/>
  <c r="G51" i="38"/>
  <c r="AS50" i="38"/>
  <c r="AR50" i="38"/>
  <c r="Q50" i="38"/>
  <c r="I50" i="38"/>
  <c r="H50" i="38"/>
  <c r="G50" i="38"/>
  <c r="AS49" i="38"/>
  <c r="AR49" i="38"/>
  <c r="Q49" i="38"/>
  <c r="I49" i="38"/>
  <c r="H49" i="38"/>
  <c r="G49" i="38"/>
  <c r="AS48" i="38"/>
  <c r="AR48" i="38"/>
  <c r="Q48" i="38"/>
  <c r="I48" i="38"/>
  <c r="H48" i="38"/>
  <c r="G48" i="38"/>
  <c r="AS47" i="38"/>
  <c r="AR47" i="38"/>
  <c r="Q47" i="38"/>
  <c r="I47" i="38"/>
  <c r="H47" i="38"/>
  <c r="G47" i="38"/>
  <c r="AS46" i="38"/>
  <c r="AR46" i="38"/>
  <c r="Q46" i="38"/>
  <c r="I46" i="38"/>
  <c r="H46" i="38"/>
  <c r="G46" i="38"/>
  <c r="AS45" i="38"/>
  <c r="AR45" i="38"/>
  <c r="Q45" i="38"/>
  <c r="I45" i="38"/>
  <c r="H45" i="38"/>
  <c r="G45" i="38"/>
  <c r="AS44" i="38"/>
  <c r="AR44" i="38"/>
  <c r="Q44" i="38"/>
  <c r="I44" i="38"/>
  <c r="H44" i="38"/>
  <c r="G44" i="38"/>
  <c r="AS43" i="38"/>
  <c r="AR43" i="38"/>
  <c r="Q43" i="38"/>
  <c r="I43" i="38"/>
  <c r="H43" i="38"/>
  <c r="G43" i="38"/>
  <c r="AS42" i="38"/>
  <c r="AR42" i="38"/>
  <c r="Q42" i="38"/>
  <c r="I42" i="38"/>
  <c r="H42" i="38"/>
  <c r="G42" i="38"/>
  <c r="AS41" i="38"/>
  <c r="AR41" i="38"/>
  <c r="Q41" i="38"/>
  <c r="I41" i="38"/>
  <c r="H41" i="38"/>
  <c r="G41" i="38"/>
  <c r="AS40" i="38"/>
  <c r="AR40" i="38"/>
  <c r="Q40" i="38"/>
  <c r="I40" i="38"/>
  <c r="H40" i="38"/>
  <c r="G40" i="38"/>
  <c r="AS39" i="38"/>
  <c r="AR39" i="38"/>
  <c r="Q39" i="38"/>
  <c r="I39" i="38"/>
  <c r="H39" i="38"/>
  <c r="G39" i="38"/>
  <c r="AS38" i="38"/>
  <c r="AR38" i="38"/>
  <c r="Q38" i="38"/>
  <c r="I38" i="38"/>
  <c r="H38" i="38"/>
  <c r="G38" i="38"/>
  <c r="AS37" i="38"/>
  <c r="AR37" i="38"/>
  <c r="Q37" i="38"/>
  <c r="I37" i="38"/>
  <c r="H37" i="38"/>
  <c r="G37" i="38"/>
  <c r="AS36" i="38"/>
  <c r="AR36" i="38"/>
  <c r="Q36" i="38"/>
  <c r="I36" i="38"/>
  <c r="H36" i="38"/>
  <c r="G36" i="38"/>
  <c r="AS35" i="38"/>
  <c r="AR35" i="38"/>
  <c r="Q35" i="38"/>
  <c r="I35" i="38"/>
  <c r="H35" i="38"/>
  <c r="G35" i="38"/>
  <c r="AS34" i="38"/>
  <c r="AR34" i="38"/>
  <c r="Q34" i="38"/>
  <c r="I34" i="38"/>
  <c r="H34" i="38"/>
  <c r="G34" i="38"/>
  <c r="AS33" i="38"/>
  <c r="AR33" i="38"/>
  <c r="Q33" i="38"/>
  <c r="I33" i="38"/>
  <c r="H33" i="38"/>
  <c r="G33" i="38"/>
  <c r="AS32" i="38"/>
  <c r="AR32" i="38"/>
  <c r="Q32" i="38"/>
  <c r="I32" i="38"/>
  <c r="H32" i="38"/>
  <c r="G32" i="38"/>
  <c r="AS31" i="38"/>
  <c r="AR31" i="38"/>
  <c r="Q31" i="38"/>
  <c r="I31" i="38"/>
  <c r="H31" i="38"/>
  <c r="G31" i="38"/>
  <c r="AS30" i="38"/>
  <c r="AR30" i="38"/>
  <c r="Q30" i="38"/>
  <c r="I30" i="38"/>
  <c r="H30" i="38"/>
  <c r="G30" i="38"/>
  <c r="AS29" i="38"/>
  <c r="AR29" i="38"/>
  <c r="Q29" i="38"/>
  <c r="I29" i="38"/>
  <c r="H29" i="38"/>
  <c r="G29" i="38"/>
  <c r="AS28" i="38"/>
  <c r="AR28" i="38"/>
  <c r="Q28" i="38"/>
  <c r="I28" i="38"/>
  <c r="H28" i="38"/>
  <c r="G28" i="38"/>
  <c r="AS27" i="38"/>
  <c r="AR27" i="38"/>
  <c r="Q27" i="38"/>
  <c r="I27" i="38"/>
  <c r="H27" i="38"/>
  <c r="G27" i="38"/>
  <c r="AS26" i="38"/>
  <c r="AR26" i="38"/>
  <c r="Q26" i="38"/>
  <c r="I26" i="38"/>
  <c r="H26" i="38"/>
  <c r="G26" i="38"/>
  <c r="AS25" i="38"/>
  <c r="AR25" i="38"/>
  <c r="Q25" i="38"/>
  <c r="I25" i="38"/>
  <c r="H25" i="38"/>
  <c r="G25" i="38"/>
  <c r="AS24" i="38"/>
  <c r="AR24" i="38"/>
  <c r="Q24" i="38"/>
  <c r="I24" i="38"/>
  <c r="H24" i="38"/>
  <c r="G24" i="38"/>
  <c r="AS23" i="38"/>
  <c r="AR23" i="38"/>
  <c r="Q23" i="38"/>
  <c r="I23" i="38"/>
  <c r="H23" i="38"/>
  <c r="G23" i="38"/>
  <c r="AS22" i="38"/>
  <c r="AR22" i="38"/>
  <c r="Q22" i="38"/>
  <c r="I22" i="38"/>
  <c r="H22" i="38"/>
  <c r="G22" i="38"/>
  <c r="AS21" i="38"/>
  <c r="AR21" i="38"/>
  <c r="Q21" i="38"/>
  <c r="I21" i="38"/>
  <c r="H21" i="38"/>
  <c r="G21" i="38"/>
  <c r="AS20" i="38"/>
  <c r="AR20" i="38"/>
  <c r="Q20" i="38"/>
  <c r="I20" i="38"/>
  <c r="H20" i="38"/>
  <c r="G20" i="38"/>
  <c r="AS19" i="38"/>
  <c r="AR19" i="38"/>
  <c r="Q19" i="38"/>
  <c r="I19" i="38"/>
  <c r="H19" i="38"/>
  <c r="G19" i="38"/>
  <c r="AS18" i="38"/>
  <c r="AR18" i="38"/>
  <c r="Q18" i="38"/>
  <c r="I18" i="38"/>
  <c r="H18" i="38"/>
  <c r="G18" i="38"/>
  <c r="AS17" i="38"/>
  <c r="AR17" i="38"/>
  <c r="Q17" i="38"/>
  <c r="I17" i="38"/>
  <c r="H17" i="38"/>
  <c r="G17" i="38"/>
  <c r="AS16" i="38"/>
  <c r="AR16" i="38"/>
  <c r="Z16" i="38"/>
  <c r="Q16" i="38"/>
  <c r="I16" i="38"/>
  <c r="H120" i="38" s="1"/>
  <c r="H16" i="38"/>
  <c r="G16" i="38"/>
  <c r="D120" i="38" s="1"/>
  <c r="B16" i="38"/>
  <c r="B17" i="38" s="1"/>
  <c r="AT16" i="38" s="1"/>
  <c r="AY15" i="38"/>
  <c r="AV15" i="38"/>
  <c r="H14" i="38"/>
  <c r="F4" i="38"/>
  <c r="AV2" i="38"/>
  <c r="D127" i="34"/>
  <c r="AV127" i="34" s="1"/>
  <c r="B127" i="34"/>
  <c r="D126" i="34"/>
  <c r="AV126" i="34" s="1"/>
  <c r="B126" i="34"/>
  <c r="D125" i="34"/>
  <c r="AV125" i="34" s="1"/>
  <c r="B125" i="34"/>
  <c r="D124" i="34"/>
  <c r="AV124" i="34" s="1"/>
  <c r="B124" i="34"/>
  <c r="D123" i="34"/>
  <c r="AV123" i="34" s="1"/>
  <c r="B123" i="34"/>
  <c r="D122" i="34"/>
  <c r="AV122" i="34" s="1"/>
  <c r="B122" i="34"/>
  <c r="D121" i="34"/>
  <c r="AV121" i="34" s="1"/>
  <c r="B121" i="34"/>
  <c r="AT116" i="34"/>
  <c r="AS115" i="34"/>
  <c r="AR115" i="34"/>
  <c r="AT115" i="34"/>
  <c r="Z115" i="34"/>
  <c r="S115" i="34"/>
  <c r="Q115" i="34"/>
  <c r="J115" i="34"/>
  <c r="I115" i="34"/>
  <c r="H115" i="34"/>
  <c r="G115" i="34"/>
  <c r="AV115" i="34" s="1"/>
  <c r="B115" i="34"/>
  <c r="AS114" i="34"/>
  <c r="AR114" i="34"/>
  <c r="AT114" i="34"/>
  <c r="Z114" i="34"/>
  <c r="S114" i="34"/>
  <c r="Q114" i="34"/>
  <c r="J114" i="34"/>
  <c r="I114" i="34"/>
  <c r="H114" i="34"/>
  <c r="G114" i="34"/>
  <c r="AV114" i="34" s="1"/>
  <c r="B114" i="34"/>
  <c r="AS113" i="34"/>
  <c r="AR113" i="34"/>
  <c r="AT113" i="34"/>
  <c r="Z113" i="34"/>
  <c r="S113" i="34"/>
  <c r="Q113" i="34"/>
  <c r="J113" i="34"/>
  <c r="I113" i="34"/>
  <c r="H113" i="34"/>
  <c r="G113" i="34"/>
  <c r="B113" i="34"/>
  <c r="AS112" i="34"/>
  <c r="AR112" i="34"/>
  <c r="AT112" i="34"/>
  <c r="Z112" i="34"/>
  <c r="S112" i="34"/>
  <c r="Q112" i="34"/>
  <c r="J112" i="34"/>
  <c r="I112" i="34"/>
  <c r="H112" i="34"/>
  <c r="G112" i="34"/>
  <c r="B112" i="34"/>
  <c r="AS111" i="34"/>
  <c r="AR111" i="34"/>
  <c r="AT111" i="34"/>
  <c r="Z111" i="34"/>
  <c r="S111" i="34"/>
  <c r="Q111" i="34"/>
  <c r="J111" i="34"/>
  <c r="I111" i="34"/>
  <c r="H111" i="34"/>
  <c r="G111" i="34"/>
  <c r="AV111" i="34" s="1"/>
  <c r="B111" i="34"/>
  <c r="AS110" i="34"/>
  <c r="AR110" i="34"/>
  <c r="AT110" i="34"/>
  <c r="Z110" i="34"/>
  <c r="S110" i="34"/>
  <c r="Q110" i="34"/>
  <c r="J110" i="34"/>
  <c r="I110" i="34"/>
  <c r="H110" i="34"/>
  <c r="G110" i="34"/>
  <c r="AV110" i="34" s="1"/>
  <c r="B110" i="34"/>
  <c r="AS109" i="34"/>
  <c r="AR109" i="34"/>
  <c r="AT109" i="34"/>
  <c r="Z109" i="34"/>
  <c r="S109" i="34"/>
  <c r="Q109" i="34"/>
  <c r="J109" i="34"/>
  <c r="I109" i="34"/>
  <c r="H109" i="34"/>
  <c r="G109" i="34"/>
  <c r="B109" i="34"/>
  <c r="AS108" i="34"/>
  <c r="AR108" i="34"/>
  <c r="AT108" i="34"/>
  <c r="Z108" i="34"/>
  <c r="S108" i="34"/>
  <c r="Q108" i="34"/>
  <c r="J108" i="34"/>
  <c r="I108" i="34"/>
  <c r="H108" i="34"/>
  <c r="G108" i="34"/>
  <c r="B108" i="34"/>
  <c r="AS107" i="34"/>
  <c r="AR107" i="34"/>
  <c r="AT107" i="34"/>
  <c r="Z107" i="34"/>
  <c r="S107" i="34"/>
  <c r="Q107" i="34"/>
  <c r="J107" i="34"/>
  <c r="I107" i="34"/>
  <c r="H107" i="34"/>
  <c r="G107" i="34"/>
  <c r="AV107" i="34" s="1"/>
  <c r="B107" i="34"/>
  <c r="AS106" i="34"/>
  <c r="AR106" i="34"/>
  <c r="AT106" i="34"/>
  <c r="Z106" i="34"/>
  <c r="S106" i="34"/>
  <c r="Q106" i="34"/>
  <c r="J106" i="34"/>
  <c r="I106" i="34"/>
  <c r="H106" i="34"/>
  <c r="G106" i="34"/>
  <c r="AV106" i="34" s="1"/>
  <c r="B106" i="34"/>
  <c r="AS105" i="34"/>
  <c r="AR105" i="34"/>
  <c r="AT105" i="34"/>
  <c r="Z105" i="34"/>
  <c r="S105" i="34"/>
  <c r="Q105" i="34"/>
  <c r="J105" i="34"/>
  <c r="I105" i="34"/>
  <c r="H105" i="34"/>
  <c r="G105" i="34"/>
  <c r="B105" i="34"/>
  <c r="AS104" i="34"/>
  <c r="AR104" i="34"/>
  <c r="AT104" i="34"/>
  <c r="Z104" i="34"/>
  <c r="S104" i="34"/>
  <c r="Q104" i="34"/>
  <c r="J104" i="34"/>
  <c r="I104" i="34"/>
  <c r="H104" i="34"/>
  <c r="G104" i="34"/>
  <c r="B104" i="34"/>
  <c r="AS103" i="34"/>
  <c r="AR103" i="34"/>
  <c r="AT103" i="34"/>
  <c r="Z103" i="34"/>
  <c r="S103" i="34"/>
  <c r="Q103" i="34"/>
  <c r="J103" i="34"/>
  <c r="I103" i="34"/>
  <c r="H103" i="34"/>
  <c r="G103" i="34"/>
  <c r="AV103" i="34" s="1"/>
  <c r="B103" i="34"/>
  <c r="AS102" i="34"/>
  <c r="AR102" i="34"/>
  <c r="AT102" i="34"/>
  <c r="Z102" i="34"/>
  <c r="S102" i="34"/>
  <c r="Q102" i="34"/>
  <c r="J102" i="34"/>
  <c r="I102" i="34"/>
  <c r="H102" i="34"/>
  <c r="G102" i="34"/>
  <c r="AV102" i="34" s="1"/>
  <c r="B102" i="34"/>
  <c r="AS101" i="34"/>
  <c r="AR101" i="34"/>
  <c r="AT101" i="34"/>
  <c r="Z101" i="34"/>
  <c r="S101" i="34"/>
  <c r="Q101" i="34"/>
  <c r="J101" i="34"/>
  <c r="I101" i="34"/>
  <c r="H101" i="34"/>
  <c r="G101" i="34"/>
  <c r="B101" i="34"/>
  <c r="AS100" i="34"/>
  <c r="AR100" i="34"/>
  <c r="AT100" i="34"/>
  <c r="Z100" i="34"/>
  <c r="S100" i="34"/>
  <c r="Q100" i="34"/>
  <c r="J100" i="34"/>
  <c r="I100" i="34"/>
  <c r="H100" i="34"/>
  <c r="G100" i="34"/>
  <c r="B100" i="34"/>
  <c r="AS99" i="34"/>
  <c r="AR99" i="34"/>
  <c r="AT99" i="34"/>
  <c r="Z99" i="34"/>
  <c r="S99" i="34"/>
  <c r="Q99" i="34"/>
  <c r="J99" i="34"/>
  <c r="I99" i="34"/>
  <c r="H99" i="34"/>
  <c r="G99" i="34"/>
  <c r="AV99" i="34" s="1"/>
  <c r="B99" i="34"/>
  <c r="AS98" i="34"/>
  <c r="AR98" i="34"/>
  <c r="AT98" i="34"/>
  <c r="Z98" i="34"/>
  <c r="S98" i="34"/>
  <c r="Q98" i="34"/>
  <c r="J98" i="34"/>
  <c r="I98" i="34"/>
  <c r="H98" i="34"/>
  <c r="G98" i="34"/>
  <c r="AV98" i="34" s="1"/>
  <c r="B98" i="34"/>
  <c r="AS97" i="34"/>
  <c r="AR97" i="34"/>
  <c r="AT97" i="34"/>
  <c r="Z97" i="34"/>
  <c r="S97" i="34"/>
  <c r="Q97" i="34"/>
  <c r="J97" i="34"/>
  <c r="I97" i="34"/>
  <c r="H97" i="34"/>
  <c r="G97" i="34"/>
  <c r="B97" i="34"/>
  <c r="AS96" i="34"/>
  <c r="AR96" i="34"/>
  <c r="AT96" i="34"/>
  <c r="Z96" i="34"/>
  <c r="S96" i="34"/>
  <c r="Q96" i="34"/>
  <c r="J96" i="34"/>
  <c r="I96" i="34"/>
  <c r="H96" i="34"/>
  <c r="G96" i="34"/>
  <c r="B96" i="34"/>
  <c r="AS95" i="34"/>
  <c r="AR95" i="34"/>
  <c r="AT95" i="34"/>
  <c r="Z95" i="34"/>
  <c r="S95" i="34"/>
  <c r="Q95" i="34"/>
  <c r="J95" i="34"/>
  <c r="I95" i="34"/>
  <c r="H95" i="34"/>
  <c r="G95" i="34"/>
  <c r="AV95" i="34" s="1"/>
  <c r="B95" i="34"/>
  <c r="AS94" i="34"/>
  <c r="AR94" i="34"/>
  <c r="AT94" i="34"/>
  <c r="Z94" i="34"/>
  <c r="S94" i="34"/>
  <c r="Q94" i="34"/>
  <c r="J94" i="34"/>
  <c r="I94" i="34"/>
  <c r="H94" i="34"/>
  <c r="G94" i="34"/>
  <c r="AV94" i="34" s="1"/>
  <c r="B94" i="34"/>
  <c r="AS93" i="34"/>
  <c r="AR93" i="34"/>
  <c r="AT93" i="34"/>
  <c r="Z93" i="34"/>
  <c r="S93" i="34"/>
  <c r="Q93" i="34"/>
  <c r="J93" i="34"/>
  <c r="I93" i="34"/>
  <c r="H93" i="34"/>
  <c r="G93" i="34"/>
  <c r="B93" i="34"/>
  <c r="AS92" i="34"/>
  <c r="AR92" i="34"/>
  <c r="AT92" i="34"/>
  <c r="Z92" i="34"/>
  <c r="S92" i="34"/>
  <c r="Q92" i="34"/>
  <c r="J92" i="34"/>
  <c r="I92" i="34"/>
  <c r="H92" i="34"/>
  <c r="G92" i="34"/>
  <c r="B92" i="34"/>
  <c r="AS91" i="34"/>
  <c r="AR91" i="34"/>
  <c r="AT91" i="34"/>
  <c r="Z91" i="34"/>
  <c r="S91" i="34"/>
  <c r="Q91" i="34"/>
  <c r="J91" i="34"/>
  <c r="I91" i="34"/>
  <c r="H91" i="34"/>
  <c r="G91" i="34"/>
  <c r="AV91" i="34" s="1"/>
  <c r="B91" i="34"/>
  <c r="AS90" i="34"/>
  <c r="AR90" i="34"/>
  <c r="AT90" i="34"/>
  <c r="Z90" i="34"/>
  <c r="S90" i="34"/>
  <c r="Q90" i="34"/>
  <c r="J90" i="34"/>
  <c r="I90" i="34"/>
  <c r="H90" i="34"/>
  <c r="G90" i="34"/>
  <c r="AV90" i="34" s="1"/>
  <c r="B90" i="34"/>
  <c r="AS89" i="34"/>
  <c r="AR89" i="34"/>
  <c r="AT89" i="34"/>
  <c r="Z89" i="34"/>
  <c r="S89" i="34"/>
  <c r="Q89" i="34"/>
  <c r="J89" i="34"/>
  <c r="I89" i="34"/>
  <c r="H89" i="34"/>
  <c r="G89" i="34"/>
  <c r="B89" i="34"/>
  <c r="AS88" i="34"/>
  <c r="AR88" i="34"/>
  <c r="AT88" i="34"/>
  <c r="Z88" i="34"/>
  <c r="S88" i="34"/>
  <c r="Q88" i="34"/>
  <c r="J88" i="34"/>
  <c r="I88" i="34"/>
  <c r="H88" i="34"/>
  <c r="G88" i="34"/>
  <c r="B88" i="34"/>
  <c r="AS87" i="34"/>
  <c r="AR87" i="34"/>
  <c r="AT87" i="34"/>
  <c r="Z87" i="34"/>
  <c r="S87" i="34"/>
  <c r="Q87" i="34"/>
  <c r="J87" i="34"/>
  <c r="I87" i="34"/>
  <c r="H87" i="34"/>
  <c r="G87" i="34"/>
  <c r="AV87" i="34" s="1"/>
  <c r="B87" i="34"/>
  <c r="AS86" i="34"/>
  <c r="AR86" i="34"/>
  <c r="AT86" i="34"/>
  <c r="Z86" i="34"/>
  <c r="S86" i="34"/>
  <c r="Q86" i="34"/>
  <c r="J86" i="34"/>
  <c r="I86" i="34"/>
  <c r="H86" i="34"/>
  <c r="G86" i="34"/>
  <c r="AV86" i="34" s="1"/>
  <c r="B86" i="34"/>
  <c r="AS85" i="34"/>
  <c r="AR85" i="34"/>
  <c r="AT85" i="34"/>
  <c r="Z85" i="34"/>
  <c r="S85" i="34"/>
  <c r="Q85" i="34"/>
  <c r="J85" i="34"/>
  <c r="I85" i="34"/>
  <c r="H85" i="34"/>
  <c r="G85" i="34"/>
  <c r="B85" i="34"/>
  <c r="AS84" i="34"/>
  <c r="AR84" i="34"/>
  <c r="AT84" i="34"/>
  <c r="Z84" i="34"/>
  <c r="S84" i="34"/>
  <c r="Q84" i="34"/>
  <c r="J84" i="34"/>
  <c r="I84" i="34"/>
  <c r="H84" i="34"/>
  <c r="G84" i="34"/>
  <c r="B84" i="34"/>
  <c r="AS83" i="34"/>
  <c r="AR83" i="34"/>
  <c r="AT83" i="34"/>
  <c r="Z83" i="34"/>
  <c r="S83" i="34"/>
  <c r="Q83" i="34"/>
  <c r="J83" i="34"/>
  <c r="I83" i="34"/>
  <c r="H83" i="34"/>
  <c r="G83" i="34"/>
  <c r="AV83" i="34" s="1"/>
  <c r="B83" i="34"/>
  <c r="AS82" i="34"/>
  <c r="AR82" i="34"/>
  <c r="AT82" i="34"/>
  <c r="Z82" i="34"/>
  <c r="S82" i="34"/>
  <c r="Q82" i="34"/>
  <c r="J82" i="34"/>
  <c r="I82" i="34"/>
  <c r="H82" i="34"/>
  <c r="G82" i="34"/>
  <c r="AV82" i="34" s="1"/>
  <c r="B82" i="34"/>
  <c r="AS81" i="34"/>
  <c r="AR81" i="34"/>
  <c r="AT81" i="34"/>
  <c r="Z81" i="34"/>
  <c r="S81" i="34"/>
  <c r="Q81" i="34"/>
  <c r="J81" i="34"/>
  <c r="I81" i="34"/>
  <c r="H81" i="34"/>
  <c r="G81" i="34"/>
  <c r="B81" i="34"/>
  <c r="AS80" i="34"/>
  <c r="AR80" i="34"/>
  <c r="AT80" i="34"/>
  <c r="Z80" i="34"/>
  <c r="S80" i="34"/>
  <c r="Q80" i="34"/>
  <c r="J80" i="34"/>
  <c r="I80" i="34"/>
  <c r="H80" i="34"/>
  <c r="G80" i="34"/>
  <c r="B80" i="34"/>
  <c r="AS79" i="34"/>
  <c r="AR79" i="34"/>
  <c r="AT79" i="34"/>
  <c r="Z79" i="34"/>
  <c r="S79" i="34"/>
  <c r="Q79" i="34"/>
  <c r="J79" i="34"/>
  <c r="I79" i="34"/>
  <c r="H79" i="34"/>
  <c r="G79" i="34"/>
  <c r="AV79" i="34" s="1"/>
  <c r="B79" i="34"/>
  <c r="AS78" i="34"/>
  <c r="AR78" i="34"/>
  <c r="AT78" i="34"/>
  <c r="Z78" i="34"/>
  <c r="S78" i="34"/>
  <c r="Q78" i="34"/>
  <c r="J78" i="34"/>
  <c r="I78" i="34"/>
  <c r="H78" i="34"/>
  <c r="G78" i="34"/>
  <c r="AV78" i="34" s="1"/>
  <c r="B78" i="34"/>
  <c r="AS77" i="34"/>
  <c r="AR77" i="34"/>
  <c r="AT77" i="34"/>
  <c r="Z77" i="34"/>
  <c r="S77" i="34"/>
  <c r="Q77" i="34"/>
  <c r="J77" i="34"/>
  <c r="I77" i="34"/>
  <c r="H77" i="34"/>
  <c r="G77" i="34"/>
  <c r="B77" i="34"/>
  <c r="AS76" i="34"/>
  <c r="AR76" i="34"/>
  <c r="AT76" i="34"/>
  <c r="Z76" i="34"/>
  <c r="S76" i="34"/>
  <c r="Q76" i="34"/>
  <c r="J76" i="34"/>
  <c r="I76" i="34"/>
  <c r="H76" i="34"/>
  <c r="G76" i="34"/>
  <c r="B76" i="34"/>
  <c r="AS75" i="34"/>
  <c r="AR75" i="34"/>
  <c r="AT75" i="34"/>
  <c r="Z75" i="34"/>
  <c r="S75" i="34"/>
  <c r="Q75" i="34"/>
  <c r="J75" i="34"/>
  <c r="I75" i="34"/>
  <c r="H75" i="34"/>
  <c r="G75" i="34"/>
  <c r="AV75" i="34" s="1"/>
  <c r="B75" i="34"/>
  <c r="AS74" i="34"/>
  <c r="AR74" i="34"/>
  <c r="AT74" i="34"/>
  <c r="Z74" i="34"/>
  <c r="S74" i="34"/>
  <c r="Q74" i="34"/>
  <c r="J74" i="34"/>
  <c r="I74" i="34"/>
  <c r="H74" i="34"/>
  <c r="G74" i="34"/>
  <c r="AV74" i="34" s="1"/>
  <c r="B74" i="34"/>
  <c r="AS73" i="34"/>
  <c r="AR73" i="34"/>
  <c r="AT73" i="34"/>
  <c r="Z73" i="34"/>
  <c r="S73" i="34"/>
  <c r="Q73" i="34"/>
  <c r="J73" i="34"/>
  <c r="I73" i="34"/>
  <c r="H73" i="34"/>
  <c r="G73" i="34"/>
  <c r="B73" i="34"/>
  <c r="AS72" i="34"/>
  <c r="AR72" i="34"/>
  <c r="AT72" i="34"/>
  <c r="Z72" i="34"/>
  <c r="S72" i="34"/>
  <c r="Q72" i="34"/>
  <c r="J72" i="34"/>
  <c r="I72" i="34"/>
  <c r="H72" i="34"/>
  <c r="G72" i="34"/>
  <c r="B72" i="34"/>
  <c r="AS71" i="34"/>
  <c r="AR71" i="34"/>
  <c r="AT71" i="34"/>
  <c r="Z71" i="34"/>
  <c r="S71" i="34"/>
  <c r="Q71" i="34"/>
  <c r="J71" i="34"/>
  <c r="I71" i="34"/>
  <c r="H71" i="34"/>
  <c r="G71" i="34"/>
  <c r="AV71" i="34" s="1"/>
  <c r="B71" i="34"/>
  <c r="AS70" i="34"/>
  <c r="AR70" i="34"/>
  <c r="AT70" i="34"/>
  <c r="Z70" i="34"/>
  <c r="S70" i="34"/>
  <c r="Q70" i="34"/>
  <c r="J70" i="34"/>
  <c r="I70" i="34"/>
  <c r="H70" i="34"/>
  <c r="G70" i="34"/>
  <c r="AV70" i="34" s="1"/>
  <c r="B70" i="34"/>
  <c r="AS69" i="34"/>
  <c r="AR69" i="34"/>
  <c r="AT69" i="34"/>
  <c r="Z69" i="34"/>
  <c r="S69" i="34"/>
  <c r="Q69" i="34"/>
  <c r="J69" i="34"/>
  <c r="I69" i="34"/>
  <c r="H69" i="34"/>
  <c r="G69" i="34"/>
  <c r="B69" i="34"/>
  <c r="AS68" i="34"/>
  <c r="AR68" i="34"/>
  <c r="AT68" i="34"/>
  <c r="Z68" i="34"/>
  <c r="S68" i="34"/>
  <c r="Q68" i="34"/>
  <c r="J68" i="34"/>
  <c r="I68" i="34"/>
  <c r="H68" i="34"/>
  <c r="G68" i="34"/>
  <c r="B68" i="34"/>
  <c r="AS67" i="34"/>
  <c r="AR67" i="34"/>
  <c r="AT67" i="34"/>
  <c r="Z67" i="34"/>
  <c r="S67" i="34"/>
  <c r="Q67" i="34"/>
  <c r="J67" i="34"/>
  <c r="I67" i="34"/>
  <c r="H67" i="34"/>
  <c r="G67" i="34"/>
  <c r="AV67" i="34" s="1"/>
  <c r="B67" i="34"/>
  <c r="AS66" i="34"/>
  <c r="AR66" i="34"/>
  <c r="AT66" i="34"/>
  <c r="Z66" i="34"/>
  <c r="S66" i="34"/>
  <c r="Q66" i="34"/>
  <c r="J66" i="34"/>
  <c r="I66" i="34"/>
  <c r="H66" i="34"/>
  <c r="G66" i="34"/>
  <c r="AV66" i="34" s="1"/>
  <c r="B66" i="34"/>
  <c r="AS65" i="34"/>
  <c r="AR65" i="34"/>
  <c r="AT65" i="34"/>
  <c r="Z65" i="34"/>
  <c r="S65" i="34"/>
  <c r="Q65" i="34"/>
  <c r="J65" i="34"/>
  <c r="I65" i="34"/>
  <c r="H65" i="34"/>
  <c r="G65" i="34"/>
  <c r="B65" i="34"/>
  <c r="AS64" i="34"/>
  <c r="AR64" i="34"/>
  <c r="AT64" i="34"/>
  <c r="Z64" i="34"/>
  <c r="S64" i="34"/>
  <c r="Q64" i="34"/>
  <c r="J64" i="34"/>
  <c r="I64" i="34"/>
  <c r="H64" i="34"/>
  <c r="G64" i="34"/>
  <c r="B64" i="34"/>
  <c r="AS63" i="34"/>
  <c r="AR63" i="34"/>
  <c r="AT63" i="34"/>
  <c r="Z63" i="34"/>
  <c r="S63" i="34"/>
  <c r="Q63" i="34"/>
  <c r="J63" i="34"/>
  <c r="I63" i="34"/>
  <c r="H63" i="34"/>
  <c r="G63" i="34"/>
  <c r="AV63" i="34" s="1"/>
  <c r="B63" i="34"/>
  <c r="AS62" i="34"/>
  <c r="AR62" i="34"/>
  <c r="AT62" i="34"/>
  <c r="Z62" i="34"/>
  <c r="S62" i="34"/>
  <c r="Q62" i="34"/>
  <c r="J62" i="34"/>
  <c r="I62" i="34"/>
  <c r="H62" i="34"/>
  <c r="G62" i="34"/>
  <c r="AV62" i="34" s="1"/>
  <c r="B62" i="34"/>
  <c r="AS61" i="34"/>
  <c r="AR61" i="34"/>
  <c r="AT61" i="34"/>
  <c r="Z61" i="34"/>
  <c r="S61" i="34"/>
  <c r="Q61" i="34"/>
  <c r="J61" i="34"/>
  <c r="I61" i="34"/>
  <c r="H61" i="34"/>
  <c r="G61" i="34"/>
  <c r="B61" i="34"/>
  <c r="AS60" i="34"/>
  <c r="AR60" i="34"/>
  <c r="AT60" i="34"/>
  <c r="Z60" i="34"/>
  <c r="S60" i="34"/>
  <c r="Q60" i="34"/>
  <c r="J60" i="34"/>
  <c r="I60" i="34"/>
  <c r="H60" i="34"/>
  <c r="G60" i="34"/>
  <c r="B60" i="34"/>
  <c r="AS59" i="34"/>
  <c r="AR59" i="34"/>
  <c r="AT59" i="34"/>
  <c r="Z59" i="34"/>
  <c r="S59" i="34"/>
  <c r="Q59" i="34"/>
  <c r="J59" i="34"/>
  <c r="I59" i="34"/>
  <c r="H59" i="34"/>
  <c r="G59" i="34"/>
  <c r="AV59" i="34" s="1"/>
  <c r="B59" i="34"/>
  <c r="AS58" i="34"/>
  <c r="AR58" i="34"/>
  <c r="AT58" i="34"/>
  <c r="Z58" i="34"/>
  <c r="S58" i="34"/>
  <c r="Q58" i="34"/>
  <c r="J58" i="34"/>
  <c r="I58" i="34"/>
  <c r="H58" i="34"/>
  <c r="G58" i="34"/>
  <c r="AV58" i="34" s="1"/>
  <c r="B58" i="34"/>
  <c r="AS57" i="34"/>
  <c r="AR57" i="34"/>
  <c r="AT57" i="34"/>
  <c r="Z57" i="34"/>
  <c r="S57" i="34"/>
  <c r="Q57" i="34"/>
  <c r="J57" i="34"/>
  <c r="I57" i="34"/>
  <c r="H57" i="34"/>
  <c r="G57" i="34"/>
  <c r="B57" i="34"/>
  <c r="AS56" i="34"/>
  <c r="AR56" i="34"/>
  <c r="AT56" i="34"/>
  <c r="Z56" i="34"/>
  <c r="S56" i="34"/>
  <c r="Q56" i="34"/>
  <c r="J56" i="34"/>
  <c r="I56" i="34"/>
  <c r="H56" i="34"/>
  <c r="G56" i="34"/>
  <c r="B56" i="34"/>
  <c r="AS55" i="34"/>
  <c r="AR55" i="34"/>
  <c r="AT55" i="34"/>
  <c r="Z55" i="34"/>
  <c r="S55" i="34"/>
  <c r="Q55" i="34"/>
  <c r="J55" i="34"/>
  <c r="I55" i="34"/>
  <c r="H55" i="34"/>
  <c r="G55" i="34"/>
  <c r="AV55" i="34" s="1"/>
  <c r="B55" i="34"/>
  <c r="AS54" i="34"/>
  <c r="AR54" i="34"/>
  <c r="AT54" i="34"/>
  <c r="Z54" i="34"/>
  <c r="S54" i="34"/>
  <c r="Q54" i="34"/>
  <c r="J54" i="34"/>
  <c r="I54" i="34"/>
  <c r="H54" i="34"/>
  <c r="G54" i="34"/>
  <c r="AV54" i="34" s="1"/>
  <c r="B54" i="34"/>
  <c r="AS53" i="34"/>
  <c r="AR53" i="34"/>
  <c r="AT53" i="34"/>
  <c r="Z53" i="34"/>
  <c r="S53" i="34"/>
  <c r="Q53" i="34"/>
  <c r="J53" i="34"/>
  <c r="I53" i="34"/>
  <c r="H53" i="34"/>
  <c r="G53" i="34"/>
  <c r="B53" i="34"/>
  <c r="AS52" i="34"/>
  <c r="AR52" i="34"/>
  <c r="AT52" i="34"/>
  <c r="Z52" i="34"/>
  <c r="S52" i="34"/>
  <c r="Q52" i="34"/>
  <c r="J52" i="34"/>
  <c r="I52" i="34"/>
  <c r="H52" i="34"/>
  <c r="G52" i="34"/>
  <c r="B52" i="34"/>
  <c r="AS51" i="34"/>
  <c r="AR51" i="34"/>
  <c r="AT51" i="34"/>
  <c r="Z51" i="34"/>
  <c r="S51" i="34"/>
  <c r="Q51" i="34"/>
  <c r="J51" i="34"/>
  <c r="I51" i="34"/>
  <c r="H51" i="34"/>
  <c r="G51" i="34"/>
  <c r="AV51" i="34" s="1"/>
  <c r="B51" i="34"/>
  <c r="AS50" i="34"/>
  <c r="AR50" i="34"/>
  <c r="AT50" i="34"/>
  <c r="Z50" i="34"/>
  <c r="S50" i="34"/>
  <c r="Q50" i="34"/>
  <c r="J50" i="34"/>
  <c r="I50" i="34"/>
  <c r="H50" i="34"/>
  <c r="G50" i="34"/>
  <c r="AV50" i="34" s="1"/>
  <c r="B50" i="34"/>
  <c r="AS49" i="34"/>
  <c r="AR49" i="34"/>
  <c r="AT49" i="34"/>
  <c r="Z49" i="34"/>
  <c r="S49" i="34"/>
  <c r="Q49" i="34"/>
  <c r="J49" i="34"/>
  <c r="I49" i="34"/>
  <c r="H49" i="34"/>
  <c r="G49" i="34"/>
  <c r="B49" i="34"/>
  <c r="AS48" i="34"/>
  <c r="AR48" i="34"/>
  <c r="AT48" i="34"/>
  <c r="Z48" i="34"/>
  <c r="S48" i="34"/>
  <c r="Q48" i="34"/>
  <c r="J48" i="34"/>
  <c r="I48" i="34"/>
  <c r="H48" i="34"/>
  <c r="G48" i="34"/>
  <c r="B48" i="34"/>
  <c r="AS47" i="34"/>
  <c r="AR47" i="34"/>
  <c r="AT47" i="34"/>
  <c r="Z47" i="34"/>
  <c r="S47" i="34"/>
  <c r="Q47" i="34"/>
  <c r="J47" i="34"/>
  <c r="I47" i="34"/>
  <c r="H47" i="34"/>
  <c r="G47" i="34"/>
  <c r="AV47" i="34" s="1"/>
  <c r="B47" i="34"/>
  <c r="AS46" i="34"/>
  <c r="AR46" i="34"/>
  <c r="AT46" i="34"/>
  <c r="Z46" i="34"/>
  <c r="S46" i="34"/>
  <c r="Q46" i="34"/>
  <c r="J46" i="34"/>
  <c r="I46" i="34"/>
  <c r="H46" i="34"/>
  <c r="G46" i="34"/>
  <c r="AV46" i="34" s="1"/>
  <c r="B46" i="34"/>
  <c r="AS45" i="34"/>
  <c r="AR45" i="34"/>
  <c r="AT45" i="34"/>
  <c r="Z45" i="34"/>
  <c r="S45" i="34"/>
  <c r="Q45" i="34"/>
  <c r="J45" i="34"/>
  <c r="I45" i="34"/>
  <c r="H45" i="34"/>
  <c r="G45" i="34"/>
  <c r="B45" i="34"/>
  <c r="AS44" i="34"/>
  <c r="AR44" i="34"/>
  <c r="AT44" i="34"/>
  <c r="Z44" i="34"/>
  <c r="S44" i="34"/>
  <c r="Q44" i="34"/>
  <c r="J44" i="34"/>
  <c r="I44" i="34"/>
  <c r="H44" i="34"/>
  <c r="G44" i="34"/>
  <c r="B44" i="34"/>
  <c r="AS43" i="34"/>
  <c r="AR43" i="34"/>
  <c r="AT43" i="34"/>
  <c r="Z43" i="34"/>
  <c r="S43" i="34"/>
  <c r="Q43" i="34"/>
  <c r="J43" i="34"/>
  <c r="I43" i="34"/>
  <c r="H43" i="34"/>
  <c r="G43" i="34"/>
  <c r="AV43" i="34" s="1"/>
  <c r="B43" i="34"/>
  <c r="AT42" i="34" s="1"/>
  <c r="AS42" i="34"/>
  <c r="AR42" i="34"/>
  <c r="Z42" i="34"/>
  <c r="S42" i="34"/>
  <c r="Q42" i="34"/>
  <c r="I42" i="34"/>
  <c r="H42" i="34"/>
  <c r="G42" i="34"/>
  <c r="AS41" i="34"/>
  <c r="AR41" i="34"/>
  <c r="Z41" i="34"/>
  <c r="S41" i="34"/>
  <c r="Q41" i="34"/>
  <c r="I41" i="34"/>
  <c r="H41" i="34"/>
  <c r="G41" i="34"/>
  <c r="AS40" i="34"/>
  <c r="AR40" i="34"/>
  <c r="Z40" i="34"/>
  <c r="S40" i="34"/>
  <c r="Q40" i="34"/>
  <c r="I40" i="34"/>
  <c r="H40" i="34"/>
  <c r="G40" i="34"/>
  <c r="AS39" i="34"/>
  <c r="AR39" i="34"/>
  <c r="Z39" i="34"/>
  <c r="S39" i="34"/>
  <c r="Q39" i="34"/>
  <c r="I39" i="34"/>
  <c r="H39" i="34"/>
  <c r="G39" i="34"/>
  <c r="AS38" i="34"/>
  <c r="AR38" i="34"/>
  <c r="Z38" i="34"/>
  <c r="S38" i="34"/>
  <c r="Q38" i="34"/>
  <c r="I38" i="34"/>
  <c r="H38" i="34"/>
  <c r="G38" i="34"/>
  <c r="AS37" i="34"/>
  <c r="AR37" i="34"/>
  <c r="Z37" i="34"/>
  <c r="S37" i="34"/>
  <c r="Q37" i="34"/>
  <c r="I37" i="34"/>
  <c r="H37" i="34"/>
  <c r="G37" i="34"/>
  <c r="AS36" i="34"/>
  <c r="AR36" i="34"/>
  <c r="Z36" i="34"/>
  <c r="S36" i="34"/>
  <c r="Q36" i="34"/>
  <c r="I36" i="34"/>
  <c r="H36" i="34"/>
  <c r="G36" i="34"/>
  <c r="AS35" i="34"/>
  <c r="AR35" i="34"/>
  <c r="Z35" i="34"/>
  <c r="S35" i="34"/>
  <c r="Q35" i="34"/>
  <c r="I35" i="34"/>
  <c r="H35" i="34"/>
  <c r="G35" i="34"/>
  <c r="AS34" i="34"/>
  <c r="AR34" i="34"/>
  <c r="Z34" i="34"/>
  <c r="S34" i="34"/>
  <c r="Q34" i="34"/>
  <c r="I34" i="34"/>
  <c r="H34" i="34"/>
  <c r="G34" i="34"/>
  <c r="AS33" i="34"/>
  <c r="AR33" i="34"/>
  <c r="Z33" i="34"/>
  <c r="S33" i="34"/>
  <c r="Q33" i="34"/>
  <c r="I33" i="34"/>
  <c r="H33" i="34"/>
  <c r="G33" i="34"/>
  <c r="AS32" i="34"/>
  <c r="AR32" i="34"/>
  <c r="Z32" i="34"/>
  <c r="S32" i="34"/>
  <c r="Q32" i="34"/>
  <c r="I32" i="34"/>
  <c r="H32" i="34"/>
  <c r="G32" i="34"/>
  <c r="AS31" i="34"/>
  <c r="AR31" i="34"/>
  <c r="Z31" i="34"/>
  <c r="S31" i="34"/>
  <c r="Q31" i="34"/>
  <c r="I31" i="34"/>
  <c r="H31" i="34"/>
  <c r="G31" i="34"/>
  <c r="AS30" i="34"/>
  <c r="AR30" i="34"/>
  <c r="Z30" i="34"/>
  <c r="S30" i="34"/>
  <c r="Q30" i="34"/>
  <c r="I30" i="34"/>
  <c r="H30" i="34"/>
  <c r="G30" i="34"/>
  <c r="AS29" i="34"/>
  <c r="AR29" i="34"/>
  <c r="Z29" i="34"/>
  <c r="S29" i="34"/>
  <c r="Q29" i="34"/>
  <c r="I29" i="34"/>
  <c r="H29" i="34"/>
  <c r="G29" i="34"/>
  <c r="AS28" i="34"/>
  <c r="AR28" i="34"/>
  <c r="Z28" i="34"/>
  <c r="S28" i="34"/>
  <c r="Q28" i="34"/>
  <c r="I28" i="34"/>
  <c r="H28" i="34"/>
  <c r="G28" i="34"/>
  <c r="AS27" i="34"/>
  <c r="AR27" i="34"/>
  <c r="Z27" i="34"/>
  <c r="S27" i="34"/>
  <c r="Q27" i="34"/>
  <c r="I27" i="34"/>
  <c r="H27" i="34"/>
  <c r="G27" i="34"/>
  <c r="AS26" i="34"/>
  <c r="AR26" i="34"/>
  <c r="Z26" i="34"/>
  <c r="S26" i="34"/>
  <c r="Q26" i="34"/>
  <c r="I26" i="34"/>
  <c r="H26" i="34"/>
  <c r="G26" i="34"/>
  <c r="AS25" i="34"/>
  <c r="AR25" i="34"/>
  <c r="Z25" i="34"/>
  <c r="S25" i="34"/>
  <c r="Q25" i="34"/>
  <c r="I25" i="34"/>
  <c r="H25" i="34"/>
  <c r="G25" i="34"/>
  <c r="AS24" i="34"/>
  <c r="AR24" i="34"/>
  <c r="Z24" i="34"/>
  <c r="S24" i="34"/>
  <c r="Q24" i="34"/>
  <c r="I24" i="34"/>
  <c r="H24" i="34"/>
  <c r="G24" i="34"/>
  <c r="AS23" i="34"/>
  <c r="AR23" i="34"/>
  <c r="Z23" i="34"/>
  <c r="S23" i="34"/>
  <c r="Q23" i="34"/>
  <c r="I23" i="34"/>
  <c r="H23" i="34"/>
  <c r="G23" i="34"/>
  <c r="AS22" i="34"/>
  <c r="AR22" i="34"/>
  <c r="Z22" i="34"/>
  <c r="S22" i="34"/>
  <c r="Q22" i="34"/>
  <c r="I22" i="34"/>
  <c r="H22" i="34"/>
  <c r="G22" i="34"/>
  <c r="AS21" i="34"/>
  <c r="AR21" i="34"/>
  <c r="Z21" i="34"/>
  <c r="S21" i="34"/>
  <c r="Q21" i="34"/>
  <c r="I21" i="34"/>
  <c r="H21" i="34"/>
  <c r="G21" i="34"/>
  <c r="AS20" i="34"/>
  <c r="AR20" i="34"/>
  <c r="Z20" i="34"/>
  <c r="S20" i="34"/>
  <c r="Q20" i="34"/>
  <c r="I20" i="34"/>
  <c r="H20" i="34"/>
  <c r="G20" i="34"/>
  <c r="AS19" i="34"/>
  <c r="AR19" i="34"/>
  <c r="Z19" i="34"/>
  <c r="S19" i="34"/>
  <c r="Q19" i="34"/>
  <c r="I19" i="34"/>
  <c r="H19" i="34"/>
  <c r="G19" i="34"/>
  <c r="AS18" i="34"/>
  <c r="AR18" i="34"/>
  <c r="Z18" i="34"/>
  <c r="S18" i="34"/>
  <c r="Q18" i="34"/>
  <c r="I18" i="34"/>
  <c r="H18" i="34"/>
  <c r="G18" i="34"/>
  <c r="AS17" i="34"/>
  <c r="AR17" i="34"/>
  <c r="Z17" i="34"/>
  <c r="S17" i="34"/>
  <c r="Q17" i="34"/>
  <c r="I17" i="34"/>
  <c r="H17" i="34"/>
  <c r="G17" i="34"/>
  <c r="AS16" i="34"/>
  <c r="AR16" i="34"/>
  <c r="Z16" i="34"/>
  <c r="S16" i="34"/>
  <c r="Q16" i="34"/>
  <c r="I16" i="34"/>
  <c r="H120" i="34" s="1"/>
  <c r="H16" i="34"/>
  <c r="G16" i="34"/>
  <c r="D120" i="34" s="1"/>
  <c r="B16" i="34"/>
  <c r="B17" i="34" s="1"/>
  <c r="AY15" i="34"/>
  <c r="AV15" i="34"/>
  <c r="H14" i="34"/>
  <c r="AV2" i="34"/>
  <c r="G13" i="45" a="1"/>
  <c r="G16" i="45" a="1"/>
  <c r="G15" i="45" a="1"/>
  <c r="F855" i="40" a="1"/>
  <c r="B1359" i="40"/>
  <c r="F1358" i="40" a="1"/>
  <c r="B856" i="40"/>
  <c r="F1358" i="40" l="1"/>
  <c r="F855" i="40"/>
  <c r="B63" i="54"/>
  <c r="AT61" i="54"/>
  <c r="B137" i="42"/>
  <c r="U120" i="42"/>
  <c r="B137" i="41"/>
  <c r="U120" i="41"/>
  <c r="V3" i="46"/>
  <c r="S120" i="46" s="1"/>
  <c r="Z124" i="46" s="1"/>
  <c r="B136" i="46"/>
  <c r="B137" i="38"/>
  <c r="U120" i="38"/>
  <c r="B137" i="34"/>
  <c r="U120" i="34"/>
  <c r="AT22" i="54"/>
  <c r="B24" i="54"/>
  <c r="B25" i="51"/>
  <c r="AT23" i="51"/>
  <c r="AV18" i="44"/>
  <c r="AT22" i="49"/>
  <c r="B24" i="49"/>
  <c r="J41" i="38"/>
  <c r="J35" i="38"/>
  <c r="AV35" i="38" s="1"/>
  <c r="J39" i="38"/>
  <c r="AV39" i="38" s="1"/>
  <c r="J43" i="38"/>
  <c r="J47" i="38"/>
  <c r="AV47" i="38" s="1"/>
  <c r="J49" i="38"/>
  <c r="AV49" i="38" s="1"/>
  <c r="J51" i="38"/>
  <c r="AV51" i="38" s="1"/>
  <c r="J55" i="38"/>
  <c r="J57" i="38"/>
  <c r="J32" i="38"/>
  <c r="AV32" i="38" s="1"/>
  <c r="J34" i="38"/>
  <c r="AV34" i="38" s="1"/>
  <c r="J36" i="38"/>
  <c r="J38" i="38"/>
  <c r="J40" i="38"/>
  <c r="AV40" i="38" s="1"/>
  <c r="J42" i="38"/>
  <c r="AV42" i="38" s="1"/>
  <c r="J44" i="38"/>
  <c r="J46" i="38"/>
  <c r="J48" i="38"/>
  <c r="AV48" i="38" s="1"/>
  <c r="J50" i="38"/>
  <c r="AV50" i="38" s="1"/>
  <c r="J54" i="38"/>
  <c r="J56" i="38"/>
  <c r="AV56" i="38" s="1"/>
  <c r="J17" i="42"/>
  <c r="AV17" i="42" s="1"/>
  <c r="J21" i="42"/>
  <c r="AV21" i="42" s="1"/>
  <c r="G15" i="45"/>
  <c r="G16" i="45"/>
  <c r="G13" i="45"/>
  <c r="B12" i="41"/>
  <c r="AT16" i="44"/>
  <c r="B18" i="44"/>
  <c r="B12" i="44"/>
  <c r="B12" i="42"/>
  <c r="B12" i="34"/>
  <c r="J20" i="42"/>
  <c r="AY20" i="42" s="1"/>
  <c r="J19" i="42"/>
  <c r="AV19" i="42" s="1"/>
  <c r="J18" i="42"/>
  <c r="AV18" i="42" s="1"/>
  <c r="J22" i="42"/>
  <c r="AY22" i="42" s="1"/>
  <c r="AY23" i="42" s="1"/>
  <c r="AY24" i="42" s="1"/>
  <c r="AY25" i="42" s="1"/>
  <c r="AY26" i="42" s="1"/>
  <c r="AY27" i="42" s="1"/>
  <c r="AY28" i="42" s="1"/>
  <c r="AY29" i="42" s="1"/>
  <c r="AY30" i="42" s="1"/>
  <c r="AY31" i="42" s="1"/>
  <c r="AY32" i="42" s="1"/>
  <c r="B18" i="42"/>
  <c r="AT16" i="42"/>
  <c r="AV120" i="42"/>
  <c r="G120" i="42"/>
  <c r="B138" i="42" s="1"/>
  <c r="C118" i="42"/>
  <c r="D118" i="42" s="1"/>
  <c r="AV118" i="42" s="1"/>
  <c r="AV23" i="42"/>
  <c r="AV24" i="42"/>
  <c r="AV25" i="42"/>
  <c r="AV26" i="42"/>
  <c r="AV27" i="42"/>
  <c r="AV28" i="42"/>
  <c r="AV29" i="42"/>
  <c r="AV30" i="42"/>
  <c r="AV31" i="42"/>
  <c r="AV32" i="42"/>
  <c r="J35" i="42"/>
  <c r="J37" i="42"/>
  <c r="AV60" i="42"/>
  <c r="J34" i="42"/>
  <c r="AV34" i="42"/>
  <c r="J36" i="42"/>
  <c r="AV36" i="42"/>
  <c r="J38" i="42"/>
  <c r="AV38" i="42" s="1"/>
  <c r="J39" i="42"/>
  <c r="AV39" i="42" s="1"/>
  <c r="J40" i="42"/>
  <c r="AV40" i="42" s="1"/>
  <c r="J41" i="42"/>
  <c r="AV41" i="42" s="1"/>
  <c r="J42" i="42"/>
  <c r="AV42" i="42" s="1"/>
  <c r="J43" i="42"/>
  <c r="AV43" i="42" s="1"/>
  <c r="J44" i="42"/>
  <c r="AV44" i="42" s="1"/>
  <c r="J45" i="42"/>
  <c r="AV45" i="42" s="1"/>
  <c r="J46" i="42"/>
  <c r="AV46" i="42" s="1"/>
  <c r="J47" i="42"/>
  <c r="AV47" i="42" s="1"/>
  <c r="J48" i="42"/>
  <c r="AV48" i="42" s="1"/>
  <c r="J49" i="42"/>
  <c r="AV49" i="42" s="1"/>
  <c r="J50" i="42"/>
  <c r="AV50" i="42" s="1"/>
  <c r="J51" i="42"/>
  <c r="AV51" i="42" s="1"/>
  <c r="J52" i="42"/>
  <c r="AV52" i="42" s="1"/>
  <c r="J53" i="42"/>
  <c r="AV53" i="42" s="1"/>
  <c r="J54" i="42"/>
  <c r="AV54" i="42" s="1"/>
  <c r="J55" i="42"/>
  <c r="AV55" i="42" s="1"/>
  <c r="J56" i="42"/>
  <c r="AV56" i="42" s="1"/>
  <c r="J57" i="42"/>
  <c r="AV57" i="42" s="1"/>
  <c r="J58" i="42"/>
  <c r="AV58" i="42" s="1"/>
  <c r="J33" i="42"/>
  <c r="AV33" i="42"/>
  <c r="AV37" i="42"/>
  <c r="J16" i="42"/>
  <c r="AY16" i="42" s="1"/>
  <c r="AV91" i="42"/>
  <c r="AV95" i="42"/>
  <c r="AV99" i="42"/>
  <c r="AV103" i="42"/>
  <c r="AV107" i="42"/>
  <c r="AV111" i="42"/>
  <c r="AV115" i="42"/>
  <c r="AV64" i="42"/>
  <c r="AV68" i="42"/>
  <c r="AV72" i="42"/>
  <c r="AV76" i="42"/>
  <c r="AV80" i="42"/>
  <c r="AV84" i="42"/>
  <c r="AV88" i="42"/>
  <c r="AV92" i="42"/>
  <c r="AV96" i="42"/>
  <c r="AV100" i="42"/>
  <c r="AV104" i="42"/>
  <c r="AV108" i="42"/>
  <c r="AV112" i="42"/>
  <c r="J19" i="41"/>
  <c r="AY19" i="41" s="1"/>
  <c r="J23" i="41"/>
  <c r="AV23" i="41" s="1"/>
  <c r="AV24" i="41"/>
  <c r="J27" i="41"/>
  <c r="J31" i="41"/>
  <c r="J18" i="41"/>
  <c r="AV18" i="41" s="1"/>
  <c r="J22" i="41"/>
  <c r="AV22" i="41" s="1"/>
  <c r="J26" i="41"/>
  <c r="J30" i="41"/>
  <c r="J17" i="41"/>
  <c r="AY17" i="41" s="1"/>
  <c r="J21" i="41"/>
  <c r="AV21" i="41" s="1"/>
  <c r="J25" i="41"/>
  <c r="J29" i="41"/>
  <c r="J20" i="41"/>
  <c r="AV20" i="41" s="1"/>
  <c r="J24" i="41"/>
  <c r="AV25" i="41"/>
  <c r="J28" i="41"/>
  <c r="AV28" i="41" s="1"/>
  <c r="AV29" i="41"/>
  <c r="J32" i="41"/>
  <c r="AV32" i="41" s="1"/>
  <c r="AV27" i="41"/>
  <c r="AV31" i="41"/>
  <c r="B18" i="41"/>
  <c r="AT16" i="41"/>
  <c r="AV26" i="41"/>
  <c r="AV30" i="41"/>
  <c r="J51" i="41"/>
  <c r="AV55" i="41"/>
  <c r="J55" i="41"/>
  <c r="AV93" i="41"/>
  <c r="AV109" i="41"/>
  <c r="J35" i="41"/>
  <c r="AV35" i="41"/>
  <c r="J37" i="41"/>
  <c r="AV37" i="41"/>
  <c r="J39" i="41"/>
  <c r="AV39" i="41"/>
  <c r="J41" i="41"/>
  <c r="AV41" i="41"/>
  <c r="J43" i="41"/>
  <c r="AV43" i="41"/>
  <c r="J45" i="41"/>
  <c r="AV45" i="41"/>
  <c r="J47" i="41"/>
  <c r="AV47" i="41"/>
  <c r="J49" i="41"/>
  <c r="AV49" i="41"/>
  <c r="J52" i="41"/>
  <c r="AV56" i="41"/>
  <c r="J56" i="41"/>
  <c r="AV89" i="41"/>
  <c r="AV105" i="41"/>
  <c r="J16" i="41"/>
  <c r="AV16" i="41" s="1"/>
  <c r="J33" i="41"/>
  <c r="J53" i="41"/>
  <c r="AV53" i="41" s="1"/>
  <c r="AV57" i="41"/>
  <c r="J57" i="41"/>
  <c r="AV71" i="41"/>
  <c r="AV73" i="41"/>
  <c r="AV85" i="41"/>
  <c r="AV101" i="41"/>
  <c r="AV120" i="41"/>
  <c r="G120" i="41"/>
  <c r="B138" i="41" s="1"/>
  <c r="C118" i="41"/>
  <c r="D118" i="41" s="1"/>
  <c r="AV118" i="41" s="1"/>
  <c r="J34" i="41"/>
  <c r="J36" i="41"/>
  <c r="J38" i="41"/>
  <c r="J40" i="41"/>
  <c r="J42" i="41"/>
  <c r="J44" i="41"/>
  <c r="J46" i="41"/>
  <c r="J48" i="41"/>
  <c r="J50" i="41"/>
  <c r="J54" i="41"/>
  <c r="J58" i="41"/>
  <c r="AV58" i="41" s="1"/>
  <c r="AV59" i="41"/>
  <c r="AV61" i="41"/>
  <c r="AV75" i="41"/>
  <c r="AV77" i="41"/>
  <c r="AV97" i="41"/>
  <c r="AV104" i="41"/>
  <c r="AV108" i="41"/>
  <c r="AV112" i="41"/>
  <c r="AV113" i="41"/>
  <c r="AV43" i="38"/>
  <c r="J37" i="38"/>
  <c r="J45" i="38"/>
  <c r="J53" i="38"/>
  <c r="AV53" i="38" s="1"/>
  <c r="B18" i="38"/>
  <c r="AT17" i="38" s="1"/>
  <c r="J52" i="38"/>
  <c r="J58" i="38"/>
  <c r="AV58" i="38" s="1"/>
  <c r="J33" i="38"/>
  <c r="AV33" i="38" s="1"/>
  <c r="AV38" i="38"/>
  <c r="AV46" i="38"/>
  <c r="AV54" i="38"/>
  <c r="AV55" i="38"/>
  <c r="J30" i="38"/>
  <c r="AY30" i="38" s="1"/>
  <c r="AV120" i="38"/>
  <c r="G120" i="38"/>
  <c r="B138" i="38" s="1"/>
  <c r="C118" i="38"/>
  <c r="D118" i="38" s="1"/>
  <c r="AV118" i="38" s="1"/>
  <c r="J26" i="38"/>
  <c r="AY26" i="38" s="1"/>
  <c r="J22" i="38"/>
  <c r="AY22" i="38" s="1"/>
  <c r="J18" i="38"/>
  <c r="AY18" i="38" s="1"/>
  <c r="J19" i="38"/>
  <c r="AV19" i="38" s="1"/>
  <c r="J23" i="38"/>
  <c r="AY23" i="38" s="1"/>
  <c r="J27" i="38"/>
  <c r="AV27" i="38" s="1"/>
  <c r="J31" i="38"/>
  <c r="AV31" i="38" s="1"/>
  <c r="AV36" i="38"/>
  <c r="AV44" i="38"/>
  <c r="AV52" i="38"/>
  <c r="AV60" i="38"/>
  <c r="AV64" i="38"/>
  <c r="AV68" i="38"/>
  <c r="AV72" i="38"/>
  <c r="AV76" i="38"/>
  <c r="AV80" i="38"/>
  <c r="AV84" i="38"/>
  <c r="AV88" i="38"/>
  <c r="AV92" i="38"/>
  <c r="AV96" i="38"/>
  <c r="AV100" i="38"/>
  <c r="AV104" i="38"/>
  <c r="AV108" i="38"/>
  <c r="AV112" i="38"/>
  <c r="J16" i="38"/>
  <c r="AV16" i="38" s="1"/>
  <c r="J20" i="38"/>
  <c r="AY20" i="38" s="1"/>
  <c r="J24" i="38"/>
  <c r="AY24" i="38" s="1"/>
  <c r="J28" i="38"/>
  <c r="AY28" i="38" s="1"/>
  <c r="AV37" i="38"/>
  <c r="AV41" i="38"/>
  <c r="AV45" i="38"/>
  <c r="AV57" i="38"/>
  <c r="AV61" i="38"/>
  <c r="AV65" i="38"/>
  <c r="AV69" i="38"/>
  <c r="AV73" i="38"/>
  <c r="AV77" i="38"/>
  <c r="AV81" i="38"/>
  <c r="AV85" i="38"/>
  <c r="AV89" i="38"/>
  <c r="AV93" i="38"/>
  <c r="AV97" i="38"/>
  <c r="AV101" i="38"/>
  <c r="AV105" i="38"/>
  <c r="AV109" i="38"/>
  <c r="AV113" i="38"/>
  <c r="J17" i="38"/>
  <c r="AY17" i="38" s="1"/>
  <c r="J21" i="38"/>
  <c r="AY21" i="38" s="1"/>
  <c r="J25" i="38"/>
  <c r="AY25" i="38" s="1"/>
  <c r="J29" i="38"/>
  <c r="AY29" i="38" s="1"/>
  <c r="AT16" i="34"/>
  <c r="B18" i="34"/>
  <c r="AT17" i="34" s="1"/>
  <c r="J42" i="34"/>
  <c r="J22" i="34"/>
  <c r="AY22" i="34" s="1"/>
  <c r="J38" i="34"/>
  <c r="J37" i="34"/>
  <c r="AV37" i="34"/>
  <c r="AV42" i="34"/>
  <c r="J25" i="34"/>
  <c r="AV25" i="34" s="1"/>
  <c r="J26" i="34"/>
  <c r="AY26" i="34" s="1"/>
  <c r="J41" i="34"/>
  <c r="AV41" i="34" s="1"/>
  <c r="AV45" i="34"/>
  <c r="AV61" i="34"/>
  <c r="AV77" i="34"/>
  <c r="J21" i="34"/>
  <c r="AY21" i="34" s="1"/>
  <c r="AV120" i="34"/>
  <c r="J19" i="34"/>
  <c r="AY19" i="34" s="1"/>
  <c r="G120" i="34"/>
  <c r="B138" i="34" s="1"/>
  <c r="J39" i="34"/>
  <c r="AV39" i="34" s="1"/>
  <c r="J35" i="34"/>
  <c r="J31" i="34"/>
  <c r="AY31" i="34" s="1"/>
  <c r="J27" i="34"/>
  <c r="AV27" i="34" s="1"/>
  <c r="J23" i="34"/>
  <c r="AV23" i="34" s="1"/>
  <c r="C118" i="34"/>
  <c r="D118" i="34" s="1"/>
  <c r="AV118" i="34" s="1"/>
  <c r="J29" i="34"/>
  <c r="AV29" i="34" s="1"/>
  <c r="J30" i="34"/>
  <c r="AY30" i="34" s="1"/>
  <c r="AV57" i="34"/>
  <c r="AV73" i="34"/>
  <c r="AV49" i="34"/>
  <c r="AV65" i="34"/>
  <c r="AV81" i="34"/>
  <c r="J17" i="34"/>
  <c r="AY17" i="34" s="1"/>
  <c r="J18" i="34"/>
  <c r="AY18" i="34" s="1"/>
  <c r="J33" i="34"/>
  <c r="J34" i="34"/>
  <c r="AV35" i="34"/>
  <c r="AV38" i="34"/>
  <c r="AV53" i="34"/>
  <c r="AV69" i="34"/>
  <c r="AV40" i="34"/>
  <c r="AV44" i="34"/>
  <c r="AV48" i="34"/>
  <c r="AV52" i="34"/>
  <c r="AV56" i="34"/>
  <c r="AV60" i="34"/>
  <c r="AV64" i="34"/>
  <c r="AV68" i="34"/>
  <c r="AV72" i="34"/>
  <c r="AV76" i="34"/>
  <c r="AV80" i="34"/>
  <c r="AV84" i="34"/>
  <c r="AV88" i="34"/>
  <c r="AV92" i="34"/>
  <c r="AV96" i="34"/>
  <c r="AV100" i="34"/>
  <c r="AV104" i="34"/>
  <c r="AV108" i="34"/>
  <c r="AV112" i="34"/>
  <c r="J16" i="34"/>
  <c r="AY16" i="34" s="1"/>
  <c r="J20" i="34"/>
  <c r="AY20" i="34" s="1"/>
  <c r="J24" i="34"/>
  <c r="AY24" i="34" s="1"/>
  <c r="J28" i="34"/>
  <c r="AV28" i="34" s="1"/>
  <c r="J32" i="34"/>
  <c r="J36" i="34"/>
  <c r="J40" i="34"/>
  <c r="AV85" i="34"/>
  <c r="AV89" i="34"/>
  <c r="AV93" i="34"/>
  <c r="AV97" i="34"/>
  <c r="AV101" i="34"/>
  <c r="AV105" i="34"/>
  <c r="AV109" i="34"/>
  <c r="AV113" i="34"/>
  <c r="K13" i="45" a="1"/>
  <c r="K14" i="45" a="1"/>
  <c r="B1360" i="40"/>
  <c r="A1361" i="40"/>
  <c r="F1359" i="40" a="1"/>
  <c r="B858" i="40"/>
  <c r="B1361" i="40"/>
  <c r="F856" i="40" a="1"/>
  <c r="B857" i="40"/>
  <c r="D1362" i="40" l="1"/>
  <c r="D1363" i="40" s="1"/>
  <c r="D1364" i="40" s="1"/>
  <c r="D1365" i="40" s="1"/>
  <c r="D1366" i="40" s="1"/>
  <c r="F856" i="40"/>
  <c r="F1359" i="40"/>
  <c r="AY17" i="42"/>
  <c r="F1361" i="40"/>
  <c r="B64" i="54"/>
  <c r="AT62" i="54"/>
  <c r="V2" i="46"/>
  <c r="X124" i="46" s="1"/>
  <c r="AV20" i="42"/>
  <c r="AY18" i="42"/>
  <c r="B25" i="54"/>
  <c r="AT23" i="54"/>
  <c r="AT24" i="51"/>
  <c r="B26" i="51"/>
  <c r="AV19" i="41"/>
  <c r="AY21" i="42"/>
  <c r="AT23" i="49"/>
  <c r="B25" i="49"/>
  <c r="AY20" i="41"/>
  <c r="AV22" i="42"/>
  <c r="AV17" i="41"/>
  <c r="K14" i="45"/>
  <c r="K13" i="45"/>
  <c r="AY23" i="41"/>
  <c r="AY24" i="41" s="1"/>
  <c r="AY25" i="41" s="1"/>
  <c r="AY26" i="41" s="1"/>
  <c r="AY27" i="41" s="1"/>
  <c r="AY28" i="41" s="1"/>
  <c r="AY29" i="41" s="1"/>
  <c r="AY30" i="41" s="1"/>
  <c r="AY31" i="41" s="1"/>
  <c r="AY32" i="41" s="1"/>
  <c r="AY33" i="41" s="1"/>
  <c r="AY34" i="41" s="1"/>
  <c r="AY35" i="41" s="1"/>
  <c r="AY36" i="41" s="1"/>
  <c r="AY37" i="41" s="1"/>
  <c r="AY38" i="41" s="1"/>
  <c r="AY39" i="41" s="1"/>
  <c r="AY40" i="41" s="1"/>
  <c r="AY41" i="41" s="1"/>
  <c r="AY42" i="41" s="1"/>
  <c r="AY43" i="41" s="1"/>
  <c r="AY44" i="41" s="1"/>
  <c r="AY45" i="41" s="1"/>
  <c r="AY46" i="41" s="1"/>
  <c r="AY47" i="41" s="1"/>
  <c r="AY48" i="41" s="1"/>
  <c r="AY49" i="41" s="1"/>
  <c r="AY50" i="41" s="1"/>
  <c r="AY51" i="41" s="1"/>
  <c r="AY52" i="41" s="1"/>
  <c r="AY53" i="41" s="1"/>
  <c r="AY54" i="41" s="1"/>
  <c r="AY55" i="41" s="1"/>
  <c r="AY56" i="41" s="1"/>
  <c r="AY57" i="41" s="1"/>
  <c r="AY58" i="41" s="1"/>
  <c r="AY59" i="41" s="1"/>
  <c r="AY60" i="41" s="1"/>
  <c r="AY61" i="41" s="1"/>
  <c r="AY62" i="41" s="1"/>
  <c r="AY63" i="41" s="1"/>
  <c r="AY64" i="41" s="1"/>
  <c r="AY65" i="41" s="1"/>
  <c r="AY66" i="41" s="1"/>
  <c r="AY67" i="41" s="1"/>
  <c r="AY68" i="41" s="1"/>
  <c r="AY69" i="41" s="1"/>
  <c r="AY70" i="41" s="1"/>
  <c r="AY71" i="41" s="1"/>
  <c r="AY72" i="41" s="1"/>
  <c r="AY73" i="41" s="1"/>
  <c r="AY74" i="41" s="1"/>
  <c r="AY75" i="41" s="1"/>
  <c r="AY76" i="41" s="1"/>
  <c r="AY77" i="41" s="1"/>
  <c r="AY78" i="41" s="1"/>
  <c r="AY79" i="41" s="1"/>
  <c r="AY80" i="41" s="1"/>
  <c r="AY81" i="41" s="1"/>
  <c r="AY82" i="41" s="1"/>
  <c r="AY83" i="41" s="1"/>
  <c r="AY84" i="41" s="1"/>
  <c r="AY85" i="41" s="1"/>
  <c r="AY86" i="41" s="1"/>
  <c r="AY87" i="41" s="1"/>
  <c r="AY88" i="41" s="1"/>
  <c r="AY89" i="41" s="1"/>
  <c r="AY90" i="41" s="1"/>
  <c r="AY91" i="41" s="1"/>
  <c r="AY92" i="41" s="1"/>
  <c r="AY93" i="41" s="1"/>
  <c r="AY94" i="41" s="1"/>
  <c r="AY95" i="41" s="1"/>
  <c r="AY96" i="41" s="1"/>
  <c r="AY97" i="41" s="1"/>
  <c r="AY98" i="41" s="1"/>
  <c r="AY99" i="41" s="1"/>
  <c r="AY100" i="41" s="1"/>
  <c r="AY101" i="41" s="1"/>
  <c r="AY102" i="41" s="1"/>
  <c r="AY103" i="41" s="1"/>
  <c r="AY104" i="41" s="1"/>
  <c r="AY105" i="41" s="1"/>
  <c r="AY106" i="41" s="1"/>
  <c r="AY107" i="41" s="1"/>
  <c r="AY108" i="41" s="1"/>
  <c r="AY109" i="41" s="1"/>
  <c r="AY110" i="41" s="1"/>
  <c r="AY111" i="41" s="1"/>
  <c r="AY112" i="41" s="1"/>
  <c r="AY113" i="41" s="1"/>
  <c r="AY114" i="41" s="1"/>
  <c r="AY115" i="41" s="1"/>
  <c r="AY116" i="41" s="1"/>
  <c r="AY18" i="41"/>
  <c r="AT17" i="44"/>
  <c r="B19" i="44"/>
  <c r="AY19" i="42"/>
  <c r="AY33" i="42"/>
  <c r="AY34" i="42" s="1"/>
  <c r="AY35" i="42" s="1"/>
  <c r="AY36" i="42" s="1"/>
  <c r="AY37" i="42" s="1"/>
  <c r="AY38" i="42" s="1"/>
  <c r="AY39" i="42" s="1"/>
  <c r="AY40" i="42" s="1"/>
  <c r="AY41" i="42" s="1"/>
  <c r="AY42" i="42" s="1"/>
  <c r="AY43" i="42" s="1"/>
  <c r="AY44" i="42" s="1"/>
  <c r="AY45" i="42" s="1"/>
  <c r="AY46" i="42" s="1"/>
  <c r="AY47" i="42" s="1"/>
  <c r="AY48" i="42" s="1"/>
  <c r="AY49" i="42" s="1"/>
  <c r="AY50" i="42" s="1"/>
  <c r="AY51" i="42" s="1"/>
  <c r="AY52" i="42" s="1"/>
  <c r="AY53" i="42" s="1"/>
  <c r="AY54" i="42" s="1"/>
  <c r="AY55" i="42" s="1"/>
  <c r="AY56" i="42" s="1"/>
  <c r="AY57" i="42" s="1"/>
  <c r="AY58" i="42" s="1"/>
  <c r="AY59" i="42" s="1"/>
  <c r="AY60" i="42" s="1"/>
  <c r="AY61" i="42" s="1"/>
  <c r="AY62" i="42" s="1"/>
  <c r="AY63" i="42" s="1"/>
  <c r="AY64" i="42" s="1"/>
  <c r="AY65" i="42" s="1"/>
  <c r="AY66" i="42" s="1"/>
  <c r="AY67" i="42" s="1"/>
  <c r="AY68" i="42" s="1"/>
  <c r="AY69" i="42" s="1"/>
  <c r="AY70" i="42" s="1"/>
  <c r="AY71" i="42" s="1"/>
  <c r="AY72" i="42" s="1"/>
  <c r="AY73" i="42" s="1"/>
  <c r="AY74" i="42" s="1"/>
  <c r="AY75" i="42" s="1"/>
  <c r="AY76" i="42" s="1"/>
  <c r="AY77" i="42" s="1"/>
  <c r="AY78" i="42" s="1"/>
  <c r="AY79" i="42" s="1"/>
  <c r="AY80" i="42" s="1"/>
  <c r="AY81" i="42" s="1"/>
  <c r="AY82" i="42" s="1"/>
  <c r="AY83" i="42" s="1"/>
  <c r="AY84" i="42" s="1"/>
  <c r="AY85" i="42" s="1"/>
  <c r="AY86" i="42" s="1"/>
  <c r="AY87" i="42" s="1"/>
  <c r="AY88" i="42" s="1"/>
  <c r="AY89" i="42" s="1"/>
  <c r="AY90" i="42" s="1"/>
  <c r="AY91" i="42" s="1"/>
  <c r="AY92" i="42" s="1"/>
  <c r="AY93" i="42" s="1"/>
  <c r="AY94" i="42" s="1"/>
  <c r="AY95" i="42" s="1"/>
  <c r="AY96" i="42" s="1"/>
  <c r="AY97" i="42" s="1"/>
  <c r="AY98" i="42" s="1"/>
  <c r="AY99" i="42" s="1"/>
  <c r="AY100" i="42" s="1"/>
  <c r="AY101" i="42" s="1"/>
  <c r="AY102" i="42" s="1"/>
  <c r="AY103" i="42" s="1"/>
  <c r="AY104" i="42" s="1"/>
  <c r="AY105" i="42" s="1"/>
  <c r="AY106" i="42" s="1"/>
  <c r="AY107" i="42" s="1"/>
  <c r="AY108" i="42" s="1"/>
  <c r="AY109" i="42" s="1"/>
  <c r="AY110" i="42" s="1"/>
  <c r="AY111" i="42" s="1"/>
  <c r="AY112" i="42" s="1"/>
  <c r="AY113" i="42" s="1"/>
  <c r="AY114" i="42" s="1"/>
  <c r="AY115" i="42" s="1"/>
  <c r="AY116" i="42" s="1"/>
  <c r="AV35" i="42"/>
  <c r="AV16" i="42"/>
  <c r="B19" i="42"/>
  <c r="AT17" i="42"/>
  <c r="AV54" i="41"/>
  <c r="AV46" i="41"/>
  <c r="AV42" i="41"/>
  <c r="AV38" i="41"/>
  <c r="AV34" i="41"/>
  <c r="AY22" i="41"/>
  <c r="AY21" i="41"/>
  <c r="AV48" i="41"/>
  <c r="AV44" i="41"/>
  <c r="AV40" i="41"/>
  <c r="AV36" i="41"/>
  <c r="AV52" i="41"/>
  <c r="AV51" i="41"/>
  <c r="AV50" i="41"/>
  <c r="AY16" i="41"/>
  <c r="AV33" i="41"/>
  <c r="B19" i="41"/>
  <c r="AT17" i="41"/>
  <c r="AY16" i="38"/>
  <c r="B19" i="38"/>
  <c r="B20" i="38" s="1"/>
  <c r="AV29" i="38"/>
  <c r="AV21" i="38"/>
  <c r="AV28" i="38"/>
  <c r="AV20" i="38"/>
  <c r="AY31" i="38"/>
  <c r="AY32" i="38" s="1"/>
  <c r="AY33" i="38" s="1"/>
  <c r="AY34" i="38" s="1"/>
  <c r="AY35" i="38" s="1"/>
  <c r="AY36" i="38" s="1"/>
  <c r="AY37" i="38" s="1"/>
  <c r="AY38" i="38" s="1"/>
  <c r="AY39" i="38" s="1"/>
  <c r="AY40" i="38" s="1"/>
  <c r="AY41" i="38" s="1"/>
  <c r="AY42" i="38" s="1"/>
  <c r="AY43" i="38" s="1"/>
  <c r="AY44" i="38" s="1"/>
  <c r="AY45" i="38" s="1"/>
  <c r="AY46" i="38" s="1"/>
  <c r="AY47" i="38" s="1"/>
  <c r="AY48" i="38" s="1"/>
  <c r="AY49" i="38" s="1"/>
  <c r="AY50" i="38" s="1"/>
  <c r="AY51" i="38" s="1"/>
  <c r="AY52" i="38" s="1"/>
  <c r="AY53" i="38" s="1"/>
  <c r="AY54" i="38" s="1"/>
  <c r="AY55" i="38" s="1"/>
  <c r="AY56" i="38" s="1"/>
  <c r="AY57" i="38" s="1"/>
  <c r="AY58" i="38" s="1"/>
  <c r="AY59" i="38" s="1"/>
  <c r="AY60" i="38" s="1"/>
  <c r="AY61" i="38" s="1"/>
  <c r="AY62" i="38" s="1"/>
  <c r="AY63" i="38" s="1"/>
  <c r="AY64" i="38" s="1"/>
  <c r="AY65" i="38" s="1"/>
  <c r="AY66" i="38" s="1"/>
  <c r="AY67" i="38" s="1"/>
  <c r="AY68" i="38" s="1"/>
  <c r="AY69" i="38" s="1"/>
  <c r="AY70" i="38" s="1"/>
  <c r="AY71" i="38" s="1"/>
  <c r="AY72" i="38" s="1"/>
  <c r="AY73" i="38" s="1"/>
  <c r="AY74" i="38" s="1"/>
  <c r="AY75" i="38" s="1"/>
  <c r="AY76" i="38" s="1"/>
  <c r="AY77" i="38" s="1"/>
  <c r="AY78" i="38" s="1"/>
  <c r="AY79" i="38" s="1"/>
  <c r="AY80" i="38" s="1"/>
  <c r="AY81" i="38" s="1"/>
  <c r="AY82" i="38" s="1"/>
  <c r="AY83" i="38" s="1"/>
  <c r="AY84" i="38" s="1"/>
  <c r="AY85" i="38" s="1"/>
  <c r="AY86" i="38" s="1"/>
  <c r="AY87" i="38" s="1"/>
  <c r="AY88" i="38" s="1"/>
  <c r="AY89" i="38" s="1"/>
  <c r="AY90" i="38" s="1"/>
  <c r="AY91" i="38" s="1"/>
  <c r="AY92" i="38" s="1"/>
  <c r="AY93" i="38" s="1"/>
  <c r="AY94" i="38" s="1"/>
  <c r="AY95" i="38" s="1"/>
  <c r="AY96" i="38" s="1"/>
  <c r="AY97" i="38" s="1"/>
  <c r="AY98" i="38" s="1"/>
  <c r="AY99" i="38" s="1"/>
  <c r="AY100" i="38" s="1"/>
  <c r="AY101" i="38" s="1"/>
  <c r="AY102" i="38" s="1"/>
  <c r="AY103" i="38" s="1"/>
  <c r="AY104" i="38" s="1"/>
  <c r="AY105" i="38" s="1"/>
  <c r="AY106" i="38" s="1"/>
  <c r="AY107" i="38" s="1"/>
  <c r="AY108" i="38" s="1"/>
  <c r="AY109" i="38" s="1"/>
  <c r="AY110" i="38" s="1"/>
  <c r="AY111" i="38" s="1"/>
  <c r="AY112" i="38" s="1"/>
  <c r="AY113" i="38" s="1"/>
  <c r="AY114" i="38" s="1"/>
  <c r="AY115" i="38" s="1"/>
  <c r="AY116" i="38" s="1"/>
  <c r="AV26" i="38"/>
  <c r="AV18" i="38"/>
  <c r="AY27" i="38"/>
  <c r="AV23" i="38"/>
  <c r="AV25" i="38"/>
  <c r="AV17" i="38"/>
  <c r="AV24" i="38"/>
  <c r="AT18" i="38"/>
  <c r="AV22" i="38"/>
  <c r="AY19" i="38"/>
  <c r="AV30" i="38"/>
  <c r="AY32" i="34"/>
  <c r="AY33" i="34" s="1"/>
  <c r="AY34" i="34" s="1"/>
  <c r="AY35" i="34" s="1"/>
  <c r="AY36" i="34" s="1"/>
  <c r="AY37" i="34" s="1"/>
  <c r="AY38" i="34" s="1"/>
  <c r="AY39" i="34" s="1"/>
  <c r="AY40" i="34" s="1"/>
  <c r="AY41" i="34" s="1"/>
  <c r="AY42" i="34" s="1"/>
  <c r="AY43" i="34" s="1"/>
  <c r="AY44" i="34" s="1"/>
  <c r="AY45" i="34" s="1"/>
  <c r="AY46" i="34" s="1"/>
  <c r="AY47" i="34" s="1"/>
  <c r="AY48" i="34" s="1"/>
  <c r="AY49" i="34" s="1"/>
  <c r="AY50" i="34" s="1"/>
  <c r="AY51" i="34" s="1"/>
  <c r="AY52" i="34" s="1"/>
  <c r="AY53" i="34" s="1"/>
  <c r="AY54" i="34" s="1"/>
  <c r="AY55" i="34" s="1"/>
  <c r="AY56" i="34" s="1"/>
  <c r="AY57" i="34" s="1"/>
  <c r="AY58" i="34" s="1"/>
  <c r="AY59" i="34" s="1"/>
  <c r="AY60" i="34" s="1"/>
  <c r="AY61" i="34" s="1"/>
  <c r="AY62" i="34" s="1"/>
  <c r="AY63" i="34" s="1"/>
  <c r="AY64" i="34" s="1"/>
  <c r="AY65" i="34" s="1"/>
  <c r="AY66" i="34" s="1"/>
  <c r="AY67" i="34" s="1"/>
  <c r="AY68" i="34" s="1"/>
  <c r="AY69" i="34" s="1"/>
  <c r="AY70" i="34" s="1"/>
  <c r="AY71" i="34" s="1"/>
  <c r="AY72" i="34" s="1"/>
  <c r="AY73" i="34" s="1"/>
  <c r="AY74" i="34" s="1"/>
  <c r="AY75" i="34" s="1"/>
  <c r="AY76" i="34" s="1"/>
  <c r="AY77" i="34" s="1"/>
  <c r="AY78" i="34" s="1"/>
  <c r="AY79" i="34" s="1"/>
  <c r="AY80" i="34" s="1"/>
  <c r="AY81" i="34" s="1"/>
  <c r="AY82" i="34" s="1"/>
  <c r="AY83" i="34" s="1"/>
  <c r="AY84" i="34" s="1"/>
  <c r="AY85" i="34" s="1"/>
  <c r="AY86" i="34" s="1"/>
  <c r="AY87" i="34" s="1"/>
  <c r="AY88" i="34" s="1"/>
  <c r="AY89" i="34" s="1"/>
  <c r="AY90" i="34" s="1"/>
  <c r="AY91" i="34" s="1"/>
  <c r="AY92" i="34" s="1"/>
  <c r="AY93" i="34" s="1"/>
  <c r="AY94" i="34" s="1"/>
  <c r="AY95" i="34" s="1"/>
  <c r="AY96" i="34" s="1"/>
  <c r="AY97" i="34" s="1"/>
  <c r="AY98" i="34" s="1"/>
  <c r="AY99" i="34" s="1"/>
  <c r="AY100" i="34" s="1"/>
  <c r="AY101" i="34" s="1"/>
  <c r="AY102" i="34" s="1"/>
  <c r="AY103" i="34" s="1"/>
  <c r="AY104" i="34" s="1"/>
  <c r="AY105" i="34" s="1"/>
  <c r="AY106" i="34" s="1"/>
  <c r="AY107" i="34" s="1"/>
  <c r="AY108" i="34" s="1"/>
  <c r="AY109" i="34" s="1"/>
  <c r="AY110" i="34" s="1"/>
  <c r="AY111" i="34" s="1"/>
  <c r="AY112" i="34" s="1"/>
  <c r="AY113" i="34" s="1"/>
  <c r="AY114" i="34" s="1"/>
  <c r="AY115" i="34" s="1"/>
  <c r="AY116" i="34" s="1"/>
  <c r="AV31" i="34"/>
  <c r="B19" i="34"/>
  <c r="AV26" i="34"/>
  <c r="AV24" i="34"/>
  <c r="AV19" i="34"/>
  <c r="AV30" i="34"/>
  <c r="AV17" i="34"/>
  <c r="AV33" i="34"/>
  <c r="AY25" i="34"/>
  <c r="AY29" i="34"/>
  <c r="AY27" i="34"/>
  <c r="AY23" i="34"/>
  <c r="AV21" i="34"/>
  <c r="AV22" i="34"/>
  <c r="B20" i="34"/>
  <c r="AT18" i="34"/>
  <c r="AV36" i="34"/>
  <c r="AV20" i="34"/>
  <c r="AY28" i="34"/>
  <c r="AV32" i="34"/>
  <c r="AV16" i="34"/>
  <c r="AV34" i="34"/>
  <c r="AV18" i="34"/>
  <c r="K15" i="45" a="1"/>
  <c r="K17" i="45" a="1"/>
  <c r="K16" i="45" a="1"/>
  <c r="A859" i="40"/>
  <c r="B859" i="40"/>
  <c r="F857" i="40" a="1"/>
  <c r="F1360" i="40" a="1"/>
  <c r="F858" i="40" a="1"/>
  <c r="D860" i="40" l="1"/>
  <c r="D861" i="40" s="1"/>
  <c r="D862" i="40" s="1"/>
  <c r="D863" i="40" s="1"/>
  <c r="D864" i="40" s="1"/>
  <c r="F857" i="40"/>
  <c r="F858" i="40"/>
  <c r="F1360" i="40"/>
  <c r="F859" i="40"/>
  <c r="AT63" i="54"/>
  <c r="B65" i="54"/>
  <c r="AT24" i="54"/>
  <c r="B26" i="54"/>
  <c r="AT25" i="51"/>
  <c r="B27" i="51"/>
  <c r="AT24" i="49"/>
  <c r="B26" i="49"/>
  <c r="K16" i="45"/>
  <c r="K15" i="45"/>
  <c r="K17" i="45"/>
  <c r="AT18" i="44"/>
  <c r="B20" i="44"/>
  <c r="B20" i="42"/>
  <c r="AT18" i="42"/>
  <c r="B20" i="41"/>
  <c r="AT18" i="41"/>
  <c r="B21" i="38"/>
  <c r="AT19" i="38"/>
  <c r="B21" i="34"/>
  <c r="AT19" i="34"/>
  <c r="B1362" i="40" a="1"/>
  <c r="B1362" i="40" l="1"/>
  <c r="B66" i="54"/>
  <c r="AT64" i="54"/>
  <c r="B27" i="54"/>
  <c r="AT25" i="54"/>
  <c r="B28" i="51"/>
  <c r="AT26" i="51"/>
  <c r="B27" i="49"/>
  <c r="AT25" i="49"/>
  <c r="AT19" i="44"/>
  <c r="B21" i="44"/>
  <c r="B21" i="42"/>
  <c r="AT19" i="42"/>
  <c r="B21" i="41"/>
  <c r="AT19" i="41"/>
  <c r="AT20" i="38"/>
  <c r="B22" i="38"/>
  <c r="AT20" i="34"/>
  <c r="B22" i="34"/>
  <c r="F1362" i="40" a="1"/>
  <c r="B1363" i="40"/>
  <c r="B860" i="40" a="1"/>
  <c r="F1362" i="40" l="1"/>
  <c r="B860" i="40"/>
  <c r="B67" i="54"/>
  <c r="AT65" i="54"/>
  <c r="AT26" i="54"/>
  <c r="B28" i="54"/>
  <c r="AT27" i="51"/>
  <c r="B29" i="51"/>
  <c r="B28" i="49"/>
  <c r="AT26" i="49"/>
  <c r="AT20" i="44"/>
  <c r="B22" i="44"/>
  <c r="AT21" i="44" s="1"/>
  <c r="B22" i="42"/>
  <c r="AT20" i="42"/>
  <c r="B22" i="41"/>
  <c r="AT20" i="41"/>
  <c r="AT21" i="38"/>
  <c r="B23" i="38"/>
  <c r="AT21" i="34"/>
  <c r="B23" i="34"/>
  <c r="B1364" i="40"/>
  <c r="F860" i="40" a="1"/>
  <c r="F1363" i="40" a="1"/>
  <c r="B861" i="40"/>
  <c r="F1363" i="40" l="1"/>
  <c r="F860" i="40"/>
  <c r="B68" i="54"/>
  <c r="AT66" i="54"/>
  <c r="B29" i="54"/>
  <c r="AT27" i="54"/>
  <c r="AT28" i="51"/>
  <c r="C11" i="51" s="1"/>
  <c r="V3" i="51" s="1"/>
  <c r="C14" i="51"/>
  <c r="AT27" i="49"/>
  <c r="B29" i="49"/>
  <c r="C11" i="44"/>
  <c r="C14" i="44"/>
  <c r="B23" i="42"/>
  <c r="AT21" i="42"/>
  <c r="B23" i="41"/>
  <c r="AT21" i="41"/>
  <c r="B24" i="38"/>
  <c r="AT22" i="38"/>
  <c r="B24" i="34"/>
  <c r="AT22" i="34"/>
  <c r="M21" i="45" a="1"/>
  <c r="N14" i="45" a="1"/>
  <c r="N21" i="45" a="1"/>
  <c r="M14" i="45" a="1"/>
  <c r="B862" i="40"/>
  <c r="B1365" i="40"/>
  <c r="F1364" i="40" a="1"/>
  <c r="F861" i="40" a="1"/>
  <c r="F861" i="40" l="1"/>
  <c r="F1364" i="40"/>
  <c r="AT67" i="54"/>
  <c r="B69" i="54"/>
  <c r="V3" i="44"/>
  <c r="B136" i="44"/>
  <c r="AT28" i="54"/>
  <c r="B30" i="54"/>
  <c r="N21" i="45"/>
  <c r="M21" i="45"/>
  <c r="B136" i="51"/>
  <c r="E14" i="51"/>
  <c r="AT28" i="49"/>
  <c r="B30" i="49"/>
  <c r="M14" i="45"/>
  <c r="N14" i="45"/>
  <c r="E14" i="44"/>
  <c r="B24" i="42"/>
  <c r="AT22" i="42"/>
  <c r="B24" i="41"/>
  <c r="AT22" i="41"/>
  <c r="B25" i="38"/>
  <c r="AT23" i="38"/>
  <c r="B25" i="34"/>
  <c r="AT23" i="34"/>
  <c r="B1366" i="40"/>
  <c r="B863" i="40"/>
  <c r="A1366" i="40"/>
  <c r="F862" i="40" a="1"/>
  <c r="B864" i="40"/>
  <c r="F1365" i="40" a="1"/>
  <c r="A864" i="40"/>
  <c r="D865" i="40" l="1"/>
  <c r="D866" i="40" s="1"/>
  <c r="D867" i="40" s="1"/>
  <c r="D868" i="40" s="1"/>
  <c r="D869" i="40" s="1"/>
  <c r="D1367" i="40"/>
  <c r="D1368" i="40" s="1"/>
  <c r="D1369" i="40" s="1"/>
  <c r="D1370" i="40" s="1"/>
  <c r="D1371" i="40" s="1"/>
  <c r="F1365" i="40"/>
  <c r="F862" i="40"/>
  <c r="F1366" i="40"/>
  <c r="F864" i="40"/>
  <c r="B70" i="54"/>
  <c r="AT68" i="54"/>
  <c r="V2" i="44"/>
  <c r="S120" i="44"/>
  <c r="Z124" i="44" s="1"/>
  <c r="B31" i="54"/>
  <c r="AT29" i="54"/>
  <c r="V2" i="51"/>
  <c r="S120" i="51"/>
  <c r="Z124" i="51" s="1"/>
  <c r="B31" i="49"/>
  <c r="AT29" i="49"/>
  <c r="B25" i="42"/>
  <c r="AT23" i="42"/>
  <c r="B25" i="41"/>
  <c r="AT23" i="41"/>
  <c r="AT24" i="38"/>
  <c r="B26" i="38"/>
  <c r="AT24" i="34"/>
  <c r="B26" i="34"/>
  <c r="Q14" i="45" a="1"/>
  <c r="Q21" i="45" a="1"/>
  <c r="F863" i="40" a="1"/>
  <c r="F863" i="40" l="1"/>
  <c r="Q14" i="45"/>
  <c r="Q21" i="45"/>
  <c r="X124" i="44"/>
  <c r="X124" i="51"/>
  <c r="B71" i="54"/>
  <c r="AT69" i="54"/>
  <c r="AT30" i="54"/>
  <c r="B32" i="54"/>
  <c r="B32" i="49"/>
  <c r="AT30" i="49"/>
  <c r="B26" i="42"/>
  <c r="AT24" i="42"/>
  <c r="B26" i="41"/>
  <c r="AT24" i="41"/>
  <c r="AT25" i="38"/>
  <c r="B27" i="38"/>
  <c r="AT25" i="34"/>
  <c r="B27" i="34"/>
  <c r="B1367" i="40" a="1"/>
  <c r="B865" i="40" a="1"/>
  <c r="B1367" i="40" l="1"/>
  <c r="B865" i="40"/>
  <c r="B72" i="54"/>
  <c r="AT70" i="54"/>
  <c r="B33" i="54"/>
  <c r="AT31" i="54"/>
  <c r="AT31" i="49"/>
  <c r="C11" i="49" s="1"/>
  <c r="B136" i="49" s="1"/>
  <c r="C14" i="49"/>
  <c r="B27" i="42"/>
  <c r="AT25" i="42"/>
  <c r="B27" i="41"/>
  <c r="AT25" i="41"/>
  <c r="B28" i="38"/>
  <c r="AT26" i="38"/>
  <c r="B28" i="34"/>
  <c r="AT26" i="34"/>
  <c r="M19" i="45" a="1"/>
  <c r="N19" i="45" a="1"/>
  <c r="F1367" i="40" a="1"/>
  <c r="B1368" i="40"/>
  <c r="B866" i="40"/>
  <c r="F865" i="40" a="1"/>
  <c r="F1367" i="40" l="1"/>
  <c r="F865" i="40"/>
  <c r="AT71" i="54"/>
  <c r="B73" i="54"/>
  <c r="AT32" i="54"/>
  <c r="B34" i="54"/>
  <c r="M19" i="45"/>
  <c r="N19" i="45"/>
  <c r="V3" i="49"/>
  <c r="E14" i="49"/>
  <c r="B28" i="42"/>
  <c r="AT26" i="42"/>
  <c r="B28" i="41"/>
  <c r="AT26" i="41"/>
  <c r="B29" i="38"/>
  <c r="AT27" i="38"/>
  <c r="B29" i="34"/>
  <c r="AT27" i="34"/>
  <c r="F1368" i="40" a="1"/>
  <c r="B867" i="40"/>
  <c r="F866" i="40" a="1"/>
  <c r="B1369" i="40"/>
  <c r="F1368" i="40" l="1"/>
  <c r="F866" i="40"/>
  <c r="B74" i="54"/>
  <c r="AT72" i="54"/>
  <c r="V2" i="49"/>
  <c r="S120" i="49"/>
  <c r="Z124" i="49" s="1"/>
  <c r="B35" i="54"/>
  <c r="AT33" i="54"/>
  <c r="B29" i="42"/>
  <c r="AT27" i="42"/>
  <c r="B29" i="41"/>
  <c r="AT27" i="41"/>
  <c r="AT28" i="38"/>
  <c r="B30" i="38"/>
  <c r="AT28" i="34"/>
  <c r="B30" i="34"/>
  <c r="Q19" i="45" a="1"/>
  <c r="A1371" i="40"/>
  <c r="F1369" i="40" a="1"/>
  <c r="F867" i="40" a="1"/>
  <c r="B1370" i="40"/>
  <c r="B868" i="40"/>
  <c r="B1371" i="40"/>
  <c r="D1372" i="40" l="1"/>
  <c r="D1373" i="40" s="1"/>
  <c r="D1374" i="40" s="1"/>
  <c r="D1375" i="40" s="1"/>
  <c r="D1376" i="40" s="1"/>
  <c r="F867" i="40"/>
  <c r="F1369" i="40"/>
  <c r="Q19" i="45"/>
  <c r="X124" i="49"/>
  <c r="F1371" i="40"/>
  <c r="B75" i="54"/>
  <c r="AT73" i="54"/>
  <c r="AT34" i="54"/>
  <c r="B36" i="54"/>
  <c r="B30" i="42"/>
  <c r="AT28" i="42"/>
  <c r="B30" i="41"/>
  <c r="AT28" i="41"/>
  <c r="AT29" i="38"/>
  <c r="B31" i="38"/>
  <c r="B32" i="38" s="1"/>
  <c r="AT29" i="34"/>
  <c r="B31" i="34"/>
  <c r="A869" i="40"/>
  <c r="B869" i="40"/>
  <c r="F868" i="40" a="1"/>
  <c r="F1370" i="40" a="1"/>
  <c r="D870" i="40" l="1"/>
  <c r="D871" i="40" s="1"/>
  <c r="D872" i="40" s="1"/>
  <c r="D873" i="40" s="1"/>
  <c r="D874" i="40" s="1"/>
  <c r="F1370" i="40"/>
  <c r="F868" i="40"/>
  <c r="F869" i="40"/>
  <c r="B76" i="54"/>
  <c r="AT74" i="54"/>
  <c r="B37" i="54"/>
  <c r="AT35" i="54"/>
  <c r="B31" i="42"/>
  <c r="AT29" i="42"/>
  <c r="B31" i="41"/>
  <c r="AT29" i="41"/>
  <c r="B33" i="38"/>
  <c r="AT31" i="38"/>
  <c r="AT30" i="38"/>
  <c r="B32" i="34"/>
  <c r="AT30" i="34"/>
  <c r="B1372" i="40" a="1"/>
  <c r="B1372" i="40" l="1"/>
  <c r="B77" i="54"/>
  <c r="AT75" i="54"/>
  <c r="AT36" i="54"/>
  <c r="B38" i="54"/>
  <c r="B32" i="42"/>
  <c r="AT30" i="42"/>
  <c r="B32" i="41"/>
  <c r="AT30" i="41"/>
  <c r="AT32" i="38"/>
  <c r="B34" i="38"/>
  <c r="B33" i="34"/>
  <c r="AT31" i="34"/>
  <c r="M22" i="45" a="1"/>
  <c r="B1373" i="40"/>
  <c r="B870" i="40" a="1"/>
  <c r="F1372" i="40" a="1"/>
  <c r="F1372" i="40" l="1"/>
  <c r="B870" i="40"/>
  <c r="B78" i="54"/>
  <c r="AT76" i="54"/>
  <c r="B39" i="54"/>
  <c r="AT37" i="54"/>
  <c r="M22" i="45"/>
  <c r="F20" i="40"/>
  <c r="B33" i="42"/>
  <c r="AT31" i="42"/>
  <c r="B33" i="41"/>
  <c r="AT31" i="41"/>
  <c r="AT33" i="38"/>
  <c r="B35" i="38"/>
  <c r="AT32" i="34"/>
  <c r="B34" i="34"/>
  <c r="F1373" i="40" a="1"/>
  <c r="B871" i="40"/>
  <c r="F870" i="40" a="1"/>
  <c r="B1374" i="40"/>
  <c r="F1373" i="40" l="1"/>
  <c r="F870" i="40"/>
  <c r="B79" i="54"/>
  <c r="AT77" i="54"/>
  <c r="AT38" i="54"/>
  <c r="B40" i="54"/>
  <c r="B34" i="42"/>
  <c r="AT32" i="42"/>
  <c r="B34" i="41"/>
  <c r="AT32" i="41"/>
  <c r="B36" i="38"/>
  <c r="AT34" i="38"/>
  <c r="AT33" i="34"/>
  <c r="B35" i="34"/>
  <c r="Q25" i="45" a="1"/>
  <c r="B1375" i="40"/>
  <c r="F1374" i="40" a="1"/>
  <c r="B872" i="40"/>
  <c r="F871" i="40" a="1"/>
  <c r="Q25" i="45" l="1"/>
  <c r="F1374" i="40"/>
  <c r="F871" i="40"/>
  <c r="B80" i="54"/>
  <c r="AT78" i="54"/>
  <c r="B41" i="54"/>
  <c r="AT39" i="54"/>
  <c r="B35" i="42"/>
  <c r="AT33" i="42"/>
  <c r="B35" i="41"/>
  <c r="AT33" i="41"/>
  <c r="AT35" i="38"/>
  <c r="B37" i="38"/>
  <c r="B36" i="34"/>
  <c r="AT34" i="34"/>
  <c r="A874" i="40"/>
  <c r="F872" i="40" a="1"/>
  <c r="B874" i="40"/>
  <c r="B1376" i="40"/>
  <c r="F1375" i="40" a="1"/>
  <c r="B873" i="40"/>
  <c r="A1376" i="40"/>
  <c r="D875" i="40" l="1"/>
  <c r="D876" i="40" s="1"/>
  <c r="D877" i="40" s="1"/>
  <c r="D878" i="40" s="1"/>
  <c r="D879" i="40" s="1"/>
  <c r="D1377" i="40"/>
  <c r="D1378" i="40" s="1"/>
  <c r="D1379" i="40" s="1"/>
  <c r="D1380" i="40" s="1"/>
  <c r="D1381" i="40" s="1"/>
  <c r="F1375" i="40"/>
  <c r="F872" i="40"/>
  <c r="F1376" i="40"/>
  <c r="F874" i="40"/>
  <c r="AT79" i="54"/>
  <c r="B81" i="54"/>
  <c r="AT40" i="54"/>
  <c r="B42" i="54"/>
  <c r="B36" i="42"/>
  <c r="AT34" i="42"/>
  <c r="B36" i="41"/>
  <c r="AT34" i="41"/>
  <c r="B38" i="38"/>
  <c r="AT36" i="38"/>
  <c r="B37" i="34"/>
  <c r="AT35" i="34"/>
  <c r="F873" i="40" a="1"/>
  <c r="F873" i="40" l="1"/>
  <c r="B82" i="54"/>
  <c r="AT80" i="54"/>
  <c r="BX101" i="11"/>
  <c r="BW2" i="11" s="1"/>
  <c r="B43" i="54"/>
  <c r="AT41" i="54"/>
  <c r="B37" i="42"/>
  <c r="AT35" i="42"/>
  <c r="B37" i="41"/>
  <c r="AT35" i="41"/>
  <c r="B39" i="38"/>
  <c r="AT37" i="38"/>
  <c r="AT36" i="34"/>
  <c r="B38" i="34"/>
  <c r="B83" i="54" l="1"/>
  <c r="AT81" i="54"/>
  <c r="AT42" i="54"/>
  <c r="B44" i="54"/>
  <c r="B38" i="42"/>
  <c r="AT36" i="42"/>
  <c r="B38" i="41"/>
  <c r="AT36" i="41"/>
  <c r="B40" i="38"/>
  <c r="AT38" i="38"/>
  <c r="AT37" i="34"/>
  <c r="B39" i="34"/>
  <c r="B84" i="54" l="1"/>
  <c r="AT82" i="54"/>
  <c r="B45" i="54"/>
  <c r="AT43" i="54"/>
  <c r="B39" i="42"/>
  <c r="AT37" i="42"/>
  <c r="B39" i="41"/>
  <c r="AT37" i="41"/>
  <c r="AT39" i="38"/>
  <c r="B41" i="38"/>
  <c r="B40" i="34"/>
  <c r="AT38" i="34"/>
  <c r="B85" i="54" l="1"/>
  <c r="AT83" i="54"/>
  <c r="AT44" i="54"/>
  <c r="B46" i="54"/>
  <c r="B40" i="42"/>
  <c r="AT38" i="42"/>
  <c r="B40" i="41"/>
  <c r="AT38" i="41"/>
  <c r="AT40" i="38"/>
  <c r="B42" i="38"/>
  <c r="B41" i="34"/>
  <c r="AT39" i="34"/>
  <c r="B86" i="54" l="1"/>
  <c r="AT84" i="54"/>
  <c r="B47" i="54"/>
  <c r="AT45" i="54"/>
  <c r="B41" i="42"/>
  <c r="AT39" i="42"/>
  <c r="B41" i="41"/>
  <c r="AT39" i="41"/>
  <c r="AT41" i="38"/>
  <c r="B43" i="38"/>
  <c r="AT40" i="34"/>
  <c r="B42" i="34"/>
  <c r="B876" i="40"/>
  <c r="A56" i="40" a="1"/>
  <c r="B878" i="40"/>
  <c r="B1377" i="40" a="1"/>
  <c r="A50" i="40" a="1"/>
  <c r="B1378" i="40"/>
  <c r="B877" i="40"/>
  <c r="F877" i="40" s="1" a="1"/>
  <c r="A879" i="40"/>
  <c r="A49" i="40" a="1"/>
  <c r="B1380" i="40"/>
  <c r="A51" i="40" a="1"/>
  <c r="B1379" i="40"/>
  <c r="F878" i="40" a="1"/>
  <c r="A54" i="40" a="1"/>
  <c r="A55" i="40" a="1"/>
  <c r="B1381" i="40"/>
  <c r="A53" i="40" a="1"/>
  <c r="A48" i="40" a="1"/>
  <c r="F876" i="40" a="1"/>
  <c r="B875" i="40" a="1"/>
  <c r="B879" i="40"/>
  <c r="A52" i="40" a="1"/>
  <c r="A1381" i="40"/>
  <c r="A48" i="40" l="1"/>
  <c r="A49" i="40"/>
  <c r="A56" i="40"/>
  <c r="A51" i="40"/>
  <c r="F876" i="40"/>
  <c r="B1377" i="40"/>
  <c r="F877" i="40"/>
  <c r="A54" i="40"/>
  <c r="A52" i="40"/>
  <c r="B875" i="40"/>
  <c r="A50" i="40"/>
  <c r="A53" i="40"/>
  <c r="A55" i="40"/>
  <c r="D880" i="40"/>
  <c r="D881" i="40" s="1"/>
  <c r="D882" i="40" s="1"/>
  <c r="D883" i="40" s="1"/>
  <c r="D884" i="40" s="1"/>
  <c r="D1382" i="40"/>
  <c r="D1383" i="40" s="1"/>
  <c r="D1384" i="40" s="1"/>
  <c r="D1385" i="40" s="1"/>
  <c r="D1386" i="40" s="1"/>
  <c r="F878" i="40"/>
  <c r="F1381" i="40"/>
  <c r="F879" i="40"/>
  <c r="B87" i="54"/>
  <c r="AT85" i="54"/>
  <c r="AT46" i="54"/>
  <c r="B48" i="54"/>
  <c r="B42" i="42"/>
  <c r="AT40" i="42"/>
  <c r="B42" i="41"/>
  <c r="AT40" i="41"/>
  <c r="B44" i="38"/>
  <c r="AT42" i="38"/>
  <c r="AT41" i="34"/>
  <c r="C11" i="34" s="1"/>
  <c r="C14" i="34"/>
  <c r="N15" i="45" a="1"/>
  <c r="M15" i="45" a="1"/>
  <c r="F1379" i="40" a="1"/>
  <c r="F1380" i="40" a="1"/>
  <c r="F1377" i="40" a="1"/>
  <c r="F1378" i="40" a="1"/>
  <c r="F875" i="40" a="1"/>
  <c r="F1380" i="40" l="1"/>
  <c r="F1379" i="40"/>
  <c r="F1378" i="40"/>
  <c r="F1377" i="40"/>
  <c r="F875" i="40"/>
  <c r="B88" i="54"/>
  <c r="AT86" i="54"/>
  <c r="V3" i="34"/>
  <c r="B136" i="34"/>
  <c r="B49" i="54"/>
  <c r="AT47" i="54"/>
  <c r="M15" i="45"/>
  <c r="N15" i="45"/>
  <c r="E14" i="34"/>
  <c r="B43" i="42"/>
  <c r="AT41" i="42"/>
  <c r="B43" i="41"/>
  <c r="AT41" i="41"/>
  <c r="AT43" i="38"/>
  <c r="B45" i="38"/>
  <c r="B1382" i="40" a="1"/>
  <c r="B880" i="40" a="1"/>
  <c r="B1382" i="40" l="1"/>
  <c r="B880" i="40"/>
  <c r="AT87" i="54"/>
  <c r="B89" i="54"/>
  <c r="V2" i="34"/>
  <c r="S120" i="34"/>
  <c r="Z124" i="34" s="1"/>
  <c r="AT48" i="54"/>
  <c r="B50" i="54"/>
  <c r="B44" i="42"/>
  <c r="AT42" i="42"/>
  <c r="B44" i="41"/>
  <c r="AT42" i="41"/>
  <c r="B46" i="38"/>
  <c r="AT44" i="38"/>
  <c r="Z17" i="30"/>
  <c r="Z18" i="30"/>
  <c r="Z19" i="30"/>
  <c r="Z20" i="30"/>
  <c r="Z21" i="30"/>
  <c r="Z22" i="30"/>
  <c r="Z23" i="30"/>
  <c r="Z24" i="30"/>
  <c r="Z25" i="30"/>
  <c r="Z26" i="30"/>
  <c r="Z27" i="30"/>
  <c r="Z28" i="30"/>
  <c r="Z29" i="30"/>
  <c r="Z30" i="30"/>
  <c r="Z31" i="30"/>
  <c r="Z32" i="30"/>
  <c r="Z33" i="30"/>
  <c r="Z34" i="30"/>
  <c r="Z35" i="30"/>
  <c r="Z36" i="30"/>
  <c r="Z37" i="30"/>
  <c r="Z38" i="30"/>
  <c r="Z39" i="30"/>
  <c r="Z40" i="30"/>
  <c r="Z41" i="30"/>
  <c r="Z42" i="30"/>
  <c r="Z43" i="30"/>
  <c r="Z44" i="30"/>
  <c r="Z45" i="30"/>
  <c r="Z46" i="30"/>
  <c r="Z47" i="30"/>
  <c r="Z48" i="30"/>
  <c r="Z49" i="30"/>
  <c r="Z50" i="30"/>
  <c r="Z51" i="30"/>
  <c r="Z52" i="30"/>
  <c r="Z53" i="30"/>
  <c r="Z54" i="30"/>
  <c r="Z55" i="30"/>
  <c r="Z56" i="30"/>
  <c r="Z57" i="30"/>
  <c r="Z58" i="30"/>
  <c r="Z59" i="30"/>
  <c r="Z60" i="30"/>
  <c r="Z61" i="30"/>
  <c r="Z62" i="30"/>
  <c r="Z63" i="30"/>
  <c r="Z64" i="30"/>
  <c r="Z65" i="30"/>
  <c r="Z66" i="30"/>
  <c r="Z67" i="30"/>
  <c r="Z68" i="30"/>
  <c r="Z69" i="30"/>
  <c r="Z70" i="30"/>
  <c r="Z71" i="30"/>
  <c r="Z72" i="30"/>
  <c r="Z73" i="30"/>
  <c r="Z74" i="30"/>
  <c r="Z75" i="30"/>
  <c r="Z76" i="30"/>
  <c r="Z77" i="30"/>
  <c r="Z78" i="30"/>
  <c r="Z79" i="30"/>
  <c r="Z80" i="30"/>
  <c r="Z81" i="30"/>
  <c r="Z82" i="30"/>
  <c r="Z83" i="30"/>
  <c r="Z84" i="30"/>
  <c r="Z85" i="30"/>
  <c r="Z86" i="30"/>
  <c r="Z87" i="30"/>
  <c r="Z88" i="30"/>
  <c r="Z89" i="30"/>
  <c r="Z90" i="30"/>
  <c r="Z91" i="30"/>
  <c r="Z92" i="30"/>
  <c r="Z93" i="30"/>
  <c r="Z94" i="30"/>
  <c r="Z95" i="30"/>
  <c r="Z96" i="30"/>
  <c r="Z97" i="30"/>
  <c r="Z98" i="30"/>
  <c r="Z99" i="30"/>
  <c r="Z100" i="30"/>
  <c r="Z101" i="30"/>
  <c r="Z102" i="30"/>
  <c r="Z103" i="30"/>
  <c r="Z104" i="30"/>
  <c r="Z105" i="30"/>
  <c r="Z106" i="30"/>
  <c r="Z107" i="30"/>
  <c r="Z108" i="30"/>
  <c r="Z109" i="30"/>
  <c r="Z110" i="30"/>
  <c r="Z111" i="30"/>
  <c r="Z112" i="30"/>
  <c r="Z113" i="30"/>
  <c r="Z114" i="30"/>
  <c r="Z115" i="30"/>
  <c r="Z16" i="30"/>
  <c r="AT116" i="30"/>
  <c r="AT115" i="30"/>
  <c r="AT114" i="30"/>
  <c r="AT113" i="30"/>
  <c r="AT112" i="30"/>
  <c r="AT111" i="30"/>
  <c r="AT110" i="30"/>
  <c r="AT109" i="30"/>
  <c r="AT108" i="30"/>
  <c r="AT107" i="30"/>
  <c r="AT106" i="30"/>
  <c r="AT105" i="30"/>
  <c r="AT104" i="30"/>
  <c r="AT103" i="30"/>
  <c r="AT102" i="30"/>
  <c r="AT101" i="30"/>
  <c r="AT100" i="30"/>
  <c r="AT99" i="30"/>
  <c r="AT98" i="30"/>
  <c r="AT97" i="30"/>
  <c r="AT96" i="30"/>
  <c r="AT95" i="30"/>
  <c r="AT94" i="30"/>
  <c r="AT93" i="30"/>
  <c r="AT92" i="30"/>
  <c r="AT91" i="30"/>
  <c r="AT90" i="30"/>
  <c r="AT89" i="30"/>
  <c r="AT88" i="30"/>
  <c r="AT87" i="30"/>
  <c r="AT86" i="30"/>
  <c r="AT85" i="30"/>
  <c r="AT84" i="30"/>
  <c r="AT83" i="30"/>
  <c r="AT82" i="30"/>
  <c r="AT81" i="30"/>
  <c r="AT80" i="30"/>
  <c r="AT79" i="30"/>
  <c r="AT78" i="30"/>
  <c r="AT77" i="30"/>
  <c r="AT76" i="30"/>
  <c r="AT75" i="30"/>
  <c r="AT74" i="30"/>
  <c r="AT73" i="30"/>
  <c r="AT72" i="30"/>
  <c r="AT71" i="30"/>
  <c r="AT70" i="30"/>
  <c r="AT69" i="30"/>
  <c r="AT68" i="30"/>
  <c r="AT67" i="30"/>
  <c r="AT66" i="30"/>
  <c r="AT65" i="30"/>
  <c r="AT64" i="30"/>
  <c r="AT63" i="30"/>
  <c r="AT62" i="30"/>
  <c r="AT61" i="30"/>
  <c r="AT60" i="30"/>
  <c r="AT59" i="30"/>
  <c r="AT58" i="30"/>
  <c r="AT57" i="30"/>
  <c r="AT56" i="30"/>
  <c r="AT55" i="30"/>
  <c r="AT54" i="30"/>
  <c r="AT53" i="30"/>
  <c r="AT52" i="30"/>
  <c r="AT51" i="30"/>
  <c r="AT50" i="30"/>
  <c r="AT49" i="30"/>
  <c r="AT48" i="30"/>
  <c r="AT47" i="30"/>
  <c r="AT46" i="30"/>
  <c r="AT45" i="30"/>
  <c r="AT44" i="30"/>
  <c r="AT43" i="30"/>
  <c r="Q15" i="45" a="1"/>
  <c r="B1383" i="40"/>
  <c r="F880" i="40" a="1"/>
  <c r="B881" i="40"/>
  <c r="F1382" i="40" a="1"/>
  <c r="Q15" i="45" l="1"/>
  <c r="X124" i="34"/>
  <c r="F1382" i="40"/>
  <c r="F880" i="40"/>
  <c r="B90" i="54"/>
  <c r="AT88" i="54"/>
  <c r="B51" i="54"/>
  <c r="AT49" i="54"/>
  <c r="B45" i="42"/>
  <c r="AT43" i="42"/>
  <c r="B45" i="41"/>
  <c r="AT43" i="41"/>
  <c r="B47" i="38"/>
  <c r="AT45" i="38"/>
  <c r="S17" i="30"/>
  <c r="S18" i="30"/>
  <c r="S19" i="30"/>
  <c r="S20" i="30"/>
  <c r="S21" i="30"/>
  <c r="S22" i="30"/>
  <c r="S23" i="30"/>
  <c r="S24" i="30"/>
  <c r="S25" i="30"/>
  <c r="S26" i="30"/>
  <c r="S27" i="30"/>
  <c r="S28" i="30"/>
  <c r="S29" i="30"/>
  <c r="S30" i="30"/>
  <c r="S31" i="30"/>
  <c r="S32" i="30"/>
  <c r="S33" i="30"/>
  <c r="S34" i="30"/>
  <c r="S35" i="30"/>
  <c r="S36" i="30"/>
  <c r="S37" i="30"/>
  <c r="S38" i="30"/>
  <c r="S39" i="30"/>
  <c r="S40" i="30"/>
  <c r="S41" i="30"/>
  <c r="S42" i="30"/>
  <c r="S43" i="30"/>
  <c r="S44" i="30"/>
  <c r="S45" i="30"/>
  <c r="S46" i="30"/>
  <c r="S47" i="30"/>
  <c r="S48" i="30"/>
  <c r="S49" i="30"/>
  <c r="S50" i="30"/>
  <c r="S51" i="30"/>
  <c r="S52" i="30"/>
  <c r="S53" i="30"/>
  <c r="S54" i="30"/>
  <c r="S55" i="30"/>
  <c r="S56" i="30"/>
  <c r="S57" i="30"/>
  <c r="S58" i="30"/>
  <c r="S59" i="30"/>
  <c r="S60" i="30"/>
  <c r="S61" i="30"/>
  <c r="S62" i="30"/>
  <c r="S63" i="30"/>
  <c r="S64" i="30"/>
  <c r="S65" i="30"/>
  <c r="S66" i="30"/>
  <c r="S67" i="30"/>
  <c r="S68" i="30"/>
  <c r="S69" i="30"/>
  <c r="S70" i="30"/>
  <c r="S71" i="30"/>
  <c r="S72" i="30"/>
  <c r="S73" i="30"/>
  <c r="S74" i="30"/>
  <c r="S75" i="30"/>
  <c r="S76" i="30"/>
  <c r="S77" i="30"/>
  <c r="S78" i="30"/>
  <c r="S79" i="30"/>
  <c r="S80" i="30"/>
  <c r="S81" i="30"/>
  <c r="S82" i="30"/>
  <c r="S83" i="30"/>
  <c r="S84" i="30"/>
  <c r="S85" i="30"/>
  <c r="S86" i="30"/>
  <c r="S87" i="30"/>
  <c r="S88" i="30"/>
  <c r="S89" i="30"/>
  <c r="S90" i="30"/>
  <c r="S91" i="30"/>
  <c r="S92" i="30"/>
  <c r="S93" i="30"/>
  <c r="S94" i="30"/>
  <c r="S95" i="30"/>
  <c r="S96" i="30"/>
  <c r="S97" i="30"/>
  <c r="S98" i="30"/>
  <c r="S99" i="30"/>
  <c r="S100" i="30"/>
  <c r="S101" i="30"/>
  <c r="S102" i="30"/>
  <c r="S103" i="30"/>
  <c r="S104" i="30"/>
  <c r="S105" i="30"/>
  <c r="S106" i="30"/>
  <c r="S107" i="30"/>
  <c r="S108" i="30"/>
  <c r="S109" i="30"/>
  <c r="S110" i="30"/>
  <c r="S111" i="30"/>
  <c r="S112" i="30"/>
  <c r="S113" i="30"/>
  <c r="S114" i="30"/>
  <c r="S115" i="30"/>
  <c r="S16" i="30"/>
  <c r="H30" i="30"/>
  <c r="I30" i="30"/>
  <c r="H31" i="30"/>
  <c r="I31" i="30"/>
  <c r="H32" i="30"/>
  <c r="I32" i="30"/>
  <c r="H33" i="30"/>
  <c r="I33" i="30"/>
  <c r="H34" i="30"/>
  <c r="I34" i="30"/>
  <c r="H35" i="30"/>
  <c r="I35" i="30"/>
  <c r="H36" i="30"/>
  <c r="I36" i="30"/>
  <c r="H37" i="30"/>
  <c r="I37" i="30"/>
  <c r="H38" i="30"/>
  <c r="I38" i="30"/>
  <c r="H39" i="30"/>
  <c r="I39" i="30"/>
  <c r="H40" i="30"/>
  <c r="I40" i="30"/>
  <c r="H41" i="30"/>
  <c r="I41" i="30"/>
  <c r="H42" i="30"/>
  <c r="I42" i="30"/>
  <c r="D127" i="30"/>
  <c r="AV127" i="30" s="1"/>
  <c r="B127" i="30"/>
  <c r="D126" i="30"/>
  <c r="AV126" i="30" s="1"/>
  <c r="B126" i="30"/>
  <c r="D125" i="30"/>
  <c r="AV125" i="30" s="1"/>
  <c r="B125" i="30"/>
  <c r="D124" i="30"/>
  <c r="AV124" i="30" s="1"/>
  <c r="B124" i="30"/>
  <c r="D123" i="30"/>
  <c r="AV123" i="30" s="1"/>
  <c r="B123" i="30"/>
  <c r="D122" i="30"/>
  <c r="AV122" i="30" s="1"/>
  <c r="B122" i="30"/>
  <c r="D121" i="30"/>
  <c r="AV121" i="30" s="1"/>
  <c r="B121" i="30"/>
  <c r="AS115" i="30"/>
  <c r="AR115" i="30"/>
  <c r="Q115" i="30"/>
  <c r="J115" i="30"/>
  <c r="I115" i="30"/>
  <c r="H115" i="30"/>
  <c r="G115" i="30"/>
  <c r="B115" i="30"/>
  <c r="AS114" i="30"/>
  <c r="AR114" i="30"/>
  <c r="Q114" i="30"/>
  <c r="J114" i="30"/>
  <c r="I114" i="30"/>
  <c r="H114" i="30"/>
  <c r="G114" i="30"/>
  <c r="AV114" i="30" s="1"/>
  <c r="B114" i="30"/>
  <c r="AS113" i="30"/>
  <c r="AR113" i="30"/>
  <c r="Q113" i="30"/>
  <c r="J113" i="30"/>
  <c r="I113" i="30"/>
  <c r="H113" i="30"/>
  <c r="G113" i="30"/>
  <c r="B113" i="30"/>
  <c r="AS112" i="30"/>
  <c r="AR112" i="30"/>
  <c r="Q112" i="30"/>
  <c r="J112" i="30"/>
  <c r="I112" i="30"/>
  <c r="H112" i="30"/>
  <c r="G112" i="30"/>
  <c r="AV112" i="30" s="1"/>
  <c r="B112" i="30"/>
  <c r="AS111" i="30"/>
  <c r="AR111" i="30"/>
  <c r="Q111" i="30"/>
  <c r="J111" i="30"/>
  <c r="I111" i="30"/>
  <c r="H111" i="30"/>
  <c r="G111" i="30"/>
  <c r="B111" i="30"/>
  <c r="AS110" i="30"/>
  <c r="AR110" i="30"/>
  <c r="Q110" i="30"/>
  <c r="J110" i="30"/>
  <c r="I110" i="30"/>
  <c r="H110" i="30"/>
  <c r="G110" i="30"/>
  <c r="AV110" i="30" s="1"/>
  <c r="B110" i="30"/>
  <c r="AS109" i="30"/>
  <c r="AR109" i="30"/>
  <c r="Q109" i="30"/>
  <c r="J109" i="30"/>
  <c r="I109" i="30"/>
  <c r="H109" i="30"/>
  <c r="G109" i="30"/>
  <c r="B109" i="30"/>
  <c r="AS108" i="30"/>
  <c r="AR108" i="30"/>
  <c r="Q108" i="30"/>
  <c r="J108" i="30"/>
  <c r="I108" i="30"/>
  <c r="H108" i="30"/>
  <c r="G108" i="30"/>
  <c r="AV108" i="30" s="1"/>
  <c r="B108" i="30"/>
  <c r="AS107" i="30"/>
  <c r="AR107" i="30"/>
  <c r="Q107" i="30"/>
  <c r="J107" i="30"/>
  <c r="I107" i="30"/>
  <c r="H107" i="30"/>
  <c r="G107" i="30"/>
  <c r="B107" i="30"/>
  <c r="AS106" i="30"/>
  <c r="AR106" i="30"/>
  <c r="Q106" i="30"/>
  <c r="J106" i="30"/>
  <c r="I106" i="30"/>
  <c r="H106" i="30"/>
  <c r="G106" i="30"/>
  <c r="AV106" i="30" s="1"/>
  <c r="B106" i="30"/>
  <c r="AS105" i="30"/>
  <c r="AR105" i="30"/>
  <c r="Q105" i="30"/>
  <c r="J105" i="30"/>
  <c r="I105" i="30"/>
  <c r="H105" i="30"/>
  <c r="G105" i="30"/>
  <c r="B105" i="30"/>
  <c r="AS104" i="30"/>
  <c r="AR104" i="30"/>
  <c r="Q104" i="30"/>
  <c r="J104" i="30"/>
  <c r="I104" i="30"/>
  <c r="H104" i="30"/>
  <c r="G104" i="30"/>
  <c r="AV104" i="30" s="1"/>
  <c r="B104" i="30"/>
  <c r="AS103" i="30"/>
  <c r="AR103" i="30"/>
  <c r="Q103" i="30"/>
  <c r="J103" i="30"/>
  <c r="I103" i="30"/>
  <c r="H103" i="30"/>
  <c r="G103" i="30"/>
  <c r="B103" i="30"/>
  <c r="AS102" i="30"/>
  <c r="AR102" i="30"/>
  <c r="Q102" i="30"/>
  <c r="J102" i="30"/>
  <c r="I102" i="30"/>
  <c r="H102" i="30"/>
  <c r="G102" i="30"/>
  <c r="AV102" i="30" s="1"/>
  <c r="B102" i="30"/>
  <c r="AS101" i="30"/>
  <c r="AR101" i="30"/>
  <c r="Q101" i="30"/>
  <c r="J101" i="30"/>
  <c r="I101" i="30"/>
  <c r="H101" i="30"/>
  <c r="G101" i="30"/>
  <c r="B101" i="30"/>
  <c r="AS100" i="30"/>
  <c r="AR100" i="30"/>
  <c r="Q100" i="30"/>
  <c r="J100" i="30"/>
  <c r="I100" i="30"/>
  <c r="H100" i="30"/>
  <c r="G100" i="30"/>
  <c r="AV100" i="30" s="1"/>
  <c r="B100" i="30"/>
  <c r="AS99" i="30"/>
  <c r="AR99" i="30"/>
  <c r="Q99" i="30"/>
  <c r="J99" i="30"/>
  <c r="I99" i="30"/>
  <c r="H99" i="30"/>
  <c r="G99" i="30"/>
  <c r="B99" i="30"/>
  <c r="AS98" i="30"/>
  <c r="AR98" i="30"/>
  <c r="Q98" i="30"/>
  <c r="J98" i="30"/>
  <c r="I98" i="30"/>
  <c r="H98" i="30"/>
  <c r="G98" i="30"/>
  <c r="AV98" i="30" s="1"/>
  <c r="B98" i="30"/>
  <c r="AS97" i="30"/>
  <c r="AR97" i="30"/>
  <c r="Q97" i="30"/>
  <c r="J97" i="30"/>
  <c r="I97" i="30"/>
  <c r="H97" i="30"/>
  <c r="G97" i="30"/>
  <c r="B97" i="30"/>
  <c r="AS96" i="30"/>
  <c r="AR96" i="30"/>
  <c r="Q96" i="30"/>
  <c r="J96" i="30"/>
  <c r="I96" i="30"/>
  <c r="H96" i="30"/>
  <c r="G96" i="30"/>
  <c r="AV96" i="30" s="1"/>
  <c r="B96" i="30"/>
  <c r="AS95" i="30"/>
  <c r="AR95" i="30"/>
  <c r="Q95" i="30"/>
  <c r="J95" i="30"/>
  <c r="I95" i="30"/>
  <c r="H95" i="30"/>
  <c r="G95" i="30"/>
  <c r="B95" i="30"/>
  <c r="AS94" i="30"/>
  <c r="AR94" i="30"/>
  <c r="Q94" i="30"/>
  <c r="J94" i="30"/>
  <c r="I94" i="30"/>
  <c r="H94" i="30"/>
  <c r="G94" i="30"/>
  <c r="AV94" i="30" s="1"/>
  <c r="B94" i="30"/>
  <c r="AS93" i="30"/>
  <c r="AR93" i="30"/>
  <c r="Q93" i="30"/>
  <c r="J93" i="30"/>
  <c r="I93" i="30"/>
  <c r="H93" i="30"/>
  <c r="G93" i="30"/>
  <c r="B93" i="30"/>
  <c r="AS92" i="30"/>
  <c r="AR92" i="30"/>
  <c r="Q92" i="30"/>
  <c r="J92" i="30"/>
  <c r="I92" i="30"/>
  <c r="H92" i="30"/>
  <c r="G92" i="30"/>
  <c r="AV92" i="30" s="1"/>
  <c r="B92" i="30"/>
  <c r="AS91" i="30"/>
  <c r="AR91" i="30"/>
  <c r="Q91" i="30"/>
  <c r="J91" i="30"/>
  <c r="I91" i="30"/>
  <c r="H91" i="30"/>
  <c r="G91" i="30"/>
  <c r="B91" i="30"/>
  <c r="AS90" i="30"/>
  <c r="AR90" i="30"/>
  <c r="Q90" i="30"/>
  <c r="J90" i="30"/>
  <c r="I90" i="30"/>
  <c r="H90" i="30"/>
  <c r="G90" i="30"/>
  <c r="AV90" i="30" s="1"/>
  <c r="B90" i="30"/>
  <c r="AS89" i="30"/>
  <c r="AR89" i="30"/>
  <c r="Q89" i="30"/>
  <c r="J89" i="30"/>
  <c r="I89" i="30"/>
  <c r="H89" i="30"/>
  <c r="G89" i="30"/>
  <c r="B89" i="30"/>
  <c r="AS88" i="30"/>
  <c r="AR88" i="30"/>
  <c r="Q88" i="30"/>
  <c r="J88" i="30"/>
  <c r="I88" i="30"/>
  <c r="H88" i="30"/>
  <c r="G88" i="30"/>
  <c r="AV88" i="30" s="1"/>
  <c r="B88" i="30"/>
  <c r="AS87" i="30"/>
  <c r="AR87" i="30"/>
  <c r="Q87" i="30"/>
  <c r="J87" i="30"/>
  <c r="I87" i="30"/>
  <c r="H87" i="30"/>
  <c r="G87" i="30"/>
  <c r="B87" i="30"/>
  <c r="AS86" i="30"/>
  <c r="AR86" i="30"/>
  <c r="Q86" i="30"/>
  <c r="J86" i="30"/>
  <c r="I86" i="30"/>
  <c r="H86" i="30"/>
  <c r="G86" i="30"/>
  <c r="AV86" i="30" s="1"/>
  <c r="B86" i="30"/>
  <c r="AS85" i="30"/>
  <c r="AR85" i="30"/>
  <c r="Q85" i="30"/>
  <c r="J85" i="30"/>
  <c r="I85" i="30"/>
  <c r="H85" i="30"/>
  <c r="G85" i="30"/>
  <c r="B85" i="30"/>
  <c r="AS84" i="30"/>
  <c r="AR84" i="30"/>
  <c r="Q84" i="30"/>
  <c r="J84" i="30"/>
  <c r="I84" i="30"/>
  <c r="H84" i="30"/>
  <c r="G84" i="30"/>
  <c r="AV84" i="30" s="1"/>
  <c r="B84" i="30"/>
  <c r="AS83" i="30"/>
  <c r="AR83" i="30"/>
  <c r="Q83" i="30"/>
  <c r="J83" i="30"/>
  <c r="I83" i="30"/>
  <c r="H83" i="30"/>
  <c r="G83" i="30"/>
  <c r="B83" i="30"/>
  <c r="AS82" i="30"/>
  <c r="AR82" i="30"/>
  <c r="Q82" i="30"/>
  <c r="J82" i="30"/>
  <c r="I82" i="30"/>
  <c r="H82" i="30"/>
  <c r="G82" i="30"/>
  <c r="AV82" i="30" s="1"/>
  <c r="B82" i="30"/>
  <c r="AS81" i="30"/>
  <c r="AR81" i="30"/>
  <c r="Q81" i="30"/>
  <c r="J81" i="30"/>
  <c r="I81" i="30"/>
  <c r="H81" i="30"/>
  <c r="G81" i="30"/>
  <c r="B81" i="30"/>
  <c r="AS80" i="30"/>
  <c r="AR80" i="30"/>
  <c r="Q80" i="30"/>
  <c r="J80" i="30"/>
  <c r="I80" i="30"/>
  <c r="H80" i="30"/>
  <c r="G80" i="30"/>
  <c r="AV80" i="30" s="1"/>
  <c r="B80" i="30"/>
  <c r="AS79" i="30"/>
  <c r="AR79" i="30"/>
  <c r="Q79" i="30"/>
  <c r="J79" i="30"/>
  <c r="I79" i="30"/>
  <c r="H79" i="30"/>
  <c r="G79" i="30"/>
  <c r="B79" i="30"/>
  <c r="AS78" i="30"/>
  <c r="AR78" i="30"/>
  <c r="Q78" i="30"/>
  <c r="J78" i="30"/>
  <c r="I78" i="30"/>
  <c r="H78" i="30"/>
  <c r="G78" i="30"/>
  <c r="AV78" i="30" s="1"/>
  <c r="B78" i="30"/>
  <c r="AS77" i="30"/>
  <c r="AR77" i="30"/>
  <c r="Q77" i="30"/>
  <c r="J77" i="30"/>
  <c r="I77" i="30"/>
  <c r="H77" i="30"/>
  <c r="G77" i="30"/>
  <c r="B77" i="30"/>
  <c r="AS76" i="30"/>
  <c r="AR76" i="30"/>
  <c r="Q76" i="30"/>
  <c r="J76" i="30"/>
  <c r="I76" i="30"/>
  <c r="H76" i="30"/>
  <c r="G76" i="30"/>
  <c r="AV76" i="30" s="1"/>
  <c r="B76" i="30"/>
  <c r="AS75" i="30"/>
  <c r="AR75" i="30"/>
  <c r="Q75" i="30"/>
  <c r="J75" i="30"/>
  <c r="I75" i="30"/>
  <c r="H75" i="30"/>
  <c r="G75" i="30"/>
  <c r="B75" i="30"/>
  <c r="AS74" i="30"/>
  <c r="AR74" i="30"/>
  <c r="Q74" i="30"/>
  <c r="J74" i="30"/>
  <c r="I74" i="30"/>
  <c r="H74" i="30"/>
  <c r="G74" i="30"/>
  <c r="AV74" i="30" s="1"/>
  <c r="B74" i="30"/>
  <c r="AS73" i="30"/>
  <c r="AR73" i="30"/>
  <c r="Q73" i="30"/>
  <c r="J73" i="30"/>
  <c r="I73" i="30"/>
  <c r="H73" i="30"/>
  <c r="G73" i="30"/>
  <c r="B73" i="30"/>
  <c r="AS72" i="30"/>
  <c r="AR72" i="30"/>
  <c r="Q72" i="30"/>
  <c r="J72" i="30"/>
  <c r="I72" i="30"/>
  <c r="H72" i="30"/>
  <c r="G72" i="30"/>
  <c r="AV72" i="30" s="1"/>
  <c r="B72" i="30"/>
  <c r="AS71" i="30"/>
  <c r="AR71" i="30"/>
  <c r="Q71" i="30"/>
  <c r="J71" i="30"/>
  <c r="I71" i="30"/>
  <c r="H71" i="30"/>
  <c r="G71" i="30"/>
  <c r="B71" i="30"/>
  <c r="AS70" i="30"/>
  <c r="AR70" i="30"/>
  <c r="Q70" i="30"/>
  <c r="J70" i="30"/>
  <c r="I70" i="30"/>
  <c r="H70" i="30"/>
  <c r="G70" i="30"/>
  <c r="AV70" i="30" s="1"/>
  <c r="B70" i="30"/>
  <c r="AS69" i="30"/>
  <c r="AR69" i="30"/>
  <c r="Q69" i="30"/>
  <c r="J69" i="30"/>
  <c r="I69" i="30"/>
  <c r="H69" i="30"/>
  <c r="G69" i="30"/>
  <c r="B69" i="30"/>
  <c r="AS68" i="30"/>
  <c r="AR68" i="30"/>
  <c r="Q68" i="30"/>
  <c r="J68" i="30"/>
  <c r="I68" i="30"/>
  <c r="H68" i="30"/>
  <c r="G68" i="30"/>
  <c r="AV68" i="30" s="1"/>
  <c r="B68" i="30"/>
  <c r="AS67" i="30"/>
  <c r="AR67" i="30"/>
  <c r="Q67" i="30"/>
  <c r="J67" i="30"/>
  <c r="I67" i="30"/>
  <c r="H67" i="30"/>
  <c r="G67" i="30"/>
  <c r="B67" i="30"/>
  <c r="AS66" i="30"/>
  <c r="AR66" i="30"/>
  <c r="Q66" i="30"/>
  <c r="J66" i="30"/>
  <c r="I66" i="30"/>
  <c r="H66" i="30"/>
  <c r="G66" i="30"/>
  <c r="AV66" i="30" s="1"/>
  <c r="B66" i="30"/>
  <c r="AS65" i="30"/>
  <c r="AR65" i="30"/>
  <c r="Q65" i="30"/>
  <c r="J65" i="30"/>
  <c r="I65" i="30"/>
  <c r="H65" i="30"/>
  <c r="G65" i="30"/>
  <c r="AV65" i="30" s="1"/>
  <c r="B65" i="30"/>
  <c r="AS64" i="30"/>
  <c r="AR64" i="30"/>
  <c r="Q64" i="30"/>
  <c r="J64" i="30"/>
  <c r="I64" i="30"/>
  <c r="H64" i="30"/>
  <c r="G64" i="30"/>
  <c r="AV64" i="30" s="1"/>
  <c r="B64" i="30"/>
  <c r="AS63" i="30"/>
  <c r="AR63" i="30"/>
  <c r="Q63" i="30"/>
  <c r="J63" i="30"/>
  <c r="I63" i="30"/>
  <c r="H63" i="30"/>
  <c r="G63" i="30"/>
  <c r="B63" i="30"/>
  <c r="AS62" i="30"/>
  <c r="AR62" i="30"/>
  <c r="Q62" i="30"/>
  <c r="J62" i="30"/>
  <c r="I62" i="30"/>
  <c r="H62" i="30"/>
  <c r="G62" i="30"/>
  <c r="AV62" i="30" s="1"/>
  <c r="B62" i="30"/>
  <c r="AS61" i="30"/>
  <c r="AR61" i="30"/>
  <c r="Q61" i="30"/>
  <c r="J61" i="30"/>
  <c r="I61" i="30"/>
  <c r="H61" i="30"/>
  <c r="G61" i="30"/>
  <c r="B61" i="30"/>
  <c r="AS60" i="30"/>
  <c r="AR60" i="30"/>
  <c r="Q60" i="30"/>
  <c r="J60" i="30"/>
  <c r="I60" i="30"/>
  <c r="H60" i="30"/>
  <c r="G60" i="30"/>
  <c r="AV60" i="30" s="1"/>
  <c r="B60" i="30"/>
  <c r="AS59" i="30"/>
  <c r="AR59" i="30"/>
  <c r="Q59" i="30"/>
  <c r="J59" i="30"/>
  <c r="I59" i="30"/>
  <c r="H59" i="30"/>
  <c r="G59" i="30"/>
  <c r="B59" i="30"/>
  <c r="AS58" i="30"/>
  <c r="AR58" i="30"/>
  <c r="Q58" i="30"/>
  <c r="J58" i="30"/>
  <c r="I58" i="30"/>
  <c r="H58" i="30"/>
  <c r="G58" i="30"/>
  <c r="AV58" i="30" s="1"/>
  <c r="B58" i="30"/>
  <c r="AS57" i="30"/>
  <c r="AR57" i="30"/>
  <c r="Q57" i="30"/>
  <c r="J57" i="30"/>
  <c r="I57" i="30"/>
  <c r="H57" i="30"/>
  <c r="G57" i="30"/>
  <c r="B57" i="30"/>
  <c r="AS56" i="30"/>
  <c r="AR56" i="30"/>
  <c r="Q56" i="30"/>
  <c r="J56" i="30"/>
  <c r="I56" i="30"/>
  <c r="H56" i="30"/>
  <c r="G56" i="30"/>
  <c r="AV56" i="30" s="1"/>
  <c r="B56" i="30"/>
  <c r="AS55" i="30"/>
  <c r="AR55" i="30"/>
  <c r="Q55" i="30"/>
  <c r="J55" i="30"/>
  <c r="I55" i="30"/>
  <c r="H55" i="30"/>
  <c r="G55" i="30"/>
  <c r="B55" i="30"/>
  <c r="AS54" i="30"/>
  <c r="AR54" i="30"/>
  <c r="Q54" i="30"/>
  <c r="J54" i="30"/>
  <c r="I54" i="30"/>
  <c r="H54" i="30"/>
  <c r="G54" i="30"/>
  <c r="AV54" i="30" s="1"/>
  <c r="B54" i="30"/>
  <c r="AS53" i="30"/>
  <c r="AR53" i="30"/>
  <c r="Q53" i="30"/>
  <c r="J53" i="30"/>
  <c r="I53" i="30"/>
  <c r="H53" i="30"/>
  <c r="G53" i="30"/>
  <c r="B53" i="30"/>
  <c r="AS52" i="30"/>
  <c r="AR52" i="30"/>
  <c r="Q52" i="30"/>
  <c r="J52" i="30"/>
  <c r="I52" i="30"/>
  <c r="H52" i="30"/>
  <c r="G52" i="30"/>
  <c r="AV52" i="30" s="1"/>
  <c r="B52" i="30"/>
  <c r="AS51" i="30"/>
  <c r="AR51" i="30"/>
  <c r="Q51" i="30"/>
  <c r="J51" i="30"/>
  <c r="I51" i="30"/>
  <c r="H51" i="30"/>
  <c r="G51" i="30"/>
  <c r="B51" i="30"/>
  <c r="AS50" i="30"/>
  <c r="AR50" i="30"/>
  <c r="Q50" i="30"/>
  <c r="J50" i="30"/>
  <c r="I50" i="30"/>
  <c r="H50" i="30"/>
  <c r="G50" i="30"/>
  <c r="AV50" i="30" s="1"/>
  <c r="B50" i="30"/>
  <c r="AS49" i="30"/>
  <c r="AR49" i="30"/>
  <c r="Q49" i="30"/>
  <c r="J49" i="30"/>
  <c r="I49" i="30"/>
  <c r="H49" i="30"/>
  <c r="G49" i="30"/>
  <c r="B49" i="30"/>
  <c r="AS48" i="30"/>
  <c r="AR48" i="30"/>
  <c r="Q48" i="30"/>
  <c r="J48" i="30"/>
  <c r="I48" i="30"/>
  <c r="H48" i="30"/>
  <c r="G48" i="30"/>
  <c r="AV48" i="30" s="1"/>
  <c r="B48" i="30"/>
  <c r="AS47" i="30"/>
  <c r="AR47" i="30"/>
  <c r="Q47" i="30"/>
  <c r="J47" i="30"/>
  <c r="I47" i="30"/>
  <c r="H47" i="30"/>
  <c r="G47" i="30"/>
  <c r="B47" i="30"/>
  <c r="AS46" i="30"/>
  <c r="AR46" i="30"/>
  <c r="Q46" i="30"/>
  <c r="J46" i="30"/>
  <c r="I46" i="30"/>
  <c r="H46" i="30"/>
  <c r="G46" i="30"/>
  <c r="AV46" i="30" s="1"/>
  <c r="B46" i="30"/>
  <c r="AS45" i="30"/>
  <c r="AR45" i="30"/>
  <c r="Q45" i="30"/>
  <c r="J45" i="30"/>
  <c r="I45" i="30"/>
  <c r="H45" i="30"/>
  <c r="G45" i="30"/>
  <c r="B45" i="30"/>
  <c r="AS44" i="30"/>
  <c r="AR44" i="30"/>
  <c r="Q44" i="30"/>
  <c r="J44" i="30"/>
  <c r="I44" i="30"/>
  <c r="H44" i="30"/>
  <c r="G44" i="30"/>
  <c r="AV44" i="30" s="1"/>
  <c r="B44" i="30"/>
  <c r="AS43" i="30"/>
  <c r="AR43" i="30"/>
  <c r="Q43" i="30"/>
  <c r="J43" i="30"/>
  <c r="I43" i="30"/>
  <c r="H43" i="30"/>
  <c r="G43" i="30"/>
  <c r="B43" i="30"/>
  <c r="AT42" i="30" s="1"/>
  <c r="AS42" i="30"/>
  <c r="AR42" i="30"/>
  <c r="Q42" i="30"/>
  <c r="G42" i="30"/>
  <c r="AS41" i="30"/>
  <c r="AR41" i="30"/>
  <c r="Q41" i="30"/>
  <c r="G41" i="30"/>
  <c r="AS40" i="30"/>
  <c r="AR40" i="30"/>
  <c r="Q40" i="30"/>
  <c r="G40" i="30"/>
  <c r="AS39" i="30"/>
  <c r="AR39" i="30"/>
  <c r="Q39" i="30"/>
  <c r="G39" i="30"/>
  <c r="AS38" i="30"/>
  <c r="AR38" i="30"/>
  <c r="Q38" i="30"/>
  <c r="G38" i="30"/>
  <c r="AS37" i="30"/>
  <c r="AR37" i="30"/>
  <c r="Q37" i="30"/>
  <c r="G37" i="30"/>
  <c r="AS36" i="30"/>
  <c r="AR36" i="30"/>
  <c r="Q36" i="30"/>
  <c r="G36" i="30"/>
  <c r="AS35" i="30"/>
  <c r="AR35" i="30"/>
  <c r="Q35" i="30"/>
  <c r="G35" i="30"/>
  <c r="AS34" i="30"/>
  <c r="AR34" i="30"/>
  <c r="Q34" i="30"/>
  <c r="G34" i="30"/>
  <c r="AS33" i="30"/>
  <c r="AR33" i="30"/>
  <c r="Q33" i="30"/>
  <c r="G33" i="30"/>
  <c r="AS32" i="30"/>
  <c r="AR32" i="30"/>
  <c r="Q32" i="30"/>
  <c r="G32" i="30"/>
  <c r="AS31" i="30"/>
  <c r="AR31" i="30"/>
  <c r="Q31" i="30"/>
  <c r="G31" i="30"/>
  <c r="AS30" i="30"/>
  <c r="AR30" i="30"/>
  <c r="Q30" i="30"/>
  <c r="G30" i="30"/>
  <c r="AS29" i="30"/>
  <c r="AR29" i="30"/>
  <c r="Q29" i="30"/>
  <c r="I29" i="30"/>
  <c r="H29" i="30"/>
  <c r="G29" i="30"/>
  <c r="AS28" i="30"/>
  <c r="AR28" i="30"/>
  <c r="Q28" i="30"/>
  <c r="I28" i="30"/>
  <c r="H28" i="30"/>
  <c r="G28" i="30"/>
  <c r="AS27" i="30"/>
  <c r="AR27" i="30"/>
  <c r="Q27" i="30"/>
  <c r="I27" i="30"/>
  <c r="H27" i="30"/>
  <c r="G27" i="30"/>
  <c r="AS26" i="30"/>
  <c r="AR26" i="30"/>
  <c r="Q26" i="30"/>
  <c r="I26" i="30"/>
  <c r="H26" i="30"/>
  <c r="G26" i="30"/>
  <c r="AS25" i="30"/>
  <c r="AR25" i="30"/>
  <c r="Q25" i="30"/>
  <c r="I25" i="30"/>
  <c r="H25" i="30"/>
  <c r="G25" i="30"/>
  <c r="AS24" i="30"/>
  <c r="AR24" i="30"/>
  <c r="Q24" i="30"/>
  <c r="I24" i="30"/>
  <c r="H24" i="30"/>
  <c r="G24" i="30"/>
  <c r="AS23" i="30"/>
  <c r="AR23" i="30"/>
  <c r="Q23" i="30"/>
  <c r="I23" i="30"/>
  <c r="H23" i="30"/>
  <c r="G23" i="30"/>
  <c r="AS22" i="30"/>
  <c r="AR22" i="30"/>
  <c r="Q22" i="30"/>
  <c r="I22" i="30"/>
  <c r="H22" i="30"/>
  <c r="G22" i="30"/>
  <c r="AS21" i="30"/>
  <c r="AR21" i="30"/>
  <c r="Q21" i="30"/>
  <c r="I21" i="30"/>
  <c r="H21" i="30"/>
  <c r="G21" i="30"/>
  <c r="AS20" i="30"/>
  <c r="AR20" i="30"/>
  <c r="Q20" i="30"/>
  <c r="I20" i="30"/>
  <c r="H20" i="30"/>
  <c r="G20" i="30"/>
  <c r="AS19" i="30"/>
  <c r="AR19" i="30"/>
  <c r="Q19" i="30"/>
  <c r="I19" i="30"/>
  <c r="H19" i="30"/>
  <c r="G19" i="30"/>
  <c r="AS18" i="30"/>
  <c r="AR18" i="30"/>
  <c r="Q18" i="30"/>
  <c r="I18" i="30"/>
  <c r="H18" i="30"/>
  <c r="G18" i="30"/>
  <c r="AS17" i="30"/>
  <c r="AR17" i="30"/>
  <c r="Q17" i="30"/>
  <c r="I17" i="30"/>
  <c r="H17" i="30"/>
  <c r="G17" i="30"/>
  <c r="AS16" i="30"/>
  <c r="AR16" i="30"/>
  <c r="Q16" i="30"/>
  <c r="I16" i="30"/>
  <c r="H120" i="30" s="1"/>
  <c r="H16" i="30"/>
  <c r="G16" i="30"/>
  <c r="D120" i="30" s="1"/>
  <c r="B16" i="30"/>
  <c r="AY15" i="30"/>
  <c r="AV15" i="30"/>
  <c r="H14" i="30"/>
  <c r="AV2" i="30"/>
  <c r="F1383" i="40" a="1"/>
  <c r="B882" i="40"/>
  <c r="F881" i="40" a="1"/>
  <c r="B1384" i="40"/>
  <c r="F881" i="40" l="1"/>
  <c r="F1383" i="40"/>
  <c r="B91" i="54"/>
  <c r="AT89" i="54"/>
  <c r="B137" i="30"/>
  <c r="U120" i="30"/>
  <c r="AT50" i="54"/>
  <c r="B52" i="54"/>
  <c r="B17" i="30"/>
  <c r="AT16" i="30" s="1"/>
  <c r="B46" i="42"/>
  <c r="AT44" i="42"/>
  <c r="B46" i="41"/>
  <c r="AT44" i="41"/>
  <c r="B48" i="38"/>
  <c r="AT46" i="38"/>
  <c r="J26" i="30"/>
  <c r="AV26" i="30" s="1"/>
  <c r="J30" i="30"/>
  <c r="J34" i="30"/>
  <c r="J38" i="30"/>
  <c r="J42" i="30"/>
  <c r="AV42" i="30" s="1"/>
  <c r="J29" i="30"/>
  <c r="AV29" i="30" s="1"/>
  <c r="J33" i="30"/>
  <c r="AV33" i="30" s="1"/>
  <c r="J37" i="30"/>
  <c r="AV37" i="30" s="1"/>
  <c r="J41" i="30"/>
  <c r="AV41" i="30" s="1"/>
  <c r="AV120" i="30"/>
  <c r="J39" i="30"/>
  <c r="AV39" i="30" s="1"/>
  <c r="J35" i="30"/>
  <c r="AV35" i="30" s="1"/>
  <c r="J31" i="30"/>
  <c r="AV31" i="30" s="1"/>
  <c r="J27" i="30"/>
  <c r="AV27" i="30" s="1"/>
  <c r="J23" i="30"/>
  <c r="AV23" i="30" s="1"/>
  <c r="J16" i="30"/>
  <c r="AV16" i="30" s="1"/>
  <c r="J25" i="30"/>
  <c r="AV25" i="30" s="1"/>
  <c r="J20" i="30"/>
  <c r="AV20" i="30" s="1"/>
  <c r="J32" i="30"/>
  <c r="J36" i="30"/>
  <c r="J40" i="30"/>
  <c r="AV30" i="30"/>
  <c r="AV34" i="30"/>
  <c r="AV38" i="30"/>
  <c r="J24" i="30"/>
  <c r="AV24" i="30" s="1"/>
  <c r="J28" i="30"/>
  <c r="AV28" i="30" s="1"/>
  <c r="AV32" i="30"/>
  <c r="AV36" i="30"/>
  <c r="AV40" i="30"/>
  <c r="B18" i="30"/>
  <c r="AT17" i="30" s="1"/>
  <c r="AV49" i="30"/>
  <c r="AV57" i="30"/>
  <c r="J17" i="30"/>
  <c r="AV17" i="30" s="1"/>
  <c r="J21" i="30"/>
  <c r="AV21" i="30" s="1"/>
  <c r="AV45" i="30"/>
  <c r="AV53" i="30"/>
  <c r="AV61" i="30"/>
  <c r="AV69" i="30"/>
  <c r="AV73" i="30"/>
  <c r="AV77" i="30"/>
  <c r="AV81" i="30"/>
  <c r="AV85" i="30"/>
  <c r="AV89" i="30"/>
  <c r="AV93" i="30"/>
  <c r="AV97" i="30"/>
  <c r="AV101" i="30"/>
  <c r="AV105" i="30"/>
  <c r="AV109" i="30"/>
  <c r="AV113" i="30"/>
  <c r="J19" i="30"/>
  <c r="AV19" i="30" s="1"/>
  <c r="C118" i="30"/>
  <c r="D118" i="30" s="1"/>
  <c r="AV118" i="30" s="1"/>
  <c r="G120" i="30"/>
  <c r="B138" i="30" s="1"/>
  <c r="J18" i="30"/>
  <c r="AY18" i="30" s="1"/>
  <c r="J22" i="30"/>
  <c r="AY22" i="30" s="1"/>
  <c r="AV43" i="30"/>
  <c r="AV47" i="30"/>
  <c r="AV51" i="30"/>
  <c r="AV55" i="30"/>
  <c r="AV59" i="30"/>
  <c r="AV63" i="30"/>
  <c r="AV67" i="30"/>
  <c r="AV71" i="30"/>
  <c r="AV75" i="30"/>
  <c r="AV79" i="30"/>
  <c r="AV83" i="30"/>
  <c r="AV87" i="30"/>
  <c r="AV91" i="30"/>
  <c r="AV95" i="30"/>
  <c r="AV99" i="30"/>
  <c r="AV103" i="30"/>
  <c r="AV107" i="30"/>
  <c r="AV111" i="30"/>
  <c r="AV115" i="30"/>
  <c r="B883" i="40"/>
  <c r="F1384" i="40" a="1"/>
  <c r="F882" i="40" a="1"/>
  <c r="B1385" i="40"/>
  <c r="F882" i="40" l="1"/>
  <c r="F1384" i="40"/>
  <c r="B92" i="54"/>
  <c r="AT90" i="54"/>
  <c r="B53" i="54"/>
  <c r="AT51" i="54"/>
  <c r="B47" i="42"/>
  <c r="AT45" i="42"/>
  <c r="B47" i="41"/>
  <c r="AT45" i="41"/>
  <c r="AT47" i="38"/>
  <c r="B49" i="38"/>
  <c r="AY23" i="30"/>
  <c r="AY24" i="30" s="1"/>
  <c r="AY25" i="30" s="1"/>
  <c r="AY26" i="30" s="1"/>
  <c r="AY27" i="30"/>
  <c r="AY28" i="30" s="1"/>
  <c r="AY29" i="30" s="1"/>
  <c r="AY30" i="30" s="1"/>
  <c r="AY31" i="30" s="1"/>
  <c r="AY32" i="30" s="1"/>
  <c r="AY33" i="30" s="1"/>
  <c r="AY34" i="30" s="1"/>
  <c r="AY35" i="30" s="1"/>
  <c r="AY36" i="30" s="1"/>
  <c r="AY37" i="30" s="1"/>
  <c r="AY38" i="30" s="1"/>
  <c r="AY39" i="30" s="1"/>
  <c r="AY40" i="30" s="1"/>
  <c r="AY41" i="30" s="1"/>
  <c r="AY42" i="30" s="1"/>
  <c r="AY43" i="30" s="1"/>
  <c r="AY44" i="30" s="1"/>
  <c r="AY45" i="30" s="1"/>
  <c r="AY46" i="30" s="1"/>
  <c r="AY47" i="30" s="1"/>
  <c r="AY48" i="30" s="1"/>
  <c r="AY49" i="30" s="1"/>
  <c r="AY50" i="30" s="1"/>
  <c r="AY51" i="30" s="1"/>
  <c r="AY52" i="30" s="1"/>
  <c r="AY53" i="30" s="1"/>
  <c r="AY54" i="30" s="1"/>
  <c r="AY55" i="30" s="1"/>
  <c r="AY56" i="30" s="1"/>
  <c r="AY57" i="30" s="1"/>
  <c r="AY58" i="30" s="1"/>
  <c r="AY59" i="30" s="1"/>
  <c r="AY60" i="30" s="1"/>
  <c r="AY61" i="30" s="1"/>
  <c r="AY62" i="30" s="1"/>
  <c r="AY63" i="30" s="1"/>
  <c r="AY64" i="30" s="1"/>
  <c r="AY65" i="30" s="1"/>
  <c r="AY66" i="30" s="1"/>
  <c r="AY67" i="30" s="1"/>
  <c r="AY68" i="30" s="1"/>
  <c r="AY69" i="30" s="1"/>
  <c r="AY70" i="30" s="1"/>
  <c r="AY71" i="30" s="1"/>
  <c r="AY72" i="30" s="1"/>
  <c r="AY73" i="30" s="1"/>
  <c r="AY74" i="30" s="1"/>
  <c r="AY75" i="30" s="1"/>
  <c r="AY76" i="30" s="1"/>
  <c r="AY77" i="30" s="1"/>
  <c r="AY78" i="30" s="1"/>
  <c r="AY79" i="30" s="1"/>
  <c r="AY80" i="30" s="1"/>
  <c r="AY81" i="30" s="1"/>
  <c r="AY82" i="30" s="1"/>
  <c r="AY83" i="30" s="1"/>
  <c r="AY84" i="30" s="1"/>
  <c r="AY85" i="30" s="1"/>
  <c r="AY86" i="30" s="1"/>
  <c r="AY87" i="30" s="1"/>
  <c r="AY88" i="30" s="1"/>
  <c r="AY89" i="30" s="1"/>
  <c r="AY90" i="30" s="1"/>
  <c r="AY91" i="30" s="1"/>
  <c r="AY92" i="30" s="1"/>
  <c r="AY93" i="30" s="1"/>
  <c r="AY94" i="30" s="1"/>
  <c r="AY95" i="30" s="1"/>
  <c r="AY96" i="30" s="1"/>
  <c r="AY97" i="30" s="1"/>
  <c r="AY98" i="30" s="1"/>
  <c r="AY99" i="30" s="1"/>
  <c r="AY100" i="30" s="1"/>
  <c r="AY101" i="30" s="1"/>
  <c r="AY102" i="30" s="1"/>
  <c r="AY103" i="30" s="1"/>
  <c r="AY104" i="30" s="1"/>
  <c r="AY105" i="30" s="1"/>
  <c r="AY106" i="30" s="1"/>
  <c r="AY107" i="30" s="1"/>
  <c r="AY108" i="30" s="1"/>
  <c r="AY109" i="30" s="1"/>
  <c r="AY110" i="30" s="1"/>
  <c r="AY111" i="30" s="1"/>
  <c r="AY112" i="30" s="1"/>
  <c r="AY113" i="30" s="1"/>
  <c r="AY114" i="30" s="1"/>
  <c r="AY115" i="30" s="1"/>
  <c r="AY116" i="30" s="1"/>
  <c r="AY20" i="30"/>
  <c r="AY16" i="30"/>
  <c r="B19" i="30"/>
  <c r="AT18" i="30" s="1"/>
  <c r="AV22" i="30"/>
  <c r="AY19" i="30"/>
  <c r="AY21" i="30"/>
  <c r="AV18" i="30"/>
  <c r="AY17" i="30"/>
  <c r="C41" i="11"/>
  <c r="C40" i="11"/>
  <c r="A1386" i="40"/>
  <c r="F883" i="40" a="1"/>
  <c r="B884" i="40"/>
  <c r="B1386" i="40"/>
  <c r="F1385" i="40" a="1"/>
  <c r="A884" i="40"/>
  <c r="D885" i="40" l="1"/>
  <c r="D886" i="40" s="1"/>
  <c r="D887" i="40" s="1"/>
  <c r="D888" i="40" s="1"/>
  <c r="D889" i="40" s="1"/>
  <c r="D1387" i="40"/>
  <c r="D1388" i="40" s="1"/>
  <c r="D1389" i="40" s="1"/>
  <c r="D1390" i="40" s="1"/>
  <c r="D1391" i="40" s="1"/>
  <c r="F1385" i="40"/>
  <c r="F883" i="40"/>
  <c r="F1386" i="40"/>
  <c r="F884" i="40"/>
  <c r="AT91" i="54"/>
  <c r="B93" i="54"/>
  <c r="AT52" i="54"/>
  <c r="B54" i="54"/>
  <c r="B48" i="42"/>
  <c r="AT46" i="42"/>
  <c r="B48" i="41"/>
  <c r="AT46" i="41"/>
  <c r="AT48" i="38"/>
  <c r="B50" i="38"/>
  <c r="B20" i="30"/>
  <c r="AT19" i="30" s="1"/>
  <c r="B94" i="54" l="1"/>
  <c r="AT92" i="54"/>
  <c r="AT53" i="54"/>
  <c r="B49" i="42"/>
  <c r="AT47" i="42"/>
  <c r="B49" i="41"/>
  <c r="AT47" i="41"/>
  <c r="AT49" i="38"/>
  <c r="B51" i="38"/>
  <c r="B21" i="30"/>
  <c r="AT20" i="30" s="1"/>
  <c r="B885" i="40" a="1"/>
  <c r="B1387" i="40" a="1"/>
  <c r="B1387" i="40" l="1"/>
  <c r="B885" i="40"/>
  <c r="B95" i="54"/>
  <c r="AT93" i="54"/>
  <c r="B50" i="42"/>
  <c r="AT48" i="42"/>
  <c r="B50" i="41"/>
  <c r="AT48" i="41"/>
  <c r="B52" i="38"/>
  <c r="AT50" i="38"/>
  <c r="B22" i="30"/>
  <c r="AT21" i="30" s="1"/>
  <c r="F1387" i="40" a="1"/>
  <c r="B1388" i="40"/>
  <c r="F885" i="40" a="1"/>
  <c r="B886" i="40"/>
  <c r="F1387" i="40" l="1"/>
  <c r="F885" i="40"/>
  <c r="B96" i="54"/>
  <c r="AT94" i="54"/>
  <c r="B51" i="42"/>
  <c r="AT49" i="42"/>
  <c r="B51" i="41"/>
  <c r="AT49" i="41"/>
  <c r="AT51" i="38"/>
  <c r="B53" i="38"/>
  <c r="B23" i="30"/>
  <c r="AT22" i="30" s="1"/>
  <c r="B1389" i="40"/>
  <c r="F886" i="40" a="1"/>
  <c r="F1388" i="40" a="1"/>
  <c r="B887" i="40"/>
  <c r="F886" i="40" l="1"/>
  <c r="F1388" i="40"/>
  <c r="AT95" i="54"/>
  <c r="B97" i="54"/>
  <c r="B52" i="42"/>
  <c r="AT50" i="42"/>
  <c r="B52" i="41"/>
  <c r="AT50" i="41"/>
  <c r="B54" i="38"/>
  <c r="AT52" i="38"/>
  <c r="B24" i="30"/>
  <c r="AT23" i="30" s="1"/>
  <c r="A1391" i="40"/>
  <c r="F1389" i="40" a="1"/>
  <c r="B1390" i="40"/>
  <c r="F887" i="40" a="1"/>
  <c r="B1391" i="40"/>
  <c r="B888" i="40"/>
  <c r="D1392" i="40" l="1"/>
  <c r="D1393" i="40" s="1"/>
  <c r="D1394" i="40" s="1"/>
  <c r="D1395" i="40" s="1"/>
  <c r="D1396" i="40" s="1"/>
  <c r="F1389" i="40"/>
  <c r="F887" i="40"/>
  <c r="F1391" i="40"/>
  <c r="B98" i="54"/>
  <c r="AT96" i="54"/>
  <c r="B53" i="42"/>
  <c r="AT51" i="42"/>
  <c r="B53" i="41"/>
  <c r="AT51" i="41"/>
  <c r="B55" i="38"/>
  <c r="AT53" i="38"/>
  <c r="B25" i="30"/>
  <c r="AT24" i="30" s="1"/>
  <c r="F1390" i="40" a="1"/>
  <c r="A889" i="40"/>
  <c r="F888" i="40" a="1"/>
  <c r="B889" i="40"/>
  <c r="F1390" i="40" l="1"/>
  <c r="D890" i="40"/>
  <c r="D891" i="40" s="1"/>
  <c r="D892" i="40" s="1"/>
  <c r="D893" i="40" s="1"/>
  <c r="D894" i="40" s="1"/>
  <c r="F888" i="40"/>
  <c r="F889" i="40"/>
  <c r="B99" i="54"/>
  <c r="AT97" i="54"/>
  <c r="B54" i="42"/>
  <c r="AT52" i="42"/>
  <c r="B54" i="41"/>
  <c r="AT52" i="41"/>
  <c r="B56" i="38"/>
  <c r="AT54" i="38"/>
  <c r="B26" i="30"/>
  <c r="AT25" i="30" s="1"/>
  <c r="B1392" i="40" a="1"/>
  <c r="B1392" i="40" l="1"/>
  <c r="B100" i="54"/>
  <c r="AT98" i="54"/>
  <c r="B55" i="42"/>
  <c r="AT53" i="42"/>
  <c r="B55" i="41"/>
  <c r="AT53" i="41"/>
  <c r="AT55" i="38"/>
  <c r="B57" i="38"/>
  <c r="B27" i="30"/>
  <c r="AT26" i="30" s="1"/>
  <c r="B1393" i="40"/>
  <c r="F1392" i="40" a="1"/>
  <c r="B890" i="40" a="1"/>
  <c r="F1392" i="40" l="1"/>
  <c r="B890" i="40"/>
  <c r="B101" i="54"/>
  <c r="AT99" i="54"/>
  <c r="B56" i="42"/>
  <c r="AT54" i="42"/>
  <c r="B56" i="41"/>
  <c r="AT54" i="41"/>
  <c r="AT56" i="38"/>
  <c r="B58" i="38"/>
  <c r="B28" i="30"/>
  <c r="AT27" i="30" s="1"/>
  <c r="B891" i="40"/>
  <c r="F890" i="40" a="1"/>
  <c r="F1393" i="40" a="1"/>
  <c r="B1394" i="40"/>
  <c r="F1393" i="40" l="1"/>
  <c r="F890" i="40"/>
  <c r="B102" i="54"/>
  <c r="AT100" i="54"/>
  <c r="B57" i="42"/>
  <c r="AT55" i="42"/>
  <c r="B57" i="41"/>
  <c r="AT55" i="41"/>
  <c r="AT57" i="38"/>
  <c r="C11" i="38" s="1"/>
  <c r="C14" i="38"/>
  <c r="B29" i="30"/>
  <c r="AT28" i="30" s="1"/>
  <c r="N18" i="45" a="1"/>
  <c r="M18" i="45" a="1"/>
  <c r="N22" i="45" a="1"/>
  <c r="N24" i="45" a="1"/>
  <c r="F891" i="40" a="1"/>
  <c r="F1394" i="40" a="1"/>
  <c r="B1395" i="40"/>
  <c r="B892" i="40"/>
  <c r="N24" i="45" l="1"/>
  <c r="N22" i="45"/>
  <c r="B136" i="38"/>
  <c r="F891" i="40"/>
  <c r="F1394" i="40"/>
  <c r="B103" i="54"/>
  <c r="AT101" i="54"/>
  <c r="M18" i="45"/>
  <c r="N18" i="45"/>
  <c r="V3" i="38"/>
  <c r="E14" i="38"/>
  <c r="B58" i="42"/>
  <c r="AT56" i="42"/>
  <c r="B58" i="41"/>
  <c r="AT56" i="41"/>
  <c r="B30" i="30"/>
  <c r="AT29" i="30" s="1"/>
  <c r="B894" i="40"/>
  <c r="B1396" i="40"/>
  <c r="F892" i="40" a="1"/>
  <c r="A894" i="40"/>
  <c r="B893" i="40"/>
  <c r="F1395" i="40" a="1"/>
  <c r="A1396" i="40"/>
  <c r="D895" i="40" l="1"/>
  <c r="D896" i="40" s="1"/>
  <c r="D897" i="40" s="1"/>
  <c r="D898" i="40" s="1"/>
  <c r="D899" i="40" s="1"/>
  <c r="D1397" i="40"/>
  <c r="D1398" i="40" s="1"/>
  <c r="D1399" i="40" s="1"/>
  <c r="D1400" i="40" s="1"/>
  <c r="D1401" i="40" s="1"/>
  <c r="F1395" i="40"/>
  <c r="F892" i="40"/>
  <c r="F1396" i="40"/>
  <c r="F894" i="40"/>
  <c r="B104" i="54"/>
  <c r="AT102" i="54"/>
  <c r="V2" i="38"/>
  <c r="S120" i="38"/>
  <c r="Z124" i="38" s="1"/>
  <c r="AT57" i="42"/>
  <c r="C11" i="42" s="1"/>
  <c r="C14" i="42"/>
  <c r="AT57" i="41"/>
  <c r="C14" i="41"/>
  <c r="B31" i="30"/>
  <c r="AT30" i="30" s="1"/>
  <c r="Q24" i="45" a="1"/>
  <c r="Q22" i="45" a="1"/>
  <c r="Q18" i="45" a="1"/>
  <c r="M13" i="45" a="1"/>
  <c r="M16" i="45" a="1"/>
  <c r="N16" i="45" a="1"/>
  <c r="F893" i="40" a="1"/>
  <c r="Q22" i="45" l="1"/>
  <c r="Q24" i="45"/>
  <c r="F893" i="40"/>
  <c r="Q18" i="45"/>
  <c r="X124" i="38"/>
  <c r="B105" i="54"/>
  <c r="AT103" i="54"/>
  <c r="V3" i="42"/>
  <c r="B136" i="42"/>
  <c r="M16" i="45"/>
  <c r="N16" i="45"/>
  <c r="E14" i="42"/>
  <c r="M13" i="45"/>
  <c r="E14" i="41"/>
  <c r="C11" i="41"/>
  <c r="B32" i="30"/>
  <c r="AT31" i="30" s="1"/>
  <c r="N13" i="45" a="1"/>
  <c r="B895" i="40" a="1"/>
  <c r="B1397" i="40" a="1"/>
  <c r="B1397" i="40" l="1"/>
  <c r="B895" i="40"/>
  <c r="B106" i="54"/>
  <c r="AT104" i="54"/>
  <c r="V3" i="41"/>
  <c r="B136" i="41"/>
  <c r="V2" i="42"/>
  <c r="S120" i="42"/>
  <c r="Z124" i="42" s="1"/>
  <c r="N13" i="45"/>
  <c r="B33" i="30"/>
  <c r="AT32" i="30" s="1"/>
  <c r="Q16" i="45" a="1"/>
  <c r="B896" i="40"/>
  <c r="F895" i="40" a="1"/>
  <c r="B1398" i="40"/>
  <c r="F1397" i="40" a="1"/>
  <c r="Q16" i="45" l="1"/>
  <c r="X124" i="42"/>
  <c r="F1397" i="40"/>
  <c r="F895" i="40"/>
  <c r="B107" i="54"/>
  <c r="AT105" i="54"/>
  <c r="V2" i="41"/>
  <c r="S120" i="41"/>
  <c r="Z124" i="41" s="1"/>
  <c r="B34" i="30"/>
  <c r="AT33" i="30" s="1"/>
  <c r="Q13" i="45" a="1"/>
  <c r="F1398" i="40" a="1"/>
  <c r="B897" i="40"/>
  <c r="B1399" i="40"/>
  <c r="F896" i="40" a="1"/>
  <c r="F896" i="40" l="1"/>
  <c r="F1398" i="40"/>
  <c r="Q13" i="45"/>
  <c r="X124" i="41"/>
  <c r="AT106" i="54"/>
  <c r="B108" i="54"/>
  <c r="B35" i="30"/>
  <c r="AT34" i="30" s="1"/>
  <c r="B1400" i="40"/>
  <c r="F897" i="40" a="1"/>
  <c r="B898" i="40"/>
  <c r="F1399" i="40" a="1"/>
  <c r="F897" i="40" l="1"/>
  <c r="F1399" i="40"/>
  <c r="B109" i="54"/>
  <c r="AT107" i="54"/>
  <c r="B36" i="30"/>
  <c r="AT35" i="30" s="1"/>
  <c r="B899" i="40"/>
  <c r="A1401" i="40"/>
  <c r="F898" i="40" a="1"/>
  <c r="F1400" i="40" a="1"/>
  <c r="A899" i="40"/>
  <c r="B1401" i="40"/>
  <c r="D900" i="40" l="1"/>
  <c r="D901" i="40" s="1"/>
  <c r="D902" i="40" s="1"/>
  <c r="D903" i="40" s="1"/>
  <c r="D904" i="40" s="1"/>
  <c r="D1402" i="40"/>
  <c r="D1403" i="40" s="1"/>
  <c r="D1404" i="40" s="1"/>
  <c r="D1405" i="40" s="1"/>
  <c r="D1406" i="40" s="1"/>
  <c r="F1400" i="40"/>
  <c r="F898" i="40"/>
  <c r="F1401" i="40"/>
  <c r="F899" i="40"/>
  <c r="B110" i="54"/>
  <c r="AT108" i="54"/>
  <c r="B37" i="30"/>
  <c r="AT36" i="30" s="1"/>
  <c r="B111" i="54" l="1"/>
  <c r="AT109" i="54"/>
  <c r="B38" i="30"/>
  <c r="AT37" i="30" s="1"/>
  <c r="B1402" i="40" a="1"/>
  <c r="B900" i="40" a="1"/>
  <c r="B1402" i="40" l="1"/>
  <c r="B900" i="40"/>
  <c r="B112" i="54"/>
  <c r="AT110" i="54"/>
  <c r="B39" i="30"/>
  <c r="AT38" i="30" s="1"/>
  <c r="B1403" i="40"/>
  <c r="F1402" i="40" a="1"/>
  <c r="B901" i="40"/>
  <c r="F900" i="40" a="1"/>
  <c r="F1402" i="40" l="1"/>
  <c r="F900" i="40"/>
  <c r="B113" i="54"/>
  <c r="AT111" i="54"/>
  <c r="B40" i="30"/>
  <c r="AT39" i="30" s="1"/>
  <c r="B902" i="40"/>
  <c r="F1403" i="40" a="1"/>
  <c r="F901" i="40" a="1"/>
  <c r="B1404" i="40"/>
  <c r="F1403" i="40" l="1"/>
  <c r="F901" i="40"/>
  <c r="B114" i="54"/>
  <c r="AT112" i="54"/>
  <c r="B41" i="30"/>
  <c r="AT40" i="30" s="1"/>
  <c r="B1405" i="40"/>
  <c r="F902" i="40" a="1"/>
  <c r="F1404" i="40" a="1"/>
  <c r="B903" i="40"/>
  <c r="F1404" i="40" l="1"/>
  <c r="F902" i="40"/>
  <c r="B115" i="54"/>
  <c r="AT113" i="54"/>
  <c r="B42" i="30"/>
  <c r="B1406" i="40"/>
  <c r="B904" i="40"/>
  <c r="F903" i="40" a="1"/>
  <c r="A1406" i="40"/>
  <c r="F1405" i="40" a="1"/>
  <c r="A904" i="40"/>
  <c r="D905" i="40" l="1"/>
  <c r="D906" i="40" s="1"/>
  <c r="D907" i="40" s="1"/>
  <c r="D908" i="40" s="1"/>
  <c r="D909" i="40" s="1"/>
  <c r="D1407" i="40"/>
  <c r="D1408" i="40" s="1"/>
  <c r="D1409" i="40" s="1"/>
  <c r="D1410" i="40" s="1"/>
  <c r="D1411" i="40" s="1"/>
  <c r="F903" i="40"/>
  <c r="F1405" i="40"/>
  <c r="F1406" i="40"/>
  <c r="F904" i="40"/>
  <c r="C11" i="54"/>
  <c r="AT114" i="54"/>
  <c r="C14" i="54"/>
  <c r="AT41" i="30"/>
  <c r="C11" i="30" s="1"/>
  <c r="C14" i="30"/>
  <c r="N20" i="45" a="1"/>
  <c r="M17" i="45" a="1"/>
  <c r="N17" i="45" a="1"/>
  <c r="N20" i="45" l="1"/>
  <c r="E14" i="54"/>
  <c r="V3" i="54"/>
  <c r="B136" i="54"/>
  <c r="V3" i="30"/>
  <c r="B136" i="30"/>
  <c r="N17" i="45"/>
  <c r="M17" i="45"/>
  <c r="E14" i="30"/>
  <c r="B1407" i="40" a="1"/>
  <c r="B905" i="40" a="1"/>
  <c r="B1407" i="40" l="1"/>
  <c r="B905" i="40"/>
  <c r="S120" i="54"/>
  <c r="Z124" i="54" s="1"/>
  <c r="V2" i="54"/>
  <c r="V2" i="30"/>
  <c r="S120" i="30"/>
  <c r="Z124" i="30" s="1"/>
  <c r="Q17" i="45" a="1"/>
  <c r="Q20" i="45" a="1"/>
  <c r="F905" i="40" a="1"/>
  <c r="B4" i="40" a="1"/>
  <c r="B1408" i="40"/>
  <c r="F1407" i="40" a="1"/>
  <c r="B906" i="40"/>
  <c r="Q20" i="45" l="1"/>
  <c r="Q17" i="45"/>
  <c r="X124" i="30"/>
  <c r="F1407" i="40"/>
  <c r="F905" i="40"/>
  <c r="B4" i="40"/>
  <c r="X124" i="54"/>
  <c r="Z7" i="11"/>
  <c r="Z8" i="11"/>
  <c r="Z9" i="11"/>
  <c r="Z10" i="11"/>
  <c r="Z11" i="11"/>
  <c r="Z12" i="11"/>
  <c r="Z13" i="11"/>
  <c r="Z14" i="11"/>
  <c r="Z15" i="11"/>
  <c r="Z16" i="11"/>
  <c r="Z17" i="11"/>
  <c r="Z18" i="11"/>
  <c r="Z19" i="11"/>
  <c r="Z20" i="11"/>
  <c r="Z21" i="11"/>
  <c r="Z22" i="11"/>
  <c r="Z23" i="11"/>
  <c r="Z24" i="11"/>
  <c r="Z25" i="11"/>
  <c r="Z26" i="11"/>
  <c r="Z27" i="11"/>
  <c r="Z28" i="11"/>
  <c r="Z29" i="11"/>
  <c r="Z30" i="11"/>
  <c r="Z31" i="11"/>
  <c r="Z6" i="11"/>
  <c r="F1408" i="40" a="1"/>
  <c r="B1409" i="40"/>
  <c r="F906" i="40" a="1"/>
  <c r="B907" i="40"/>
  <c r="F1408" i="40" l="1"/>
  <c r="F906" i="40"/>
  <c r="N7" i="11"/>
  <c r="N8" i="11"/>
  <c r="N9" i="11"/>
  <c r="N10" i="11"/>
  <c r="N11" i="11"/>
  <c r="F8" i="4" s="1" a="1"/>
  <c r="F8" i="4" s="1"/>
  <c r="H8" i="4" s="1"/>
  <c r="N12" i="11"/>
  <c r="N13" i="11"/>
  <c r="N14" i="11"/>
  <c r="F9" i="4" s="1" a="1"/>
  <c r="F9" i="4" s="1"/>
  <c r="H9" i="4" s="1"/>
  <c r="N15" i="11"/>
  <c r="F14" i="4" s="1" a="1"/>
  <c r="F14" i="4" s="1"/>
  <c r="H14" i="4" s="1"/>
  <c r="N6" i="11"/>
  <c r="G4" i="9" s="1" a="1"/>
  <c r="G4" i="9" s="1"/>
  <c r="C8" i="11"/>
  <c r="C5" i="11"/>
  <c r="F1409" i="40" a="1"/>
  <c r="B908" i="40"/>
  <c r="F907" i="40" a="1"/>
  <c r="B1410" i="40"/>
  <c r="F1409" i="40" l="1"/>
  <c r="F907" i="40"/>
  <c r="F4" i="4" a="1"/>
  <c r="F4" i="4" s="1"/>
  <c r="H4" i="4" s="1"/>
  <c r="F19" i="4" a="1"/>
  <c r="F19" i="4" s="1"/>
  <c r="F5" i="4" a="1"/>
  <c r="F5" i="4" s="1"/>
  <c r="H5" i="4" s="1"/>
  <c r="G7" i="9" a="1"/>
  <c r="G7" i="9" s="1"/>
  <c r="G6" i="9" a="1"/>
  <c r="G6" i="9" s="1"/>
  <c r="F20" i="4" a="1"/>
  <c r="F20" i="4" s="1"/>
  <c r="F13" i="4" a="1"/>
  <c r="F13" i="4" s="1"/>
  <c r="F17" i="4" a="1"/>
  <c r="F17" i="4" s="1"/>
  <c r="F11" i="4" a="1"/>
  <c r="F11" i="4" s="1"/>
  <c r="H11" i="4" s="1"/>
  <c r="F18" i="4" a="1"/>
  <c r="F18" i="4" s="1"/>
  <c r="F16" i="4" a="1"/>
  <c r="F16" i="4" s="1"/>
  <c r="F12" i="4" a="1"/>
  <c r="F12" i="4" s="1"/>
  <c r="H12" i="4" s="1"/>
  <c r="F10" i="4" a="1"/>
  <c r="F10" i="4" s="1"/>
  <c r="H10" i="4" s="1"/>
  <c r="E21" i="4"/>
  <c r="B1411" i="40"/>
  <c r="B909" i="40"/>
  <c r="F1410" i="40" a="1"/>
  <c r="A909" i="40"/>
  <c r="F908" i="40" a="1"/>
  <c r="A1411" i="40"/>
  <c r="D910" i="40" l="1"/>
  <c r="D911" i="40" s="1"/>
  <c r="D912" i="40" s="1"/>
  <c r="D913" i="40" s="1"/>
  <c r="D914" i="40" s="1"/>
  <c r="D1412" i="40"/>
  <c r="D1413" i="40" s="1"/>
  <c r="D1414" i="40" s="1"/>
  <c r="D1415" i="40" s="1"/>
  <c r="D1416" i="40" s="1"/>
  <c r="F1410" i="40"/>
  <c r="F908" i="40"/>
  <c r="F1411" i="40"/>
  <c r="F909" i="40"/>
  <c r="F21" i="4"/>
  <c r="F22" i="4" s="1"/>
  <c r="F5" i="9"/>
  <c r="E22" i="4"/>
  <c r="F8" i="9" l="1"/>
  <c r="F9" i="9" s="1"/>
  <c r="G5" i="9"/>
  <c r="G8" i="9" s="1"/>
  <c r="G9" i="9" s="1"/>
  <c r="B1412" i="40" a="1"/>
  <c r="B910" i="40" a="1"/>
  <c r="G13" i="12" l="1"/>
  <c r="B1412" i="40"/>
  <c r="B910" i="40"/>
  <c r="B911" i="40"/>
  <c r="F1412" i="40" a="1"/>
  <c r="B1413" i="40"/>
  <c r="F910" i="40" a="1"/>
  <c r="F1412" i="40" l="1"/>
  <c r="F910" i="40"/>
  <c r="B912" i="40"/>
  <c r="F1413" i="40" a="1"/>
  <c r="F911" i="40" a="1"/>
  <c r="B1414" i="40"/>
  <c r="F1413" i="40" l="1"/>
  <c r="F911" i="40"/>
  <c r="A914" i="40"/>
  <c r="B913" i="40"/>
  <c r="B914" i="40"/>
  <c r="B1415" i="40"/>
  <c r="F1414" i="40" a="1"/>
  <c r="F912" i="40" a="1"/>
  <c r="D915" i="40" l="1"/>
  <c r="D916" i="40" s="1"/>
  <c r="D917" i="40" s="1"/>
  <c r="D918" i="40" s="1"/>
  <c r="D919" i="40" s="1"/>
  <c r="F1414" i="40"/>
  <c r="F912" i="40"/>
  <c r="F914" i="40"/>
  <c r="A1416" i="40"/>
  <c r="B1416" i="40"/>
  <c r="F1415" i="40" a="1"/>
  <c r="F913" i="40" a="1"/>
  <c r="D1417" i="40" l="1"/>
  <c r="D1418" i="40" s="1"/>
  <c r="D1419" i="40" s="1"/>
  <c r="D1420" i="40" s="1"/>
  <c r="D1421" i="40" s="1"/>
  <c r="F913" i="40"/>
  <c r="F1415" i="40"/>
  <c r="F1416" i="40"/>
  <c r="B915" i="40" a="1"/>
  <c r="B915" i="40" l="1"/>
  <c r="F915" i="40" a="1"/>
  <c r="B1417" i="40" a="1"/>
  <c r="B916" i="40"/>
  <c r="B1417" i="40" l="1"/>
  <c r="F915" i="40"/>
  <c r="F1417" i="40" a="1"/>
  <c r="B917" i="40"/>
  <c r="B1418" i="40"/>
  <c r="F916" i="40" a="1"/>
  <c r="F916" i="40" l="1"/>
  <c r="F1417" i="40"/>
  <c r="F1418" i="40" a="1"/>
  <c r="B1419" i="40"/>
  <c r="B918" i="40"/>
  <c r="F917" i="40" a="1"/>
  <c r="F1418" i="40" l="1"/>
  <c r="F917" i="40"/>
  <c r="A919" i="40"/>
  <c r="B919" i="40"/>
  <c r="F918" i="40" a="1"/>
  <c r="B1420" i="40"/>
  <c r="F1419" i="40" a="1"/>
  <c r="D920" i="40" l="1"/>
  <c r="D921" i="40" s="1"/>
  <c r="D922" i="40" s="1"/>
  <c r="D923" i="40" s="1"/>
  <c r="D924" i="40" s="1"/>
  <c r="F1419" i="40"/>
  <c r="F918" i="40"/>
  <c r="F919" i="40"/>
  <c r="F1420" i="40" a="1"/>
  <c r="A1421" i="40"/>
  <c r="B1421" i="40"/>
  <c r="D1422" i="40" l="1"/>
  <c r="D1423" i="40" s="1"/>
  <c r="D1424" i="40" s="1"/>
  <c r="D1425" i="40" s="1"/>
  <c r="D1426" i="40" s="1"/>
  <c r="F1420" i="40"/>
  <c r="F1421" i="40"/>
  <c r="B920" i="40" a="1"/>
  <c r="B920" i="40" l="1"/>
  <c r="B1422" i="40" a="1"/>
  <c r="F920" i="40" a="1"/>
  <c r="B921" i="40"/>
  <c r="B1422" i="40" l="1"/>
  <c r="F920" i="40"/>
  <c r="F921" i="40" a="1"/>
  <c r="B922" i="40"/>
  <c r="B1423" i="40"/>
  <c r="F1422" i="40" a="1"/>
  <c r="F921" i="40" l="1"/>
  <c r="F1422" i="40"/>
  <c r="B1424" i="40"/>
  <c r="F1423" i="40" a="1"/>
  <c r="B923" i="40"/>
  <c r="F922" i="40" a="1"/>
  <c r="F1423" i="40" l="1"/>
  <c r="F922" i="40"/>
  <c r="B924" i="40"/>
  <c r="A924" i="40"/>
  <c r="F1424" i="40" a="1"/>
  <c r="B1425" i="40"/>
  <c r="F923" i="40" a="1"/>
  <c r="D925" i="40" l="1"/>
  <c r="D926" i="40" s="1"/>
  <c r="D927" i="40" s="1"/>
  <c r="D928" i="40" s="1"/>
  <c r="D929" i="40" s="1"/>
  <c r="F1424" i="40"/>
  <c r="F923" i="40"/>
  <c r="F924" i="40"/>
  <c r="A1426" i="40"/>
  <c r="B1426" i="40"/>
  <c r="F1425" i="40" a="1"/>
  <c r="D1427" i="40" l="1"/>
  <c r="D1428" i="40" s="1"/>
  <c r="D1429" i="40" s="1"/>
  <c r="D1430" i="40" s="1"/>
  <c r="D1431" i="40" s="1"/>
  <c r="F1425" i="40"/>
  <c r="F1426" i="40"/>
  <c r="B925" i="40" a="1"/>
  <c r="B925" i="40" l="1"/>
  <c r="F925" i="40" a="1"/>
  <c r="B1427" i="40" a="1"/>
  <c r="B926" i="40"/>
  <c r="B1427" i="40" l="1"/>
  <c r="F925" i="40"/>
  <c r="B927" i="40"/>
  <c r="B1428" i="40"/>
  <c r="F1427" i="40" a="1"/>
  <c r="F926" i="40" a="1"/>
  <c r="F926" i="40" l="1"/>
  <c r="F1427" i="40"/>
  <c r="F927" i="40" a="1"/>
  <c r="F1428" i="40" a="1"/>
  <c r="B1429" i="40"/>
  <c r="B928" i="40"/>
  <c r="F1428" i="40" l="1"/>
  <c r="F927" i="40"/>
  <c r="F928" i="40" a="1"/>
  <c r="A1431" i="40"/>
  <c r="B929" i="40"/>
  <c r="B1430" i="40"/>
  <c r="F1429" i="40" a="1"/>
  <c r="B1431" i="40"/>
  <c r="A929" i="40"/>
  <c r="D930" i="40" l="1"/>
  <c r="D931" i="40" s="1"/>
  <c r="D932" i="40" s="1"/>
  <c r="D933" i="40" s="1"/>
  <c r="D934" i="40" s="1"/>
  <c r="D1432" i="40"/>
  <c r="D1433" i="40" s="1"/>
  <c r="D1434" i="40" s="1"/>
  <c r="D1435" i="40" s="1"/>
  <c r="D1436" i="40" s="1"/>
  <c r="F928" i="40"/>
  <c r="F1429" i="40"/>
  <c r="F1431" i="40"/>
  <c r="F929" i="40"/>
  <c r="F1430" i="40" a="1"/>
  <c r="F1430" i="40" l="1"/>
  <c r="B930" i="40" a="1"/>
  <c r="B1432" i="40" a="1"/>
  <c r="B1432" i="40" l="1"/>
  <c r="B930" i="40"/>
  <c r="B931" i="40"/>
  <c r="F1432" i="40" a="1"/>
  <c r="B1433" i="40"/>
  <c r="F930" i="40" a="1"/>
  <c r="F1432" i="40" l="1"/>
  <c r="F930" i="40"/>
  <c r="F931" i="40" a="1"/>
  <c r="F1433" i="40" a="1"/>
  <c r="B1434" i="40"/>
  <c r="B932" i="40"/>
  <c r="F931" i="40" l="1"/>
  <c r="F1433" i="40"/>
  <c r="F1434" i="40" a="1"/>
  <c r="B934" i="40"/>
  <c r="F932" i="40" a="1"/>
  <c r="B933" i="40"/>
  <c r="A934" i="40"/>
  <c r="B1435" i="40"/>
  <c r="D935" i="40" l="1"/>
  <c r="D936" i="40" s="1"/>
  <c r="D937" i="40" s="1"/>
  <c r="D938" i="40" s="1"/>
  <c r="D939" i="40" s="1"/>
  <c r="F1434" i="40"/>
  <c r="F932" i="40"/>
  <c r="F934" i="40"/>
  <c r="F933" i="40" a="1"/>
  <c r="B1436" i="40"/>
  <c r="F1435" i="40" a="1"/>
  <c r="A1436" i="40"/>
  <c r="D1437" i="40" l="1"/>
  <c r="D1438" i="40" s="1"/>
  <c r="D1439" i="40" s="1"/>
  <c r="D1440" i="40" s="1"/>
  <c r="D1441" i="40" s="1"/>
  <c r="F933" i="40"/>
  <c r="F1435" i="40"/>
  <c r="F1436" i="40"/>
  <c r="B935" i="40" a="1"/>
  <c r="B935" i="40" l="1"/>
  <c r="B1437" i="40" a="1"/>
  <c r="F935" i="40" a="1"/>
  <c r="B936" i="40"/>
  <c r="B1437" i="40" l="1"/>
  <c r="F935" i="40"/>
  <c r="F1437" i="40" a="1"/>
  <c r="B937" i="40"/>
  <c r="F936" i="40" a="1"/>
  <c r="B1438" i="40"/>
  <c r="F936" i="40" l="1"/>
  <c r="F1437" i="40"/>
  <c r="F937" i="40" a="1"/>
  <c r="F1438" i="40" a="1"/>
  <c r="B1439" i="40"/>
  <c r="B938" i="40"/>
  <c r="F937" i="40" l="1"/>
  <c r="F1438" i="40"/>
  <c r="F1439" i="40" a="1"/>
  <c r="B1440" i="40"/>
  <c r="A939" i="40"/>
  <c r="B939" i="40"/>
  <c r="F938" i="40" a="1"/>
  <c r="D940" i="40" l="1"/>
  <c r="D941" i="40" s="1"/>
  <c r="D942" i="40" s="1"/>
  <c r="D943" i="40" s="1"/>
  <c r="D944" i="40" s="1"/>
  <c r="F1439" i="40"/>
  <c r="F938" i="40"/>
  <c r="F939" i="40"/>
  <c r="F1440" i="40" a="1"/>
  <c r="A1441" i="40"/>
  <c r="B1441" i="40"/>
  <c r="D1442" i="40" l="1"/>
  <c r="D1443" i="40" s="1"/>
  <c r="D1444" i="40" s="1"/>
  <c r="D1445" i="40" s="1"/>
  <c r="D1446" i="40" s="1"/>
  <c r="F1440" i="40"/>
  <c r="F1441" i="40"/>
  <c r="B940" i="40" a="1"/>
  <c r="B940" i="40" l="1"/>
  <c r="B941" i="40"/>
  <c r="B1442" i="40" a="1"/>
  <c r="F940" i="40" a="1"/>
  <c r="B1442" i="40" l="1"/>
  <c r="F940" i="40"/>
  <c r="F941" i="40" a="1"/>
  <c r="F1442" i="40" a="1"/>
  <c r="B942" i="40"/>
  <c r="B1443" i="40"/>
  <c r="F941" i="40" l="1"/>
  <c r="F1442" i="40"/>
  <c r="B1444" i="40"/>
  <c r="B943" i="40"/>
  <c r="F1443" i="40" a="1"/>
  <c r="F942" i="40" a="1"/>
  <c r="F1443" i="40" l="1"/>
  <c r="F942" i="40"/>
  <c r="F1444" i="40" a="1"/>
  <c r="B1445" i="40"/>
  <c r="A944" i="40"/>
  <c r="F943" i="40" a="1"/>
  <c r="B944" i="40"/>
  <c r="D945" i="40" l="1"/>
  <c r="D946" i="40" s="1"/>
  <c r="D947" i="40" s="1"/>
  <c r="D948" i="40" s="1"/>
  <c r="D949" i="40" s="1"/>
  <c r="F1444" i="40"/>
  <c r="F943" i="40"/>
  <c r="F944" i="40"/>
  <c r="F1445" i="40" a="1"/>
  <c r="B1446" i="40"/>
  <c r="A1446" i="40"/>
  <c r="D1447" i="40" l="1"/>
  <c r="D1448" i="40" s="1"/>
  <c r="D1449" i="40" s="1"/>
  <c r="D1450" i="40" s="1"/>
  <c r="D1451" i="40" s="1"/>
  <c r="F1445" i="40"/>
  <c r="F1446" i="40"/>
  <c r="B945" i="40" a="1"/>
  <c r="B945" i="40" l="1"/>
  <c r="B946" i="40"/>
  <c r="B1447" i="40" a="1"/>
  <c r="F945" i="40" a="1"/>
  <c r="B1447" i="40" l="1"/>
  <c r="F945" i="40"/>
  <c r="B947" i="40"/>
  <c r="F946" i="40" a="1"/>
  <c r="F1447" i="40" a="1"/>
  <c r="B1448" i="40"/>
  <c r="F946" i="40" l="1"/>
  <c r="F1447" i="40"/>
  <c r="F947" i="40" a="1"/>
  <c r="B948" i="40"/>
  <c r="B1449" i="40"/>
  <c r="F1448" i="40" a="1"/>
  <c r="F947" i="40" l="1"/>
  <c r="F1448" i="40"/>
  <c r="A949" i="40"/>
  <c r="B1450" i="40"/>
  <c r="F948" i="40" a="1"/>
  <c r="F1449" i="40" a="1"/>
  <c r="B949" i="40"/>
  <c r="D950" i="40" l="1"/>
  <c r="D951" i="40" s="1"/>
  <c r="D952" i="40" s="1"/>
  <c r="D953" i="40" s="1"/>
  <c r="D954" i="40" s="1"/>
  <c r="F1449" i="40"/>
  <c r="F948" i="40"/>
  <c r="F949" i="40"/>
  <c r="B1451" i="40"/>
  <c r="A1451" i="40"/>
  <c r="F1450" i="40" a="1"/>
  <c r="D1452" i="40" l="1"/>
  <c r="D1453" i="40" s="1"/>
  <c r="D1454" i="40" s="1"/>
  <c r="D1455" i="40" s="1"/>
  <c r="D1456" i="40" s="1"/>
  <c r="F1450" i="40"/>
  <c r="F1451" i="40"/>
  <c r="B950" i="40" a="1"/>
  <c r="B950" i="40" l="1"/>
  <c r="B1452" i="40" a="1"/>
  <c r="F950" i="40" a="1"/>
  <c r="B951" i="40"/>
  <c r="B1452" i="40" l="1"/>
  <c r="F950" i="40"/>
  <c r="F951" i="40" a="1"/>
  <c r="B1453" i="40"/>
  <c r="B952" i="40"/>
  <c r="F1452" i="40" a="1"/>
  <c r="F951" i="40" l="1"/>
  <c r="F1452" i="40"/>
  <c r="F952" i="40" a="1"/>
  <c r="B954" i="40"/>
  <c r="F1453" i="40" a="1"/>
  <c r="A954" i="40"/>
  <c r="B1454" i="40"/>
  <c r="B953" i="40"/>
  <c r="D955" i="40" l="1"/>
  <c r="D956" i="40" s="1"/>
  <c r="D957" i="40" s="1"/>
  <c r="D958" i="40" s="1"/>
  <c r="D959" i="40" s="1"/>
  <c r="F952" i="40"/>
  <c r="F1453" i="40"/>
  <c r="F954" i="40"/>
  <c r="F953" i="40" a="1"/>
  <c r="B1455" i="40"/>
  <c r="F1454" i="40" a="1"/>
  <c r="F953" i="40" l="1"/>
  <c r="F1454" i="40"/>
  <c r="B955" i="40" a="1"/>
  <c r="A1456" i="40"/>
  <c r="F1455" i="40" a="1"/>
  <c r="B1456" i="40"/>
  <c r="D1457" i="40" l="1"/>
  <c r="D1458" i="40" s="1"/>
  <c r="D1459" i="40" s="1"/>
  <c r="D1460" i="40" s="1"/>
  <c r="D1461" i="40" s="1"/>
  <c r="F1455" i="40"/>
  <c r="F1456" i="40"/>
  <c r="B955" i="40"/>
  <c r="F955" i="40" a="1"/>
  <c r="B956" i="40"/>
  <c r="F955" i="40" l="1"/>
  <c r="F956" i="40" a="1"/>
  <c r="B957" i="40"/>
  <c r="B1457" i="40" a="1"/>
  <c r="F956" i="40" l="1"/>
  <c r="B1457" i="40"/>
  <c r="F957" i="40" a="1"/>
  <c r="F1457" i="40" a="1"/>
  <c r="B1458" i="40"/>
  <c r="B958" i="40"/>
  <c r="F957" i="40" l="1"/>
  <c r="F1457" i="40"/>
  <c r="F1458" i="40" a="1"/>
  <c r="A959" i="40"/>
  <c r="B959" i="40"/>
  <c r="B1459" i="40"/>
  <c r="F958" i="40" a="1"/>
  <c r="D960" i="40" l="1"/>
  <c r="D961" i="40" s="1"/>
  <c r="D962" i="40" s="1"/>
  <c r="D963" i="40" s="1"/>
  <c r="D964" i="40" s="1"/>
  <c r="F958" i="40"/>
  <c r="F1458" i="40"/>
  <c r="F959" i="40"/>
  <c r="B1460" i="40"/>
  <c r="F1459" i="40" a="1"/>
  <c r="F1459" i="40" l="1"/>
  <c r="B1461" i="40"/>
  <c r="B960" i="40" a="1"/>
  <c r="F1460" i="40" a="1"/>
  <c r="A1461" i="40"/>
  <c r="D1462" i="40" l="1"/>
  <c r="D1463" i="40" s="1"/>
  <c r="D1464" i="40" s="1"/>
  <c r="D1465" i="40" s="1"/>
  <c r="D1466" i="40" s="1"/>
  <c r="F1460" i="40"/>
  <c r="F1461" i="40"/>
  <c r="B960" i="40"/>
  <c r="B961" i="40"/>
  <c r="F960" i="40" a="1"/>
  <c r="F960" i="40" l="1"/>
  <c r="B962" i="40"/>
  <c r="B1462" i="40" a="1"/>
  <c r="F961" i="40" a="1"/>
  <c r="F961" i="40" l="1"/>
  <c r="B1462" i="40"/>
  <c r="F962" i="40" a="1"/>
  <c r="F1462" i="40" a="1"/>
  <c r="B963" i="40"/>
  <c r="B1463" i="40"/>
  <c r="F962" i="40" l="1"/>
  <c r="F1462" i="40"/>
  <c r="B1464" i="40"/>
  <c r="B964" i="40"/>
  <c r="F1463" i="40" a="1"/>
  <c r="F963" i="40" a="1"/>
  <c r="A964" i="40"/>
  <c r="D965" i="40" l="1"/>
  <c r="D966" i="40" s="1"/>
  <c r="D967" i="40" s="1"/>
  <c r="D968" i="40" s="1"/>
  <c r="D969" i="40" s="1"/>
  <c r="F1463" i="40"/>
  <c r="F963" i="40"/>
  <c r="F964" i="40"/>
  <c r="F1464" i="40" a="1"/>
  <c r="B1465" i="40"/>
  <c r="F1464" i="40" l="1"/>
  <c r="F1465" i="40" a="1"/>
  <c r="B1466" i="40"/>
  <c r="A1466" i="40"/>
  <c r="B965" i="40" a="1"/>
  <c r="D1467" i="40" l="1"/>
  <c r="D1468" i="40" s="1"/>
  <c r="D1469" i="40" s="1"/>
  <c r="D1470" i="40" s="1"/>
  <c r="D1471" i="40" s="1"/>
  <c r="F1465" i="40"/>
  <c r="F1466" i="40"/>
  <c r="B965" i="40"/>
  <c r="B966" i="40"/>
  <c r="F965" i="40" a="1"/>
  <c r="F965" i="40" l="1"/>
  <c r="B1467" i="40" a="1"/>
  <c r="F966" i="40" a="1"/>
  <c r="B967" i="40"/>
  <c r="F966" i="40" l="1"/>
  <c r="B1467" i="40"/>
  <c r="F1467" i="40" a="1"/>
  <c r="B968" i="40"/>
  <c r="B1468" i="40"/>
  <c r="F967" i="40" a="1"/>
  <c r="F967" i="40" l="1"/>
  <c r="F1467" i="40"/>
  <c r="B1469" i="40"/>
  <c r="A969" i="40"/>
  <c r="F1468" i="40" a="1"/>
  <c r="B969" i="40"/>
  <c r="F968" i="40" a="1"/>
  <c r="D970" i="40" l="1"/>
  <c r="D971" i="40" s="1"/>
  <c r="D972" i="40" s="1"/>
  <c r="D973" i="40" s="1"/>
  <c r="D974" i="40" s="1"/>
  <c r="F1468" i="40"/>
  <c r="F968" i="40"/>
  <c r="F969" i="40"/>
  <c r="F1469" i="40" a="1"/>
  <c r="B1470" i="40"/>
  <c r="F1469" i="40" l="1"/>
  <c r="A1471" i="40"/>
  <c r="B970" i="40" a="1"/>
  <c r="F1470" i="40" a="1"/>
  <c r="B1471" i="40"/>
  <c r="D1472" i="40" l="1"/>
  <c r="D1473" i="40" s="1"/>
  <c r="D1474" i="40" s="1"/>
  <c r="D1475" i="40" s="1"/>
  <c r="D1476" i="40" s="1"/>
  <c r="F1470" i="40"/>
  <c r="F1471" i="40"/>
  <c r="B970" i="40"/>
  <c r="F970" i="40" a="1"/>
  <c r="B971" i="40"/>
  <c r="F970" i="40" l="1"/>
  <c r="F971" i="40" a="1"/>
  <c r="B972" i="40"/>
  <c r="B1472" i="40" a="1"/>
  <c r="F971" i="40" l="1"/>
  <c r="B1472" i="40"/>
  <c r="B1473" i="40"/>
  <c r="B974" i="40"/>
  <c r="F1472" i="40" a="1"/>
  <c r="B973" i="40"/>
  <c r="F972" i="40" a="1"/>
  <c r="A974" i="40"/>
  <c r="D975" i="40" l="1"/>
  <c r="D976" i="40" s="1"/>
  <c r="D977" i="40" s="1"/>
  <c r="D978" i="40" s="1"/>
  <c r="D979" i="40" s="1"/>
  <c r="F972" i="40"/>
  <c r="F1472" i="40"/>
  <c r="F974" i="40"/>
  <c r="B1474" i="40"/>
  <c r="F1473" i="40" a="1"/>
  <c r="F973" i="40" a="1"/>
  <c r="F1473" i="40" l="1"/>
  <c r="F973" i="40"/>
  <c r="B1475" i="40"/>
  <c r="F1474" i="40" a="1"/>
  <c r="B975" i="40" a="1"/>
  <c r="F1474" i="40" l="1"/>
  <c r="B975" i="40"/>
  <c r="F975" i="40" a="1"/>
  <c r="B1476" i="40"/>
  <c r="F1475" i="40" a="1"/>
  <c r="B976" i="40"/>
  <c r="A1476" i="40"/>
  <c r="D1477" i="40" l="1"/>
  <c r="D1478" i="40" s="1"/>
  <c r="D1479" i="40" s="1"/>
  <c r="D1480" i="40" s="1"/>
  <c r="D1481" i="40" s="1"/>
  <c r="F1475" i="40"/>
  <c r="F1476" i="40"/>
  <c r="F975" i="40"/>
  <c r="B977" i="40"/>
  <c r="F976" i="40" a="1"/>
  <c r="F976" i="40" l="1"/>
  <c r="F977" i="40" a="1"/>
  <c r="B978" i="40"/>
  <c r="B1477" i="40" a="1"/>
  <c r="F977" i="40" l="1"/>
  <c r="B1477" i="40"/>
  <c r="B979" i="40"/>
  <c r="B1478" i="40"/>
  <c r="F1477" i="40" a="1"/>
  <c r="A979" i="40"/>
  <c r="F978" i="40" a="1"/>
  <c r="D980" i="40" l="1"/>
  <c r="D981" i="40" s="1"/>
  <c r="D982" i="40" s="1"/>
  <c r="D983" i="40" s="1"/>
  <c r="D984" i="40" s="1"/>
  <c r="F978" i="40"/>
  <c r="F1477" i="40"/>
  <c r="F979" i="40"/>
  <c r="F1478" i="40" a="1"/>
  <c r="B1479" i="40"/>
  <c r="F1478" i="40" l="1"/>
  <c r="B1480" i="40"/>
  <c r="F1479" i="40" a="1"/>
  <c r="B980" i="40" a="1"/>
  <c r="F1479" i="40" l="1"/>
  <c r="B980" i="40"/>
  <c r="B981" i="40"/>
  <c r="F980" i="40" a="1"/>
  <c r="F1480" i="40" a="1"/>
  <c r="B1481" i="40"/>
  <c r="A1481" i="40"/>
  <c r="D1482" i="40" l="1"/>
  <c r="D1483" i="40" s="1"/>
  <c r="D1484" i="40" s="1"/>
  <c r="D1485" i="40" s="1"/>
  <c r="D1486" i="40" s="1"/>
  <c r="F1480" i="40"/>
  <c r="F1481" i="40"/>
  <c r="F980" i="40"/>
  <c r="F981" i="40" a="1"/>
  <c r="B982" i="40"/>
  <c r="F981" i="40" l="1"/>
  <c r="B983" i="40"/>
  <c r="F982" i="40" a="1"/>
  <c r="B1482" i="40" a="1"/>
  <c r="F982" i="40" l="1"/>
  <c r="B1482" i="40"/>
  <c r="B984" i="40"/>
  <c r="B1483" i="40"/>
  <c r="F983" i="40" a="1"/>
  <c r="A984" i="40"/>
  <c r="F1482" i="40" a="1"/>
  <c r="D985" i="40" l="1"/>
  <c r="D986" i="40" s="1"/>
  <c r="D987" i="40" s="1"/>
  <c r="D988" i="40" s="1"/>
  <c r="D989" i="40" s="1"/>
  <c r="F983" i="40"/>
  <c r="F1482" i="40"/>
  <c r="F984" i="40"/>
  <c r="F1483" i="40" a="1"/>
  <c r="B1484" i="40"/>
  <c r="F1483" i="40" l="1"/>
  <c r="F1484" i="40" a="1"/>
  <c r="B985" i="40" a="1"/>
  <c r="B1485" i="40"/>
  <c r="F1484" i="40" l="1"/>
  <c r="B985" i="40"/>
  <c r="A1486" i="40"/>
  <c r="B986" i="40"/>
  <c r="F1485" i="40" a="1"/>
  <c r="B1486" i="40"/>
  <c r="F985" i="40" a="1"/>
  <c r="D1487" i="40" l="1"/>
  <c r="D1488" i="40" s="1"/>
  <c r="D1489" i="40" s="1"/>
  <c r="D1490" i="40" s="1"/>
  <c r="D1491" i="40" s="1"/>
  <c r="F1485" i="40"/>
  <c r="F1486" i="40"/>
  <c r="F985" i="40"/>
  <c r="B987" i="40"/>
  <c r="F986" i="40" a="1"/>
  <c r="F986" i="40" l="1"/>
  <c r="F987" i="40" a="1"/>
  <c r="B1487" i="40" a="1"/>
  <c r="B988" i="40"/>
  <c r="F987" i="40" l="1"/>
  <c r="B1487" i="40"/>
  <c r="B989" i="40"/>
  <c r="A989" i="40"/>
  <c r="F988" i="40" a="1"/>
  <c r="F1487" i="40" a="1"/>
  <c r="B1488" i="40"/>
  <c r="D990" i="40" l="1"/>
  <c r="D991" i="40" s="1"/>
  <c r="D992" i="40" s="1"/>
  <c r="D993" i="40" s="1"/>
  <c r="D994" i="40" s="1"/>
  <c r="F988" i="40"/>
  <c r="F1487" i="40"/>
  <c r="F989" i="40"/>
  <c r="F1488" i="40" a="1"/>
  <c r="B1489" i="40"/>
  <c r="F1488" i="40" l="1"/>
  <c r="F1489" i="40" a="1"/>
  <c r="B990" i="40" a="1"/>
  <c r="B1490" i="40"/>
  <c r="F1489" i="40" l="1"/>
  <c r="B990" i="40"/>
  <c r="F990" i="40" a="1"/>
  <c r="A1491" i="40"/>
  <c r="F1490" i="40" a="1"/>
  <c r="B1491" i="40"/>
  <c r="B991" i="40"/>
  <c r="D1492" i="40" l="1"/>
  <c r="D1493" i="40" s="1"/>
  <c r="D1494" i="40" s="1"/>
  <c r="D1495" i="40" s="1"/>
  <c r="D1496" i="40" s="1"/>
  <c r="F1490" i="40"/>
  <c r="F1491" i="40"/>
  <c r="F990" i="40"/>
  <c r="F991" i="40" a="1"/>
  <c r="B992" i="40"/>
  <c r="F991" i="40" l="1"/>
  <c r="A994" i="40"/>
  <c r="B994" i="40"/>
  <c r="B1492" i="40" a="1"/>
  <c r="F992" i="40" a="1"/>
  <c r="B993" i="40"/>
  <c r="D995" i="40" l="1"/>
  <c r="D996" i="40" s="1"/>
  <c r="D997" i="40" s="1"/>
  <c r="D998" i="40" s="1"/>
  <c r="D999" i="40" s="1"/>
  <c r="F992" i="40"/>
  <c r="B1492" i="40"/>
  <c r="F994" i="40"/>
  <c r="F1492" i="40" a="1"/>
  <c r="F993" i="40" a="1"/>
  <c r="B1493" i="40"/>
  <c r="F993" i="40" l="1"/>
  <c r="F1492" i="40"/>
  <c r="B1494" i="40"/>
  <c r="B995" i="40" a="1"/>
  <c r="F1493" i="40" a="1"/>
  <c r="F1493" i="40" l="1"/>
  <c r="B995" i="40"/>
  <c r="B996" i="40"/>
  <c r="B1495" i="40"/>
  <c r="F1494" i="40" a="1"/>
  <c r="F995" i="40" a="1"/>
  <c r="F1494" i="40" l="1"/>
  <c r="F995" i="40"/>
  <c r="F1495" i="40" a="1"/>
  <c r="A1496" i="40"/>
  <c r="B1496" i="40"/>
  <c r="B997" i="40"/>
  <c r="F996" i="40" a="1"/>
  <c r="D1497" i="40" l="1"/>
  <c r="D1498" i="40" s="1"/>
  <c r="D1499" i="40" s="1"/>
  <c r="D1500" i="40" s="1"/>
  <c r="D1501" i="40" s="1"/>
  <c r="F1495" i="40"/>
  <c r="F996" i="40"/>
  <c r="F1496" i="40"/>
  <c r="B998" i="40"/>
  <c r="F997" i="40" a="1"/>
  <c r="F997" i="40" l="1"/>
  <c r="B1497" i="40" a="1"/>
  <c r="F998" i="40" a="1"/>
  <c r="A999" i="40"/>
  <c r="B999" i="40"/>
  <c r="D1000" i="40" l="1"/>
  <c r="D1001" i="40" s="1"/>
  <c r="D1002" i="40" s="1"/>
  <c r="D1003" i="40" s="1"/>
  <c r="D1004" i="40" s="1"/>
  <c r="F998" i="40"/>
  <c r="B1497" i="40"/>
  <c r="F999" i="40"/>
  <c r="F1497" i="40" a="1"/>
  <c r="B1498" i="40"/>
  <c r="F1497" i="40" l="1"/>
  <c r="F1498" i="40" a="1"/>
  <c r="B1499" i="40"/>
  <c r="B1000" i="40" a="1"/>
  <c r="F1498" i="40" l="1"/>
  <c r="B1000" i="40"/>
  <c r="B1001" i="40"/>
  <c r="B1500" i="40"/>
  <c r="F1499" i="40" a="1"/>
  <c r="F1000" i="40" a="1"/>
  <c r="F1499" i="40" l="1"/>
  <c r="F1000" i="40"/>
  <c r="A1501" i="40"/>
  <c r="F1001" i="40" a="1"/>
  <c r="B1501" i="40"/>
  <c r="F1500" i="40" a="1"/>
  <c r="B1002" i="40"/>
  <c r="D1502" i="40" l="1"/>
  <c r="D1503" i="40" s="1"/>
  <c r="D1504" i="40" s="1"/>
  <c r="D1505" i="40" s="1"/>
  <c r="D1506" i="40" s="1"/>
  <c r="F1500" i="40"/>
  <c r="F1001" i="40"/>
  <c r="F1501" i="40"/>
  <c r="F1002" i="40" a="1"/>
  <c r="B1003" i="40"/>
  <c r="F1002" i="40" l="1"/>
  <c r="F1003" i="40" a="1"/>
  <c r="A1004" i="40"/>
  <c r="B1004" i="40"/>
  <c r="B1502" i="40" a="1"/>
  <c r="D1005" i="40" l="1"/>
  <c r="D1006" i="40" s="1"/>
  <c r="D1007" i="40" s="1"/>
  <c r="D1008" i="40" s="1"/>
  <c r="D1009" i="40" s="1"/>
  <c r="F1003" i="40"/>
  <c r="B1502" i="40"/>
  <c r="F1004" i="40"/>
  <c r="F1502" i="40" a="1"/>
  <c r="B1503" i="40"/>
  <c r="F1502" i="40" l="1"/>
  <c r="B1504" i="40"/>
  <c r="B1005" i="40" a="1"/>
  <c r="F1503" i="40" a="1"/>
  <c r="F1503" i="40" l="1"/>
  <c r="B1005" i="40"/>
  <c r="F1504" i="40" a="1"/>
  <c r="B1505" i="40"/>
  <c r="B1006" i="40"/>
  <c r="F1005" i="40" a="1"/>
  <c r="F1504" i="40" l="1"/>
  <c r="F1005" i="40"/>
  <c r="B1007" i="40"/>
  <c r="B1506" i="40"/>
  <c r="F1505" i="40" a="1"/>
  <c r="F1006" i="40" a="1"/>
  <c r="A1506" i="40"/>
  <c r="D1507" i="40" l="1"/>
  <c r="D1508" i="40" s="1"/>
  <c r="D1509" i="40" s="1"/>
  <c r="D1510" i="40" s="1"/>
  <c r="D1511" i="40" s="1"/>
  <c r="F1505" i="40"/>
  <c r="F1006" i="40"/>
  <c r="F1506" i="40"/>
  <c r="B1008" i="40"/>
  <c r="F1007" i="40" a="1"/>
  <c r="F1007" i="40" l="1"/>
  <c r="B1009" i="40"/>
  <c r="B1507" i="40" a="1"/>
  <c r="F1008" i="40" a="1"/>
  <c r="A1009" i="40"/>
  <c r="D1010" i="40" l="1"/>
  <c r="D1011" i="40" s="1"/>
  <c r="D1012" i="40" s="1"/>
  <c r="D1013" i="40" s="1"/>
  <c r="D1014" i="40" s="1"/>
  <c r="F1008" i="40"/>
  <c r="B1507" i="40"/>
  <c r="F1009" i="40"/>
  <c r="F1507" i="40" a="1"/>
  <c r="B1508" i="40"/>
  <c r="F1507" i="40" l="1"/>
  <c r="B1010" i="40" a="1"/>
  <c r="F1508" i="40" a="1"/>
  <c r="B1509" i="40"/>
  <c r="F1508" i="40" l="1"/>
  <c r="B1010" i="40"/>
  <c r="B1011" i="40"/>
  <c r="A1511" i="40"/>
  <c r="B1511" i="40"/>
  <c r="F1509" i="40" a="1"/>
  <c r="F1010" i="40" a="1"/>
  <c r="B1510" i="40"/>
  <c r="D1512" i="40" l="1"/>
  <c r="D1513" i="40" s="1"/>
  <c r="D1514" i="40" s="1"/>
  <c r="D1515" i="40" s="1"/>
  <c r="D1516" i="40" s="1"/>
  <c r="F1509" i="40"/>
  <c r="F1511" i="40"/>
  <c r="F1010" i="40"/>
  <c r="B1012" i="40"/>
  <c r="F1510" i="40" a="1"/>
  <c r="F1011" i="40" a="1"/>
  <c r="F1510" i="40" l="1"/>
  <c r="F1011" i="40"/>
  <c r="A1014" i="40"/>
  <c r="B1512" i="40" a="1"/>
  <c r="B1014" i="40"/>
  <c r="F1012" i="40" a="1"/>
  <c r="B1013" i="40"/>
  <c r="D1015" i="40" l="1"/>
  <c r="D1016" i="40" s="1"/>
  <c r="D1017" i="40" s="1"/>
  <c r="D1018" i="40" s="1"/>
  <c r="D1019" i="40" s="1"/>
  <c r="F1012" i="40"/>
  <c r="B1512" i="40"/>
  <c r="F1014" i="40"/>
  <c r="F1013" i="40" a="1"/>
  <c r="F1512" i="40" a="1"/>
  <c r="B1513" i="40"/>
  <c r="F1013" i="40" l="1"/>
  <c r="F1512" i="40"/>
  <c r="B1514" i="40"/>
  <c r="B1015" i="40" a="1"/>
  <c r="F1513" i="40" a="1"/>
  <c r="F1513" i="40" l="1"/>
  <c r="B1015" i="40"/>
  <c r="B1016" i="40"/>
  <c r="F1514" i="40" a="1"/>
  <c r="F1015" i="40" a="1"/>
  <c r="B1515" i="40"/>
  <c r="F1514" i="40" l="1"/>
  <c r="F1015" i="40"/>
  <c r="B1017" i="40"/>
  <c r="F1515" i="40" a="1"/>
  <c r="B1516" i="40"/>
  <c r="F1016" i="40" a="1"/>
  <c r="A1516" i="40"/>
  <c r="D1517" i="40" l="1"/>
  <c r="D1518" i="40" s="1"/>
  <c r="D1519" i="40" s="1"/>
  <c r="D1520" i="40" s="1"/>
  <c r="D1521" i="40" s="1"/>
  <c r="F1515" i="40"/>
  <c r="F1016" i="40"/>
  <c r="F1516" i="40"/>
  <c r="F1017" i="40" a="1"/>
  <c r="B1018" i="40"/>
  <c r="F1017" i="40" l="1"/>
  <c r="B1517" i="40" a="1"/>
  <c r="B1019" i="40"/>
  <c r="F1018" i="40" a="1"/>
  <c r="A1019" i="40"/>
  <c r="D1020" i="40" l="1"/>
  <c r="D1021" i="40" s="1"/>
  <c r="D1022" i="40" s="1"/>
  <c r="D1023" i="40" s="1"/>
  <c r="D1024" i="40" s="1"/>
  <c r="F1018" i="40"/>
  <c r="B1517" i="40"/>
  <c r="F1019" i="40"/>
  <c r="F1517" i="40" a="1"/>
  <c r="B1518" i="40"/>
  <c r="F1517" i="40" l="1"/>
  <c r="B1020" i="40" a="1"/>
  <c r="B1519" i="40"/>
  <c r="F1518" i="40" a="1"/>
  <c r="F1518" i="40" l="1"/>
  <c r="B1020" i="40"/>
  <c r="F1519" i="40" a="1"/>
  <c r="B1021" i="40"/>
  <c r="B1520" i="40"/>
  <c r="F1020" i="40" a="1"/>
  <c r="F1519" i="40" l="1"/>
  <c r="F1020" i="40"/>
  <c r="F1021" i="40" a="1"/>
  <c r="F1520" i="40" a="1"/>
  <c r="B1521" i="40"/>
  <c r="B1022" i="40"/>
  <c r="A1521" i="40"/>
  <c r="D1522" i="40" l="1"/>
  <c r="D1523" i="40" s="1"/>
  <c r="D1524" i="40" s="1"/>
  <c r="D1525" i="40" s="1"/>
  <c r="D1526" i="40" s="1"/>
  <c r="F1520" i="40"/>
  <c r="F1021" i="40"/>
  <c r="F1521" i="40"/>
  <c r="B1023" i="40"/>
  <c r="F1022" i="40" a="1"/>
  <c r="F1022" i="40" l="1"/>
  <c r="A1024" i="40"/>
  <c r="F1023" i="40" a="1"/>
  <c r="B1024" i="40"/>
  <c r="B1522" i="40" a="1"/>
  <c r="D1025" i="40" l="1"/>
  <c r="D1026" i="40" s="1"/>
  <c r="D1027" i="40" s="1"/>
  <c r="D1028" i="40" s="1"/>
  <c r="D1029" i="40" s="1"/>
  <c r="F1023" i="40"/>
  <c r="B1522" i="40"/>
  <c r="F1024" i="40"/>
  <c r="B1523" i="40"/>
  <c r="F1522" i="40" a="1"/>
  <c r="F1522" i="40" l="1"/>
  <c r="B1524" i="40"/>
  <c r="F1523" i="40" a="1"/>
  <c r="B1025" i="40" a="1"/>
  <c r="F1523" i="40" l="1"/>
  <c r="B1025" i="40"/>
  <c r="B1026" i="40"/>
  <c r="F1025" i="40" a="1"/>
  <c r="F1524" i="40" a="1"/>
  <c r="B1525" i="40"/>
  <c r="F1524" i="40" l="1"/>
  <c r="F1025" i="40"/>
  <c r="A1526" i="40"/>
  <c r="F1026" i="40" a="1"/>
  <c r="F1525" i="40" a="1"/>
  <c r="B1526" i="40"/>
  <c r="B1027" i="40"/>
  <c r="D1527" i="40" l="1"/>
  <c r="D1528" i="40" s="1"/>
  <c r="D1529" i="40" s="1"/>
  <c r="D1530" i="40" s="1"/>
  <c r="D1531" i="40" s="1"/>
  <c r="F1525" i="40"/>
  <c r="F1026" i="40"/>
  <c r="F1526" i="40"/>
  <c r="F1027" i="40" a="1"/>
  <c r="B1028" i="40"/>
  <c r="F1027" i="40" l="1"/>
  <c r="F1028" i="40" a="1"/>
  <c r="B1527" i="40" a="1"/>
  <c r="A1029" i="40"/>
  <c r="B1029" i="40"/>
  <c r="D1030" i="40" l="1"/>
  <c r="D1031" i="40" s="1"/>
  <c r="D1032" i="40" s="1"/>
  <c r="D1033" i="40" s="1"/>
  <c r="D1034" i="40" s="1"/>
  <c r="F1028" i="40"/>
  <c r="B1527" i="40"/>
  <c r="F1029" i="40"/>
  <c r="F1527" i="40" a="1"/>
  <c r="B1528" i="40"/>
  <c r="F1527" i="40" l="1"/>
  <c r="F1528" i="40" a="1"/>
  <c r="B1529" i="40"/>
  <c r="B1030" i="40" a="1"/>
  <c r="F1528" i="40" l="1"/>
  <c r="B1030" i="40"/>
  <c r="B1031" i="40"/>
  <c r="B1530" i="40"/>
  <c r="F1030" i="40" a="1"/>
  <c r="F1529" i="40" a="1"/>
  <c r="F1529" i="40" l="1"/>
  <c r="F1030" i="40"/>
  <c r="B1032" i="40"/>
  <c r="F1031" i="40" a="1"/>
  <c r="F1530" i="40" a="1"/>
  <c r="A1531" i="40"/>
  <c r="B1531" i="40"/>
  <c r="D1532" i="40" l="1"/>
  <c r="D1533" i="40" s="1"/>
  <c r="D1534" i="40" s="1"/>
  <c r="D1535" i="40" s="1"/>
  <c r="D1536" i="40" s="1"/>
  <c r="F1530" i="40"/>
  <c r="F1031" i="40"/>
  <c r="F1531" i="40"/>
  <c r="B1033" i="40"/>
  <c r="F1032" i="40" a="1"/>
  <c r="F1032" i="40" l="1"/>
  <c r="B1034" i="40"/>
  <c r="B1532" i="40" a="1"/>
  <c r="A1034" i="40"/>
  <c r="F1033" i="40" a="1"/>
  <c r="D1035" i="40" l="1"/>
  <c r="D1036" i="40" s="1"/>
  <c r="D1037" i="40" s="1"/>
  <c r="D1038" i="40" s="1"/>
  <c r="D1039" i="40" s="1"/>
  <c r="F1033" i="40"/>
  <c r="B1532" i="40"/>
  <c r="F1034" i="40"/>
  <c r="F1532" i="40" a="1"/>
  <c r="B1533" i="40"/>
  <c r="F1532" i="40" l="1"/>
  <c r="B1035" i="40" a="1"/>
  <c r="F1533" i="40" a="1"/>
  <c r="B1534" i="40"/>
  <c r="F1533" i="40" l="1"/>
  <c r="B1035" i="40"/>
  <c r="F1035" i="40" a="1"/>
  <c r="B1036" i="40"/>
  <c r="F1534" i="40" a="1"/>
  <c r="B1535" i="40"/>
  <c r="F1534" i="40" l="1"/>
  <c r="F1035" i="40"/>
  <c r="A1536" i="40"/>
  <c r="F1535" i="40" a="1"/>
  <c r="F1036" i="40" a="1"/>
  <c r="B1037" i="40"/>
  <c r="B1536" i="40"/>
  <c r="D1537" i="40" l="1"/>
  <c r="D1538" i="40" s="1"/>
  <c r="D1539" i="40" s="1"/>
  <c r="D1540" i="40" s="1"/>
  <c r="D1541" i="40" s="1"/>
  <c r="F1535" i="40"/>
  <c r="F1036" i="40"/>
  <c r="F1536" i="40"/>
  <c r="B1038" i="40"/>
  <c r="F1037" i="40" a="1"/>
  <c r="F1037" i="40" l="1"/>
  <c r="F1038" i="40" a="1"/>
  <c r="B1039" i="40"/>
  <c r="A1039" i="40"/>
  <c r="B1537" i="40" a="1"/>
  <c r="D1040" i="40" l="1"/>
  <c r="D1041" i="40" s="1"/>
  <c r="D1042" i="40" s="1"/>
  <c r="D1043" i="40" s="1"/>
  <c r="D1044" i="40" s="1"/>
  <c r="F1038" i="40"/>
  <c r="B1537" i="40"/>
  <c r="F1039" i="40"/>
  <c r="F1537" i="40" a="1"/>
  <c r="B1538" i="40"/>
  <c r="F1537" i="40" l="1"/>
  <c r="F1538" i="40" a="1"/>
  <c r="B1539" i="40"/>
  <c r="B1040" i="40" a="1"/>
  <c r="F1538" i="40" l="1"/>
  <c r="B1040" i="40"/>
  <c r="F1539" i="40" a="1"/>
  <c r="B1540" i="40"/>
  <c r="B1041" i="40"/>
  <c r="F1040" i="40" a="1"/>
  <c r="F1539" i="40" l="1"/>
  <c r="F1040" i="40"/>
  <c r="A1541" i="40"/>
  <c r="F1041" i="40" a="1"/>
  <c r="B1042" i="40"/>
  <c r="B1541" i="40"/>
  <c r="F1540" i="40" a="1"/>
  <c r="D1542" i="40" l="1"/>
  <c r="D1543" i="40" s="1"/>
  <c r="D1544" i="40" s="1"/>
  <c r="D1545" i="40" s="1"/>
  <c r="D1546" i="40" s="1"/>
  <c r="F1041" i="40"/>
  <c r="F1540" i="40"/>
  <c r="F1541" i="40"/>
  <c r="F1042" i="40" a="1"/>
  <c r="B1043" i="40"/>
  <c r="F1042" i="40" l="1"/>
  <c r="F1043" i="40" a="1"/>
  <c r="B1044" i="40"/>
  <c r="A1044" i="40"/>
  <c r="B1542" i="40" a="1"/>
  <c r="D1045" i="40" l="1"/>
  <c r="D1046" i="40" s="1"/>
  <c r="D1047" i="40" s="1"/>
  <c r="D1048" i="40" s="1"/>
  <c r="D1049" i="40" s="1"/>
  <c r="F1043" i="40"/>
  <c r="B1542" i="40"/>
  <c r="F1044" i="40"/>
  <c r="F1542" i="40" a="1"/>
  <c r="B1543" i="40"/>
  <c r="F1542" i="40" l="1"/>
  <c r="F1543" i="40" a="1"/>
  <c r="B1544" i="40"/>
  <c r="B1045" i="40" a="1"/>
  <c r="F1543" i="40" l="1"/>
  <c r="B1045" i="40"/>
  <c r="F1045" i="40" a="1"/>
  <c r="B1046" i="40"/>
  <c r="F1544" i="40" a="1"/>
  <c r="B1545" i="40"/>
  <c r="F1544" i="40" l="1"/>
  <c r="F1045" i="40"/>
  <c r="B1047" i="40"/>
  <c r="F1545" i="40" a="1"/>
  <c r="B1546" i="40"/>
  <c r="F1046" i="40" a="1"/>
  <c r="A1546" i="40"/>
  <c r="D1547" i="40" l="1"/>
  <c r="D1548" i="40" s="1"/>
  <c r="D1549" i="40" s="1"/>
  <c r="D1550" i="40" s="1"/>
  <c r="D1551" i="40" s="1"/>
  <c r="F1545" i="40"/>
  <c r="F1046" i="40"/>
  <c r="F1546" i="40"/>
  <c r="B1048" i="40"/>
  <c r="F1047" i="40" a="1"/>
  <c r="F1047" i="40" l="1"/>
  <c r="F1048" i="40" a="1"/>
  <c r="B1547" i="40" a="1"/>
  <c r="A1049" i="40"/>
  <c r="B1049" i="40"/>
  <c r="D1050" i="40" l="1"/>
  <c r="D1051" i="40" s="1"/>
  <c r="D1052" i="40" s="1"/>
  <c r="D1053" i="40" s="1"/>
  <c r="D1054" i="40" s="1"/>
  <c r="F1048" i="40"/>
  <c r="B1547" i="40"/>
  <c r="F1049" i="40"/>
  <c r="B1548" i="40"/>
  <c r="F1547" i="40" a="1"/>
  <c r="F1547" i="40" l="1"/>
  <c r="F1548" i="40" a="1"/>
  <c r="B1549" i="40"/>
  <c r="B1050" i="40" a="1"/>
  <c r="F1548" i="40" l="1"/>
  <c r="B1050" i="40"/>
  <c r="F1050" i="40" a="1"/>
  <c r="B1550" i="40"/>
  <c r="F1549" i="40" a="1"/>
  <c r="B1051" i="40"/>
  <c r="F1549" i="40" l="1"/>
  <c r="F1050" i="40"/>
  <c r="F1051" i="40" a="1"/>
  <c r="A1551" i="40"/>
  <c r="F1550" i="40" a="1"/>
  <c r="B1551" i="40"/>
  <c r="B1052" i="40"/>
  <c r="D1552" i="40" l="1"/>
  <c r="D1553" i="40" s="1"/>
  <c r="D1554" i="40" s="1"/>
  <c r="D1555" i="40" s="1"/>
  <c r="D1556" i="40" s="1"/>
  <c r="F1550" i="40"/>
  <c r="F1051" i="40"/>
  <c r="F1551" i="40"/>
  <c r="B1053" i="40"/>
  <c r="F1052" i="40" a="1"/>
  <c r="F1052" i="40" l="1"/>
  <c r="A1054" i="40"/>
  <c r="B1552" i="40" a="1"/>
  <c r="F1053" i="40" a="1"/>
  <c r="B1054" i="40"/>
  <c r="D1055" i="40" l="1"/>
  <c r="D1056" i="40" s="1"/>
  <c r="D1057" i="40" s="1"/>
  <c r="D1058" i="40" s="1"/>
  <c r="D1059" i="40" s="1"/>
  <c r="F1053" i="40"/>
  <c r="B1552" i="40"/>
  <c r="F1054" i="40"/>
  <c r="B1553" i="40"/>
  <c r="F1552" i="40" a="1"/>
  <c r="F1552" i="40" l="1"/>
  <c r="B1055" i="40" a="1"/>
  <c r="B1554" i="40"/>
  <c r="F1553" i="40" a="1"/>
  <c r="F1553" i="40" l="1"/>
  <c r="B1055" i="40"/>
  <c r="B1056" i="40"/>
  <c r="B1555" i="40"/>
  <c r="F1055" i="40" a="1"/>
  <c r="F1554" i="40" a="1"/>
  <c r="F1554" i="40" l="1"/>
  <c r="F1055" i="40"/>
  <c r="F1555" i="40" a="1"/>
  <c r="B1556" i="40"/>
  <c r="A1556" i="40"/>
  <c r="B1057" i="40"/>
  <c r="F1056" i="40" a="1"/>
  <c r="D1557" i="40" l="1"/>
  <c r="D1558" i="40" s="1"/>
  <c r="D1559" i="40" s="1"/>
  <c r="D1560" i="40" s="1"/>
  <c r="D1561" i="40" s="1"/>
  <c r="F1555" i="40"/>
  <c r="F1056" i="40"/>
  <c r="F1556" i="40"/>
  <c r="F1057" i="40" a="1"/>
  <c r="B1058" i="40"/>
  <c r="F1057" i="40" l="1"/>
  <c r="B1557" i="40" a="1"/>
  <c r="B1059" i="40"/>
  <c r="A1059" i="40"/>
  <c r="F1058" i="40" a="1"/>
  <c r="D1060" i="40" l="1"/>
  <c r="D1061" i="40" s="1"/>
  <c r="D1062" i="40" s="1"/>
  <c r="D1063" i="40" s="1"/>
  <c r="D1064" i="40" s="1"/>
  <c r="F1058" i="40"/>
  <c r="B1557" i="40"/>
  <c r="F1059" i="40"/>
  <c r="F1557" i="40" a="1"/>
  <c r="B1558" i="40"/>
  <c r="F1557" i="40" l="1"/>
  <c r="B1559" i="40"/>
  <c r="F1558" i="40" a="1"/>
  <c r="B1060" i="40" a="1"/>
  <c r="F1558" i="40" l="1"/>
  <c r="B1060" i="40"/>
  <c r="F1060" i="40" a="1"/>
  <c r="B1560" i="40"/>
  <c r="F1559" i="40" a="1"/>
  <c r="B1061" i="40"/>
  <c r="F1559" i="40" l="1"/>
  <c r="F1060" i="40"/>
  <c r="B1561" i="40"/>
  <c r="A1561" i="40"/>
  <c r="B1062" i="40"/>
  <c r="F1560" i="40" a="1"/>
  <c r="F1061" i="40" a="1"/>
  <c r="D1562" i="40" l="1"/>
  <c r="D1563" i="40" s="1"/>
  <c r="D1564" i="40" s="1"/>
  <c r="D1565" i="40" s="1"/>
  <c r="D1566" i="40" s="1"/>
  <c r="F1560" i="40"/>
  <c r="F1061" i="40"/>
  <c r="F1561" i="40"/>
  <c r="B1063" i="40"/>
  <c r="F1062" i="40" a="1"/>
  <c r="F1062" i="40" l="1"/>
  <c r="B1562" i="40" a="1"/>
  <c r="B1064" i="40"/>
  <c r="F1063" i="40" a="1"/>
  <c r="A1064" i="40"/>
  <c r="D1065" i="40" l="1"/>
  <c r="D1066" i="40" s="1"/>
  <c r="D1067" i="40" s="1"/>
  <c r="D1068" i="40" s="1"/>
  <c r="D1069" i="40" s="1"/>
  <c r="F1063" i="40"/>
  <c r="B1562" i="40"/>
  <c r="F1064" i="40"/>
  <c r="B1563" i="40"/>
  <c r="F1562" i="40" a="1"/>
  <c r="F1562" i="40" l="1"/>
  <c r="F1563" i="40" a="1"/>
  <c r="B1564" i="40"/>
  <c r="B1065" i="40" a="1"/>
  <c r="F1563" i="40" l="1"/>
  <c r="B1065" i="40"/>
  <c r="F1065" i="40" a="1"/>
  <c r="B1066" i="40"/>
  <c r="F1564" i="40" a="1"/>
  <c r="B1565" i="40"/>
  <c r="F1564" i="40" l="1"/>
  <c r="F1065" i="40"/>
  <c r="F1066" i="40" a="1"/>
  <c r="B1566" i="40"/>
  <c r="A1566" i="40"/>
  <c r="F1565" i="40" a="1"/>
  <c r="B1067" i="40"/>
  <c r="D1567" i="40" l="1"/>
  <c r="D1568" i="40" s="1"/>
  <c r="D1569" i="40" s="1"/>
  <c r="D1570" i="40" s="1"/>
  <c r="D1571" i="40" s="1"/>
  <c r="F1565" i="40"/>
  <c r="F1066" i="40"/>
  <c r="F1566" i="40"/>
  <c r="B1068" i="40"/>
  <c r="F1067" i="40" a="1"/>
  <c r="F1067" i="40" l="1"/>
  <c r="A1069" i="40"/>
  <c r="B1069" i="40"/>
  <c r="B1567" i="40" a="1"/>
  <c r="F1068" i="40" a="1"/>
  <c r="D1070" i="40" l="1"/>
  <c r="D1071" i="40" s="1"/>
  <c r="D1072" i="40" s="1"/>
  <c r="D1073" i="40" s="1"/>
  <c r="D1074" i="40" s="1"/>
  <c r="F1068" i="40"/>
  <c r="B1567" i="40"/>
  <c r="F1069" i="40"/>
  <c r="B1568" i="40"/>
  <c r="F1567" i="40" a="1"/>
  <c r="F1567" i="40" l="1"/>
  <c r="B1569" i="40"/>
  <c r="B1070" i="40" a="1"/>
  <c r="F1568" i="40" a="1"/>
  <c r="F1568" i="40" l="1"/>
  <c r="B1070" i="40"/>
  <c r="F1569" i="40" a="1"/>
  <c r="B1570" i="40"/>
  <c r="F1070" i="40" a="1"/>
  <c r="B1071" i="40"/>
  <c r="F1569" i="40" l="1"/>
  <c r="F1070" i="40"/>
  <c r="B1571" i="40"/>
  <c r="F1071" i="40" a="1"/>
  <c r="B1072" i="40"/>
  <c r="F1570" i="40" a="1"/>
  <c r="A1571" i="40"/>
  <c r="D1572" i="40" l="1"/>
  <c r="D1573" i="40" s="1"/>
  <c r="D1574" i="40" s="1"/>
  <c r="D1575" i="40" s="1"/>
  <c r="D1576" i="40" s="1"/>
  <c r="F1570" i="40"/>
  <c r="F1071" i="40"/>
  <c r="F1571" i="40"/>
  <c r="B1073" i="40"/>
  <c r="F1072" i="40" a="1"/>
  <c r="F1072" i="40" l="1"/>
  <c r="B1572" i="40" a="1"/>
  <c r="A1074" i="40"/>
  <c r="B1074" i="40"/>
  <c r="F1073" i="40" a="1"/>
  <c r="D1075" i="40" l="1"/>
  <c r="D1076" i="40" s="1"/>
  <c r="D1077" i="40" s="1"/>
  <c r="D1078" i="40" s="1"/>
  <c r="D1079" i="40" s="1"/>
  <c r="F1073" i="40"/>
  <c r="B1572" i="40"/>
  <c r="F1074" i="40"/>
  <c r="B1573" i="40"/>
  <c r="F1572" i="40" a="1"/>
  <c r="F1572" i="40" l="1"/>
  <c r="B1075" i="40" a="1"/>
  <c r="B1574" i="40"/>
  <c r="F1573" i="40" a="1"/>
  <c r="F1573" i="40" l="1"/>
  <c r="B1075" i="40"/>
  <c r="F1574" i="40" a="1"/>
  <c r="F1075" i="40" a="1"/>
  <c r="B1575" i="40"/>
  <c r="B1076" i="40"/>
  <c r="F1574" i="40" l="1"/>
  <c r="F1075" i="40"/>
  <c r="B1077" i="40"/>
  <c r="B1576" i="40"/>
  <c r="A1576" i="40"/>
  <c r="F1575" i="40" a="1"/>
  <c r="F1076" i="40" a="1"/>
  <c r="D1577" i="40" l="1"/>
  <c r="D1578" i="40" s="1"/>
  <c r="D1579" i="40" s="1"/>
  <c r="D1580" i="40" s="1"/>
  <c r="D1581" i="40" s="1"/>
  <c r="F1575" i="40"/>
  <c r="F1076" i="40"/>
  <c r="F1576" i="40"/>
  <c r="F1077" i="40" a="1"/>
  <c r="B1078" i="40"/>
  <c r="F1077" i="40" l="1"/>
  <c r="B1079" i="40"/>
  <c r="A1079" i="40"/>
  <c r="B1577" i="40" a="1"/>
  <c r="F1078" i="40" a="1"/>
  <c r="D1080" i="40" l="1"/>
  <c r="D1081" i="40" s="1"/>
  <c r="D1082" i="40" s="1"/>
  <c r="D1083" i="40" s="1"/>
  <c r="D1084" i="40" s="1"/>
  <c r="F1078" i="40"/>
  <c r="B1577" i="40"/>
  <c r="F1079" i="40"/>
  <c r="F1577" i="40" a="1"/>
  <c r="B1578" i="40"/>
  <c r="F1577" i="40" l="1"/>
  <c r="F1578" i="40" a="1"/>
  <c r="B1579" i="40"/>
  <c r="B1080" i="40" a="1"/>
  <c r="F1578" i="40" l="1"/>
  <c r="B1080" i="40"/>
  <c r="F1579" i="40" a="1"/>
  <c r="B1081" i="40"/>
  <c r="B1580" i="40"/>
  <c r="F1080" i="40" a="1"/>
  <c r="F1579" i="40" l="1"/>
  <c r="F1080" i="40"/>
  <c r="B1581" i="40"/>
  <c r="B1082" i="40"/>
  <c r="F1580" i="40" a="1"/>
  <c r="F1081" i="40" a="1"/>
  <c r="A1581" i="40"/>
  <c r="D1582" i="40" l="1"/>
  <c r="D1583" i="40" s="1"/>
  <c r="D1584" i="40" s="1"/>
  <c r="D1585" i="40" s="1"/>
  <c r="D1586" i="40" s="1"/>
  <c r="F1081" i="40"/>
  <c r="F1580" i="40"/>
  <c r="F1581" i="40"/>
  <c r="F1082" i="40" a="1"/>
  <c r="B1083" i="40"/>
  <c r="F1082" i="40" l="1"/>
  <c r="F1083" i="40" a="1"/>
  <c r="A1084" i="40"/>
  <c r="B1084" i="40"/>
  <c r="B1582" i="40" a="1"/>
  <c r="D1085" i="40" l="1"/>
  <c r="D1086" i="40" s="1"/>
  <c r="D1087" i="40" s="1"/>
  <c r="D1088" i="40" s="1"/>
  <c r="D1089" i="40" s="1"/>
  <c r="F1083" i="40"/>
  <c r="B1582" i="40"/>
  <c r="F1084" i="40"/>
  <c r="F1582" i="40" a="1"/>
  <c r="B1583" i="40"/>
  <c r="F1582" i="40" l="1"/>
  <c r="B1085" i="40" a="1"/>
  <c r="F1583" i="40" a="1"/>
  <c r="B1584" i="40"/>
  <c r="F1583" i="40" l="1"/>
  <c r="B1085" i="40"/>
  <c r="F1085" i="40" a="1"/>
  <c r="B1585" i="40"/>
  <c r="F1584" i="40" a="1"/>
  <c r="B1086" i="40"/>
  <c r="F1584" i="40" l="1"/>
  <c r="F1085" i="40"/>
  <c r="F1585" i="40" a="1"/>
  <c r="B1087" i="40"/>
  <c r="A1586" i="40"/>
  <c r="F1086" i="40" a="1"/>
  <c r="B1586" i="40"/>
  <c r="D1587" i="40" l="1"/>
  <c r="D1588" i="40" s="1"/>
  <c r="D1589" i="40" s="1"/>
  <c r="D1590" i="40" s="1"/>
  <c r="D1591" i="40" s="1"/>
  <c r="F1086" i="40"/>
  <c r="F1585" i="40"/>
  <c r="F1586" i="40"/>
  <c r="F1087" i="40" a="1"/>
  <c r="B1088" i="40"/>
  <c r="F1087" i="40" l="1"/>
  <c r="A1089" i="40"/>
  <c r="F1088" i="40" a="1"/>
  <c r="B1587" i="40" a="1"/>
  <c r="B1089" i="40"/>
  <c r="D1090" i="40" l="1"/>
  <c r="D1091" i="40" s="1"/>
  <c r="D1092" i="40" s="1"/>
  <c r="D1093" i="40" s="1"/>
  <c r="D1094" i="40" s="1"/>
  <c r="F1088" i="40"/>
  <c r="B1587" i="40"/>
  <c r="F1089" i="40"/>
  <c r="B1588" i="40"/>
  <c r="F1587" i="40" a="1"/>
  <c r="F1587" i="40" l="1"/>
  <c r="B1090" i="40" a="1"/>
  <c r="F1588" i="40" a="1"/>
  <c r="B1589" i="40"/>
  <c r="F1588" i="40" l="1"/>
  <c r="B1090" i="40"/>
  <c r="F1090" i="40" a="1"/>
  <c r="F1589" i="40" a="1"/>
  <c r="B1091" i="40"/>
  <c r="B1590" i="40"/>
  <c r="F1589" i="40" l="1"/>
  <c r="F1090" i="40"/>
  <c r="F1590" i="40" a="1"/>
  <c r="F1091" i="40" a="1"/>
  <c r="B1591" i="40"/>
  <c r="A1591" i="40"/>
  <c r="B1092" i="40"/>
  <c r="D1592" i="40" l="1"/>
  <c r="D1593" i="40" s="1"/>
  <c r="D1594" i="40" s="1"/>
  <c r="D1595" i="40" s="1"/>
  <c r="D1596" i="40" s="1"/>
  <c r="F1091" i="40"/>
  <c r="F1590" i="40"/>
  <c r="F1591" i="40"/>
  <c r="F1092" i="40" a="1"/>
  <c r="B1093" i="40"/>
  <c r="F1092" i="40" l="1"/>
  <c r="F1093" i="40" a="1"/>
  <c r="B1094" i="40"/>
  <c r="B1592" i="40" a="1"/>
  <c r="A1094" i="40"/>
  <c r="D1095" i="40" l="1"/>
  <c r="D1096" i="40" s="1"/>
  <c r="D1097" i="40" s="1"/>
  <c r="D1098" i="40" s="1"/>
  <c r="D1099" i="40" s="1"/>
  <c r="F1093" i="40"/>
  <c r="B1592" i="40"/>
  <c r="F1094" i="40"/>
  <c r="F1592" i="40" a="1"/>
  <c r="B1593" i="40"/>
  <c r="F1592" i="40" l="1"/>
  <c r="B1594" i="40"/>
  <c r="B1095" i="40" a="1"/>
  <c r="F1593" i="40" a="1"/>
  <c r="F1593" i="40" l="1"/>
  <c r="B1095" i="40"/>
  <c r="F1095" i="40" a="1"/>
  <c r="B1595" i="40"/>
  <c r="F1594" i="40" a="1"/>
  <c r="B1096" i="40"/>
  <c r="F1594" i="40" l="1"/>
  <c r="F1095" i="40"/>
  <c r="F1096" i="40" a="1"/>
  <c r="B1097" i="40"/>
  <c r="B1596" i="40"/>
  <c r="A1596" i="40"/>
  <c r="F1595" i="40" a="1"/>
  <c r="D1597" i="40" l="1"/>
  <c r="D1598" i="40" s="1"/>
  <c r="D1599" i="40" s="1"/>
  <c r="D1600" i="40" s="1"/>
  <c r="D1601" i="40" s="1"/>
  <c r="F1096" i="40"/>
  <c r="F1595" i="40"/>
  <c r="F1596" i="40"/>
  <c r="F1097" i="40" a="1"/>
  <c r="B1098" i="40"/>
  <c r="F1097" i="40" l="1"/>
  <c r="B1099" i="40"/>
  <c r="A1099" i="40"/>
  <c r="B1597" i="40" a="1"/>
  <c r="F1098" i="40" a="1"/>
  <c r="D1100" i="40" l="1"/>
  <c r="D1101" i="40" s="1"/>
  <c r="D1102" i="40" s="1"/>
  <c r="D1103" i="40" s="1"/>
  <c r="D1104" i="40" s="1"/>
  <c r="F1098" i="40"/>
  <c r="B1597" i="40"/>
  <c r="F1099" i="40"/>
  <c r="B1598" i="40"/>
  <c r="F1597" i="40" a="1"/>
  <c r="F1597" i="40" l="1"/>
  <c r="B1599" i="40"/>
  <c r="B1100" i="40" a="1"/>
  <c r="F1598" i="40" a="1"/>
  <c r="F1598" i="40" l="1"/>
  <c r="B1100" i="40"/>
  <c r="F1100" i="40" a="1"/>
  <c r="B1101" i="40"/>
  <c r="B1600" i="40"/>
  <c r="F1599" i="40" a="1"/>
  <c r="F1599" i="40" l="1"/>
  <c r="F1100" i="40"/>
  <c r="F1600" i="40" a="1"/>
  <c r="B1102" i="40"/>
  <c r="A1601" i="40"/>
  <c r="B1601" i="40"/>
  <c r="F1101" i="40" a="1"/>
  <c r="D1602" i="40" l="1"/>
  <c r="D1603" i="40" s="1"/>
  <c r="D1604" i="40" s="1"/>
  <c r="D1605" i="40" s="1"/>
  <c r="D1606" i="40" s="1"/>
  <c r="F1600" i="40"/>
  <c r="F1101" i="40"/>
  <c r="F1601" i="40"/>
  <c r="F1102" i="40" a="1"/>
  <c r="B1103" i="40"/>
  <c r="F1102" i="40" l="1"/>
  <c r="A1104" i="40"/>
  <c r="B1104" i="40"/>
  <c r="F1103" i="40" a="1"/>
  <c r="B1602" i="40" a="1"/>
  <c r="D1105" i="40" l="1"/>
  <c r="D1106" i="40" s="1"/>
  <c r="D1107" i="40" s="1"/>
  <c r="D1108" i="40" s="1"/>
  <c r="D1109" i="40" s="1"/>
  <c r="F1103" i="40"/>
  <c r="B1602" i="40"/>
  <c r="F1104" i="40"/>
  <c r="F1602" i="40" a="1"/>
  <c r="B1603" i="40"/>
  <c r="F1602" i="40" l="1"/>
  <c r="B1105" i="40" a="1"/>
  <c r="F1603" i="40" a="1"/>
  <c r="B1604" i="40"/>
  <c r="F1603" i="40" l="1"/>
  <c r="B1105" i="40"/>
  <c r="F1604" i="40" a="1"/>
  <c r="B1605" i="40"/>
  <c r="B1106" i="40"/>
  <c r="F1105" i="40" a="1"/>
  <c r="F1604" i="40" l="1"/>
  <c r="F1105" i="40"/>
  <c r="F1605" i="40" a="1"/>
  <c r="B1606" i="40"/>
  <c r="A1606" i="40"/>
  <c r="B1107" i="40"/>
  <c r="F1106" i="40" a="1"/>
  <c r="D1607" i="40" l="1"/>
  <c r="D1608" i="40" s="1"/>
  <c r="D1609" i="40" s="1"/>
  <c r="D1610" i="40" s="1"/>
  <c r="D1611" i="40" s="1"/>
  <c r="F1605" i="40"/>
  <c r="F1106" i="40"/>
  <c r="F1606" i="40"/>
  <c r="B1108" i="40"/>
  <c r="F1107" i="40" a="1"/>
  <c r="F1107" i="40" l="1"/>
  <c r="B1109" i="40"/>
  <c r="F1108" i="40" a="1"/>
  <c r="A1109" i="40"/>
  <c r="B1607" i="40" a="1"/>
  <c r="D1110" i="40" l="1"/>
  <c r="D1111" i="40" s="1"/>
  <c r="D1112" i="40" s="1"/>
  <c r="D1113" i="40" s="1"/>
  <c r="D1114" i="40" s="1"/>
  <c r="F1108" i="40"/>
  <c r="B1607" i="40"/>
  <c r="F1109" i="40"/>
  <c r="B1608" i="40"/>
  <c r="F1607" i="40" a="1"/>
  <c r="F1607" i="40" l="1"/>
  <c r="F1608" i="40" a="1"/>
  <c r="B1110" i="40" a="1"/>
  <c r="B1609" i="40"/>
  <c r="F1608" i="40" l="1"/>
  <c r="B1110" i="40"/>
  <c r="B1610" i="40"/>
  <c r="F1110" i="40" a="1"/>
  <c r="F1609" i="40" a="1"/>
  <c r="B1111" i="40"/>
  <c r="F1609" i="40" l="1"/>
  <c r="F1110" i="40"/>
  <c r="A1611" i="40"/>
  <c r="B1611" i="40"/>
  <c r="F1610" i="40" a="1"/>
  <c r="B1112" i="40"/>
  <c r="F1111" i="40" a="1"/>
  <c r="D1612" i="40" l="1"/>
  <c r="D1613" i="40" s="1"/>
  <c r="D1614" i="40" s="1"/>
  <c r="D1615" i="40" s="1"/>
  <c r="D1616" i="40" s="1"/>
  <c r="F1610" i="40"/>
  <c r="F1111" i="40"/>
  <c r="F1611" i="40"/>
  <c r="B1113" i="40"/>
  <c r="F1112" i="40" a="1"/>
  <c r="F1112" i="40" l="1"/>
  <c r="F1113" i="40" a="1"/>
  <c r="A1114" i="40"/>
  <c r="B1114" i="40"/>
  <c r="B1612" i="40" a="1"/>
  <c r="D1115" i="40" l="1"/>
  <c r="D1116" i="40" s="1"/>
  <c r="D1117" i="40" s="1"/>
  <c r="D1118" i="40" s="1"/>
  <c r="D1119" i="40" s="1"/>
  <c r="F1113" i="40"/>
  <c r="B1612" i="40"/>
  <c r="F1114" i="40"/>
  <c r="F1612" i="40" a="1"/>
  <c r="B1613" i="40"/>
  <c r="F1612" i="40" l="1"/>
  <c r="B1614" i="40"/>
  <c r="F1613" i="40" a="1"/>
  <c r="B1115" i="40" a="1"/>
  <c r="F1613" i="40" l="1"/>
  <c r="B1115" i="40"/>
  <c r="F1115" i="40" a="1"/>
  <c r="B1615" i="40"/>
  <c r="B1116" i="40"/>
  <c r="F1614" i="40" a="1"/>
  <c r="F1614" i="40" l="1"/>
  <c r="F1115" i="40"/>
  <c r="A1616" i="40"/>
  <c r="B1616" i="40"/>
  <c r="F1116" i="40" a="1"/>
  <c r="B1117" i="40"/>
  <c r="F1615" i="40" a="1"/>
  <c r="D1617" i="40" l="1"/>
  <c r="D1618" i="40" s="1"/>
  <c r="D1619" i="40" s="1"/>
  <c r="D1620" i="40" s="1"/>
  <c r="D1621" i="40" s="1"/>
  <c r="F1615" i="40"/>
  <c r="F1116" i="40"/>
  <c r="F1616" i="40"/>
  <c r="B1118" i="40"/>
  <c r="F1117" i="40" a="1"/>
  <c r="F1117" i="40" l="1"/>
  <c r="B1119" i="40"/>
  <c r="B1617" i="40" a="1"/>
  <c r="F1118" i="40" a="1"/>
  <c r="A1119" i="40"/>
  <c r="D1120" i="40" l="1"/>
  <c r="D1121" i="40" s="1"/>
  <c r="D1122" i="40" s="1"/>
  <c r="D1123" i="40" s="1"/>
  <c r="D1124" i="40" s="1"/>
  <c r="F1118" i="40"/>
  <c r="B1617" i="40"/>
  <c r="F1119" i="40"/>
  <c r="F1617" i="40" a="1"/>
  <c r="B1618" i="40"/>
  <c r="F1617" i="40" l="1"/>
  <c r="B1120" i="40" a="1"/>
  <c r="B1619" i="40"/>
  <c r="F1618" i="40" a="1"/>
  <c r="F1618" i="40" l="1"/>
  <c r="B1120" i="40"/>
  <c r="F1619" i="40" a="1"/>
  <c r="B1620" i="40"/>
  <c r="F1120" i="40" a="1"/>
  <c r="B1121" i="40"/>
  <c r="F1619" i="40" l="1"/>
  <c r="F1120" i="40"/>
  <c r="A1621" i="40"/>
  <c r="B1621" i="40"/>
  <c r="F1620" i="40" a="1"/>
  <c r="F1121" i="40" a="1"/>
  <c r="B1122" i="40"/>
  <c r="D1622" i="40" l="1"/>
  <c r="D1623" i="40" s="1"/>
  <c r="D1624" i="40" s="1"/>
  <c r="D1625" i="40" s="1"/>
  <c r="D1626" i="40" s="1"/>
  <c r="F1620" i="40"/>
  <c r="F1121" i="40"/>
  <c r="F1621" i="40"/>
  <c r="B1123" i="40"/>
  <c r="F1122" i="40" a="1"/>
  <c r="F1122" i="40" l="1"/>
  <c r="F1123" i="40" a="1"/>
  <c r="B1622" i="40" a="1"/>
  <c r="B1124" i="40"/>
  <c r="A1124" i="40"/>
  <c r="D1125" i="40" l="1"/>
  <c r="D1126" i="40" s="1"/>
  <c r="D1127" i="40" s="1"/>
  <c r="D1128" i="40" s="1"/>
  <c r="D1129" i="40" s="1"/>
  <c r="F1123" i="40"/>
  <c r="B1622" i="40"/>
  <c r="F1124" i="40"/>
  <c r="B1623" i="40"/>
  <c r="F1622" i="40" a="1"/>
  <c r="F1622" i="40" l="1"/>
  <c r="F1623" i="40" a="1"/>
  <c r="B1624" i="40"/>
  <c r="B1125" i="40" a="1"/>
  <c r="F1623" i="40" l="1"/>
  <c r="B1125" i="40"/>
  <c r="F1125" i="40" a="1"/>
  <c r="B1625" i="40"/>
  <c r="F1624" i="40" a="1"/>
  <c r="B1126" i="40"/>
  <c r="F1624" i="40" l="1"/>
  <c r="F1125" i="40"/>
  <c r="B1127" i="40"/>
  <c r="B1626" i="40"/>
  <c r="F1126" i="40" a="1"/>
  <c r="F1625" i="40" a="1"/>
  <c r="A1626" i="40"/>
  <c r="D1627" i="40" l="1"/>
  <c r="D1628" i="40" s="1"/>
  <c r="D1629" i="40" s="1"/>
  <c r="D1630" i="40" s="1"/>
  <c r="D1631" i="40" s="1"/>
  <c r="F1625" i="40"/>
  <c r="F1126" i="40"/>
  <c r="F1626" i="40"/>
  <c r="F1127" i="40" a="1"/>
  <c r="B1128" i="40"/>
  <c r="F1127" i="40" l="1"/>
  <c r="A1129" i="40"/>
  <c r="B1627" i="40" a="1"/>
  <c r="B1129" i="40"/>
  <c r="F1128" i="40" a="1"/>
  <c r="D1130" i="40" l="1"/>
  <c r="D1131" i="40" s="1"/>
  <c r="D1132" i="40" s="1"/>
  <c r="D1133" i="40" s="1"/>
  <c r="D1134" i="40" s="1"/>
  <c r="F1128" i="40"/>
  <c r="B1627" i="40"/>
  <c r="F1129" i="40"/>
  <c r="B1628" i="40"/>
  <c r="F1627" i="40" a="1"/>
  <c r="F1627" i="40" l="1"/>
  <c r="B1130" i="40" a="1"/>
  <c r="B1629" i="40"/>
  <c r="F1628" i="40" a="1"/>
  <c r="F1628" i="40" l="1"/>
  <c r="B1130" i="40"/>
  <c r="B1630" i="40"/>
  <c r="F1629" i="40" a="1"/>
  <c r="F1130" i="40" a="1"/>
  <c r="B1131" i="40"/>
  <c r="F1629" i="40" l="1"/>
  <c r="F1130" i="40"/>
  <c r="F1630" i="40" a="1"/>
  <c r="F1131" i="40" a="1"/>
  <c r="B1631" i="40"/>
  <c r="B1132" i="40"/>
  <c r="A1631" i="40"/>
  <c r="D1632" i="40" l="1"/>
  <c r="D1633" i="40" s="1"/>
  <c r="D1634" i="40" s="1"/>
  <c r="D1635" i="40" s="1"/>
  <c r="D1636" i="40" s="1"/>
  <c r="F1630" i="40"/>
  <c r="F1131" i="40"/>
  <c r="F1631" i="40"/>
  <c r="B1133" i="40"/>
  <c r="F1132" i="40" a="1"/>
  <c r="F1132" i="40" l="1"/>
  <c r="A1134" i="40"/>
  <c r="B1134" i="40"/>
  <c r="B1632" i="40" a="1"/>
  <c r="F1133" i="40" a="1"/>
  <c r="D1135" i="40" l="1"/>
  <c r="D1136" i="40" s="1"/>
  <c r="D1137" i="40" s="1"/>
  <c r="D1138" i="40" s="1"/>
  <c r="D1139" i="40" s="1"/>
  <c r="F1133" i="40"/>
  <c r="B1632" i="40"/>
  <c r="F1134" i="40"/>
  <c r="B1633" i="40"/>
  <c r="F1632" i="40" a="1"/>
  <c r="F1632" i="40" l="1"/>
  <c r="F1633" i="40" a="1"/>
  <c r="B1634" i="40"/>
  <c r="B1135" i="40" a="1"/>
  <c r="F1633" i="40" l="1"/>
  <c r="B1135" i="40"/>
  <c r="F1634" i="40" a="1"/>
  <c r="B1635" i="40"/>
  <c r="B1136" i="40"/>
  <c r="F1135" i="40" a="1"/>
  <c r="F1634" i="40" l="1"/>
  <c r="F1135" i="40"/>
  <c r="F1635" i="40" a="1"/>
  <c r="B1636" i="40"/>
  <c r="F1136" i="40" a="1"/>
  <c r="B1137" i="40"/>
  <c r="A1636" i="40"/>
  <c r="D1637" i="40" l="1"/>
  <c r="D1638" i="40" s="1"/>
  <c r="D1639" i="40" s="1"/>
  <c r="D1640" i="40" s="1"/>
  <c r="D1641" i="40" s="1"/>
  <c r="F1635" i="40"/>
  <c r="F1136" i="40"/>
  <c r="F1636" i="40"/>
  <c r="F1137" i="40" a="1"/>
  <c r="B1138" i="40"/>
  <c r="F1137" i="40" l="1"/>
  <c r="A1139" i="40"/>
  <c r="B1139" i="40"/>
  <c r="F1138" i="40" a="1"/>
  <c r="B1637" i="40" a="1"/>
  <c r="D1140" i="40" l="1"/>
  <c r="D1141" i="40" s="1"/>
  <c r="D1142" i="40" s="1"/>
  <c r="D1143" i="40" s="1"/>
  <c r="D1144" i="40" s="1"/>
  <c r="F1138" i="40"/>
  <c r="B1637" i="40"/>
  <c r="F1139" i="40"/>
  <c r="B1638" i="40"/>
  <c r="F1637" i="40" a="1"/>
  <c r="F1637" i="40" l="1"/>
  <c r="B1639" i="40"/>
  <c r="F1638" i="40" a="1"/>
  <c r="B1140" i="40" a="1"/>
  <c r="F1638" i="40" l="1"/>
  <c r="B1140" i="40"/>
  <c r="F1140" i="40" a="1"/>
  <c r="B1141" i="40"/>
  <c r="F1639" i="40" a="1"/>
  <c r="B1640" i="40"/>
  <c r="F1639" i="40" l="1"/>
  <c r="F1140" i="40"/>
  <c r="F1640" i="40" a="1"/>
  <c r="B1641" i="40"/>
  <c r="F1141" i="40" a="1"/>
  <c r="B1142" i="40"/>
  <c r="A1641" i="40"/>
  <c r="D1642" i="40" l="1"/>
  <c r="D1643" i="40" s="1"/>
  <c r="D1644" i="40" s="1"/>
  <c r="D1645" i="40" s="1"/>
  <c r="D1646" i="40" s="1"/>
  <c r="F1640" i="40"/>
  <c r="F1141" i="40"/>
  <c r="F1641" i="40"/>
  <c r="F1142" i="40" a="1"/>
  <c r="B1143" i="40"/>
  <c r="F1142" i="40" l="1"/>
  <c r="B1144" i="40"/>
  <c r="F1143" i="40" a="1"/>
  <c r="A1144" i="40"/>
  <c r="B1642" i="40" a="1"/>
  <c r="D1145" i="40" l="1"/>
  <c r="D1146" i="40" s="1"/>
  <c r="D1147" i="40" s="1"/>
  <c r="D1148" i="40" s="1"/>
  <c r="D1149" i="40" s="1"/>
  <c r="F1143" i="40"/>
  <c r="B1642" i="40"/>
  <c r="F1144" i="40"/>
  <c r="F1642" i="40" a="1"/>
  <c r="B1643" i="40"/>
  <c r="F1642" i="40" l="1"/>
  <c r="B1145" i="40" a="1"/>
  <c r="F1643" i="40" a="1"/>
  <c r="B1644" i="40"/>
  <c r="F1643" i="40" l="1"/>
  <c r="B1145" i="40"/>
  <c r="F1145" i="40" a="1"/>
  <c r="F1644" i="40" a="1"/>
  <c r="B1645" i="40"/>
  <c r="B1146" i="40"/>
  <c r="F1644" i="40" l="1"/>
  <c r="F1145" i="40"/>
  <c r="B1646" i="40"/>
  <c r="A1646" i="40"/>
  <c r="F1645" i="40" a="1"/>
  <c r="F1146" i="40" a="1"/>
  <c r="B1147" i="40"/>
  <c r="D1647" i="40" l="1"/>
  <c r="D1648" i="40" s="1"/>
  <c r="D1649" i="40" s="1"/>
  <c r="D1650" i="40" s="1"/>
  <c r="D1651" i="40" s="1"/>
  <c r="F1645" i="40"/>
  <c r="F1146" i="40"/>
  <c r="F1646" i="40"/>
  <c r="F1147" i="40" a="1"/>
  <c r="B1148" i="40"/>
  <c r="F1147" i="40" l="1"/>
  <c r="A1149" i="40"/>
  <c r="F1148" i="40" a="1"/>
  <c r="B1647" i="40" a="1"/>
  <c r="B1149" i="40"/>
  <c r="D1150" i="40" l="1"/>
  <c r="D1151" i="40" s="1"/>
  <c r="D1152" i="40" s="1"/>
  <c r="D1153" i="40" s="1"/>
  <c r="D1154" i="40" s="1"/>
  <c r="F1148" i="40"/>
  <c r="B1647" i="40"/>
  <c r="F1149" i="40"/>
  <c r="B1648" i="40"/>
  <c r="F1647" i="40" a="1"/>
  <c r="F1647" i="40" l="1"/>
  <c r="F1648" i="40" a="1"/>
  <c r="B1649" i="40"/>
  <c r="B1150" i="40" a="1"/>
  <c r="F1648" i="40" l="1"/>
  <c r="B1150" i="40"/>
  <c r="F1649" i="40" a="1"/>
  <c r="F1150" i="40" a="1"/>
  <c r="B1650" i="40"/>
  <c r="B1151" i="40"/>
  <c r="F1649" i="40" l="1"/>
  <c r="F1150" i="40"/>
  <c r="B1152" i="40"/>
  <c r="B1651" i="40"/>
  <c r="F1151" i="40" a="1"/>
  <c r="F1650" i="40" a="1"/>
  <c r="A1651" i="40"/>
  <c r="D1652" i="40" l="1"/>
  <c r="D1653" i="40" s="1"/>
  <c r="D1654" i="40" s="1"/>
  <c r="D1655" i="40" s="1"/>
  <c r="D1656" i="40" s="1"/>
  <c r="F1650" i="40"/>
  <c r="F1151" i="40"/>
  <c r="F1651" i="40"/>
  <c r="F1152" i="40" a="1"/>
  <c r="B1153" i="40"/>
  <c r="F1152" i="40" l="1"/>
  <c r="F1153" i="40" a="1"/>
  <c r="B1652" i="40" a="1"/>
  <c r="B1154" i="40"/>
  <c r="A1154" i="40"/>
  <c r="D1155" i="40" l="1"/>
  <c r="D1156" i="40" s="1"/>
  <c r="D1157" i="40" s="1"/>
  <c r="D1158" i="40" s="1"/>
  <c r="D1159" i="40" s="1"/>
  <c r="F1153" i="40"/>
  <c r="B1652" i="40"/>
  <c r="F1154" i="40"/>
  <c r="B1653" i="40"/>
  <c r="F1652" i="40" a="1"/>
  <c r="F1652" i="40" l="1"/>
  <c r="F1653" i="40" a="1"/>
  <c r="B1654" i="40"/>
  <c r="B1155" i="40" a="1"/>
  <c r="F1653" i="40" l="1"/>
  <c r="B1155" i="40"/>
  <c r="B1156" i="40"/>
  <c r="F1155" i="40" a="1"/>
  <c r="F1654" i="40" a="1"/>
  <c r="B1655" i="40"/>
  <c r="F1654" i="40" l="1"/>
  <c r="F1155" i="40"/>
  <c r="A1656" i="40"/>
  <c r="F1655" i="40" a="1"/>
  <c r="F1156" i="40" a="1"/>
  <c r="B1656" i="40"/>
  <c r="B1157" i="40"/>
  <c r="D1657" i="40" l="1"/>
  <c r="D1658" i="40" s="1"/>
  <c r="D1659" i="40" s="1"/>
  <c r="D1660" i="40" s="1"/>
  <c r="D1661" i="40" s="1"/>
  <c r="F1655" i="40"/>
  <c r="F1156" i="40"/>
  <c r="F1656" i="40"/>
  <c r="F1157" i="40" a="1"/>
  <c r="B1158" i="40"/>
  <c r="F1157" i="40" l="1"/>
  <c r="B1159" i="40"/>
  <c r="F1158" i="40" a="1"/>
  <c r="B1657" i="40" a="1"/>
  <c r="A1159" i="40"/>
  <c r="D1160" i="40" l="1"/>
  <c r="D1161" i="40" s="1"/>
  <c r="D1162" i="40" s="1"/>
  <c r="D1163" i="40" s="1"/>
  <c r="D1164" i="40" s="1"/>
  <c r="F1158" i="40"/>
  <c r="B1657" i="40"/>
  <c r="F1159" i="40"/>
  <c r="B1658" i="40"/>
  <c r="F1657" i="40" a="1"/>
  <c r="F1657" i="40" l="1"/>
  <c r="F1658" i="40" a="1"/>
  <c r="B1659" i="40"/>
  <c r="B1160" i="40" a="1"/>
  <c r="F1658" i="40" l="1"/>
  <c r="B1160" i="40"/>
  <c r="F1160" i="40" a="1"/>
  <c r="B1161" i="40"/>
  <c r="B1660" i="40"/>
  <c r="F1659" i="40" a="1"/>
  <c r="F1659" i="40" l="1"/>
  <c r="F1160" i="40"/>
  <c r="A1661" i="40"/>
  <c r="F1161" i="40" a="1"/>
  <c r="F1660" i="40" a="1"/>
  <c r="B1661" i="40"/>
  <c r="B1162" i="40"/>
  <c r="D1662" i="40" l="1"/>
  <c r="D1663" i="40" s="1"/>
  <c r="D1664" i="40" s="1"/>
  <c r="D1665" i="40" s="1"/>
  <c r="D1666" i="40" s="1"/>
  <c r="F1660" i="40"/>
  <c r="F1161" i="40"/>
  <c r="F1661" i="40"/>
  <c r="B1163" i="40"/>
  <c r="F1162" i="40" a="1"/>
  <c r="F1162" i="40" l="1"/>
  <c r="A1164" i="40"/>
  <c r="B1662" i="40" a="1"/>
  <c r="B1164" i="40"/>
  <c r="F1163" i="40" a="1"/>
  <c r="D1165" i="40" l="1"/>
  <c r="D1166" i="40" s="1"/>
  <c r="D1167" i="40" s="1"/>
  <c r="D1168" i="40" s="1"/>
  <c r="D1169" i="40" s="1"/>
  <c r="F1163" i="40"/>
  <c r="B1662" i="40"/>
  <c r="F1164" i="40"/>
  <c r="B1663" i="40"/>
  <c r="F1662" i="40" a="1"/>
  <c r="F1662" i="40" l="1"/>
  <c r="B1664" i="40"/>
  <c r="F1663" i="40" a="1"/>
  <c r="B1165" i="40" a="1"/>
  <c r="F1663" i="40" l="1"/>
  <c r="B1165" i="40"/>
  <c r="F1664" i="40" a="1"/>
  <c r="F1165" i="40" a="1"/>
  <c r="B1166" i="40"/>
  <c r="B1665" i="40"/>
  <c r="F1664" i="40" l="1"/>
  <c r="F1165" i="40"/>
  <c r="B1167" i="40"/>
  <c r="F1166" i="40" a="1"/>
  <c r="B1666" i="40"/>
  <c r="F1665" i="40" a="1"/>
  <c r="A1666" i="40"/>
  <c r="D1667" i="40" l="1"/>
  <c r="D1668" i="40" s="1"/>
  <c r="D1669" i="40" s="1"/>
  <c r="D1670" i="40" s="1"/>
  <c r="D1671" i="40" s="1"/>
  <c r="F1665" i="40"/>
  <c r="F1166" i="40"/>
  <c r="F1666" i="40"/>
  <c r="B1168" i="40"/>
  <c r="F1167" i="40" a="1"/>
  <c r="F1167" i="40" l="1"/>
  <c r="A1169" i="40"/>
  <c r="B1169" i="40"/>
  <c r="B1667" i="40" a="1"/>
  <c r="F1168" i="40" a="1"/>
  <c r="D1170" i="40" l="1"/>
  <c r="D1171" i="40" s="1"/>
  <c r="D1172" i="40" s="1"/>
  <c r="D1173" i="40" s="1"/>
  <c r="D1174" i="40" s="1"/>
  <c r="F1168" i="40"/>
  <c r="B1667" i="40"/>
  <c r="F1169" i="40"/>
  <c r="F1667" i="40" a="1"/>
  <c r="B1668" i="40"/>
  <c r="F1667" i="40" l="1"/>
  <c r="B1669" i="40"/>
  <c r="B1170" i="40" a="1"/>
  <c r="F1668" i="40" a="1"/>
  <c r="F1668" i="40" l="1"/>
  <c r="B1170" i="40"/>
  <c r="B1171" i="40"/>
  <c r="F1669" i="40" a="1"/>
  <c r="A1671" i="40"/>
  <c r="F1170" i="40" a="1"/>
  <c r="B1670" i="40"/>
  <c r="B1671" i="40"/>
  <c r="D1672" i="40" l="1"/>
  <c r="D1673" i="40" s="1"/>
  <c r="D1674" i="40" s="1"/>
  <c r="D1675" i="40" s="1"/>
  <c r="D1676" i="40" s="1"/>
  <c r="F1669" i="40"/>
  <c r="F1671" i="40"/>
  <c r="F1170" i="40"/>
  <c r="F1171" i="40" a="1"/>
  <c r="B1172" i="40"/>
  <c r="F1670" i="40" a="1"/>
  <c r="F1670" i="40" l="1"/>
  <c r="F1171" i="40"/>
  <c r="A1174" i="40"/>
  <c r="F1172" i="40" a="1"/>
  <c r="B1173" i="40"/>
  <c r="B1174" i="40"/>
  <c r="B1672" i="40" a="1"/>
  <c r="D1175" i="40" l="1"/>
  <c r="D1176" i="40" s="1"/>
  <c r="D1177" i="40" s="1"/>
  <c r="D1178" i="40" s="1"/>
  <c r="D1179" i="40" s="1"/>
  <c r="F1172" i="40"/>
  <c r="B1672" i="40"/>
  <c r="F1174" i="40"/>
  <c r="F1173" i="40" a="1"/>
  <c r="B1673" i="40"/>
  <c r="F1672" i="40" a="1"/>
  <c r="F1173" i="40" l="1"/>
  <c r="F1672" i="40"/>
  <c r="F1673" i="40" a="1"/>
  <c r="B1175" i="40" a="1"/>
  <c r="B1674" i="40"/>
  <c r="F1673" i="40" l="1"/>
  <c r="B1175" i="40"/>
  <c r="B1176" i="40"/>
  <c r="F1674" i="40" a="1"/>
  <c r="F1175" i="40" a="1"/>
  <c r="B1675" i="40"/>
  <c r="F1674" i="40" l="1"/>
  <c r="F1175" i="40"/>
  <c r="F1675" i="40" a="1"/>
  <c r="F1176" i="40" a="1"/>
  <c r="A1676" i="40"/>
  <c r="B1676" i="40"/>
  <c r="B1177" i="40"/>
  <c r="D1677" i="40" l="1"/>
  <c r="D1678" i="40" s="1"/>
  <c r="D1679" i="40" s="1"/>
  <c r="D1680" i="40" s="1"/>
  <c r="D1681" i="40" s="1"/>
  <c r="F1176" i="40"/>
  <c r="F1675" i="40"/>
  <c r="F1676" i="40"/>
  <c r="B1178" i="40"/>
  <c r="F1177" i="40" a="1"/>
  <c r="F1177" i="40" l="1"/>
  <c r="A1179" i="40"/>
  <c r="B1179" i="40"/>
  <c r="F1178" i="40" a="1"/>
  <c r="B1677" i="40" a="1"/>
  <c r="D1180" i="40" l="1"/>
  <c r="D1181" i="40" s="1"/>
  <c r="D1182" i="40" s="1"/>
  <c r="D1183" i="40" s="1"/>
  <c r="D1184" i="40" s="1"/>
  <c r="F1178" i="40"/>
  <c r="B1677" i="40"/>
  <c r="F1179" i="40"/>
  <c r="B1678" i="40"/>
  <c r="F1677" i="40" a="1"/>
  <c r="F1677" i="40" l="1"/>
  <c r="B1180" i="40" a="1"/>
  <c r="B1679" i="40"/>
  <c r="F1678" i="40" a="1"/>
  <c r="F1678" i="40" l="1"/>
  <c r="B1180" i="40"/>
  <c r="F1679" i="40" a="1"/>
  <c r="B1181" i="40"/>
  <c r="B1680" i="40"/>
  <c r="F1180" i="40" a="1"/>
  <c r="F1679" i="40" l="1"/>
  <c r="F1180" i="40"/>
  <c r="B1182" i="40"/>
  <c r="F1181" i="40" a="1"/>
  <c r="F1680" i="40" a="1"/>
  <c r="A1681" i="40"/>
  <c r="B1681" i="40"/>
  <c r="D1682" i="40" l="1"/>
  <c r="D1683" i="40" s="1"/>
  <c r="D1684" i="40" s="1"/>
  <c r="D1685" i="40" s="1"/>
  <c r="D1686" i="40" s="1"/>
  <c r="F1680" i="40"/>
  <c r="F1181" i="40"/>
  <c r="F1681" i="40"/>
  <c r="B1183" i="40"/>
  <c r="F1182" i="40" a="1"/>
  <c r="F1182" i="40" l="1"/>
  <c r="F1183" i="40" a="1"/>
  <c r="B1682" i="40" a="1"/>
  <c r="A1184" i="40"/>
  <c r="B1184" i="40"/>
  <c r="D1185" i="40" l="1"/>
  <c r="D1186" i="40" s="1"/>
  <c r="D1187" i="40" s="1"/>
  <c r="D1188" i="40" s="1"/>
  <c r="D1189" i="40" s="1"/>
  <c r="F1183" i="40"/>
  <c r="B1682" i="40"/>
  <c r="F1184" i="40"/>
  <c r="B1683" i="40"/>
  <c r="F1682" i="40" a="1"/>
  <c r="F1682" i="40" l="1"/>
  <c r="B1185" i="40" a="1"/>
  <c r="B1684" i="40"/>
  <c r="F1683" i="40" a="1"/>
  <c r="F1683" i="40" l="1"/>
  <c r="B1185" i="40"/>
  <c r="B1685" i="40"/>
  <c r="F1185" i="40" a="1"/>
  <c r="B1186" i="40"/>
  <c r="F1684" i="40" a="1"/>
  <c r="F1684" i="40" l="1"/>
  <c r="F1185" i="40"/>
  <c r="F1186" i="40" a="1"/>
  <c r="B1187" i="40"/>
  <c r="B1686" i="40"/>
  <c r="A1686" i="40"/>
  <c r="F1685" i="40" a="1"/>
  <c r="D1687" i="40" l="1"/>
  <c r="D1688" i="40" s="1"/>
  <c r="D1689" i="40" s="1"/>
  <c r="D1690" i="40" s="1"/>
  <c r="D1691" i="40" s="1"/>
  <c r="F1685" i="40"/>
  <c r="F1186" i="40"/>
  <c r="F1686" i="40"/>
  <c r="F1187" i="40" a="1"/>
  <c r="B1188" i="40"/>
  <c r="F1187" i="40" l="1"/>
  <c r="B1687" i="40" a="1"/>
  <c r="A1189" i="40"/>
  <c r="F1188" i="40" a="1"/>
  <c r="B1189" i="40"/>
  <c r="D1190" i="40" l="1"/>
  <c r="D1191" i="40" s="1"/>
  <c r="D1192" i="40" s="1"/>
  <c r="D1193" i="40" s="1"/>
  <c r="D1194" i="40" s="1"/>
  <c r="F1188" i="40"/>
  <c r="B1687" i="40"/>
  <c r="F1189" i="40"/>
  <c r="B1688" i="40"/>
  <c r="F1687" i="40" a="1"/>
  <c r="F1687" i="40" l="1"/>
  <c r="B1689" i="40"/>
  <c r="B1190" i="40" a="1"/>
  <c r="F1688" i="40" a="1"/>
  <c r="F1688" i="40" l="1"/>
  <c r="B1190" i="40"/>
  <c r="F1190" i="40" a="1"/>
  <c r="B1191" i="40"/>
  <c r="F1689" i="40" a="1"/>
  <c r="B1690" i="40"/>
  <c r="F1689" i="40" l="1"/>
  <c r="F1190" i="40"/>
  <c r="F1191" i="40" a="1"/>
  <c r="B1691" i="40"/>
  <c r="B1192" i="40"/>
  <c r="F1690" i="40" a="1"/>
  <c r="A1691" i="40"/>
  <c r="D1692" i="40" l="1"/>
  <c r="D1693" i="40" s="1"/>
  <c r="D1694" i="40" s="1"/>
  <c r="D1695" i="40" s="1"/>
  <c r="D1696" i="40" s="1"/>
  <c r="F1690" i="40"/>
  <c r="F1191" i="40"/>
  <c r="F1691" i="40"/>
  <c r="B1193" i="40"/>
  <c r="F1192" i="40" a="1"/>
  <c r="F1192" i="40" l="1"/>
  <c r="B1692" i="40" a="1"/>
  <c r="F1193" i="40" a="1"/>
  <c r="A1194" i="40"/>
  <c r="B1194" i="40"/>
  <c r="D1195" i="40" l="1"/>
  <c r="D1196" i="40" s="1"/>
  <c r="D1197" i="40" s="1"/>
  <c r="D1198" i="40" s="1"/>
  <c r="D1199" i="40" s="1"/>
  <c r="F1193" i="40"/>
  <c r="B1692" i="40"/>
  <c r="F1194" i="40"/>
  <c r="B1693" i="40"/>
  <c r="F1692" i="40" a="1"/>
  <c r="F1692" i="40" l="1"/>
  <c r="B1195" i="40" a="1"/>
  <c r="B1694" i="40"/>
  <c r="F1693" i="40" a="1"/>
  <c r="F1693" i="40" l="1"/>
  <c r="B1195" i="40"/>
  <c r="F1694" i="40" a="1"/>
  <c r="F1195" i="40" a="1"/>
  <c r="B1695" i="40"/>
  <c r="B1196" i="40"/>
  <c r="F1694" i="40" l="1"/>
  <c r="F1195" i="40"/>
  <c r="A1696" i="40"/>
  <c r="B1696" i="40"/>
  <c r="B1197" i="40"/>
  <c r="F1695" i="40" a="1"/>
  <c r="F1196" i="40" a="1"/>
  <c r="D1697" i="40" l="1"/>
  <c r="D1698" i="40" s="1"/>
  <c r="D1699" i="40" s="1"/>
  <c r="D1700" i="40" s="1"/>
  <c r="D1701" i="40" s="1"/>
  <c r="F1196" i="40"/>
  <c r="F1695" i="40"/>
  <c r="F1696" i="40"/>
  <c r="F1197" i="40" a="1"/>
  <c r="B1198" i="40"/>
  <c r="F1197" i="40" l="1"/>
  <c r="F1198" i="40" a="1"/>
  <c r="A1199" i="40"/>
  <c r="B1199" i="40"/>
  <c r="B1697" i="40" a="1"/>
  <c r="D1200" i="40" l="1"/>
  <c r="D1201" i="40" s="1"/>
  <c r="D1202" i="40" s="1"/>
  <c r="D1203" i="40" s="1"/>
  <c r="D1204" i="40" s="1"/>
  <c r="F1198" i="40"/>
  <c r="B1697" i="40"/>
  <c r="F1199" i="40"/>
  <c r="B1698" i="40"/>
  <c r="F1697" i="40" a="1"/>
  <c r="F1697" i="40" l="1"/>
  <c r="B1200" i="40" a="1"/>
  <c r="B1699" i="40"/>
  <c r="F1698" i="40" a="1"/>
  <c r="F1698" i="40" l="1"/>
  <c r="B1200" i="40"/>
  <c r="F1200" i="40" a="1"/>
  <c r="B1700" i="40"/>
  <c r="F1699" i="40" a="1"/>
  <c r="B1201" i="40"/>
  <c r="F1699" i="40" l="1"/>
  <c r="F1200" i="40"/>
  <c r="F1700" i="40" a="1"/>
  <c r="B1202" i="40"/>
  <c r="B1701" i="40"/>
  <c r="F1201" i="40" a="1"/>
  <c r="A1701" i="40"/>
  <c r="D1702" i="40" l="1"/>
  <c r="D1703" i="40" s="1"/>
  <c r="D1704" i="40" s="1"/>
  <c r="D1705" i="40" s="1"/>
  <c r="D1706" i="40" s="1"/>
  <c r="F1201" i="40"/>
  <c r="F1700" i="40"/>
  <c r="F1701" i="40"/>
  <c r="F1202" i="40" a="1"/>
  <c r="B1203" i="40"/>
  <c r="F1202" i="40" l="1"/>
  <c r="B1702" i="40" a="1"/>
  <c r="A1204" i="40"/>
  <c r="F1203" i="40" a="1"/>
  <c r="B1204" i="40"/>
  <c r="D1205" i="40" l="1"/>
  <c r="D1206" i="40" s="1"/>
  <c r="D1207" i="40" s="1"/>
  <c r="D1208" i="40" s="1"/>
  <c r="D1209" i="40" s="1"/>
  <c r="F1203" i="40"/>
  <c r="B1702" i="40"/>
  <c r="F1204" i="40"/>
  <c r="B1703" i="40"/>
  <c r="F1702" i="40" a="1"/>
  <c r="F1702" i="40" l="1"/>
  <c r="F1703" i="40" a="1"/>
  <c r="B1205" i="40" a="1"/>
  <c r="B1704" i="40"/>
  <c r="F1703" i="40" l="1"/>
  <c r="B1205" i="40"/>
  <c r="B1206" i="40"/>
  <c r="F1704" i="40" a="1"/>
  <c r="B1705" i="40"/>
  <c r="F1205" i="40" a="1"/>
  <c r="F1704" i="40" l="1"/>
  <c r="F1205" i="40"/>
  <c r="F1705" i="40" a="1"/>
  <c r="F1206" i="40" a="1"/>
  <c r="A1706" i="40"/>
  <c r="B1706" i="40"/>
  <c r="B1207" i="40"/>
  <c r="D1707" i="40" l="1"/>
  <c r="D1708" i="40" s="1"/>
  <c r="D1709" i="40" s="1"/>
  <c r="D1710" i="40" s="1"/>
  <c r="D1711" i="40" s="1"/>
  <c r="F1705" i="40"/>
  <c r="F1206" i="40"/>
  <c r="F1706" i="40"/>
  <c r="F1207" i="40" a="1"/>
  <c r="B1208" i="40"/>
  <c r="F1207" i="40" l="1"/>
  <c r="B1209" i="40"/>
  <c r="F1208" i="40" a="1"/>
  <c r="B1707" i="40" a="1"/>
  <c r="A1209" i="40"/>
  <c r="D1210" i="40" l="1"/>
  <c r="D1211" i="40" s="1"/>
  <c r="D1212" i="40" s="1"/>
  <c r="D1213" i="40" s="1"/>
  <c r="D1214" i="40" s="1"/>
  <c r="F1208" i="40"/>
  <c r="B1707" i="40"/>
  <c r="F1209" i="40"/>
  <c r="B1708" i="40"/>
  <c r="F1707" i="40" a="1"/>
  <c r="F1707" i="40" l="1"/>
  <c r="F1708" i="40" a="1"/>
  <c r="B1709" i="40"/>
  <c r="B1210" i="40" a="1"/>
  <c r="F1708" i="40" l="1"/>
  <c r="B1210" i="40"/>
  <c r="B1710" i="40"/>
  <c r="F1210" i="40" a="1"/>
  <c r="B1211" i="40"/>
  <c r="F1709" i="40" a="1"/>
  <c r="F1709" i="40" l="1"/>
  <c r="F1210" i="40"/>
  <c r="F1211" i="40" a="1"/>
  <c r="B1212" i="40"/>
  <c r="F1710" i="40" a="1"/>
  <c r="A1711" i="40"/>
  <c r="B1711" i="40"/>
  <c r="D1712" i="40" l="1"/>
  <c r="D1713" i="40" s="1"/>
  <c r="D1714" i="40" s="1"/>
  <c r="D1715" i="40" s="1"/>
  <c r="D1716" i="40" s="1"/>
  <c r="F1710" i="40"/>
  <c r="F1211" i="40"/>
  <c r="F1711" i="40"/>
  <c r="F1212" i="40" a="1"/>
  <c r="B1213" i="40"/>
  <c r="F1212" i="40" l="1"/>
  <c r="F1213" i="40" a="1"/>
  <c r="B1712" i="40" a="1"/>
  <c r="A1214" i="40"/>
  <c r="B1214" i="40"/>
  <c r="D1215" i="40" l="1"/>
  <c r="D1216" i="40" s="1"/>
  <c r="D1217" i="40" s="1"/>
  <c r="D1218" i="40" s="1"/>
  <c r="D1219" i="40" s="1"/>
  <c r="F1213" i="40"/>
  <c r="B1712" i="40"/>
  <c r="F1214" i="40"/>
  <c r="B1713" i="40"/>
  <c r="F1712" i="40" a="1"/>
  <c r="F1712" i="40" l="1"/>
  <c r="B1215" i="40" a="1"/>
  <c r="F1713" i="40" a="1"/>
  <c r="B1714" i="40"/>
  <c r="F1713" i="40" l="1"/>
  <c r="B1215" i="40"/>
  <c r="F1215" i="40" a="1"/>
  <c r="F1714" i="40" a="1"/>
  <c r="B1216" i="40"/>
  <c r="B1715" i="40"/>
  <c r="F1714" i="40" l="1"/>
  <c r="F1215" i="40"/>
  <c r="B1716" i="40"/>
  <c r="F1715" i="40" a="1"/>
  <c r="B1217" i="40"/>
  <c r="F1216" i="40" a="1"/>
  <c r="A1716" i="40"/>
  <c r="D1717" i="40" l="1"/>
  <c r="D1718" i="40" s="1"/>
  <c r="D1719" i="40" s="1"/>
  <c r="D1720" i="40" s="1"/>
  <c r="D1721" i="40" s="1"/>
  <c r="F1715" i="40"/>
  <c r="F1216" i="40"/>
  <c r="F1716" i="40"/>
  <c r="B1218" i="40"/>
  <c r="F1217" i="40" a="1"/>
  <c r="F1217" i="40" l="1"/>
  <c r="B1717" i="40" a="1"/>
  <c r="A1219" i="40"/>
  <c r="F1218" i="40" a="1"/>
  <c r="B1219" i="40"/>
  <c r="D1220" i="40" l="1"/>
  <c r="D1221" i="40" s="1"/>
  <c r="D1222" i="40" s="1"/>
  <c r="D1223" i="40" s="1"/>
  <c r="D1224" i="40" s="1"/>
  <c r="F1218" i="40"/>
  <c r="B1717" i="40"/>
  <c r="F1219" i="40"/>
  <c r="F1717" i="40" a="1"/>
  <c r="B1718" i="40"/>
  <c r="F1717" i="40" l="1"/>
  <c r="B1719" i="40"/>
  <c r="B1220" i="40" a="1"/>
  <c r="F1718" i="40" a="1"/>
  <c r="F1718" i="40" l="1"/>
  <c r="B1220" i="40"/>
  <c r="F1719" i="40" a="1"/>
  <c r="F1220" i="40" a="1"/>
  <c r="B1221" i="40"/>
  <c r="B1720" i="40"/>
  <c r="F1719" i="40" l="1"/>
  <c r="F1220" i="40"/>
  <c r="A1721" i="40"/>
  <c r="B1222" i="40"/>
  <c r="F1720" i="40" a="1"/>
  <c r="F1221" i="40" a="1"/>
  <c r="B1721" i="40"/>
  <c r="D1722" i="40" l="1"/>
  <c r="D1723" i="40" s="1"/>
  <c r="D1724" i="40" s="1"/>
  <c r="D1725" i="40" s="1"/>
  <c r="D1726" i="40" s="1"/>
  <c r="F1720" i="40"/>
  <c r="F1221" i="40"/>
  <c r="F1721" i="40"/>
  <c r="B1223" i="40"/>
  <c r="F1222" i="40" a="1"/>
  <c r="F1222" i="40" l="1"/>
  <c r="A1224" i="40"/>
  <c r="B1722" i="40" a="1"/>
  <c r="F1223" i="40" a="1"/>
  <c r="B1224" i="40"/>
  <c r="D1225" i="40" l="1"/>
  <c r="D1226" i="40" s="1"/>
  <c r="D1227" i="40" s="1"/>
  <c r="D1228" i="40" s="1"/>
  <c r="D1229" i="40" s="1"/>
  <c r="F1223" i="40"/>
  <c r="B1722" i="40"/>
  <c r="F1224" i="40"/>
  <c r="F1722" i="40" a="1"/>
  <c r="B1723" i="40"/>
  <c r="F1722" i="40" l="1"/>
  <c r="B1724" i="40"/>
  <c r="B1225" i="40" a="1"/>
  <c r="F1723" i="40" a="1"/>
  <c r="F1723" i="40" l="1"/>
  <c r="B1225" i="40"/>
  <c r="F1724" i="40" a="1"/>
  <c r="F1225" i="40" a="1"/>
  <c r="B1226" i="40"/>
  <c r="B1725" i="40"/>
  <c r="F1724" i="40" l="1"/>
  <c r="F1225" i="40"/>
  <c r="F1725" i="40" a="1"/>
  <c r="B1726" i="40"/>
  <c r="B1227" i="40"/>
  <c r="F1226" i="40" a="1"/>
  <c r="A1726" i="40"/>
  <c r="D1727" i="40" l="1"/>
  <c r="D1728" i="40" s="1"/>
  <c r="D1729" i="40" s="1"/>
  <c r="D1730" i="40" s="1"/>
  <c r="D1731" i="40" s="1"/>
  <c r="F1725" i="40"/>
  <c r="F1226" i="40"/>
  <c r="F1726" i="40"/>
  <c r="B1228" i="40"/>
  <c r="F1227" i="40" a="1"/>
  <c r="F1227" i="40" l="1"/>
  <c r="B1727" i="40" a="1"/>
  <c r="F1228" i="40" a="1"/>
  <c r="B1229" i="40"/>
  <c r="A1229" i="40"/>
  <c r="D1230" i="40" l="1"/>
  <c r="D1231" i="40" s="1"/>
  <c r="D1232" i="40" s="1"/>
  <c r="D1233" i="40" s="1"/>
  <c r="D1234" i="40" s="1"/>
  <c r="F1228" i="40"/>
  <c r="B1727" i="40"/>
  <c r="F1229" i="40"/>
  <c r="B1728" i="40"/>
  <c r="F1727" i="40" a="1"/>
  <c r="F1727" i="40" l="1"/>
  <c r="B1230" i="40" a="1"/>
  <c r="F1728" i="40" a="1"/>
  <c r="B1729" i="40"/>
  <c r="F1728" i="40" l="1"/>
  <c r="B1230" i="40"/>
  <c r="F1230" i="40" a="1"/>
  <c r="F1729" i="40" a="1"/>
  <c r="B1730" i="40"/>
  <c r="B1231" i="40"/>
  <c r="F1729" i="40" l="1"/>
  <c r="F1230" i="40"/>
  <c r="B1232" i="40"/>
  <c r="B1731" i="40"/>
  <c r="F1231" i="40" a="1"/>
  <c r="A1731" i="40"/>
  <c r="F1730" i="40" a="1"/>
  <c r="D1732" i="40" l="1"/>
  <c r="D1733" i="40" s="1"/>
  <c r="D1734" i="40" s="1"/>
  <c r="D1735" i="40" s="1"/>
  <c r="D1736" i="40" s="1"/>
  <c r="F1730" i="40"/>
  <c r="F1231" i="40"/>
  <c r="F1731" i="40"/>
  <c r="B1233" i="40"/>
  <c r="F1232" i="40" a="1"/>
  <c r="F1232" i="40" l="1"/>
  <c r="F1233" i="40" a="1"/>
  <c r="A1234" i="40"/>
  <c r="B1732" i="40" a="1"/>
  <c r="B1234" i="40"/>
  <c r="D1235" i="40" l="1"/>
  <c r="D1236" i="40" s="1"/>
  <c r="D1237" i="40" s="1"/>
  <c r="D1238" i="40" s="1"/>
  <c r="D1239" i="40" s="1"/>
  <c r="F1233" i="40"/>
  <c r="B1732" i="40"/>
  <c r="F1234" i="40"/>
  <c r="B1733" i="40"/>
  <c r="F1732" i="40" a="1"/>
  <c r="F1732" i="40" l="1"/>
  <c r="B1734" i="40"/>
  <c r="F1733" i="40" a="1"/>
  <c r="B1235" i="40" a="1"/>
  <c r="F1733" i="40" l="1"/>
  <c r="B1235" i="40"/>
  <c r="F1235" i="40" a="1"/>
  <c r="F1734" i="40" a="1"/>
  <c r="B1236" i="40"/>
  <c r="B1735" i="40"/>
  <c r="F1734" i="40" l="1"/>
  <c r="F1235" i="40"/>
  <c r="F1735" i="40" a="1"/>
  <c r="A1736" i="40"/>
  <c r="F1236" i="40" a="1"/>
  <c r="B1736" i="40"/>
  <c r="B1237" i="40"/>
  <c r="D1737" i="40" l="1"/>
  <c r="D1738" i="40" s="1"/>
  <c r="D1739" i="40" s="1"/>
  <c r="D1740" i="40" s="1"/>
  <c r="D1741" i="40" s="1"/>
  <c r="F1735" i="40"/>
  <c r="F1236" i="40"/>
  <c r="F1736" i="40"/>
  <c r="F1237" i="40" a="1"/>
  <c r="B1238" i="40"/>
  <c r="F1237" i="40" l="1"/>
  <c r="B1239" i="40"/>
  <c r="F1238" i="40" a="1"/>
  <c r="A1239" i="40"/>
  <c r="B1737" i="40" a="1"/>
  <c r="D1240" i="40" l="1"/>
  <c r="D1241" i="40" s="1"/>
  <c r="D1242" i="40" s="1"/>
  <c r="D1243" i="40" s="1"/>
  <c r="D1244" i="40" s="1"/>
  <c r="F1238" i="40"/>
  <c r="B1737" i="40"/>
  <c r="F1239" i="40"/>
  <c r="B1738" i="40"/>
  <c r="F1737" i="40" a="1"/>
  <c r="F1737" i="40" l="1"/>
  <c r="F1738" i="40" a="1"/>
  <c r="B1739" i="40"/>
  <c r="B1240" i="40" a="1"/>
  <c r="F1738" i="40" l="1"/>
  <c r="B1240" i="40"/>
  <c r="F1739" i="40" a="1"/>
  <c r="B1740" i="40"/>
  <c r="F1240" i="40" a="1"/>
  <c r="B1241" i="40"/>
  <c r="F1739" i="40" l="1"/>
  <c r="F1240" i="40"/>
  <c r="F1241" i="40" a="1"/>
  <c r="B1741" i="40"/>
  <c r="B1242" i="40"/>
  <c r="F1740" i="40" a="1"/>
  <c r="A1741" i="40"/>
  <c r="D1742" i="40" l="1"/>
  <c r="D1743" i="40" s="1"/>
  <c r="D1744" i="40" s="1"/>
  <c r="D1745" i="40" s="1"/>
  <c r="D1746" i="40" s="1"/>
  <c r="F1740" i="40"/>
  <c r="F1241" i="40"/>
  <c r="F1741" i="40"/>
  <c r="F1242" i="40" a="1"/>
  <c r="B1243" i="40"/>
  <c r="F1242" i="40" l="1"/>
  <c r="B1742" i="40" a="1"/>
  <c r="F1243" i="40" a="1"/>
  <c r="A1244" i="40"/>
  <c r="B1244" i="40"/>
  <c r="D1245" i="40" l="1"/>
  <c r="D1246" i="40" s="1"/>
  <c r="D1247" i="40" s="1"/>
  <c r="D1248" i="40" s="1"/>
  <c r="D1249" i="40" s="1"/>
  <c r="F1243" i="40"/>
  <c r="B1742" i="40"/>
  <c r="F1244" i="40"/>
  <c r="B1743" i="40"/>
  <c r="F1742" i="40" a="1"/>
  <c r="F1742" i="40" l="1"/>
  <c r="B1245" i="40" a="1"/>
  <c r="F1743" i="40" a="1"/>
  <c r="B1744" i="40"/>
  <c r="F1743" i="40" l="1"/>
  <c r="B1245" i="40"/>
  <c r="F1744" i="40" a="1"/>
  <c r="B1246" i="40"/>
  <c r="B1745" i="40"/>
  <c r="F1245" i="40" a="1"/>
  <c r="F1744" i="40" l="1"/>
  <c r="F1245" i="40"/>
  <c r="F1246" i="40" a="1"/>
  <c r="B1247" i="40"/>
  <c r="B1746" i="40"/>
  <c r="A1746" i="40"/>
  <c r="F1745" i="40" a="1"/>
  <c r="D1747" i="40" l="1"/>
  <c r="D1748" i="40" s="1"/>
  <c r="D1749" i="40" s="1"/>
  <c r="D1750" i="40" s="1"/>
  <c r="D1751" i="40" s="1"/>
  <c r="F1745" i="40"/>
  <c r="F1246" i="40"/>
  <c r="F1746" i="40"/>
  <c r="B1248" i="40"/>
  <c r="F1247" i="40" a="1"/>
  <c r="F1247" i="40" l="1"/>
  <c r="B1747" i="40" a="1"/>
  <c r="F1248" i="40" a="1"/>
  <c r="A1249" i="40"/>
  <c r="B1249" i="40"/>
  <c r="D1250" i="40" l="1"/>
  <c r="D1251" i="40" s="1"/>
  <c r="D1252" i="40" s="1"/>
  <c r="D1253" i="40" s="1"/>
  <c r="D1254" i="40" s="1"/>
  <c r="F1248" i="40"/>
  <c r="B1747" i="40"/>
  <c r="F1249" i="40"/>
  <c r="F1747" i="40" a="1"/>
  <c r="B1748" i="40"/>
  <c r="F1747" i="40" l="1"/>
  <c r="B1749" i="40"/>
  <c r="B1250" i="40" a="1"/>
  <c r="F1748" i="40" a="1"/>
  <c r="F1748" i="40" l="1"/>
  <c r="B1250" i="40"/>
  <c r="B1251" i="40"/>
  <c r="F1250" i="40" a="1"/>
  <c r="F1749" i="40" a="1"/>
  <c r="B1750" i="40"/>
  <c r="F1749" i="40" l="1"/>
  <c r="F1250" i="40"/>
  <c r="B1252" i="40"/>
  <c r="F1251" i="40" a="1"/>
  <c r="F1750" i="40" a="1"/>
  <c r="B1751" i="40"/>
  <c r="A1751" i="40"/>
  <c r="D1752" i="40" l="1"/>
  <c r="D1753" i="40" s="1"/>
  <c r="D1754" i="40" s="1"/>
  <c r="D1755" i="40" s="1"/>
  <c r="D1756" i="40" s="1"/>
  <c r="F1750" i="40"/>
  <c r="F1251" i="40"/>
  <c r="F1751" i="40"/>
  <c r="F1252" i="40" a="1"/>
  <c r="B1253" i="40"/>
  <c r="F1252" i="40" l="1"/>
  <c r="A1254" i="40"/>
  <c r="B1752" i="40" a="1"/>
  <c r="B1254" i="40"/>
  <c r="F1253" i="40" a="1"/>
  <c r="D1255" i="40" l="1"/>
  <c r="D1256" i="40" s="1"/>
  <c r="D1257" i="40" s="1"/>
  <c r="D1258" i="40" s="1"/>
  <c r="D1259" i="40" s="1"/>
  <c r="F1253" i="40"/>
  <c r="B1752" i="40"/>
  <c r="F1254" i="40"/>
  <c r="F1752" i="40" a="1"/>
  <c r="B1753" i="40"/>
  <c r="F1752" i="40" l="1"/>
  <c r="F1753" i="40" a="1"/>
  <c r="B1255" i="40" a="1"/>
  <c r="B1754" i="40"/>
  <c r="F1753" i="40" l="1"/>
  <c r="B1255" i="40"/>
  <c r="F1255" i="40" a="1"/>
  <c r="B1256" i="40"/>
  <c r="F1754" i="40" a="1"/>
  <c r="B1755" i="40"/>
  <c r="F1754" i="40" l="1"/>
  <c r="F1255" i="40"/>
  <c r="F1256" i="40" a="1"/>
  <c r="B1257" i="40"/>
  <c r="F1755" i="40" a="1"/>
  <c r="B1756" i="40"/>
  <c r="A1756" i="40"/>
  <c r="D1757" i="40" l="1"/>
  <c r="D1758" i="40" s="1"/>
  <c r="D1759" i="40" s="1"/>
  <c r="D1760" i="40" s="1"/>
  <c r="D1761" i="40" s="1"/>
  <c r="F1755" i="40"/>
  <c r="F1256" i="40"/>
  <c r="F1756" i="40"/>
  <c r="F1257" i="40" a="1"/>
  <c r="B1258" i="40"/>
  <c r="F1257" i="40" l="1"/>
  <c r="B1259" i="40"/>
  <c r="A1259" i="40"/>
  <c r="B1757" i="40" a="1"/>
  <c r="F1258" i="40" a="1"/>
  <c r="D1260" i="40" l="1"/>
  <c r="D1261" i="40" s="1"/>
  <c r="D1262" i="40" s="1"/>
  <c r="D1263" i="40" s="1"/>
  <c r="D1264" i="40" s="1"/>
  <c r="F1258" i="40"/>
  <c r="B1757" i="40"/>
  <c r="F1259" i="40"/>
  <c r="B1758" i="40"/>
  <c r="F1757" i="40" a="1"/>
  <c r="F1757" i="40" l="1"/>
  <c r="B1260" i="40" a="1"/>
  <c r="F1758" i="40" a="1"/>
  <c r="B1759" i="40"/>
  <c r="F1758" i="40" l="1"/>
  <c r="B1260" i="40"/>
  <c r="B1261" i="40"/>
  <c r="F1759" i="40" a="1"/>
  <c r="B1760" i="40"/>
  <c r="F1260" i="40" a="1"/>
  <c r="F1759" i="40" l="1"/>
  <c r="F1260" i="40"/>
  <c r="F1261" i="40" a="1"/>
  <c r="A1761" i="40"/>
  <c r="B1761" i="40"/>
  <c r="F1760" i="40" a="1"/>
  <c r="B1262" i="40"/>
  <c r="D1762" i="40" l="1"/>
  <c r="D1763" i="40" s="1"/>
  <c r="D1764" i="40" s="1"/>
  <c r="D1765" i="40" s="1"/>
  <c r="D1766" i="40" s="1"/>
  <c r="F1760" i="40"/>
  <c r="F1261" i="40"/>
  <c r="F1761" i="40"/>
  <c r="F1262" i="40" a="1"/>
  <c r="B1263" i="40"/>
  <c r="F1262" i="40" l="1"/>
  <c r="B1264" i="40"/>
  <c r="B1762" i="40" a="1"/>
  <c r="F1263" i="40" a="1"/>
  <c r="A1264" i="40"/>
  <c r="D1265" i="40" l="1"/>
  <c r="D1266" i="40" s="1"/>
  <c r="D1267" i="40" s="1"/>
  <c r="D1268" i="40" s="1"/>
  <c r="D1269" i="40" s="1"/>
  <c r="F1263" i="40"/>
  <c r="B1762" i="40"/>
  <c r="F1264" i="40"/>
  <c r="B1763" i="40"/>
  <c r="F1762" i="40" a="1"/>
  <c r="F1762" i="40" l="1"/>
  <c r="F1763" i="40" a="1"/>
  <c r="B1764" i="40"/>
  <c r="B1265" i="40" a="1"/>
  <c r="F1763" i="40" l="1"/>
  <c r="B1265" i="40"/>
  <c r="F1764" i="40" a="1"/>
  <c r="B1765" i="40"/>
  <c r="F1265" i="40" a="1"/>
  <c r="B1266" i="40"/>
  <c r="F1764" i="40" l="1"/>
  <c r="F1265" i="40"/>
  <c r="B1267" i="40"/>
  <c r="A1766" i="40"/>
  <c r="F1765" i="40" a="1"/>
  <c r="B1766" i="40"/>
  <c r="F1266" i="40" a="1"/>
  <c r="D1767" i="40" l="1"/>
  <c r="D1768" i="40" s="1"/>
  <c r="D1769" i="40" s="1"/>
  <c r="D1770" i="40" s="1"/>
  <c r="D1771" i="40" s="1"/>
  <c r="F1765" i="40"/>
  <c r="F1266" i="40"/>
  <c r="F1766" i="40"/>
  <c r="F1267" i="40" a="1"/>
  <c r="B1268" i="40"/>
  <c r="F1267" i="40" l="1"/>
  <c r="B1269" i="40"/>
  <c r="F1268" i="40" a="1"/>
  <c r="B1767" i="40" a="1"/>
  <c r="A1269" i="40"/>
  <c r="D1270" i="40" l="1"/>
  <c r="D1271" i="40" s="1"/>
  <c r="D1272" i="40" s="1"/>
  <c r="D1273" i="40" s="1"/>
  <c r="D1274" i="40" s="1"/>
  <c r="F1268" i="40"/>
  <c r="B1767" i="40"/>
  <c r="F1269" i="40"/>
  <c r="B1768" i="40"/>
  <c r="F1767" i="40" a="1"/>
  <c r="F1767" i="40" l="1"/>
  <c r="F1768" i="40" a="1"/>
  <c r="B1769" i="40"/>
  <c r="B1270" i="40" a="1"/>
  <c r="F1768" i="40" l="1"/>
  <c r="B1270" i="40"/>
  <c r="B1770" i="40"/>
  <c r="F1769" i="40" a="1"/>
  <c r="B1271" i="40"/>
  <c r="F1270" i="40" a="1"/>
  <c r="F1769" i="40" l="1"/>
  <c r="F1270" i="40"/>
  <c r="F1770" i="40" a="1"/>
  <c r="F1271" i="40" a="1"/>
  <c r="B1272" i="40"/>
  <c r="B1771" i="40"/>
  <c r="A1771" i="40"/>
  <c r="D1772" i="40" l="1"/>
  <c r="D1773" i="40" s="1"/>
  <c r="D1774" i="40" s="1"/>
  <c r="D1775" i="40" s="1"/>
  <c r="D1776" i="40" s="1"/>
  <c r="F1770" i="40"/>
  <c r="F1271" i="40"/>
  <c r="F1771" i="40"/>
  <c r="B1273" i="40"/>
  <c r="F1272" i="40" a="1"/>
  <c r="F1272" i="40" l="1"/>
  <c r="B1772" i="40" a="1"/>
  <c r="B1274" i="40"/>
  <c r="A1274" i="40"/>
  <c r="F1273" i="40" a="1"/>
  <c r="D1275" i="40" l="1"/>
  <c r="D1276" i="40" s="1"/>
  <c r="D1277" i="40" s="1"/>
  <c r="D1278" i="40" s="1"/>
  <c r="D1279" i="40" s="1"/>
  <c r="F1273" i="40"/>
  <c r="B1772" i="40"/>
  <c r="F1274" i="40"/>
  <c r="B1773" i="40"/>
  <c r="F1772" i="40" a="1"/>
  <c r="F1772" i="40" l="1"/>
  <c r="B1275" i="40" a="1"/>
  <c r="F1773" i="40" a="1"/>
  <c r="B1774" i="40"/>
  <c r="F1773" i="40" l="1"/>
  <c r="B1275" i="40"/>
  <c r="B1276" i="40"/>
  <c r="B1775" i="40"/>
  <c r="F1275" i="40" a="1"/>
  <c r="F1774" i="40" a="1"/>
  <c r="F1774" i="40" l="1"/>
  <c r="F1275" i="40"/>
  <c r="A1776" i="40"/>
  <c r="F1276" i="40" a="1"/>
  <c r="B1277" i="40"/>
  <c r="F1775" i="40" a="1"/>
  <c r="B1776" i="40"/>
  <c r="D1777" i="40" l="1"/>
  <c r="D1778" i="40" s="1"/>
  <c r="D1779" i="40" s="1"/>
  <c r="D1780" i="40" s="1"/>
  <c r="D1781" i="40" s="1"/>
  <c r="F1775" i="40"/>
  <c r="F1276" i="40"/>
  <c r="F1776" i="40"/>
  <c r="F1277" i="40" a="1"/>
  <c r="B1278" i="40"/>
  <c r="F1277" i="40" l="1"/>
  <c r="B1279" i="40"/>
  <c r="A1279" i="40"/>
  <c r="B1777" i="40" a="1"/>
  <c r="F1278" i="40" a="1"/>
  <c r="D1280" i="40" l="1"/>
  <c r="D1281" i="40" s="1"/>
  <c r="D1282" i="40" s="1"/>
  <c r="D1283" i="40" s="1"/>
  <c r="D1284" i="40" s="1"/>
  <c r="F1278" i="40"/>
  <c r="B1777" i="40"/>
  <c r="F1279" i="40"/>
  <c r="B1778" i="40"/>
  <c r="F1777" i="40" a="1"/>
  <c r="F1777" i="40" l="1"/>
  <c r="F1778" i="40" a="1"/>
  <c r="B1779" i="40"/>
  <c r="B1280" i="40" a="1"/>
  <c r="F1778" i="40" l="1"/>
  <c r="B1280" i="40"/>
  <c r="F1280" i="40" a="1"/>
  <c r="B1281" i="40"/>
  <c r="B1780" i="40"/>
  <c r="F1779" i="40" a="1"/>
  <c r="F1779" i="40" l="1"/>
  <c r="F1280" i="40"/>
  <c r="A1781" i="40"/>
  <c r="F1281" i="40" a="1"/>
  <c r="F1780" i="40" a="1"/>
  <c r="B1282" i="40"/>
  <c r="B1781" i="40"/>
  <c r="D1782" i="40" l="1"/>
  <c r="D1783" i="40" s="1"/>
  <c r="D1784" i="40" s="1"/>
  <c r="D1785" i="40" s="1"/>
  <c r="D1786" i="40" s="1"/>
  <c r="F1780" i="40"/>
  <c r="F1281" i="40"/>
  <c r="F1781" i="40"/>
  <c r="B1283" i="40"/>
  <c r="F1282" i="40" a="1"/>
  <c r="F1282" i="40" l="1"/>
  <c r="A1284" i="40"/>
  <c r="F1283" i="40" a="1"/>
  <c r="B1782" i="40" a="1"/>
  <c r="B1284" i="40"/>
  <c r="D1285" i="40" l="1"/>
  <c r="D1286" i="40" s="1"/>
  <c r="D1287" i="40" s="1"/>
  <c r="D1288" i="40" s="1"/>
  <c r="D1289" i="40" s="1"/>
  <c r="F1283" i="40"/>
  <c r="B1782" i="40"/>
  <c r="F1284" i="40"/>
  <c r="F1782" i="40" a="1"/>
  <c r="B1783" i="40"/>
  <c r="F1782" i="40" l="1"/>
  <c r="B1784" i="40"/>
  <c r="B1285" i="40" a="1"/>
  <c r="F1783" i="40" a="1"/>
  <c r="F1783" i="40" l="1"/>
  <c r="B1285" i="40"/>
  <c r="B1286" i="40"/>
  <c r="F1285" i="40" a="1"/>
  <c r="F1784" i="40" a="1"/>
  <c r="B1785" i="40"/>
  <c r="F1784" i="40" l="1"/>
  <c r="F1285" i="40"/>
  <c r="B1786" i="40"/>
  <c r="A1786" i="40"/>
  <c r="F1785" i="40" a="1"/>
  <c r="F1286" i="40" a="1"/>
  <c r="B1287" i="40"/>
  <c r="D1787" i="40" l="1"/>
  <c r="D1788" i="40" s="1"/>
  <c r="D1789" i="40" s="1"/>
  <c r="D1790" i="40" s="1"/>
  <c r="D1791" i="40" s="1"/>
  <c r="F1286" i="40"/>
  <c r="F1785" i="40"/>
  <c r="F1786" i="40"/>
  <c r="F1287" i="40" a="1"/>
  <c r="B1288" i="40"/>
  <c r="F1287" i="40" l="1"/>
  <c r="A1289" i="40"/>
  <c r="B1787" i="40" a="1"/>
  <c r="B1289" i="40"/>
  <c r="F1288" i="40" a="1"/>
  <c r="D1290" i="40" l="1"/>
  <c r="D1291" i="40" s="1"/>
  <c r="D1292" i="40" s="1"/>
  <c r="D1293" i="40" s="1"/>
  <c r="D1294" i="40" s="1"/>
  <c r="F1288" i="40"/>
  <c r="B1787" i="40"/>
  <c r="F1289" i="40"/>
  <c r="F1787" i="40" a="1"/>
  <c r="B1788" i="40"/>
  <c r="F1787" i="40" l="1"/>
  <c r="F1788" i="40" a="1"/>
  <c r="B1789" i="40"/>
  <c r="B1290" i="40" a="1"/>
  <c r="F1788" i="40" l="1"/>
  <c r="B1290" i="40"/>
  <c r="F1290" i="40" a="1"/>
  <c r="B1291" i="40"/>
  <c r="B1790" i="40"/>
  <c r="F1789" i="40" a="1"/>
  <c r="F1789" i="40" l="1"/>
  <c r="F1290" i="40"/>
  <c r="B1292" i="40"/>
  <c r="F1291" i="40" a="1"/>
  <c r="A1791" i="40"/>
  <c r="F1790" i="40" a="1"/>
  <c r="B1791" i="40"/>
  <c r="D1792" i="40" l="1"/>
  <c r="D1793" i="40" s="1"/>
  <c r="D1794" i="40" s="1"/>
  <c r="D1795" i="40" s="1"/>
  <c r="D1796" i="40" s="1"/>
  <c r="F1790" i="40"/>
  <c r="F1291" i="40"/>
  <c r="F1791" i="40"/>
  <c r="B1293" i="40"/>
  <c r="F1292" i="40" a="1"/>
  <c r="F1292" i="40" l="1"/>
  <c r="F1293" i="40" a="1"/>
  <c r="B1792" i="40" a="1"/>
  <c r="B1294" i="40"/>
  <c r="A1294" i="40"/>
  <c r="D1295" i="40" l="1"/>
  <c r="D1296" i="40" s="1"/>
  <c r="D1297" i="40" s="1"/>
  <c r="D1298" i="40" s="1"/>
  <c r="D1299" i="40" s="1"/>
  <c r="F1293" i="40"/>
  <c r="B1792" i="40"/>
  <c r="F1294" i="40"/>
  <c r="F1792" i="40" a="1"/>
  <c r="B1793" i="40"/>
  <c r="F1792" i="40" l="1"/>
  <c r="B1794" i="40"/>
  <c r="B1295" i="40" a="1"/>
  <c r="F1793" i="40" a="1"/>
  <c r="F1793" i="40" l="1"/>
  <c r="B1295" i="40"/>
  <c r="B1296" i="40"/>
  <c r="F1295" i="40" a="1"/>
  <c r="B1795" i="40"/>
  <c r="F1794" i="40" a="1"/>
  <c r="F1794" i="40" l="1"/>
  <c r="F1295" i="40"/>
  <c r="F1296" i="40" a="1"/>
  <c r="B1796" i="40"/>
  <c r="F1795" i="40" a="1"/>
  <c r="A1796" i="40"/>
  <c r="B1297" i="40"/>
  <c r="D1797" i="40" l="1"/>
  <c r="D1798" i="40" s="1"/>
  <c r="D1799" i="40" s="1"/>
  <c r="D1800" i="40" s="1"/>
  <c r="D1801" i="40" s="1"/>
  <c r="F1296" i="40"/>
  <c r="F1795" i="40"/>
  <c r="F1796" i="40"/>
  <c r="B1298" i="40"/>
  <c r="F1297" i="40" a="1"/>
  <c r="F1297" i="40" l="1"/>
  <c r="A1299" i="40"/>
  <c r="B1299" i="40"/>
  <c r="B1797" i="40" a="1"/>
  <c r="F1298" i="40" a="1"/>
  <c r="D1300" i="40" l="1"/>
  <c r="D1301" i="40" s="1"/>
  <c r="D1302" i="40" s="1"/>
  <c r="D1303" i="40" s="1"/>
  <c r="D1304" i="40" s="1"/>
  <c r="F1298" i="40"/>
  <c r="B1797" i="40"/>
  <c r="F1299" i="40"/>
  <c r="F1797" i="40" a="1"/>
  <c r="B1798" i="40"/>
  <c r="F1797" i="40" l="1"/>
  <c r="B1300" i="40" a="1"/>
  <c r="B1799" i="40"/>
  <c r="F1798" i="40" a="1"/>
  <c r="F1798" i="40" l="1"/>
  <c r="B1300" i="40"/>
  <c r="B1301" i="40"/>
  <c r="F1799" i="40" a="1"/>
  <c r="B1800" i="40"/>
  <c r="F1300" i="40" a="1"/>
  <c r="F1799" i="40" l="1"/>
  <c r="F1300" i="40"/>
  <c r="A1801" i="40"/>
  <c r="F1800" i="40" a="1"/>
  <c r="F1301" i="40" a="1"/>
  <c r="B1302" i="40"/>
  <c r="B1801" i="40"/>
  <c r="D1802" i="40" l="1"/>
  <c r="D1803" i="40" s="1"/>
  <c r="D1804" i="40" s="1"/>
  <c r="D1805" i="40" s="1"/>
  <c r="D1806" i="40" s="1"/>
  <c r="F1301" i="40"/>
  <c r="F1800" i="40"/>
  <c r="F1801" i="40"/>
  <c r="B1303" i="40"/>
  <c r="F1302" i="40" a="1"/>
  <c r="F1302" i="40" l="1"/>
  <c r="F1303" i="40" a="1"/>
  <c r="B1802" i="40" a="1"/>
  <c r="A1304" i="40"/>
  <c r="B1304" i="40"/>
  <c r="D1305" i="40" l="1"/>
  <c r="D1306" i="40" s="1"/>
  <c r="D1307" i="40" s="1"/>
  <c r="D1308" i="40" s="1"/>
  <c r="D1309" i="40" s="1"/>
  <c r="F1303" i="40"/>
  <c r="B1802" i="40"/>
  <c r="F1304" i="40"/>
  <c r="B1803" i="40"/>
  <c r="F1802" i="40" a="1"/>
  <c r="F1802" i="40" l="1"/>
  <c r="B1804" i="40"/>
  <c r="F1803" i="40" a="1"/>
  <c r="B1305" i="40" a="1"/>
  <c r="F1803" i="40" l="1"/>
  <c r="B1305" i="40"/>
  <c r="B1306" i="40"/>
  <c r="F1305" i="40" a="1"/>
  <c r="F1804" i="40" a="1"/>
  <c r="B1805" i="40"/>
  <c r="F1804" i="40" l="1"/>
  <c r="F1305" i="40"/>
  <c r="B1806" i="40"/>
  <c r="F1306" i="40" a="1"/>
  <c r="F1805" i="40" a="1"/>
  <c r="B1307" i="40"/>
  <c r="A1806" i="40"/>
  <c r="D1807" i="40" l="1"/>
  <c r="D1808" i="40" s="1"/>
  <c r="D1809" i="40" s="1"/>
  <c r="D1810" i="40" s="1"/>
  <c r="D1811" i="40" s="1"/>
  <c r="F1306" i="40"/>
  <c r="F1805" i="40"/>
  <c r="F1806" i="40"/>
  <c r="F1307" i="40" a="1"/>
  <c r="B1308" i="40"/>
  <c r="F1307" i="40" l="1"/>
  <c r="F1308" i="40" a="1"/>
  <c r="A1309" i="40"/>
  <c r="B1807" i="40" a="1"/>
  <c r="B1309" i="40"/>
  <c r="D1310" i="40" l="1"/>
  <c r="D1311" i="40" s="1"/>
  <c r="D1312" i="40" s="1"/>
  <c r="D1313" i="40" s="1"/>
  <c r="D1314" i="40" s="1"/>
  <c r="F1308" i="40"/>
  <c r="B1807" i="40"/>
  <c r="F1309" i="40"/>
  <c r="B1808" i="40"/>
  <c r="F1807" i="40" a="1"/>
  <c r="F1807" i="40" l="1"/>
  <c r="B1809" i="40"/>
  <c r="F1808" i="40" a="1"/>
  <c r="B1310" i="40" a="1"/>
  <c r="F1808" i="40" l="1"/>
  <c r="B1310" i="40"/>
  <c r="B1810" i="40"/>
  <c r="B1311" i="40"/>
  <c r="F1809" i="40" a="1"/>
  <c r="F1310" i="40" a="1"/>
  <c r="F1809" i="40" l="1"/>
  <c r="F1310" i="40"/>
  <c r="B1811" i="40"/>
  <c r="F1311" i="40" a="1"/>
  <c r="A1811" i="40"/>
  <c r="F1810" i="40" a="1"/>
  <c r="B1312" i="40"/>
  <c r="D1812" i="40" l="1"/>
  <c r="D1813" i="40" s="1"/>
  <c r="D1814" i="40" s="1"/>
  <c r="D1815" i="40" s="1"/>
  <c r="D1816" i="40" s="1"/>
  <c r="F1311" i="40"/>
  <c r="F1810" i="40"/>
  <c r="F1811" i="40"/>
  <c r="F1312" i="40" a="1"/>
  <c r="B1313" i="40"/>
  <c r="F1312" i="40" l="1"/>
  <c r="F1313" i="40" a="1"/>
  <c r="B1314" i="40"/>
  <c r="A1314" i="40"/>
  <c r="B1812" i="40" a="1"/>
  <c r="D1315" i="40" l="1"/>
  <c r="D1316" i="40" s="1"/>
  <c r="D1317" i="40" s="1"/>
  <c r="D1318" i="40" s="1"/>
  <c r="D1319" i="40" s="1"/>
  <c r="F1313" i="40"/>
  <c r="B1812" i="40"/>
  <c r="F1314" i="40"/>
  <c r="F1812" i="40" a="1"/>
  <c r="B1813" i="40"/>
  <c r="F1812" i="40" l="1"/>
  <c r="B1315" i="40" a="1"/>
  <c r="B1814" i="40"/>
  <c r="F1813" i="40" a="1"/>
  <c r="F1813" i="40" l="1"/>
  <c r="B1315" i="40"/>
  <c r="F1315" i="40" a="1"/>
  <c r="B1316" i="40"/>
  <c r="F1814" i="40" a="1"/>
  <c r="B1815" i="40"/>
  <c r="F1814" i="40" l="1"/>
  <c r="F1315" i="40"/>
  <c r="F1316" i="40" a="1"/>
  <c r="F1815" i="40" a="1"/>
  <c r="B1317" i="40"/>
  <c r="B1816" i="40"/>
  <c r="A1816" i="40"/>
  <c r="D1817" i="40" l="1"/>
  <c r="D1818" i="40" s="1"/>
  <c r="D1819" i="40" s="1"/>
  <c r="D1820" i="40" s="1"/>
  <c r="D1821" i="40" s="1"/>
  <c r="F1815" i="40"/>
  <c r="F1316" i="40"/>
  <c r="F1816" i="40"/>
  <c r="B1318" i="40"/>
  <c r="F1317" i="40" a="1"/>
  <c r="F1317" i="40" l="1"/>
  <c r="B1319" i="40"/>
  <c r="F1318" i="40" a="1"/>
  <c r="B1817" i="40" a="1"/>
  <c r="A1319" i="40"/>
  <c r="D1320" i="40" l="1"/>
  <c r="D1321" i="40" s="1"/>
  <c r="D1322" i="40" s="1"/>
  <c r="D1323" i="40" s="1"/>
  <c r="D1324" i="40" s="1"/>
  <c r="F1318" i="40"/>
  <c r="B1817" i="40"/>
  <c r="F1319" i="40"/>
  <c r="B1818" i="40"/>
  <c r="F1817" i="40" a="1"/>
  <c r="F1817" i="40" l="1"/>
  <c r="F1818" i="40" a="1"/>
  <c r="B1819" i="40"/>
  <c r="B1320" i="40" a="1"/>
  <c r="F1818" i="40" l="1"/>
  <c r="B1320" i="40"/>
  <c r="B1820" i="40"/>
  <c r="F1819" i="40" a="1"/>
  <c r="B1321" i="40"/>
  <c r="F1320" i="40" a="1"/>
  <c r="F1819" i="40" l="1"/>
  <c r="F1320" i="40"/>
  <c r="F1820" i="40" a="1"/>
  <c r="B1821" i="40"/>
  <c r="A1821" i="40"/>
  <c r="F1321" i="40" a="1"/>
  <c r="B1322" i="40"/>
  <c r="D1822" i="40" l="1"/>
  <c r="D1823" i="40" s="1"/>
  <c r="D1824" i="40" s="1"/>
  <c r="D1825" i="40" s="1"/>
  <c r="D1826" i="40" s="1"/>
  <c r="F1820" i="40"/>
  <c r="F1321" i="40"/>
  <c r="F1821" i="40"/>
  <c r="F1322" i="40" a="1"/>
  <c r="B1323" i="40"/>
  <c r="F1322" i="40" l="1"/>
  <c r="F1323" i="40" a="1"/>
  <c r="B1822" i="40" a="1"/>
  <c r="A1324" i="40"/>
  <c r="B1324" i="40"/>
  <c r="D1325" i="40" l="1"/>
  <c r="D1326" i="40" s="1"/>
  <c r="D1327" i="40" s="1"/>
  <c r="D1328" i="40" s="1"/>
  <c r="D1329" i="40" s="1"/>
  <c r="F1323" i="40"/>
  <c r="B1822" i="40"/>
  <c r="F1324" i="40"/>
  <c r="F1822" i="40" a="1"/>
  <c r="B1823" i="40"/>
  <c r="F1822" i="40" l="1"/>
  <c r="F1823" i="40" a="1"/>
  <c r="B1824" i="40"/>
  <c r="B1325" i="40" a="1"/>
  <c r="F1823" i="40" l="1"/>
  <c r="B1325" i="40"/>
  <c r="B1326" i="40"/>
  <c r="B1825" i="40"/>
  <c r="F1824" i="40" a="1"/>
  <c r="F1325" i="40" a="1"/>
  <c r="F1824" i="40" l="1"/>
  <c r="F1325" i="40"/>
  <c r="F1825" i="40" a="1"/>
  <c r="A1826" i="40"/>
  <c r="B1826" i="40"/>
  <c r="F1326" i="40" a="1"/>
  <c r="B1327" i="40"/>
  <c r="D1827" i="40" l="1"/>
  <c r="D1828" i="40" s="1"/>
  <c r="D1829" i="40" s="1"/>
  <c r="D1830" i="40" s="1"/>
  <c r="D1831" i="40" s="1"/>
  <c r="F1825" i="40"/>
  <c r="F1326" i="40"/>
  <c r="F1826" i="40"/>
  <c r="F1327" i="40" a="1"/>
  <c r="B1328" i="40"/>
  <c r="F1327" i="40" l="1"/>
  <c r="B1329" i="40"/>
  <c r="B1827" i="40" a="1"/>
  <c r="F1328" i="40" a="1"/>
  <c r="A1329" i="40"/>
  <c r="D1330" i="40" l="1"/>
  <c r="D1331" i="40" s="1"/>
  <c r="D1332" i="40" s="1"/>
  <c r="D1333" i="40" s="1"/>
  <c r="D1334" i="40" s="1"/>
  <c r="F1328" i="40"/>
  <c r="B1827" i="40"/>
  <c r="F1329" i="40"/>
  <c r="B1828" i="40"/>
  <c r="F1827" i="40" a="1"/>
  <c r="F1827" i="40" l="1"/>
  <c r="B1330" i="40" a="1"/>
  <c r="B1829" i="40"/>
  <c r="F1828" i="40" a="1"/>
  <c r="F1828" i="40" l="1"/>
  <c r="B1330" i="40"/>
  <c r="B1331" i="40"/>
  <c r="F1829" i="40" a="1"/>
  <c r="A1831" i="40"/>
  <c r="B1830" i="40"/>
  <c r="F1330" i="40" a="1"/>
  <c r="B1831" i="40"/>
  <c r="D1832" i="40" l="1"/>
  <c r="D1833" i="40" s="1"/>
  <c r="D1834" i="40" s="1"/>
  <c r="D1835" i="40" s="1"/>
  <c r="D1836" i="40" s="1"/>
  <c r="F1829" i="40"/>
  <c r="F1831" i="40"/>
  <c r="F1330" i="40"/>
  <c r="B1332" i="40"/>
  <c r="F1331" i="40" a="1"/>
  <c r="F1830" i="40" a="1"/>
  <c r="F1830" i="40" l="1"/>
  <c r="F1331" i="40"/>
  <c r="B1832" i="40" a="1"/>
  <c r="A1334" i="40"/>
  <c r="B1334" i="40"/>
  <c r="F1332" i="40" a="1"/>
  <c r="B1333" i="40"/>
  <c r="D1335" i="40" l="1"/>
  <c r="D1336" i="40" s="1"/>
  <c r="D1337" i="40" s="1"/>
  <c r="D1338" i="40" s="1"/>
  <c r="D1339" i="40" s="1"/>
  <c r="F1332" i="40"/>
  <c r="B1832" i="40"/>
  <c r="F1334" i="40"/>
  <c r="B1833" i="40"/>
  <c r="F1333" i="40" a="1"/>
  <c r="F1832" i="40" a="1"/>
  <c r="F1333" i="40" l="1"/>
  <c r="F1832" i="40"/>
  <c r="B1834" i="40"/>
  <c r="F1833" i="40" a="1"/>
  <c r="B1335" i="40" a="1"/>
  <c r="F1833" i="40" l="1"/>
  <c r="B1335" i="40"/>
  <c r="B1835" i="40"/>
  <c r="B1336" i="40"/>
  <c r="F1834" i="40" a="1"/>
  <c r="F1335" i="40" a="1"/>
  <c r="F1834" i="40" l="1"/>
  <c r="F1335" i="40"/>
  <c r="A1836" i="40"/>
  <c r="F1336" i="40" a="1"/>
  <c r="F1835" i="40" a="1"/>
  <c r="B1836" i="40"/>
  <c r="B1337" i="40"/>
  <c r="D1837" i="40" l="1"/>
  <c r="D1838" i="40" s="1"/>
  <c r="D1839" i="40" s="1"/>
  <c r="D1840" i="40" s="1"/>
  <c r="D1841" i="40" s="1"/>
  <c r="F1835" i="40"/>
  <c r="F1336" i="40"/>
  <c r="F1836" i="40"/>
  <c r="F1337" i="40" a="1"/>
  <c r="B1338" i="40"/>
  <c r="F1337" i="40" l="1"/>
  <c r="B1339" i="40"/>
  <c r="B1837" i="40" a="1"/>
  <c r="A1339" i="40"/>
  <c r="F1338" i="40" a="1"/>
  <c r="D1340" i="40" l="1"/>
  <c r="D1341" i="40" s="1"/>
  <c r="D1342" i="40" s="1"/>
  <c r="D1343" i="40" s="1"/>
  <c r="D1344" i="40" s="1"/>
  <c r="F1338" i="40"/>
  <c r="B1837" i="40"/>
  <c r="F1339" i="40"/>
  <c r="F1837" i="40" a="1"/>
  <c r="B1838" i="40"/>
  <c r="F1837" i="40" l="1"/>
  <c r="B1839" i="40"/>
  <c r="F1838" i="40" a="1"/>
  <c r="B1340" i="40" a="1"/>
  <c r="F1838" i="40" l="1"/>
  <c r="B1340" i="40"/>
  <c r="B1840" i="40"/>
  <c r="F1839" i="40" a="1"/>
  <c r="F1340" i="40" a="1"/>
  <c r="B1341" i="40"/>
  <c r="F1839" i="40" l="1"/>
  <c r="F1340" i="40"/>
  <c r="A1841" i="40"/>
  <c r="F1840" i="40" a="1"/>
  <c r="B1841" i="40"/>
  <c r="F1341" i="40" a="1"/>
  <c r="B1342" i="40"/>
  <c r="D1842" i="40" l="1"/>
  <c r="D1843" i="40" s="1"/>
  <c r="D1844" i="40" s="1"/>
  <c r="D1845" i="40" s="1"/>
  <c r="D1846" i="40" s="1"/>
  <c r="F1840" i="40"/>
  <c r="F1341" i="40"/>
  <c r="F1841" i="40"/>
  <c r="F1342" i="40" a="1"/>
  <c r="B1343" i="40"/>
  <c r="F1342" i="40" l="1"/>
  <c r="A1344" i="40"/>
  <c r="B1842" i="40" a="1"/>
  <c r="B1344" i="40"/>
  <c r="F1343" i="40" a="1"/>
  <c r="D1345" i="40" l="1"/>
  <c r="D1346" i="40" s="1"/>
  <c r="D1347" i="40" s="1"/>
  <c r="D1348" i="40" s="1"/>
  <c r="D1349" i="40" s="1"/>
  <c r="F1343" i="40"/>
  <c r="B1842" i="40"/>
  <c r="F1344" i="40"/>
  <c r="F1842" i="40" a="1"/>
  <c r="B1843" i="40"/>
  <c r="F1842" i="40" l="1"/>
  <c r="B1844" i="40"/>
  <c r="F1843" i="40" a="1"/>
  <c r="B1345" i="40" a="1"/>
  <c r="F1843" i="40" l="1"/>
  <c r="B1345" i="40"/>
  <c r="F1345" i="40" a="1"/>
  <c r="F1844" i="40" a="1"/>
  <c r="B1346" i="40"/>
  <c r="B1845" i="40"/>
  <c r="F1844" i="40" l="1"/>
  <c r="F1345" i="40"/>
  <c r="F1346" i="40" a="1"/>
  <c r="B1347" i="40"/>
  <c r="B1846" i="40"/>
  <c r="A1846" i="40"/>
  <c r="F1845" i="40" a="1"/>
  <c r="B1348" i="40"/>
  <c r="D1847" i="40" l="1"/>
  <c r="D1848" i="40" s="1"/>
  <c r="D1849" i="40" s="1"/>
  <c r="D1850" i="40" s="1"/>
  <c r="D1851" i="40" s="1"/>
  <c r="D1852" i="40" s="1"/>
  <c r="F1845" i="40"/>
  <c r="F1346" i="40"/>
  <c r="F1846" i="40"/>
  <c r="F1347" i="40" a="1"/>
  <c r="F1348" i="40" a="1"/>
  <c r="F1347" i="40" l="1"/>
  <c r="F1348" i="40"/>
  <c r="B1847" i="40" a="1"/>
  <c r="B1847" i="40" l="1"/>
  <c r="B1848" i="40"/>
  <c r="F1847" i="40" a="1"/>
  <c r="F1847" i="40" l="1"/>
  <c r="F1848" i="40" a="1"/>
  <c r="B1850" i="40"/>
  <c r="B1849" i="40"/>
  <c r="F1848" i="40" l="1"/>
  <c r="F1849" i="40" a="1"/>
  <c r="F1850" i="40" a="1"/>
  <c r="F1850" i="40" l="1"/>
  <c r="F1849" i="40"/>
  <c r="B853" i="40"/>
  <c r="B852" i="40"/>
  <c r="B850" i="40" a="1"/>
  <c r="B851" i="40"/>
  <c r="B850" i="40" l="1"/>
  <c r="F852" i="40" a="1"/>
  <c r="F850" i="40" a="1"/>
  <c r="F853" i="40" a="1"/>
  <c r="F851" i="40" a="1"/>
  <c r="F850" i="40" l="1"/>
  <c r="F851" i="40"/>
  <c r="F852" i="40"/>
  <c r="F853" i="40"/>
  <c r="D48" i="40" l="1"/>
  <c r="D49" i="40" s="1"/>
  <c r="B49" i="40" a="1"/>
  <c r="B49" i="40" l="1"/>
  <c r="F49" i="40" s="1"/>
  <c r="D50" i="40"/>
  <c r="B47" i="40" a="1"/>
  <c r="B50" i="40" a="1"/>
  <c r="B48" i="40" a="1"/>
  <c r="B48" i="40" l="1"/>
  <c r="F48" i="40" s="1"/>
  <c r="B47" i="40"/>
  <c r="F47" i="40" s="1"/>
  <c r="B50" i="40"/>
  <c r="F50" i="40" s="1"/>
  <c r="D51" i="40"/>
  <c r="B51" i="40" a="1"/>
  <c r="B51" i="40" l="1"/>
  <c r="F51" i="40" s="1"/>
  <c r="D52" i="40"/>
  <c r="B52" i="40" a="1"/>
  <c r="B52" i="40" l="1"/>
  <c r="F52" i="40" s="1"/>
  <c r="D53" i="40"/>
  <c r="B53" i="40" a="1"/>
  <c r="B53" i="40" l="1"/>
  <c r="F53" i="40" s="1"/>
  <c r="D54" i="40"/>
  <c r="B54" i="40" a="1"/>
  <c r="B54" i="40" l="1"/>
  <c r="F54" i="40" s="1"/>
  <c r="D55" i="40"/>
  <c r="B55" i="40" a="1"/>
  <c r="B55" i="40" l="1"/>
  <c r="F55" i="40" s="1"/>
  <c r="D56" i="40"/>
  <c r="F57" i="40" s="1"/>
  <c r="D57" i="40" l="1"/>
  <c r="B56" i="40" a="1"/>
  <c r="B56" i="40" l="1"/>
  <c r="F56" i="40" s="1"/>
  <c r="D58" i="40"/>
  <c r="D59" i="40" l="1"/>
  <c r="B58" i="40" a="1"/>
  <c r="B58" i="40" l="1"/>
  <c r="F58" i="40" s="1"/>
  <c r="D60" i="40"/>
  <c r="B59" i="40" a="1"/>
  <c r="B59" i="40" l="1"/>
  <c r="F59" i="40" s="1"/>
  <c r="D61" i="40"/>
  <c r="B60" i="40" a="1"/>
  <c r="B60" i="40" l="1"/>
  <c r="F60" i="40" s="1"/>
  <c r="D62" i="40"/>
  <c r="B61" i="40" a="1"/>
  <c r="B61" i="40" l="1"/>
  <c r="F61" i="40" s="1"/>
  <c r="D63" i="40"/>
  <c r="B62" i="40" a="1"/>
  <c r="B62" i="40" l="1"/>
  <c r="F62" i="40" s="1"/>
  <c r="D64" i="40"/>
  <c r="B63" i="40" a="1"/>
  <c r="B63" i="40" l="1"/>
  <c r="F63" i="40" s="1"/>
  <c r="D65" i="40"/>
  <c r="B64" i="40" a="1"/>
  <c r="B64" i="40" l="1"/>
  <c r="F64" i="40" s="1"/>
  <c r="D66" i="40"/>
  <c r="B65" i="40" a="1"/>
  <c r="B65" i="40" l="1"/>
  <c r="F65" i="40" s="1"/>
  <c r="D67" i="40"/>
  <c r="F68" i="40" s="1"/>
  <c r="B66" i="40" a="1"/>
  <c r="B66" i="40" l="1"/>
  <c r="F66" i="40" s="1"/>
  <c r="D68" i="40"/>
  <c r="D69" i="40" s="1"/>
  <c r="B67" i="40" a="1"/>
  <c r="D70" i="40" l="1"/>
  <c r="B67" i="40"/>
  <c r="F67" i="40" s="1"/>
  <c r="B69" i="40" a="1"/>
  <c r="B69" i="40" l="1"/>
  <c r="F69" i="40" s="1"/>
  <c r="D71" i="40"/>
  <c r="B70" i="40" a="1"/>
  <c r="B70" i="40" l="1"/>
  <c r="F70" i="40" s="1"/>
  <c r="D72" i="40"/>
  <c r="B71" i="40" a="1"/>
  <c r="B71" i="40" l="1"/>
  <c r="F71" i="40" s="1"/>
  <c r="D73" i="40"/>
  <c r="B72" i="40" a="1"/>
  <c r="B72" i="40" l="1"/>
  <c r="F72" i="40" s="1"/>
  <c r="D74" i="40"/>
  <c r="B73" i="40" a="1"/>
  <c r="B73" i="40" l="1"/>
  <c r="F73" i="40" s="1"/>
  <c r="D75" i="40"/>
  <c r="B74" i="40" a="1"/>
  <c r="B74" i="40" l="1"/>
  <c r="F74" i="40" s="1"/>
  <c r="D76" i="40"/>
  <c r="B75" i="40" a="1"/>
  <c r="B75" i="40" l="1"/>
  <c r="F75" i="40" s="1"/>
  <c r="D77" i="40"/>
  <c r="B76" i="40" a="1"/>
  <c r="B76" i="40" l="1"/>
  <c r="F76" i="40" s="1"/>
  <c r="D78" i="40"/>
  <c r="F79" i="40" s="1"/>
  <c r="B77" i="40" a="1"/>
  <c r="B77" i="40" l="1"/>
  <c r="F77" i="40" s="1"/>
  <c r="D79" i="40"/>
  <c r="D80" i="40" s="1"/>
  <c r="B78" i="40" a="1"/>
  <c r="B78" i="40" l="1"/>
  <c r="F78" i="40" s="1"/>
  <c r="D81" i="40"/>
  <c r="B80" i="40" a="1"/>
  <c r="B80" i="40" l="1"/>
  <c r="F80" i="40" s="1"/>
  <c r="D82" i="40"/>
  <c r="B81" i="40" a="1"/>
  <c r="B81" i="40" l="1"/>
  <c r="F81" i="40" s="1"/>
  <c r="D83" i="40"/>
  <c r="B82" i="40" a="1"/>
  <c r="B82" i="40" l="1"/>
  <c r="F82" i="40" s="1"/>
  <c r="D84" i="40"/>
  <c r="B83" i="40" a="1"/>
  <c r="B83" i="40" l="1"/>
  <c r="F83" i="40" s="1"/>
  <c r="D85" i="40"/>
  <c r="B84" i="40" a="1"/>
  <c r="B84" i="40" l="1"/>
  <c r="F84" i="40" s="1"/>
  <c r="D86" i="40"/>
  <c r="B85" i="40" a="1"/>
  <c r="B85" i="40" l="1"/>
  <c r="F85" i="40" s="1"/>
  <c r="D87" i="40"/>
  <c r="B86" i="40" a="1"/>
  <c r="B86" i="40" l="1"/>
  <c r="F86" i="40" s="1"/>
  <c r="D88" i="40"/>
  <c r="B87" i="40" a="1"/>
  <c r="B87" i="40" l="1"/>
  <c r="F87" i="40" s="1"/>
  <c r="D89" i="40"/>
  <c r="F90" i="40" s="1"/>
  <c r="B88" i="40" a="1"/>
  <c r="B88" i="40" l="1"/>
  <c r="F88" i="40" s="1"/>
  <c r="D90" i="40"/>
  <c r="D91" i="40" s="1"/>
  <c r="B89" i="40" a="1"/>
  <c r="D92" i="40" l="1"/>
  <c r="B89" i="40"/>
  <c r="F89" i="40" s="1"/>
  <c r="B91" i="40" a="1"/>
  <c r="B91" i="40" l="1"/>
  <c r="F91" i="40" s="1"/>
  <c r="D93" i="40"/>
  <c r="B92" i="40" a="1"/>
  <c r="B92" i="40" l="1"/>
  <c r="F92" i="40" s="1"/>
  <c r="D94" i="40"/>
  <c r="B93" i="40" a="1"/>
  <c r="B93" i="40" l="1"/>
  <c r="F93" i="40" s="1"/>
  <c r="D95" i="40"/>
  <c r="B94" i="40" a="1"/>
  <c r="B94" i="40" l="1"/>
  <c r="F94" i="40" s="1"/>
  <c r="D96" i="40"/>
  <c r="B95" i="40" a="1"/>
  <c r="B95" i="40" l="1"/>
  <c r="F95" i="40" s="1"/>
  <c r="D97" i="40"/>
  <c r="B96" i="40" a="1"/>
  <c r="B96" i="40" l="1"/>
  <c r="F96" i="40" s="1"/>
  <c r="D98" i="40"/>
  <c r="B97" i="40" a="1"/>
  <c r="B97" i="40" l="1"/>
  <c r="F97" i="40" s="1"/>
  <c r="D99" i="40"/>
  <c r="B98" i="40" a="1"/>
  <c r="B98" i="40" l="1"/>
  <c r="F98" i="40" s="1"/>
  <c r="D100" i="40"/>
  <c r="B99" i="40" a="1"/>
  <c r="B99" i="40" l="1"/>
  <c r="F99" i="40" s="1"/>
  <c r="F101" i="40"/>
  <c r="D101" i="40"/>
  <c r="D102" i="40" s="1"/>
  <c r="B100" i="40" a="1"/>
  <c r="B100" i="40" l="1"/>
  <c r="F100" i="40" s="1"/>
  <c r="D103" i="40"/>
  <c r="B102" i="40" a="1"/>
  <c r="B102" i="40" l="1"/>
  <c r="F102" i="40" s="1"/>
  <c r="D104" i="40"/>
  <c r="B103" i="40" a="1"/>
  <c r="B103" i="40" l="1"/>
  <c r="F103" i="40" s="1"/>
  <c r="D105" i="40"/>
  <c r="B104" i="40" a="1"/>
  <c r="B104" i="40" l="1"/>
  <c r="F104" i="40" s="1"/>
  <c r="D106" i="40"/>
  <c r="B105" i="40" a="1"/>
  <c r="B105" i="40" l="1"/>
  <c r="F105" i="40" s="1"/>
  <c r="D107" i="40"/>
  <c r="B106" i="40" a="1"/>
  <c r="B106" i="40" l="1"/>
  <c r="F106" i="40" s="1"/>
  <c r="D108" i="40"/>
  <c r="B107" i="40" a="1"/>
  <c r="B107" i="40" l="1"/>
  <c r="F107" i="40" s="1"/>
  <c r="D109" i="40"/>
  <c r="B108" i="40" a="1"/>
  <c r="B108" i="40" l="1"/>
  <c r="F108" i="40" s="1"/>
  <c r="D110" i="40"/>
  <c r="B109" i="40" a="1"/>
  <c r="B109" i="40" l="1"/>
  <c r="F109" i="40" s="1"/>
  <c r="D111" i="40"/>
  <c r="B110" i="40" a="1"/>
  <c r="B110" i="40" l="1"/>
  <c r="F110" i="40" s="1"/>
  <c r="F112" i="40"/>
  <c r="D112" i="40"/>
  <c r="D113" i="40" s="1"/>
  <c r="B111" i="40" a="1"/>
  <c r="B111" i="40" l="1"/>
  <c r="F111" i="40" s="1"/>
  <c r="D114" i="40"/>
  <c r="B113" i="40" a="1"/>
  <c r="B113" i="40" l="1"/>
  <c r="F113" i="40" s="1"/>
  <c r="D115" i="40"/>
  <c r="B114" i="40" a="1"/>
  <c r="B114" i="40" l="1"/>
  <c r="F114" i="40" s="1"/>
  <c r="D116" i="40"/>
  <c r="B115" i="40" a="1"/>
  <c r="B115" i="40" l="1"/>
  <c r="F115" i="40" s="1"/>
  <c r="D117" i="40"/>
  <c r="B116" i="40" a="1"/>
  <c r="B116" i="40" l="1"/>
  <c r="F116" i="40" s="1"/>
  <c r="D118" i="40"/>
  <c r="B117" i="40" a="1"/>
  <c r="B117" i="40" l="1"/>
  <c r="F117" i="40" s="1"/>
  <c r="D119" i="40"/>
  <c r="B118" i="40" a="1"/>
  <c r="B118" i="40" l="1"/>
  <c r="F118" i="40" s="1"/>
  <c r="D120" i="40"/>
  <c r="B119" i="40" a="1"/>
  <c r="B119" i="40" l="1"/>
  <c r="F119" i="40" s="1"/>
  <c r="D121" i="40"/>
  <c r="B120" i="40" a="1"/>
  <c r="B120" i="40" l="1"/>
  <c r="F120" i="40" s="1"/>
  <c r="D122" i="40"/>
  <c r="B121" i="40" a="1"/>
  <c r="B121" i="40" l="1"/>
  <c r="F121" i="40" s="1"/>
  <c r="F123" i="40"/>
  <c r="D123" i="40"/>
  <c r="D124" i="40" s="1"/>
  <c r="B122" i="40" a="1"/>
  <c r="B122" i="40" l="1"/>
  <c r="F122" i="40" s="1"/>
  <c r="D125" i="40"/>
  <c r="B124" i="40" a="1"/>
  <c r="B124" i="40" l="1"/>
  <c r="F124" i="40" s="1"/>
  <c r="D126" i="40"/>
  <c r="B125" i="40" a="1"/>
  <c r="B125" i="40" l="1"/>
  <c r="F125" i="40" s="1"/>
  <c r="D127" i="40"/>
  <c r="B126" i="40" a="1"/>
  <c r="B126" i="40" l="1"/>
  <c r="F126" i="40" s="1"/>
  <c r="D128" i="40"/>
  <c r="B127" i="40" a="1"/>
  <c r="B127" i="40" l="1"/>
  <c r="F127" i="40" s="1"/>
  <c r="D129" i="40"/>
  <c r="B128" i="40" a="1"/>
  <c r="B128" i="40" l="1"/>
  <c r="F128" i="40" s="1"/>
  <c r="D130" i="40"/>
  <c r="B129" i="40" a="1"/>
  <c r="B129" i="40" l="1"/>
  <c r="F129" i="40" s="1"/>
  <c r="D131" i="40"/>
  <c r="B130" i="40" a="1"/>
  <c r="B130" i="40" l="1"/>
  <c r="F130" i="40" s="1"/>
  <c r="D132" i="40"/>
  <c r="B131" i="40" a="1"/>
  <c r="B131" i="40" l="1"/>
  <c r="F131" i="40" s="1"/>
  <c r="D133" i="40"/>
  <c r="B132" i="40" a="1"/>
  <c r="B132" i="40" l="1"/>
  <c r="F132" i="40" s="1"/>
  <c r="F134" i="40"/>
  <c r="D134" i="40"/>
  <c r="D135" i="40" s="1"/>
  <c r="B133" i="40" a="1"/>
  <c r="D136" i="40" l="1"/>
  <c r="B133" i="40"/>
  <c r="F133" i="40" s="1"/>
  <c r="B135" i="40" a="1"/>
  <c r="B135" i="40" l="1"/>
  <c r="F135" i="40" s="1"/>
  <c r="D137" i="40"/>
  <c r="B136" i="40" a="1"/>
  <c r="B136" i="40" l="1"/>
  <c r="F136" i="40" s="1"/>
  <c r="D138" i="40"/>
  <c r="B137" i="40" a="1"/>
  <c r="B137" i="40" l="1"/>
  <c r="F137" i="40" s="1"/>
  <c r="D139" i="40"/>
  <c r="B138" i="40" a="1"/>
  <c r="B138" i="40" l="1"/>
  <c r="F138" i="40" s="1"/>
  <c r="D140" i="40"/>
  <c r="B139" i="40" a="1"/>
  <c r="B139" i="40" l="1"/>
  <c r="F139" i="40" s="1"/>
  <c r="D141" i="40"/>
  <c r="B140" i="40" a="1"/>
  <c r="B140" i="40" l="1"/>
  <c r="F140" i="40" s="1"/>
  <c r="D142" i="40"/>
  <c r="B141" i="40" a="1"/>
  <c r="B141" i="40" l="1"/>
  <c r="F141" i="40" s="1"/>
  <c r="D143" i="40"/>
  <c r="B142" i="40" a="1"/>
  <c r="B142" i="40" l="1"/>
  <c r="F142" i="40" s="1"/>
  <c r="D144" i="40"/>
  <c r="B143" i="40" a="1"/>
  <c r="B143" i="40" l="1"/>
  <c r="F143" i="40" s="1"/>
  <c r="F145" i="40"/>
  <c r="D145" i="40"/>
  <c r="D146" i="40" s="1"/>
  <c r="B144" i="40" a="1"/>
  <c r="B144" i="40" l="1"/>
  <c r="F144" i="40" s="1"/>
  <c r="D147" i="40"/>
  <c r="B146" i="40" a="1"/>
  <c r="B146" i="40" l="1"/>
  <c r="F146" i="40" s="1"/>
  <c r="D148" i="40"/>
  <c r="B147" i="40" a="1"/>
  <c r="B147" i="40" l="1"/>
  <c r="F147" i="40" s="1"/>
  <c r="D149" i="40"/>
  <c r="B148" i="40" a="1"/>
  <c r="B148" i="40" l="1"/>
  <c r="F148" i="40" s="1"/>
  <c r="D150" i="40"/>
  <c r="B149" i="40" a="1"/>
  <c r="B149" i="40" l="1"/>
  <c r="F149" i="40" s="1"/>
  <c r="D151" i="40"/>
  <c r="B150" i="40" a="1"/>
  <c r="B150" i="40" l="1"/>
  <c r="F150" i="40" s="1"/>
  <c r="D152" i="40"/>
  <c r="B151" i="40" a="1"/>
  <c r="B151" i="40" l="1"/>
  <c r="F151" i="40" s="1"/>
  <c r="D153" i="40"/>
  <c r="B152" i="40" a="1"/>
  <c r="B152" i="40" l="1"/>
  <c r="F152" i="40" s="1"/>
  <c r="D154" i="40"/>
  <c r="B153" i="40" a="1"/>
  <c r="B153" i="40" l="1"/>
  <c r="F153" i="40" s="1"/>
  <c r="D155" i="40"/>
  <c r="B154" i="40" a="1"/>
  <c r="B154" i="40" l="1"/>
  <c r="F154" i="40" s="1"/>
  <c r="F156" i="40"/>
  <c r="D156" i="40"/>
  <c r="D157" i="40" s="1"/>
  <c r="B155" i="40" a="1"/>
  <c r="B155" i="40" l="1"/>
  <c r="F155" i="40" s="1"/>
  <c r="D158" i="40"/>
  <c r="B157" i="40" a="1"/>
  <c r="B157" i="40" l="1"/>
  <c r="F157" i="40" s="1"/>
  <c r="D159" i="40"/>
  <c r="B158" i="40" a="1"/>
  <c r="B158" i="40" l="1"/>
  <c r="F158" i="40" s="1"/>
  <c r="D160" i="40"/>
  <c r="B159" i="40" a="1"/>
  <c r="B159" i="40" l="1"/>
  <c r="F159" i="40" s="1"/>
  <c r="D161" i="40"/>
  <c r="B160" i="40" a="1"/>
  <c r="B160" i="40" l="1"/>
  <c r="F160" i="40" s="1"/>
  <c r="D162" i="40"/>
  <c r="B161" i="40" a="1"/>
  <c r="B161" i="40" l="1"/>
  <c r="F161" i="40" s="1"/>
  <c r="D163" i="40"/>
  <c r="B162" i="40" a="1"/>
  <c r="B162" i="40" l="1"/>
  <c r="F162" i="40" s="1"/>
  <c r="D164" i="40"/>
  <c r="B163" i="40" a="1"/>
  <c r="B163" i="40" l="1"/>
  <c r="F163" i="40" s="1"/>
  <c r="D165" i="40"/>
  <c r="B164" i="40" a="1"/>
  <c r="B164" i="40" l="1"/>
  <c r="F164" i="40" s="1"/>
  <c r="D166" i="40"/>
  <c r="B165" i="40" a="1"/>
  <c r="B165" i="40" l="1"/>
  <c r="F165" i="40" s="1"/>
  <c r="F167" i="40"/>
  <c r="D167" i="40"/>
  <c r="D168" i="40" s="1"/>
  <c r="B166" i="40" a="1"/>
  <c r="B166" i="40" l="1"/>
  <c r="F166" i="40" s="1"/>
  <c r="D169" i="40"/>
  <c r="B168" i="40" a="1"/>
  <c r="B168" i="40" l="1"/>
  <c r="F168" i="40" s="1"/>
  <c r="D170" i="40"/>
  <c r="B169" i="40" a="1"/>
  <c r="B169" i="40" l="1"/>
  <c r="F169" i="40" s="1"/>
  <c r="D171" i="40"/>
  <c r="B170" i="40" a="1"/>
  <c r="B170" i="40" l="1"/>
  <c r="F170" i="40" s="1"/>
  <c r="D172" i="40"/>
  <c r="B171" i="40" a="1"/>
  <c r="B171" i="40" l="1"/>
  <c r="F171" i="40" s="1"/>
  <c r="D173" i="40"/>
  <c r="B172" i="40" a="1"/>
  <c r="B172" i="40" l="1"/>
  <c r="F172" i="40" s="1"/>
  <c r="D174" i="40"/>
  <c r="B173" i="40" a="1"/>
  <c r="B173" i="40" l="1"/>
  <c r="F173" i="40" s="1"/>
  <c r="D175" i="40"/>
  <c r="B174" i="40" a="1"/>
  <c r="B174" i="40" l="1"/>
  <c r="F174" i="40" s="1"/>
  <c r="D176" i="40"/>
  <c r="B175" i="40" a="1"/>
  <c r="B175" i="40" l="1"/>
  <c r="F175" i="40" s="1"/>
  <c r="D177" i="40"/>
  <c r="B176" i="40" a="1"/>
  <c r="B176" i="40" l="1"/>
  <c r="F176" i="40" s="1"/>
  <c r="F178" i="40"/>
  <c r="D178" i="40"/>
  <c r="D179" i="40" s="1"/>
  <c r="B177" i="40" a="1"/>
  <c r="D180" i="40" l="1"/>
  <c r="B177" i="40"/>
  <c r="F177" i="40" s="1"/>
  <c r="B179" i="40" a="1"/>
  <c r="B179" i="40" l="1"/>
  <c r="F179" i="40" s="1"/>
  <c r="D181" i="40"/>
  <c r="B180" i="40" a="1"/>
  <c r="B180" i="40" l="1"/>
  <c r="F180" i="40" s="1"/>
  <c r="D182" i="40"/>
  <c r="B181" i="40" a="1"/>
  <c r="B181" i="40" l="1"/>
  <c r="F181" i="40" s="1"/>
  <c r="D183" i="40"/>
  <c r="B182" i="40" a="1"/>
  <c r="B182" i="40" l="1"/>
  <c r="F182" i="40" s="1"/>
  <c r="D184" i="40"/>
  <c r="B183" i="40" a="1"/>
  <c r="B183" i="40" l="1"/>
  <c r="F183" i="40" s="1"/>
  <c r="D185" i="40"/>
  <c r="B184" i="40" a="1"/>
  <c r="B184" i="40" l="1"/>
  <c r="F184" i="40" s="1"/>
  <c r="D186" i="40"/>
  <c r="B185" i="40" a="1"/>
  <c r="B185" i="40" l="1"/>
  <c r="F185" i="40" s="1"/>
  <c r="D187" i="40"/>
  <c r="B186" i="40" a="1"/>
  <c r="B186" i="40" l="1"/>
  <c r="F186" i="40" s="1"/>
  <c r="D188" i="40"/>
  <c r="B187" i="40" a="1"/>
  <c r="B187" i="40" l="1"/>
  <c r="F187" i="40" s="1"/>
  <c r="F189" i="40"/>
  <c r="D189" i="40"/>
  <c r="D190" i="40" s="1"/>
  <c r="B188" i="40" a="1"/>
  <c r="B188" i="40" l="1"/>
  <c r="F188" i="40" s="1"/>
  <c r="D191" i="40"/>
  <c r="B190" i="40" a="1"/>
  <c r="B190" i="40" l="1"/>
  <c r="F190" i="40" s="1"/>
  <c r="D192" i="40"/>
  <c r="B191" i="40" a="1"/>
  <c r="B191" i="40" l="1"/>
  <c r="F191" i="40" s="1"/>
  <c r="D193" i="40"/>
  <c r="B192" i="40" a="1"/>
  <c r="B192" i="40" l="1"/>
  <c r="F192" i="40" s="1"/>
  <c r="D194" i="40"/>
  <c r="B193" i="40" a="1"/>
  <c r="B193" i="40" l="1"/>
  <c r="F193" i="40" s="1"/>
  <c r="D195" i="40"/>
  <c r="B194" i="40" a="1"/>
  <c r="B194" i="40" l="1"/>
  <c r="F194" i="40" s="1"/>
  <c r="D196" i="40"/>
  <c r="B195" i="40" a="1"/>
  <c r="B195" i="40" l="1"/>
  <c r="F195" i="40" s="1"/>
  <c r="D197" i="40"/>
  <c r="B196" i="40" a="1"/>
  <c r="B196" i="40" l="1"/>
  <c r="F196" i="40" s="1"/>
  <c r="D198" i="40"/>
  <c r="B197" i="40" a="1"/>
  <c r="B197" i="40" l="1"/>
  <c r="F197" i="40" s="1"/>
  <c r="D199" i="40"/>
  <c r="B198" i="40" a="1"/>
  <c r="B198" i="40" l="1"/>
  <c r="F198" i="40" s="1"/>
  <c r="F200" i="40"/>
  <c r="D200" i="40"/>
  <c r="D201" i="40" s="1"/>
  <c r="B199" i="40" a="1"/>
  <c r="B199" i="40" l="1"/>
  <c r="F199" i="40" s="1"/>
  <c r="D202" i="40"/>
  <c r="B201" i="40" a="1"/>
  <c r="B201" i="40" l="1"/>
  <c r="F201" i="40" s="1"/>
  <c r="D203" i="40"/>
  <c r="B202" i="40" a="1"/>
  <c r="B202" i="40" l="1"/>
  <c r="F202" i="40" s="1"/>
  <c r="D204" i="40"/>
  <c r="B203" i="40" a="1"/>
  <c r="B203" i="40" l="1"/>
  <c r="F203" i="40" s="1"/>
  <c r="D205" i="40"/>
  <c r="B204" i="40" a="1"/>
  <c r="B204" i="40" l="1"/>
  <c r="F204" i="40" s="1"/>
  <c r="D206" i="40"/>
  <c r="B205" i="40" a="1"/>
  <c r="B205" i="40" l="1"/>
  <c r="F205" i="40" s="1"/>
  <c r="D207" i="40"/>
  <c r="B206" i="40" a="1"/>
  <c r="B206" i="40" l="1"/>
  <c r="F206" i="40" s="1"/>
  <c r="D208" i="40"/>
  <c r="B207" i="40" a="1"/>
  <c r="B207" i="40" l="1"/>
  <c r="F207" i="40" s="1"/>
  <c r="D209" i="40"/>
  <c r="B208" i="40" a="1"/>
  <c r="B208" i="40" l="1"/>
  <c r="F208" i="40" s="1"/>
  <c r="D210" i="40"/>
  <c r="B209" i="40" a="1"/>
  <c r="B209" i="40" l="1"/>
  <c r="F209" i="40" s="1"/>
  <c r="F211" i="40"/>
  <c r="D211" i="40"/>
  <c r="D212" i="40" s="1"/>
  <c r="B210" i="40" a="1"/>
  <c r="B210" i="40" l="1"/>
  <c r="F210" i="40" s="1"/>
  <c r="D213" i="40"/>
  <c r="B212" i="40" a="1"/>
  <c r="B212" i="40" l="1"/>
  <c r="F212" i="40" s="1"/>
  <c r="D214" i="40"/>
  <c r="B213" i="40" a="1"/>
  <c r="B213" i="40" l="1"/>
  <c r="F213" i="40" s="1"/>
  <c r="D215" i="40"/>
  <c r="B214" i="40" a="1"/>
  <c r="B214" i="40" l="1"/>
  <c r="F214" i="40" s="1"/>
  <c r="D216" i="40"/>
  <c r="B215" i="40" a="1"/>
  <c r="B215" i="40" l="1"/>
  <c r="F215" i="40" s="1"/>
  <c r="D217" i="40"/>
  <c r="B216" i="40" a="1"/>
  <c r="B216" i="40" l="1"/>
  <c r="F216" i="40" s="1"/>
  <c r="D218" i="40"/>
  <c r="B217" i="40" a="1"/>
  <c r="B217" i="40" l="1"/>
  <c r="F217" i="40" s="1"/>
  <c r="D219" i="40"/>
  <c r="B218" i="40" a="1"/>
  <c r="B218" i="40" l="1"/>
  <c r="F218" i="40" s="1"/>
  <c r="D220" i="40"/>
  <c r="B219" i="40" a="1"/>
  <c r="B219" i="40" l="1"/>
  <c r="F219" i="40" s="1"/>
  <c r="D221" i="40"/>
  <c r="B220" i="40" a="1"/>
  <c r="B220" i="40" l="1"/>
  <c r="F220" i="40" s="1"/>
  <c r="F222" i="40"/>
  <c r="D222" i="40"/>
  <c r="D223" i="40" s="1"/>
  <c r="B221" i="40" a="1"/>
  <c r="D224" i="40" l="1"/>
  <c r="B221" i="40"/>
  <c r="F221" i="40" s="1"/>
  <c r="B223" i="40" a="1"/>
  <c r="B223" i="40" l="1"/>
  <c r="F223" i="40" s="1"/>
  <c r="D225" i="40"/>
  <c r="B224" i="40" a="1"/>
  <c r="B224" i="40" l="1"/>
  <c r="F224" i="40" s="1"/>
  <c r="D226" i="40"/>
  <c r="B225" i="40" a="1"/>
  <c r="B225" i="40" l="1"/>
  <c r="F225" i="40" s="1"/>
  <c r="D227" i="40"/>
  <c r="B226" i="40" a="1"/>
  <c r="B226" i="40" l="1"/>
  <c r="F226" i="40" s="1"/>
  <c r="D228" i="40"/>
  <c r="B227" i="40" a="1"/>
  <c r="B227" i="40" l="1"/>
  <c r="F227" i="40" s="1"/>
  <c r="D229" i="40"/>
  <c r="B228" i="40" a="1"/>
  <c r="B228" i="40" l="1"/>
  <c r="F228" i="40" s="1"/>
  <c r="D230" i="40"/>
  <c r="B229" i="40" a="1"/>
  <c r="B229" i="40" l="1"/>
  <c r="F229" i="40" s="1"/>
  <c r="D231" i="40"/>
  <c r="B230" i="40" a="1"/>
  <c r="B230" i="40" l="1"/>
  <c r="F230" i="40" s="1"/>
  <c r="D232" i="40"/>
  <c r="B231" i="40" a="1"/>
  <c r="B231" i="40" l="1"/>
  <c r="F231" i="40" s="1"/>
  <c r="F233" i="40"/>
  <c r="D233" i="40"/>
  <c r="D234" i="40" s="1"/>
  <c r="B232" i="40" a="1"/>
  <c r="B232" i="40" l="1"/>
  <c r="F232" i="40" s="1"/>
  <c r="D235" i="40"/>
  <c r="B234" i="40" a="1"/>
  <c r="B234" i="40" l="1"/>
  <c r="F234" i="40" s="1"/>
  <c r="D236" i="40"/>
  <c r="B235" i="40" a="1"/>
  <c r="B235" i="40" l="1"/>
  <c r="F235" i="40" s="1"/>
  <c r="D237" i="40"/>
  <c r="B236" i="40" a="1"/>
  <c r="B236" i="40" l="1"/>
  <c r="F236" i="40" s="1"/>
  <c r="D238" i="40"/>
  <c r="B237" i="40" a="1"/>
  <c r="B237" i="40" l="1"/>
  <c r="F237" i="40" s="1"/>
  <c r="D239" i="40"/>
  <c r="B238" i="40" a="1"/>
  <c r="B238" i="40" l="1"/>
  <c r="F238" i="40" s="1"/>
  <c r="D240" i="40"/>
  <c r="B239" i="40" a="1"/>
  <c r="B239" i="40" l="1"/>
  <c r="F239" i="40" s="1"/>
  <c r="D241" i="40"/>
  <c r="B240" i="40" a="1"/>
  <c r="B240" i="40" l="1"/>
  <c r="F240" i="40" s="1"/>
  <c r="D242" i="40"/>
  <c r="B241" i="40" a="1"/>
  <c r="B241" i="40" l="1"/>
  <c r="F241" i="40" s="1"/>
  <c r="D243" i="40"/>
  <c r="B242" i="40" a="1"/>
  <c r="B242" i="40" l="1"/>
  <c r="F242" i="40" s="1"/>
  <c r="F244" i="40"/>
  <c r="D244" i="40"/>
  <c r="D245" i="40" s="1"/>
  <c r="B243" i="40" a="1"/>
  <c r="B243" i="40" l="1"/>
  <c r="F243" i="40" s="1"/>
  <c r="D246" i="40"/>
  <c r="B245" i="40" a="1"/>
  <c r="B245" i="40" l="1"/>
  <c r="F245" i="40" s="1"/>
  <c r="D247" i="40"/>
  <c r="B246" i="40" a="1"/>
  <c r="B246" i="40" l="1"/>
  <c r="F246" i="40" s="1"/>
  <c r="D248" i="40"/>
  <c r="B247" i="40" a="1"/>
  <c r="B247" i="40" l="1"/>
  <c r="F247" i="40" s="1"/>
  <c r="D249" i="40"/>
  <c r="B248" i="40" a="1"/>
  <c r="B248" i="40" l="1"/>
  <c r="F248" i="40" s="1"/>
  <c r="D250" i="40"/>
  <c r="B249" i="40" a="1"/>
  <c r="B249" i="40" l="1"/>
  <c r="F249" i="40" s="1"/>
  <c r="D251" i="40"/>
  <c r="B250" i="40" a="1"/>
  <c r="B250" i="40" l="1"/>
  <c r="F250" i="40" s="1"/>
  <c r="D252" i="40"/>
  <c r="B251" i="40" a="1"/>
  <c r="B251" i="40" l="1"/>
  <c r="F251" i="40" s="1"/>
  <c r="D253" i="40"/>
  <c r="B252" i="40" a="1"/>
  <c r="B252" i="40" l="1"/>
  <c r="F252" i="40" s="1"/>
  <c r="D254" i="40"/>
  <c r="B253" i="40" a="1"/>
  <c r="B253" i="40" l="1"/>
  <c r="F253" i="40" s="1"/>
  <c r="F255" i="40"/>
  <c r="D255" i="40"/>
  <c r="D256" i="40" s="1"/>
  <c r="B254" i="40" a="1"/>
  <c r="B254" i="40" l="1"/>
  <c r="F254" i="40" s="1"/>
  <c r="D257" i="40"/>
  <c r="B256" i="40" a="1"/>
  <c r="B256" i="40" l="1"/>
  <c r="F256" i="40" s="1"/>
  <c r="D258" i="40"/>
  <c r="B257" i="40" a="1"/>
  <c r="B257" i="40" l="1"/>
  <c r="F257" i="40" s="1"/>
  <c r="D259" i="40"/>
  <c r="B258" i="40" a="1"/>
  <c r="B258" i="40" l="1"/>
  <c r="F258" i="40" s="1"/>
  <c r="D260" i="40"/>
  <c r="B259" i="40" a="1"/>
  <c r="B259" i="40" l="1"/>
  <c r="F259" i="40" s="1"/>
  <c r="D261" i="40"/>
  <c r="B260" i="40" a="1"/>
  <c r="B260" i="40" l="1"/>
  <c r="F260" i="40" s="1"/>
  <c r="D262" i="40"/>
  <c r="B261" i="40" a="1"/>
  <c r="B261" i="40" l="1"/>
  <c r="F261" i="40" s="1"/>
  <c r="D263" i="40"/>
  <c r="B262" i="40" a="1"/>
  <c r="B262" i="40" l="1"/>
  <c r="F262" i="40" s="1"/>
  <c r="D264" i="40"/>
  <c r="B263" i="40" a="1"/>
  <c r="B263" i="40" l="1"/>
  <c r="F263" i="40" s="1"/>
  <c r="D265" i="40"/>
  <c r="B264" i="40" a="1"/>
  <c r="B264" i="40" l="1"/>
  <c r="F264" i="40" s="1"/>
  <c r="F266" i="40"/>
  <c r="D266" i="40"/>
  <c r="D267" i="40" s="1"/>
  <c r="B265" i="40" a="1"/>
  <c r="D268" i="40" l="1"/>
  <c r="B265" i="40"/>
  <c r="F265" i="40" s="1"/>
  <c r="B267" i="40" a="1"/>
  <c r="B267" i="40" l="1"/>
  <c r="F267" i="40" s="1"/>
  <c r="D269" i="40"/>
  <c r="B268" i="40" a="1"/>
  <c r="B268" i="40" l="1"/>
  <c r="F268" i="40" s="1"/>
  <c r="D270" i="40"/>
  <c r="B269" i="40" a="1"/>
  <c r="B269" i="40" l="1"/>
  <c r="F269" i="40" s="1"/>
  <c r="D271" i="40"/>
  <c r="B270" i="40" a="1"/>
  <c r="B270" i="40" l="1"/>
  <c r="F270" i="40" s="1"/>
  <c r="D272" i="40"/>
  <c r="B271" i="40" a="1"/>
  <c r="B271" i="40" l="1"/>
  <c r="F271" i="40" s="1"/>
  <c r="D273" i="40"/>
  <c r="B272" i="40" a="1"/>
  <c r="B272" i="40" l="1"/>
  <c r="F272" i="40" s="1"/>
  <c r="D274" i="40"/>
  <c r="B273" i="40" a="1"/>
  <c r="B273" i="40" l="1"/>
  <c r="F273" i="40" s="1"/>
  <c r="D275" i="40"/>
  <c r="B274" i="40" a="1"/>
  <c r="B274" i="40" l="1"/>
  <c r="F274" i="40" s="1"/>
  <c r="D276" i="40"/>
  <c r="B275" i="40" a="1"/>
  <c r="B275" i="40" l="1"/>
  <c r="F275" i="40" s="1"/>
  <c r="F277" i="40"/>
  <c r="D277" i="40"/>
  <c r="D278" i="40" s="1"/>
  <c r="B276" i="40" a="1"/>
  <c r="B276" i="40" l="1"/>
  <c r="F276" i="40" s="1"/>
  <c r="D279" i="40"/>
  <c r="B278" i="40" a="1"/>
  <c r="B278" i="40" l="1"/>
  <c r="F278" i="40" s="1"/>
  <c r="D280" i="40"/>
  <c r="B279" i="40" a="1"/>
  <c r="B279" i="40" l="1"/>
  <c r="F279" i="40" s="1"/>
  <c r="D281" i="40"/>
  <c r="B280" i="40" a="1"/>
  <c r="B280" i="40" l="1"/>
  <c r="F280" i="40" s="1"/>
  <c r="D282" i="40"/>
  <c r="B281" i="40" a="1"/>
  <c r="B281" i="40" l="1"/>
  <c r="F281" i="40" s="1"/>
  <c r="D283" i="40"/>
  <c r="B282" i="40" a="1"/>
  <c r="B282" i="40" l="1"/>
  <c r="F282" i="40" s="1"/>
  <c r="D284" i="40"/>
  <c r="B283" i="40" a="1"/>
  <c r="B283" i="40" l="1"/>
  <c r="F283" i="40" s="1"/>
  <c r="D285" i="40"/>
  <c r="B284" i="40" a="1"/>
  <c r="B284" i="40" l="1"/>
  <c r="F284" i="40" s="1"/>
  <c r="D286" i="40"/>
  <c r="B285" i="40" a="1"/>
  <c r="B285" i="40" l="1"/>
  <c r="F285" i="40" s="1"/>
  <c r="D287" i="40"/>
  <c r="B286" i="40" a="1"/>
  <c r="B286" i="40" l="1"/>
  <c r="F286" i="40" s="1"/>
  <c r="F288" i="40"/>
  <c r="D288" i="40"/>
  <c r="D289" i="40" s="1"/>
  <c r="B287" i="40" a="1"/>
  <c r="B287" i="40" l="1"/>
  <c r="F287" i="40" s="1"/>
  <c r="D290" i="40"/>
  <c r="B289" i="40" a="1"/>
  <c r="B289" i="40" l="1"/>
  <c r="F289" i="40" s="1"/>
  <c r="D291" i="40"/>
  <c r="B290" i="40" a="1"/>
  <c r="B290" i="40" l="1"/>
  <c r="F290" i="40" s="1"/>
  <c r="D292" i="40"/>
  <c r="B291" i="40" a="1"/>
  <c r="B291" i="40" l="1"/>
  <c r="F291" i="40" s="1"/>
  <c r="D293" i="40"/>
  <c r="B292" i="40" a="1"/>
  <c r="B292" i="40" l="1"/>
  <c r="F292" i="40" s="1"/>
  <c r="D294" i="40"/>
  <c r="B293" i="40" a="1"/>
  <c r="B293" i="40" l="1"/>
  <c r="F293" i="40" s="1"/>
  <c r="D295" i="40"/>
  <c r="B294" i="40" a="1"/>
  <c r="B294" i="40" l="1"/>
  <c r="F294" i="40" s="1"/>
  <c r="D296" i="40"/>
  <c r="B295" i="40" a="1"/>
  <c r="B295" i="40" l="1"/>
  <c r="F295" i="40" s="1"/>
  <c r="D297" i="40"/>
  <c r="B296" i="40" a="1"/>
  <c r="B296" i="40" l="1"/>
  <c r="F296" i="40" s="1"/>
  <c r="D298" i="40"/>
  <c r="B297" i="40" a="1"/>
  <c r="B297" i="40" l="1"/>
  <c r="F297" i="40" s="1"/>
  <c r="F299" i="40"/>
  <c r="D299" i="40"/>
  <c r="D300" i="40" s="1"/>
  <c r="B298" i="40" a="1"/>
  <c r="B298" i="40" l="1"/>
  <c r="F298" i="40" s="1"/>
  <c r="D301" i="40"/>
  <c r="B300" i="40" a="1"/>
  <c r="B300" i="40" l="1"/>
  <c r="F300" i="40" s="1"/>
  <c r="D302" i="40"/>
  <c r="B301" i="40" a="1"/>
  <c r="B301" i="40" l="1"/>
  <c r="F301" i="40" s="1"/>
  <c r="D303" i="40"/>
  <c r="B302" i="40" a="1"/>
  <c r="B302" i="40" l="1"/>
  <c r="F302" i="40" s="1"/>
  <c r="D304" i="40"/>
  <c r="B303" i="40" a="1"/>
  <c r="B303" i="40" l="1"/>
  <c r="F303" i="40" s="1"/>
  <c r="D305" i="40"/>
  <c r="B304" i="40" a="1"/>
  <c r="B304" i="40" l="1"/>
  <c r="F304" i="40" s="1"/>
  <c r="D306" i="40"/>
  <c r="B305" i="40" a="1"/>
  <c r="B305" i="40" l="1"/>
  <c r="F305" i="40" s="1"/>
  <c r="D307" i="40"/>
  <c r="B306" i="40" a="1"/>
  <c r="B306" i="40" l="1"/>
  <c r="F306" i="40" s="1"/>
  <c r="D308" i="40"/>
  <c r="B307" i="40" a="1"/>
  <c r="B307" i="40" l="1"/>
  <c r="F307" i="40" s="1"/>
  <c r="D309" i="40"/>
  <c r="B308" i="40" a="1"/>
  <c r="B308" i="40" l="1"/>
  <c r="F308" i="40" s="1"/>
  <c r="F310" i="40"/>
  <c r="D310" i="40"/>
  <c r="B309" i="40" a="1"/>
  <c r="D311" i="40" l="1"/>
  <c r="B309" i="40"/>
  <c r="F309" i="40" s="1"/>
  <c r="D312" i="40" l="1"/>
  <c r="B311" i="40" a="1"/>
  <c r="B311" i="40" l="1"/>
  <c r="F311" i="40" s="1"/>
  <c r="D313" i="40"/>
  <c r="B312" i="40" a="1"/>
  <c r="B312" i="40" l="1"/>
  <c r="F312" i="40" s="1"/>
  <c r="D314" i="40"/>
  <c r="B313" i="40" a="1"/>
  <c r="B313" i="40" l="1"/>
  <c r="F313" i="40" s="1"/>
  <c r="D315" i="40"/>
  <c r="B314" i="40" a="1"/>
  <c r="B314" i="40" l="1"/>
  <c r="F314" i="40" s="1"/>
  <c r="D316" i="40"/>
  <c r="B315" i="40" a="1"/>
  <c r="B315" i="40" l="1"/>
  <c r="F315" i="40" s="1"/>
  <c r="D317" i="40"/>
  <c r="B316" i="40" a="1"/>
  <c r="B316" i="40" l="1"/>
  <c r="F316" i="40" s="1"/>
  <c r="D318" i="40"/>
  <c r="B317" i="40" a="1"/>
  <c r="B317" i="40" l="1"/>
  <c r="F317" i="40" s="1"/>
  <c r="D319" i="40"/>
  <c r="B318" i="40" a="1"/>
  <c r="B318" i="40" l="1"/>
  <c r="F318" i="40" s="1"/>
  <c r="D320" i="40"/>
  <c r="B319" i="40" a="1"/>
  <c r="B319" i="40" l="1"/>
  <c r="F319" i="40" s="1"/>
  <c r="F321" i="40"/>
  <c r="D321" i="40"/>
  <c r="D322" i="40" s="1"/>
  <c r="B320" i="40" a="1"/>
  <c r="B320" i="40" l="1"/>
  <c r="F320" i="40" s="1"/>
  <c r="D323" i="40"/>
  <c r="B322" i="40" a="1"/>
  <c r="B322" i="40" l="1"/>
  <c r="F322" i="40" s="1"/>
  <c r="D324" i="40"/>
  <c r="B323" i="40" a="1"/>
  <c r="B323" i="40" l="1"/>
  <c r="F323" i="40" s="1"/>
  <c r="D325" i="40"/>
  <c r="B324" i="40" a="1"/>
  <c r="B324" i="40" l="1"/>
  <c r="F324" i="40" s="1"/>
  <c r="D326" i="40"/>
  <c r="B325" i="40" a="1"/>
  <c r="B325" i="40" l="1"/>
  <c r="F325" i="40" s="1"/>
  <c r="D327" i="40"/>
  <c r="B326" i="40" a="1"/>
  <c r="B326" i="40" l="1"/>
  <c r="F326" i="40" s="1"/>
  <c r="D328" i="40"/>
  <c r="B327" i="40" a="1"/>
  <c r="B327" i="40" l="1"/>
  <c r="F327" i="40" s="1"/>
  <c r="D329" i="40"/>
  <c r="B328" i="40" a="1"/>
  <c r="B328" i="40" l="1"/>
  <c r="F328" i="40" s="1"/>
  <c r="D330" i="40"/>
  <c r="B329" i="40" a="1"/>
  <c r="B329" i="40" l="1"/>
  <c r="F329" i="40" s="1"/>
  <c r="D331" i="40"/>
  <c r="B330" i="40" a="1"/>
  <c r="B330" i="40" l="1"/>
  <c r="F330" i="40" s="1"/>
  <c r="F332" i="40"/>
  <c r="D332" i="40"/>
  <c r="D333" i="40" s="1"/>
  <c r="B331" i="40" a="1"/>
  <c r="B331" i="40" l="1"/>
  <c r="F331" i="40" s="1"/>
  <c r="D334" i="40"/>
  <c r="B333" i="40" a="1"/>
  <c r="B333" i="40" l="1"/>
  <c r="F333" i="40" s="1"/>
  <c r="D335" i="40"/>
  <c r="B334" i="40" a="1"/>
  <c r="B334" i="40" l="1"/>
  <c r="F334" i="40" s="1"/>
  <c r="D336" i="40"/>
  <c r="B335" i="40" a="1"/>
  <c r="B335" i="40" l="1"/>
  <c r="F335" i="40" s="1"/>
  <c r="D337" i="40"/>
  <c r="B336" i="40" a="1"/>
  <c r="B336" i="40" l="1"/>
  <c r="F336" i="40" s="1"/>
  <c r="D338" i="40"/>
  <c r="B337" i="40" a="1"/>
  <c r="B337" i="40" l="1"/>
  <c r="F337" i="40" s="1"/>
  <c r="D339" i="40"/>
  <c r="B338" i="40" a="1"/>
  <c r="B338" i="40" l="1"/>
  <c r="F338" i="40" s="1"/>
  <c r="D340" i="40"/>
  <c r="B339" i="40" a="1"/>
  <c r="B339" i="40" l="1"/>
  <c r="F339" i="40" s="1"/>
  <c r="D341" i="40"/>
  <c r="B340" i="40" a="1"/>
  <c r="B340" i="40" l="1"/>
  <c r="F340" i="40" s="1"/>
  <c r="D342" i="40"/>
  <c r="B341" i="40" a="1"/>
  <c r="B341" i="40" l="1"/>
  <c r="F341" i="40" s="1"/>
  <c r="F343" i="40"/>
  <c r="D343" i="40"/>
  <c r="D344" i="40" s="1"/>
  <c r="B342" i="40" a="1"/>
  <c r="B342" i="40" l="1"/>
  <c r="F342" i="40" s="1"/>
  <c r="D345" i="40"/>
  <c r="B344" i="40" a="1"/>
  <c r="B344" i="40" l="1"/>
  <c r="F344" i="40" s="1"/>
  <c r="D346" i="40"/>
  <c r="B345" i="40" a="1"/>
  <c r="B345" i="40" l="1"/>
  <c r="F345" i="40" s="1"/>
  <c r="D347" i="40"/>
  <c r="B346" i="40" a="1"/>
  <c r="B346" i="40" l="1"/>
  <c r="F346" i="40" s="1"/>
  <c r="D348" i="40"/>
  <c r="B347" i="40" a="1"/>
  <c r="B347" i="40" l="1"/>
  <c r="F347" i="40" s="1"/>
  <c r="D349" i="40"/>
  <c r="B348" i="40" a="1"/>
  <c r="B348" i="40" l="1"/>
  <c r="F348" i="40" s="1"/>
  <c r="D350" i="40"/>
  <c r="B349" i="40" a="1"/>
  <c r="B349" i="40" l="1"/>
  <c r="F349" i="40" s="1"/>
  <c r="D351" i="40"/>
  <c r="B350" i="40" a="1"/>
  <c r="B350" i="40" l="1"/>
  <c r="F350" i="40" s="1"/>
  <c r="D352" i="40"/>
  <c r="B351" i="40" a="1"/>
  <c r="B351" i="40" l="1"/>
  <c r="F351" i="40" s="1"/>
  <c r="D353" i="40"/>
  <c r="B352" i="40" a="1"/>
  <c r="B352" i="40" l="1"/>
  <c r="F352" i="40" s="1"/>
  <c r="F354" i="40"/>
  <c r="D354" i="40"/>
  <c r="B353" i="40" a="1"/>
  <c r="D355" i="40" l="1"/>
  <c r="B353" i="40"/>
  <c r="F353" i="40" s="1"/>
  <c r="D356" i="40" l="1"/>
  <c r="B355" i="40" a="1"/>
  <c r="B355" i="40" l="1"/>
  <c r="F355" i="40" s="1"/>
  <c r="D357" i="40"/>
  <c r="B356" i="40" a="1"/>
  <c r="B356" i="40" l="1"/>
  <c r="F356" i="40" s="1"/>
  <c r="D358" i="40"/>
  <c r="B357" i="40" a="1"/>
  <c r="B357" i="40" l="1"/>
  <c r="F357" i="40" s="1"/>
  <c r="D359" i="40"/>
  <c r="B358" i="40" a="1"/>
  <c r="B358" i="40" l="1"/>
  <c r="F358" i="40" s="1"/>
  <c r="D360" i="40"/>
  <c r="B359" i="40" a="1"/>
  <c r="B359" i="40" l="1"/>
  <c r="F359" i="40" s="1"/>
  <c r="D361" i="40"/>
  <c r="B360" i="40" a="1"/>
  <c r="B360" i="40" l="1"/>
  <c r="F360" i="40" s="1"/>
  <c r="D362" i="40"/>
  <c r="B361" i="40" a="1"/>
  <c r="B361" i="40" l="1"/>
  <c r="F361" i="40" s="1"/>
  <c r="D363" i="40"/>
  <c r="B362" i="40" a="1"/>
  <c r="B362" i="40" l="1"/>
  <c r="F362" i="40" s="1"/>
  <c r="D364" i="40"/>
  <c r="B363" i="40" a="1"/>
  <c r="B363" i="40" l="1"/>
  <c r="F363" i="40" s="1"/>
  <c r="F365" i="40"/>
  <c r="D365" i="40"/>
  <c r="D366" i="40" s="1"/>
  <c r="B364" i="40" a="1"/>
  <c r="B364" i="40" l="1"/>
  <c r="F364" i="40" s="1"/>
  <c r="D367" i="40"/>
  <c r="B366" i="40" a="1"/>
  <c r="B366" i="40" l="1"/>
  <c r="F366" i="40" s="1"/>
  <c r="D368" i="40"/>
  <c r="B367" i="40" a="1"/>
  <c r="B367" i="40" l="1"/>
  <c r="F367" i="40" s="1"/>
  <c r="D369" i="40"/>
  <c r="B368" i="40" a="1"/>
  <c r="B368" i="40" l="1"/>
  <c r="F368" i="40" s="1"/>
  <c r="D370" i="40"/>
  <c r="B369" i="40" a="1"/>
  <c r="B369" i="40" l="1"/>
  <c r="F369" i="40" s="1"/>
  <c r="D371" i="40"/>
  <c r="B370" i="40" a="1"/>
  <c r="B370" i="40" l="1"/>
  <c r="F370" i="40" s="1"/>
  <c r="D372" i="40"/>
  <c r="B371" i="40" a="1"/>
  <c r="B371" i="40" l="1"/>
  <c r="F371" i="40" s="1"/>
  <c r="D373" i="40"/>
  <c r="B372" i="40" a="1"/>
  <c r="B372" i="40" l="1"/>
  <c r="F372" i="40" s="1"/>
  <c r="D374" i="40"/>
  <c r="B373" i="40" a="1"/>
  <c r="B373" i="40" l="1"/>
  <c r="F373" i="40" s="1"/>
  <c r="D375" i="40"/>
  <c r="B374" i="40" a="1"/>
  <c r="B374" i="40" l="1"/>
  <c r="F374" i="40" s="1"/>
  <c r="F376" i="40"/>
  <c r="D376" i="40"/>
  <c r="D377" i="40" s="1"/>
  <c r="B375" i="40" a="1"/>
  <c r="B375" i="40" l="1"/>
  <c r="F375" i="40" s="1"/>
  <c r="D378" i="40"/>
  <c r="B377" i="40" a="1"/>
  <c r="B377" i="40" l="1"/>
  <c r="F377" i="40" s="1"/>
  <c r="D379" i="40"/>
  <c r="B378" i="40" a="1"/>
  <c r="B378" i="40" l="1"/>
  <c r="F378" i="40" s="1"/>
  <c r="D380" i="40"/>
  <c r="B379" i="40" a="1"/>
  <c r="B379" i="40" l="1"/>
  <c r="F379" i="40" s="1"/>
  <c r="D381" i="40"/>
  <c r="B380" i="40" a="1"/>
  <c r="B380" i="40" l="1"/>
  <c r="F380" i="40" s="1"/>
  <c r="D382" i="40"/>
  <c r="B381" i="40" a="1"/>
  <c r="B381" i="40" l="1"/>
  <c r="F381" i="40" s="1"/>
  <c r="D383" i="40"/>
  <c r="B382" i="40" a="1"/>
  <c r="B382" i="40" l="1"/>
  <c r="F382" i="40" s="1"/>
  <c r="D384" i="40"/>
  <c r="B383" i="40" a="1"/>
  <c r="B383" i="40" l="1"/>
  <c r="F383" i="40" s="1"/>
  <c r="D385" i="40"/>
  <c r="B384" i="40" a="1"/>
  <c r="B384" i="40" l="1"/>
  <c r="F384" i="40" s="1"/>
  <c r="D386" i="40"/>
  <c r="B385" i="40" a="1"/>
  <c r="B385" i="40" l="1"/>
  <c r="F385" i="40" s="1"/>
  <c r="F387" i="40"/>
  <c r="D387" i="40"/>
  <c r="D388" i="40" s="1"/>
  <c r="B386" i="40" a="1"/>
  <c r="B386" i="40" l="1"/>
  <c r="F386" i="40" s="1"/>
  <c r="D389" i="40"/>
  <c r="B388" i="40" a="1"/>
  <c r="B388" i="40" l="1"/>
  <c r="F388" i="40" s="1"/>
  <c r="D390" i="40"/>
  <c r="B389" i="40" a="1"/>
  <c r="B389" i="40" l="1"/>
  <c r="F389" i="40" s="1"/>
  <c r="D391" i="40"/>
  <c r="B390" i="40" a="1"/>
  <c r="B390" i="40" l="1"/>
  <c r="F390" i="40" s="1"/>
  <c r="D392" i="40"/>
  <c r="B391" i="40" a="1"/>
  <c r="B391" i="40" l="1"/>
  <c r="F391" i="40" s="1"/>
  <c r="D393" i="40"/>
  <c r="B392" i="40" a="1"/>
  <c r="B392" i="40" l="1"/>
  <c r="F392" i="40" s="1"/>
  <c r="D394" i="40"/>
  <c r="B393" i="40" a="1"/>
  <c r="B393" i="40" l="1"/>
  <c r="F393" i="40" s="1"/>
  <c r="D395" i="40"/>
  <c r="B394" i="40" a="1"/>
  <c r="B394" i="40" l="1"/>
  <c r="F394" i="40" s="1"/>
  <c r="D396" i="40"/>
  <c r="B395" i="40" a="1"/>
  <c r="B395" i="40" l="1"/>
  <c r="F395" i="40" s="1"/>
  <c r="D397" i="40"/>
  <c r="B396" i="40" a="1"/>
  <c r="B396" i="40" l="1"/>
  <c r="F396" i="40" s="1"/>
  <c r="F398" i="40"/>
  <c r="D398" i="40"/>
  <c r="B397" i="40" a="1"/>
  <c r="D399" i="40" l="1"/>
  <c r="B397" i="40"/>
  <c r="F397" i="40" s="1"/>
  <c r="D400" i="40" l="1"/>
  <c r="B399" i="40" a="1"/>
  <c r="B399" i="40" l="1"/>
  <c r="F399" i="40" s="1"/>
  <c r="D401" i="40"/>
  <c r="B400" i="40" a="1"/>
  <c r="B400" i="40" l="1"/>
  <c r="F400" i="40" s="1"/>
  <c r="D402" i="40"/>
  <c r="B401" i="40" a="1"/>
  <c r="B401" i="40" l="1"/>
  <c r="F401" i="40" s="1"/>
  <c r="D403" i="40"/>
  <c r="B402" i="40" a="1"/>
  <c r="B402" i="40" l="1"/>
  <c r="F402" i="40" s="1"/>
  <c r="D404" i="40"/>
  <c r="B403" i="40" a="1"/>
  <c r="B403" i="40" l="1"/>
  <c r="F403" i="40" s="1"/>
  <c r="D405" i="40"/>
  <c r="B404" i="40" a="1"/>
  <c r="B404" i="40" l="1"/>
  <c r="F404" i="40" s="1"/>
  <c r="D406" i="40"/>
  <c r="B405" i="40" a="1"/>
  <c r="B405" i="40" l="1"/>
  <c r="F405" i="40" s="1"/>
  <c r="D407" i="40"/>
  <c r="B406" i="40" a="1"/>
  <c r="B406" i="40" l="1"/>
  <c r="F406" i="40" s="1"/>
  <c r="D408" i="40"/>
  <c r="B407" i="40" a="1"/>
  <c r="B407" i="40" l="1"/>
  <c r="F407" i="40" s="1"/>
  <c r="F409" i="40"/>
  <c r="D409" i="40"/>
  <c r="D410" i="40" s="1"/>
  <c r="B408" i="40" a="1"/>
  <c r="B408" i="40" l="1"/>
  <c r="F408" i="40" s="1"/>
  <c r="D411" i="40"/>
  <c r="B410" i="40" a="1"/>
  <c r="B410" i="40" l="1"/>
  <c r="F410" i="40" s="1"/>
  <c r="D412" i="40"/>
  <c r="B411" i="40" a="1"/>
  <c r="B411" i="40" l="1"/>
  <c r="F411" i="40" s="1"/>
  <c r="D413" i="40"/>
  <c r="B412" i="40" a="1"/>
  <c r="B412" i="40" l="1"/>
  <c r="F412" i="40" s="1"/>
  <c r="D414" i="40"/>
  <c r="B413" i="40" a="1"/>
  <c r="B413" i="40" l="1"/>
  <c r="F413" i="40" s="1"/>
  <c r="D415" i="40"/>
  <c r="B414" i="40" a="1"/>
  <c r="B414" i="40" l="1"/>
  <c r="F414" i="40" s="1"/>
  <c r="D416" i="40"/>
  <c r="B415" i="40" a="1"/>
  <c r="B415" i="40" l="1"/>
  <c r="F415" i="40" s="1"/>
  <c r="D417" i="40"/>
  <c r="B416" i="40" a="1"/>
  <c r="B416" i="40" l="1"/>
  <c r="F416" i="40" s="1"/>
  <c r="D418" i="40"/>
  <c r="B417" i="40" a="1"/>
  <c r="B417" i="40" l="1"/>
  <c r="F417" i="40" s="1"/>
  <c r="D419" i="40"/>
  <c r="B418" i="40" a="1"/>
  <c r="B418" i="40" l="1"/>
  <c r="F418" i="40" s="1"/>
  <c r="F420" i="40"/>
  <c r="D420" i="40"/>
  <c r="D421" i="40" s="1"/>
  <c r="B419" i="40" a="1"/>
  <c r="B419" i="40" l="1"/>
  <c r="F419" i="40" s="1"/>
  <c r="D422" i="40"/>
  <c r="B421" i="40" a="1"/>
  <c r="B421" i="40" l="1"/>
  <c r="F421" i="40" s="1"/>
  <c r="D423" i="40"/>
  <c r="B422" i="40" a="1"/>
  <c r="B422" i="40" l="1"/>
  <c r="F422" i="40" s="1"/>
  <c r="D424" i="40"/>
  <c r="B423" i="40" a="1"/>
  <c r="B423" i="40" l="1"/>
  <c r="F423" i="40" s="1"/>
  <c r="D425" i="40"/>
  <c r="B424" i="40" a="1"/>
  <c r="B424" i="40" l="1"/>
  <c r="F424" i="40" s="1"/>
  <c r="D426" i="40"/>
  <c r="B425" i="40" a="1"/>
  <c r="B425" i="40" l="1"/>
  <c r="F425" i="40" s="1"/>
  <c r="D427" i="40"/>
  <c r="B426" i="40" a="1"/>
  <c r="B426" i="40" l="1"/>
  <c r="F426" i="40" s="1"/>
  <c r="D428" i="40"/>
  <c r="B427" i="40" a="1"/>
  <c r="B427" i="40" l="1"/>
  <c r="F427" i="40" s="1"/>
  <c r="D429" i="40"/>
  <c r="B428" i="40" a="1"/>
  <c r="B428" i="40" l="1"/>
  <c r="F428" i="40" s="1"/>
  <c r="D430" i="40"/>
  <c r="B429" i="40" a="1"/>
  <c r="B429" i="40" l="1"/>
  <c r="F429" i="40" s="1"/>
  <c r="F431" i="40"/>
  <c r="D431" i="40"/>
  <c r="D432" i="40" s="1"/>
  <c r="B430" i="40" a="1"/>
  <c r="B430" i="40" l="1"/>
  <c r="F430" i="40" s="1"/>
  <c r="D433" i="40"/>
  <c r="B432" i="40" a="1"/>
  <c r="B432" i="40" l="1"/>
  <c r="F432" i="40" s="1"/>
  <c r="D434" i="40"/>
  <c r="B433" i="40" a="1"/>
  <c r="B433" i="40" l="1"/>
  <c r="F433" i="40" s="1"/>
  <c r="D435" i="40"/>
  <c r="B434" i="40" a="1"/>
  <c r="B434" i="40" l="1"/>
  <c r="F434" i="40" s="1"/>
  <c r="D436" i="40"/>
  <c r="B435" i="40" a="1"/>
  <c r="B435" i="40" l="1"/>
  <c r="F435" i="40" s="1"/>
  <c r="D437" i="40"/>
  <c r="B436" i="40" a="1"/>
  <c r="B436" i="40" l="1"/>
  <c r="F436" i="40" s="1"/>
  <c r="D438" i="40"/>
  <c r="B437" i="40" a="1"/>
  <c r="B437" i="40" l="1"/>
  <c r="F437" i="40" s="1"/>
  <c r="D439" i="40"/>
  <c r="B438" i="40" a="1"/>
  <c r="B438" i="40" l="1"/>
  <c r="F438" i="40" s="1"/>
  <c r="D440" i="40"/>
  <c r="B439" i="40" a="1"/>
  <c r="B439" i="40" l="1"/>
  <c r="F439" i="40" s="1"/>
  <c r="D441" i="40"/>
  <c r="B440" i="40" a="1"/>
  <c r="B440" i="40" l="1"/>
  <c r="F440" i="40" s="1"/>
  <c r="F442" i="40"/>
  <c r="D442" i="40"/>
  <c r="B441" i="40" a="1"/>
  <c r="D443" i="40" l="1"/>
  <c r="B441" i="40"/>
  <c r="F441" i="40" s="1"/>
  <c r="D444" i="40" l="1"/>
  <c r="B443" i="40" a="1"/>
  <c r="B443" i="40" l="1"/>
  <c r="F443" i="40" s="1"/>
  <c r="D445" i="40"/>
  <c r="B444" i="40" a="1"/>
  <c r="B444" i="40" l="1"/>
  <c r="F444" i="40" s="1"/>
  <c r="D446" i="40"/>
  <c r="B445" i="40" a="1"/>
  <c r="B445" i="40" l="1"/>
  <c r="F445" i="40" s="1"/>
  <c r="D447" i="40"/>
  <c r="B446" i="40" a="1"/>
  <c r="B446" i="40" l="1"/>
  <c r="F446" i="40" s="1"/>
  <c r="D448" i="40"/>
  <c r="B447" i="40" a="1"/>
  <c r="B447" i="40" l="1"/>
  <c r="F447" i="40" s="1"/>
  <c r="D449" i="40"/>
  <c r="B448" i="40" a="1"/>
  <c r="B448" i="40" l="1"/>
  <c r="F448" i="40" s="1"/>
  <c r="D450" i="40"/>
  <c r="B449" i="40" a="1"/>
  <c r="B449" i="40" l="1"/>
  <c r="F449" i="40" s="1"/>
  <c r="D451" i="40"/>
  <c r="B450" i="40" a="1"/>
  <c r="B450" i="40" l="1"/>
  <c r="F450" i="40" s="1"/>
  <c r="D452" i="40"/>
  <c r="B451" i="40" a="1"/>
  <c r="B451" i="40" l="1"/>
  <c r="F451" i="40" s="1"/>
  <c r="F453" i="40"/>
  <c r="D453" i="40"/>
  <c r="D454" i="40" s="1"/>
  <c r="B452" i="40" a="1"/>
  <c r="B452" i="40" l="1"/>
  <c r="F452" i="40" s="1"/>
  <c r="D455" i="40"/>
  <c r="B454" i="40" a="1"/>
  <c r="B454" i="40" l="1"/>
  <c r="F454" i="40" s="1"/>
  <c r="D456" i="40"/>
  <c r="B455" i="40" a="1"/>
  <c r="B455" i="40" l="1"/>
  <c r="F455" i="40" s="1"/>
  <c r="D457" i="40"/>
  <c r="B456" i="40" a="1"/>
  <c r="B456" i="40" l="1"/>
  <c r="F456" i="40" s="1"/>
  <c r="D458" i="40"/>
  <c r="B457" i="40" a="1"/>
  <c r="B457" i="40" l="1"/>
  <c r="F457" i="40" s="1"/>
  <c r="D459" i="40"/>
  <c r="B458" i="40" a="1"/>
  <c r="B458" i="40" l="1"/>
  <c r="F458" i="40" s="1"/>
  <c r="D460" i="40"/>
  <c r="B459" i="40" a="1"/>
  <c r="B459" i="40" l="1"/>
  <c r="F459" i="40" s="1"/>
  <c r="D461" i="40"/>
  <c r="B460" i="40" a="1"/>
  <c r="B460" i="40" l="1"/>
  <c r="F460" i="40" s="1"/>
  <c r="D462" i="40"/>
  <c r="B461" i="40" a="1"/>
  <c r="B461" i="40" l="1"/>
  <c r="F461" i="40" s="1"/>
  <c r="D463" i="40"/>
  <c r="B462" i="40" a="1"/>
  <c r="B462" i="40" l="1"/>
  <c r="F462" i="40" s="1"/>
  <c r="F464" i="40"/>
  <c r="D464" i="40"/>
  <c r="D465" i="40" s="1"/>
  <c r="B463" i="40" a="1"/>
  <c r="B463" i="40" l="1"/>
  <c r="F463" i="40" s="1"/>
  <c r="D466" i="40"/>
  <c r="B465" i="40" a="1"/>
  <c r="B465" i="40" l="1"/>
  <c r="F465" i="40" s="1"/>
  <c r="D467" i="40"/>
  <c r="B466" i="40" a="1"/>
  <c r="B466" i="40" l="1"/>
  <c r="F466" i="40" s="1"/>
  <c r="D468" i="40"/>
  <c r="B467" i="40" a="1"/>
  <c r="B467" i="40" l="1"/>
  <c r="F467" i="40" s="1"/>
  <c r="D469" i="40"/>
  <c r="B468" i="40" a="1"/>
  <c r="B468" i="40" l="1"/>
  <c r="F468" i="40" s="1"/>
  <c r="D470" i="40"/>
  <c r="B469" i="40" a="1"/>
  <c r="B469" i="40" l="1"/>
  <c r="F469" i="40" s="1"/>
  <c r="D471" i="40"/>
  <c r="B470" i="40" a="1"/>
  <c r="B470" i="40" l="1"/>
  <c r="F470" i="40" s="1"/>
  <c r="D472" i="40"/>
  <c r="B471" i="40" a="1"/>
  <c r="B471" i="40" l="1"/>
  <c r="F471" i="40" s="1"/>
  <c r="D473" i="40"/>
  <c r="B472" i="40" a="1"/>
  <c r="B472" i="40" l="1"/>
  <c r="F472" i="40" s="1"/>
  <c r="D474" i="40"/>
  <c r="B473" i="40" a="1"/>
  <c r="B473" i="40" l="1"/>
  <c r="F473" i="40" s="1"/>
  <c r="F475" i="40"/>
  <c r="D475" i="40"/>
  <c r="D476" i="40" s="1"/>
  <c r="B474" i="40" a="1"/>
  <c r="B474" i="40" l="1"/>
  <c r="F474" i="40" s="1"/>
  <c r="D477" i="40"/>
  <c r="B476" i="40" a="1"/>
  <c r="B476" i="40" l="1"/>
  <c r="F476" i="40" s="1"/>
  <c r="D478" i="40"/>
  <c r="B477" i="40" a="1"/>
  <c r="B477" i="40" l="1"/>
  <c r="F477" i="40" s="1"/>
  <c r="D479" i="40"/>
  <c r="B478" i="40" a="1"/>
  <c r="B478" i="40" l="1"/>
  <c r="F478" i="40" s="1"/>
  <c r="D480" i="40"/>
  <c r="B479" i="40" a="1"/>
  <c r="B479" i="40" l="1"/>
  <c r="F479" i="40" s="1"/>
  <c r="D481" i="40"/>
  <c r="B480" i="40" a="1"/>
  <c r="B480" i="40" l="1"/>
  <c r="F480" i="40" s="1"/>
  <c r="D482" i="40"/>
  <c r="B481" i="40" a="1"/>
  <c r="B481" i="40" l="1"/>
  <c r="F481" i="40" s="1"/>
  <c r="D483" i="40"/>
  <c r="B482" i="40" a="1"/>
  <c r="B482" i="40" l="1"/>
  <c r="F482" i="40" s="1"/>
  <c r="D484" i="40"/>
  <c r="B483" i="40" a="1"/>
  <c r="B483" i="40" l="1"/>
  <c r="F483" i="40" s="1"/>
  <c r="D485" i="40"/>
  <c r="B484" i="40" a="1"/>
  <c r="B484" i="40" l="1"/>
  <c r="F484" i="40" s="1"/>
  <c r="F486" i="40"/>
  <c r="D486" i="40"/>
  <c r="B485" i="40" a="1"/>
  <c r="D487" i="40" l="1"/>
  <c r="B485" i="40"/>
  <c r="F485" i="40" s="1"/>
  <c r="D488" i="40" l="1"/>
  <c r="B487" i="40" a="1"/>
  <c r="B487" i="40" l="1"/>
  <c r="F487" i="40" s="1"/>
  <c r="D489" i="40"/>
  <c r="B488" i="40" a="1"/>
  <c r="B488" i="40" l="1"/>
  <c r="F488" i="40" s="1"/>
  <c r="D490" i="40"/>
  <c r="B489" i="40" a="1"/>
  <c r="B489" i="40" l="1"/>
  <c r="F489" i="40" s="1"/>
  <c r="D491" i="40"/>
  <c r="B490" i="40" a="1"/>
  <c r="B490" i="40" l="1"/>
  <c r="F490" i="40" s="1"/>
  <c r="D492" i="40"/>
  <c r="B491" i="40" a="1"/>
  <c r="B491" i="40" l="1"/>
  <c r="F491" i="40" s="1"/>
  <c r="D493" i="40"/>
  <c r="B492" i="40" a="1"/>
  <c r="B492" i="40" l="1"/>
  <c r="F492" i="40" s="1"/>
  <c r="D494" i="40"/>
  <c r="B493" i="40" a="1"/>
  <c r="B493" i="40" l="1"/>
  <c r="F493" i="40" s="1"/>
  <c r="D495" i="40"/>
  <c r="B494" i="40" a="1"/>
  <c r="B494" i="40" l="1"/>
  <c r="F494" i="40" s="1"/>
  <c r="D496" i="40"/>
  <c r="B495" i="40" a="1"/>
  <c r="B495" i="40" l="1"/>
  <c r="F495" i="40" s="1"/>
  <c r="F497" i="40"/>
  <c r="D497" i="40"/>
  <c r="D498" i="40" s="1"/>
  <c r="B496" i="40" a="1"/>
  <c r="B496" i="40" l="1"/>
  <c r="F496" i="40" s="1"/>
  <c r="D499" i="40"/>
  <c r="B498" i="40" a="1"/>
  <c r="B498" i="40" l="1"/>
  <c r="F498" i="40" s="1"/>
  <c r="D500" i="40"/>
  <c r="B499" i="40" a="1"/>
  <c r="B499" i="40" l="1"/>
  <c r="F499" i="40" s="1"/>
  <c r="D501" i="40"/>
  <c r="B500" i="40" a="1"/>
  <c r="B500" i="40" l="1"/>
  <c r="F500" i="40" s="1"/>
  <c r="D502" i="40"/>
  <c r="B501" i="40" a="1"/>
  <c r="B501" i="40" l="1"/>
  <c r="F501" i="40" s="1"/>
  <c r="D503" i="40"/>
  <c r="B502" i="40" a="1"/>
  <c r="B502" i="40" l="1"/>
  <c r="F502" i="40" s="1"/>
  <c r="D504" i="40"/>
  <c r="B503" i="40" a="1"/>
  <c r="B503" i="40" l="1"/>
  <c r="F503" i="40" s="1"/>
  <c r="D505" i="40"/>
  <c r="B504" i="40" a="1"/>
  <c r="B504" i="40" l="1"/>
  <c r="F504" i="40" s="1"/>
  <c r="D506" i="40"/>
  <c r="B505" i="40" a="1"/>
  <c r="B505" i="40" l="1"/>
  <c r="F505" i="40" s="1"/>
  <c r="D507" i="40"/>
  <c r="B506" i="40" a="1"/>
  <c r="B506" i="40" l="1"/>
  <c r="F506" i="40" s="1"/>
  <c r="F508" i="40"/>
  <c r="D508" i="40"/>
  <c r="D509" i="40" s="1"/>
  <c r="B507" i="40" a="1"/>
  <c r="B507" i="40" l="1"/>
  <c r="F507" i="40" s="1"/>
  <c r="D510" i="40"/>
  <c r="B509" i="40" a="1"/>
  <c r="B509" i="40" l="1"/>
  <c r="F509" i="40" s="1"/>
  <c r="D511" i="40"/>
  <c r="B510" i="40" a="1"/>
  <c r="B510" i="40" l="1"/>
  <c r="F510" i="40" s="1"/>
  <c r="D512" i="40"/>
  <c r="B511" i="40" a="1"/>
  <c r="B511" i="40" l="1"/>
  <c r="F511" i="40" s="1"/>
  <c r="D513" i="40"/>
  <c r="B512" i="40" a="1"/>
  <c r="B512" i="40" l="1"/>
  <c r="F512" i="40" s="1"/>
  <c r="D514" i="40"/>
  <c r="B513" i="40" a="1"/>
  <c r="B513" i="40" l="1"/>
  <c r="F513" i="40" s="1"/>
  <c r="D515" i="40"/>
  <c r="B514" i="40" a="1"/>
  <c r="B514" i="40" l="1"/>
  <c r="F514" i="40" s="1"/>
  <c r="D516" i="40"/>
  <c r="B515" i="40" a="1"/>
  <c r="B515" i="40" l="1"/>
  <c r="F515" i="40" s="1"/>
  <c r="D517" i="40"/>
  <c r="B516" i="40" a="1"/>
  <c r="B516" i="40" l="1"/>
  <c r="F516" i="40" s="1"/>
  <c r="D518" i="40"/>
  <c r="B517" i="40" a="1"/>
  <c r="B517" i="40" l="1"/>
  <c r="F517" i="40" s="1"/>
  <c r="F519" i="40"/>
  <c r="D519" i="40"/>
  <c r="D520" i="40" s="1"/>
  <c r="B518" i="40" a="1"/>
  <c r="B518" i="40" l="1"/>
  <c r="F518" i="40" s="1"/>
  <c r="D521" i="40"/>
  <c r="B520" i="40" a="1"/>
  <c r="B520" i="40" l="1"/>
  <c r="F520" i="40" s="1"/>
  <c r="D522" i="40"/>
  <c r="B521" i="40" a="1"/>
  <c r="B521" i="40" l="1"/>
  <c r="F521" i="40" s="1"/>
  <c r="D523" i="40"/>
  <c r="B522" i="40" a="1"/>
  <c r="B522" i="40" l="1"/>
  <c r="F522" i="40" s="1"/>
  <c r="D524" i="40"/>
  <c r="B523" i="40" a="1"/>
  <c r="B523" i="40" l="1"/>
  <c r="F523" i="40" s="1"/>
  <c r="D525" i="40"/>
  <c r="B524" i="40" a="1"/>
  <c r="B524" i="40" l="1"/>
  <c r="F524" i="40" s="1"/>
  <c r="D526" i="40"/>
  <c r="B525" i="40" a="1"/>
  <c r="B525" i="40" l="1"/>
  <c r="F525" i="40" s="1"/>
  <c r="D527" i="40"/>
  <c r="B526" i="40" a="1"/>
  <c r="B526" i="40" l="1"/>
  <c r="F526" i="40" s="1"/>
  <c r="D528" i="40"/>
  <c r="B527" i="40" a="1"/>
  <c r="B527" i="40" l="1"/>
  <c r="F527" i="40" s="1"/>
  <c r="D529" i="40"/>
  <c r="B528" i="40" a="1"/>
  <c r="B528" i="40" l="1"/>
  <c r="F528" i="40" s="1"/>
  <c r="F530" i="40"/>
  <c r="D530" i="40"/>
  <c r="B529" i="40" a="1"/>
  <c r="D531" i="40" l="1"/>
  <c r="B529" i="40"/>
  <c r="F529" i="40" s="1"/>
  <c r="D532" i="40" l="1"/>
  <c r="B531" i="40" a="1"/>
  <c r="B531" i="40" l="1"/>
  <c r="F531" i="40" s="1"/>
  <c r="D533" i="40"/>
  <c r="B532" i="40" a="1"/>
  <c r="B532" i="40" l="1"/>
  <c r="F532" i="40" s="1"/>
  <c r="D534" i="40"/>
  <c r="B533" i="40" a="1"/>
  <c r="B533" i="40" l="1"/>
  <c r="F533" i="40" s="1"/>
  <c r="D535" i="40"/>
  <c r="B534" i="40" a="1"/>
  <c r="B534" i="40" l="1"/>
  <c r="F534" i="40" s="1"/>
  <c r="D536" i="40"/>
  <c r="B535" i="40" a="1"/>
  <c r="B535" i="40" l="1"/>
  <c r="F535" i="40" s="1"/>
  <c r="D537" i="40"/>
  <c r="B536" i="40" a="1"/>
  <c r="B536" i="40" l="1"/>
  <c r="F536" i="40" s="1"/>
  <c r="D538" i="40"/>
  <c r="B537" i="40" a="1"/>
  <c r="B537" i="40" l="1"/>
  <c r="F537" i="40" s="1"/>
  <c r="D539" i="40"/>
  <c r="B538" i="40" a="1"/>
  <c r="B538" i="40" l="1"/>
  <c r="F538" i="40" s="1"/>
  <c r="D540" i="40"/>
  <c r="B539" i="40" a="1"/>
  <c r="B539" i="40" l="1"/>
  <c r="F539" i="40" s="1"/>
  <c r="F541" i="40"/>
  <c r="D541" i="40"/>
  <c r="D542" i="40" s="1"/>
  <c r="B540" i="40" a="1"/>
  <c r="B540" i="40" l="1"/>
  <c r="F540" i="40" s="1"/>
  <c r="D543" i="40"/>
  <c r="B542" i="40" a="1"/>
  <c r="B542" i="40" l="1"/>
  <c r="F542" i="40" s="1"/>
  <c r="D544" i="40"/>
  <c r="B543" i="40" a="1"/>
  <c r="B543" i="40" l="1"/>
  <c r="F543" i="40" s="1"/>
  <c r="D545" i="40"/>
  <c r="B544" i="40" a="1"/>
  <c r="B544" i="40" l="1"/>
  <c r="F544" i="40" s="1"/>
  <c r="D546" i="40"/>
  <c r="B545" i="40" a="1"/>
  <c r="B545" i="40" l="1"/>
  <c r="F545" i="40" s="1"/>
  <c r="D547" i="40"/>
  <c r="B546" i="40" a="1"/>
  <c r="B546" i="40" l="1"/>
  <c r="F546" i="40" s="1"/>
  <c r="D548" i="40"/>
  <c r="B547" i="40" a="1"/>
  <c r="B547" i="40" l="1"/>
  <c r="F547" i="40" s="1"/>
  <c r="D549" i="40"/>
  <c r="B548" i="40" a="1"/>
  <c r="B548" i="40" l="1"/>
  <c r="F548" i="40" s="1"/>
  <c r="D550" i="40"/>
  <c r="B549" i="40" a="1"/>
  <c r="B549" i="40" l="1"/>
  <c r="F549" i="40" s="1"/>
  <c r="D551" i="40"/>
  <c r="B550" i="40" a="1"/>
  <c r="B550" i="40" l="1"/>
  <c r="F550" i="40" s="1"/>
  <c r="F552" i="40"/>
  <c r="D552" i="40"/>
  <c r="D553" i="40" s="1"/>
  <c r="B551" i="40" a="1"/>
  <c r="B551" i="40" l="1"/>
  <c r="F551" i="40" s="1"/>
  <c r="D554" i="40"/>
  <c r="B553" i="40" a="1"/>
  <c r="B553" i="40" l="1"/>
  <c r="F553" i="40" s="1"/>
  <c r="D555" i="40"/>
  <c r="B554" i="40" a="1"/>
  <c r="B554" i="40" l="1"/>
  <c r="F554" i="40" s="1"/>
  <c r="D556" i="40"/>
  <c r="B555" i="40" a="1"/>
  <c r="B555" i="40" l="1"/>
  <c r="F555" i="40" s="1"/>
  <c r="D557" i="40"/>
  <c r="B556" i="40" a="1"/>
  <c r="B556" i="40" l="1"/>
  <c r="F556" i="40" s="1"/>
  <c r="D558" i="40"/>
  <c r="B557" i="40" a="1"/>
  <c r="B557" i="40" l="1"/>
  <c r="F557" i="40" s="1"/>
  <c r="D559" i="40"/>
  <c r="B558" i="40" a="1"/>
  <c r="B558" i="40" l="1"/>
  <c r="F558" i="40" s="1"/>
  <c r="D560" i="40"/>
  <c r="B559" i="40" a="1"/>
  <c r="B559" i="40" l="1"/>
  <c r="F559" i="40" s="1"/>
  <c r="D561" i="40"/>
  <c r="B560" i="40" a="1"/>
  <c r="B560" i="40" l="1"/>
  <c r="F560" i="40" s="1"/>
  <c r="D562" i="40"/>
  <c r="B561" i="40" a="1"/>
  <c r="B561" i="40" l="1"/>
  <c r="F561" i="40" s="1"/>
  <c r="F563" i="40"/>
  <c r="D563" i="40"/>
  <c r="D564" i="40" s="1"/>
  <c r="B562" i="40" a="1"/>
  <c r="B562" i="40" l="1"/>
  <c r="F562" i="40" s="1"/>
  <c r="D565" i="40"/>
  <c r="B564" i="40" a="1"/>
  <c r="B564" i="40" l="1"/>
  <c r="F564" i="40" s="1"/>
  <c r="D566" i="40"/>
  <c r="B565" i="40" a="1"/>
  <c r="B565" i="40" l="1"/>
  <c r="F565" i="40" s="1"/>
  <c r="D567" i="40"/>
  <c r="B566" i="40" a="1"/>
  <c r="B566" i="40" l="1"/>
  <c r="F566" i="40" s="1"/>
  <c r="D568" i="40"/>
  <c r="B567" i="40" a="1"/>
  <c r="B567" i="40" l="1"/>
  <c r="F567" i="40" s="1"/>
  <c r="D569" i="40"/>
  <c r="B568" i="40" a="1"/>
  <c r="B568" i="40" l="1"/>
  <c r="F568" i="40" s="1"/>
  <c r="D570" i="40"/>
  <c r="B569" i="40" a="1"/>
  <c r="B569" i="40" l="1"/>
  <c r="F569" i="40" s="1"/>
  <c r="D571" i="40"/>
  <c r="B570" i="40" a="1"/>
  <c r="B570" i="40" l="1"/>
  <c r="F570" i="40" s="1"/>
  <c r="D572" i="40"/>
  <c r="B571" i="40" a="1"/>
  <c r="B571" i="40" l="1"/>
  <c r="F571" i="40" s="1"/>
  <c r="D573" i="40"/>
  <c r="B572" i="40" a="1"/>
  <c r="B572" i="40" l="1"/>
  <c r="F572" i="40" s="1"/>
  <c r="F574" i="40"/>
  <c r="D574" i="40"/>
  <c r="B573" i="40" a="1"/>
  <c r="D575" i="40" l="1"/>
  <c r="B573" i="40"/>
  <c r="F573" i="40" s="1"/>
  <c r="D576" i="40" l="1"/>
  <c r="B575" i="40" a="1"/>
  <c r="B575" i="40" l="1"/>
  <c r="F575" i="40" s="1"/>
  <c r="D577" i="40"/>
  <c r="B576" i="40" a="1"/>
  <c r="B576" i="40" l="1"/>
  <c r="F576" i="40" s="1"/>
  <c r="D578" i="40"/>
  <c r="B577" i="40" a="1"/>
  <c r="B577" i="40" l="1"/>
  <c r="F577" i="40" s="1"/>
  <c r="D579" i="40"/>
  <c r="B578" i="40" a="1"/>
  <c r="B578" i="40" l="1"/>
  <c r="F578" i="40" s="1"/>
  <c r="D580" i="40"/>
  <c r="B579" i="40" a="1"/>
  <c r="B579" i="40" l="1"/>
  <c r="F579" i="40" s="1"/>
  <c r="D581" i="40"/>
  <c r="B580" i="40" a="1"/>
  <c r="B580" i="40" l="1"/>
  <c r="F580" i="40" s="1"/>
  <c r="D582" i="40"/>
  <c r="B581" i="40" a="1"/>
  <c r="B581" i="40" l="1"/>
  <c r="F581" i="40" s="1"/>
  <c r="D583" i="40"/>
  <c r="B582" i="40" a="1"/>
  <c r="B582" i="40" l="1"/>
  <c r="F582" i="40" s="1"/>
  <c r="D584" i="40"/>
  <c r="B583" i="40" a="1"/>
  <c r="B583" i="40" l="1"/>
  <c r="F583" i="40" s="1"/>
  <c r="F585" i="40"/>
  <c r="D585" i="40"/>
  <c r="D586" i="40" s="1"/>
  <c r="B584" i="40" a="1"/>
  <c r="B584" i="40" l="1"/>
  <c r="F584" i="40" s="1"/>
  <c r="D587" i="40"/>
  <c r="B586" i="40" a="1"/>
  <c r="B586" i="40" l="1"/>
  <c r="F586" i="40" s="1"/>
  <c r="D588" i="40"/>
  <c r="B587" i="40" a="1"/>
  <c r="B587" i="40" l="1"/>
  <c r="F587" i="40" s="1"/>
  <c r="D589" i="40"/>
  <c r="B588" i="40" a="1"/>
  <c r="B588" i="40" l="1"/>
  <c r="F588" i="40" s="1"/>
  <c r="D590" i="40"/>
  <c r="B589" i="40" a="1"/>
  <c r="B589" i="40" l="1"/>
  <c r="F589" i="40" s="1"/>
  <c r="D591" i="40"/>
  <c r="B590" i="40" a="1"/>
  <c r="B590" i="40" l="1"/>
  <c r="F590" i="40" s="1"/>
  <c r="D592" i="40"/>
  <c r="B591" i="40" a="1"/>
  <c r="B591" i="40" l="1"/>
  <c r="F591" i="40" s="1"/>
  <c r="D593" i="40"/>
  <c r="B592" i="40" a="1"/>
  <c r="B592" i="40" l="1"/>
  <c r="F592" i="40" s="1"/>
  <c r="D594" i="40"/>
  <c r="B593" i="40" a="1"/>
  <c r="B593" i="40" l="1"/>
  <c r="F593" i="40" s="1"/>
  <c r="D595" i="40"/>
  <c r="B594" i="40" a="1"/>
  <c r="B594" i="40" l="1"/>
  <c r="F594" i="40" s="1"/>
  <c r="F596" i="40"/>
  <c r="D596" i="40"/>
  <c r="D597" i="40" s="1"/>
  <c r="B595" i="40" a="1"/>
  <c r="B595" i="40" l="1"/>
  <c r="F595" i="40" s="1"/>
  <c r="D598" i="40"/>
  <c r="B597" i="40" a="1"/>
  <c r="B597" i="40" l="1"/>
  <c r="F597" i="40" s="1"/>
  <c r="D599" i="40"/>
  <c r="B598" i="40" a="1"/>
  <c r="B598" i="40" l="1"/>
  <c r="F598" i="40" s="1"/>
  <c r="D600" i="40"/>
  <c r="B599" i="40" a="1"/>
  <c r="B599" i="40" l="1"/>
  <c r="F599" i="40" s="1"/>
  <c r="D601" i="40"/>
  <c r="B600" i="40" a="1"/>
  <c r="B600" i="40" l="1"/>
  <c r="F600" i="40" s="1"/>
  <c r="D602" i="40"/>
  <c r="B601" i="40" a="1"/>
  <c r="B601" i="40" l="1"/>
  <c r="F601" i="40" s="1"/>
  <c r="D603" i="40"/>
  <c r="B602" i="40" a="1"/>
  <c r="B602" i="40" l="1"/>
  <c r="F602" i="40" s="1"/>
  <c r="D604" i="40"/>
  <c r="B603" i="40" a="1"/>
  <c r="B603" i="40" l="1"/>
  <c r="F603" i="40" s="1"/>
  <c r="D605" i="40"/>
  <c r="B604" i="40" a="1"/>
  <c r="B604" i="40" l="1"/>
  <c r="F604" i="40" s="1"/>
  <c r="D606" i="40"/>
  <c r="B605" i="40" a="1"/>
  <c r="B605" i="40" l="1"/>
  <c r="F605" i="40" s="1"/>
  <c r="F607" i="40"/>
  <c r="D607" i="40"/>
  <c r="D608" i="40" s="1"/>
  <c r="B606" i="40" a="1"/>
  <c r="B606" i="40" l="1"/>
  <c r="F606" i="40" s="1"/>
  <c r="D609" i="40"/>
  <c r="B608" i="40" a="1"/>
  <c r="B608" i="40" l="1"/>
  <c r="F608" i="40" s="1"/>
  <c r="D610" i="40"/>
  <c r="B609" i="40" a="1"/>
  <c r="B609" i="40" l="1"/>
  <c r="F609" i="40" s="1"/>
  <c r="D611" i="40"/>
  <c r="B610" i="40" a="1"/>
  <c r="B610" i="40" l="1"/>
  <c r="F610" i="40" s="1"/>
  <c r="D612" i="40"/>
  <c r="B611" i="40" a="1"/>
  <c r="B611" i="40" l="1"/>
  <c r="F611" i="40" s="1"/>
  <c r="D613" i="40"/>
  <c r="B612" i="40" a="1"/>
  <c r="B612" i="40" l="1"/>
  <c r="F612" i="40" s="1"/>
  <c r="D614" i="40"/>
  <c r="B613" i="40" a="1"/>
  <c r="B613" i="40" l="1"/>
  <c r="F613" i="40" s="1"/>
  <c r="D615" i="40"/>
  <c r="B614" i="40" a="1"/>
  <c r="B614" i="40" l="1"/>
  <c r="F614" i="40" s="1"/>
  <c r="D616" i="40"/>
  <c r="B615" i="40" a="1"/>
  <c r="B615" i="40" l="1"/>
  <c r="F615" i="40" s="1"/>
  <c r="D617" i="40"/>
  <c r="B616" i="40" a="1"/>
  <c r="B616" i="40" l="1"/>
  <c r="F616" i="40" s="1"/>
  <c r="F618" i="40"/>
  <c r="D618" i="40"/>
  <c r="B617" i="40" a="1"/>
  <c r="D619" i="40" l="1"/>
  <c r="B617" i="40"/>
  <c r="F617" i="40" s="1"/>
  <c r="D620" i="40" l="1"/>
  <c r="B619" i="40" a="1"/>
  <c r="B619" i="40" l="1"/>
  <c r="F619" i="40" s="1"/>
  <c r="D621" i="40"/>
  <c r="B620" i="40" a="1"/>
  <c r="B620" i="40" l="1"/>
  <c r="F620" i="40" s="1"/>
  <c r="D622" i="40"/>
  <c r="B621" i="40" a="1"/>
  <c r="B621" i="40" l="1"/>
  <c r="F621" i="40" s="1"/>
  <c r="D623" i="40"/>
  <c r="B622" i="40" a="1"/>
  <c r="B622" i="40" l="1"/>
  <c r="F622" i="40" s="1"/>
  <c r="D624" i="40"/>
  <c r="B623" i="40" a="1"/>
  <c r="B623" i="40" l="1"/>
  <c r="F623" i="40" s="1"/>
  <c r="D625" i="40"/>
  <c r="B624" i="40" a="1"/>
  <c r="B624" i="40" l="1"/>
  <c r="F624" i="40" s="1"/>
  <c r="D626" i="40"/>
  <c r="B625" i="40" a="1"/>
  <c r="B625" i="40" l="1"/>
  <c r="F625" i="40" s="1"/>
  <c r="D627" i="40"/>
  <c r="B626" i="40" a="1"/>
  <c r="B626" i="40" l="1"/>
  <c r="F626" i="40" s="1"/>
  <c r="D628" i="40"/>
  <c r="B627" i="40" a="1"/>
  <c r="B627" i="40" l="1"/>
  <c r="F627" i="40" s="1"/>
  <c r="F629" i="40"/>
  <c r="D629" i="40"/>
  <c r="D630" i="40" s="1"/>
  <c r="B628" i="40" a="1"/>
  <c r="B628" i="40" l="1"/>
  <c r="F628" i="40" s="1"/>
  <c r="D631" i="40"/>
  <c r="B630" i="40" a="1"/>
  <c r="B630" i="40" l="1"/>
  <c r="F630" i="40" s="1"/>
  <c r="D632" i="40"/>
  <c r="B631" i="40" a="1"/>
  <c r="B631" i="40" l="1"/>
  <c r="F631" i="40" s="1"/>
  <c r="D633" i="40"/>
  <c r="B632" i="40" a="1"/>
  <c r="B632" i="40" l="1"/>
  <c r="F632" i="40" s="1"/>
  <c r="D634" i="40"/>
  <c r="B633" i="40" a="1"/>
  <c r="B633" i="40" l="1"/>
  <c r="F633" i="40" s="1"/>
  <c r="D635" i="40"/>
  <c r="B634" i="40" a="1"/>
  <c r="B634" i="40" l="1"/>
  <c r="F634" i="40" s="1"/>
  <c r="D636" i="40"/>
  <c r="B635" i="40" a="1"/>
  <c r="B635" i="40" l="1"/>
  <c r="F635" i="40" s="1"/>
  <c r="D637" i="40"/>
  <c r="B636" i="40" a="1"/>
  <c r="B636" i="40" l="1"/>
  <c r="F636" i="40" s="1"/>
  <c r="D638" i="40"/>
  <c r="B637" i="40" a="1"/>
  <c r="B637" i="40" l="1"/>
  <c r="F637" i="40" s="1"/>
  <c r="D639" i="40"/>
  <c r="B638" i="40" a="1"/>
  <c r="B638" i="40" l="1"/>
  <c r="F638" i="40" s="1"/>
  <c r="F640" i="40"/>
  <c r="D640" i="40"/>
  <c r="D641" i="40" s="1"/>
  <c r="B639" i="40" a="1"/>
  <c r="B639" i="40" l="1"/>
  <c r="F639" i="40" s="1"/>
  <c r="D642" i="40"/>
  <c r="B641" i="40" a="1"/>
  <c r="B641" i="40" l="1"/>
  <c r="F641" i="40" s="1"/>
  <c r="D643" i="40"/>
  <c r="B642" i="40" a="1"/>
  <c r="B642" i="40" l="1"/>
  <c r="F642" i="40" s="1"/>
  <c r="D644" i="40"/>
  <c r="B643" i="40" a="1"/>
  <c r="B643" i="40" l="1"/>
  <c r="F643" i="40" s="1"/>
  <c r="D645" i="40"/>
  <c r="B644" i="40" a="1"/>
  <c r="B644" i="40" l="1"/>
  <c r="F644" i="40" s="1"/>
  <c r="D646" i="40"/>
  <c r="B645" i="40" a="1"/>
  <c r="B645" i="40" l="1"/>
  <c r="F645" i="40" s="1"/>
  <c r="D647" i="40"/>
  <c r="B646" i="40" a="1"/>
  <c r="B646" i="40" l="1"/>
  <c r="F646" i="40" s="1"/>
  <c r="D648" i="40"/>
  <c r="B647" i="40" a="1"/>
  <c r="B647" i="40" l="1"/>
  <c r="F647" i="40" s="1"/>
  <c r="D649" i="40"/>
  <c r="B648" i="40" a="1"/>
  <c r="B648" i="40" l="1"/>
  <c r="F648" i="40" s="1"/>
  <c r="D650" i="40"/>
  <c r="B649" i="40" a="1"/>
  <c r="B649" i="40" l="1"/>
  <c r="F649" i="40" s="1"/>
  <c r="F651" i="40"/>
  <c r="D651" i="40"/>
  <c r="D652" i="40" s="1"/>
  <c r="B650" i="40" a="1"/>
  <c r="B650" i="40" l="1"/>
  <c r="F650" i="40" s="1"/>
  <c r="D653" i="40"/>
  <c r="B652" i="40" a="1"/>
  <c r="B652" i="40" l="1"/>
  <c r="F652" i="40" s="1"/>
  <c r="D654" i="40"/>
  <c r="B653" i="40" a="1"/>
  <c r="B653" i="40" l="1"/>
  <c r="F653" i="40" s="1"/>
  <c r="D655" i="40"/>
  <c r="B654" i="40" a="1"/>
  <c r="B654" i="40" l="1"/>
  <c r="F654" i="40" s="1"/>
  <c r="D656" i="40"/>
  <c r="B655" i="40" a="1"/>
  <c r="B655" i="40" l="1"/>
  <c r="F655" i="40" s="1"/>
  <c r="D657" i="40"/>
  <c r="B656" i="40" a="1"/>
  <c r="B656" i="40" l="1"/>
  <c r="F656" i="40" s="1"/>
  <c r="D658" i="40"/>
  <c r="B657" i="40" a="1"/>
  <c r="B657" i="40" l="1"/>
  <c r="F657" i="40" s="1"/>
  <c r="D659" i="40"/>
  <c r="B658" i="40" a="1"/>
  <c r="B658" i="40" l="1"/>
  <c r="F658" i="40" s="1"/>
  <c r="D660" i="40"/>
  <c r="B659" i="40" a="1"/>
  <c r="B659" i="40" l="1"/>
  <c r="F659" i="40" s="1"/>
  <c r="D661" i="40"/>
  <c r="B660" i="40" a="1"/>
  <c r="B660" i="40" l="1"/>
  <c r="F660" i="40" s="1"/>
  <c r="F662" i="40"/>
  <c r="D662" i="40"/>
  <c r="B661" i="40" a="1"/>
  <c r="D663" i="40" l="1"/>
  <c r="B661" i="40"/>
  <c r="F661" i="40" s="1"/>
  <c r="D664" i="40" l="1"/>
  <c r="B663" i="40" a="1"/>
  <c r="B663" i="40" l="1"/>
  <c r="F663" i="40" s="1"/>
  <c r="D665" i="40"/>
  <c r="B664" i="40" a="1"/>
  <c r="B664" i="40" l="1"/>
  <c r="F664" i="40" s="1"/>
  <c r="D666" i="40"/>
  <c r="B665" i="40" a="1"/>
  <c r="B665" i="40" l="1"/>
  <c r="F665" i="40" s="1"/>
  <c r="D667" i="40"/>
  <c r="B666" i="40" a="1"/>
  <c r="B666" i="40" l="1"/>
  <c r="F666" i="40" s="1"/>
  <c r="D668" i="40"/>
  <c r="B667" i="40" a="1"/>
  <c r="B667" i="40" l="1"/>
  <c r="F667" i="40" s="1"/>
  <c r="D669" i="40"/>
  <c r="B668" i="40" a="1"/>
  <c r="B668" i="40" l="1"/>
  <c r="F668" i="40" s="1"/>
  <c r="D670" i="40"/>
  <c r="B669" i="40" a="1"/>
  <c r="B669" i="40" l="1"/>
  <c r="F669" i="40" s="1"/>
  <c r="D671" i="40"/>
  <c r="B670" i="40" a="1"/>
  <c r="B670" i="40" l="1"/>
  <c r="F670" i="40" s="1"/>
  <c r="D672" i="40"/>
  <c r="B671" i="40" a="1"/>
  <c r="B671" i="40" l="1"/>
  <c r="F671" i="40" s="1"/>
  <c r="F673" i="40"/>
  <c r="D673" i="40"/>
  <c r="D674" i="40" s="1"/>
  <c r="B672" i="40" a="1"/>
  <c r="B672" i="40" l="1"/>
  <c r="F672" i="40" s="1"/>
  <c r="D675" i="40"/>
  <c r="B674" i="40" a="1"/>
  <c r="B674" i="40" l="1"/>
  <c r="F674" i="40" s="1"/>
  <c r="D676" i="40"/>
  <c r="B675" i="40" a="1"/>
  <c r="B675" i="40" l="1"/>
  <c r="F675" i="40" s="1"/>
  <c r="D677" i="40"/>
  <c r="B676" i="40" a="1"/>
  <c r="B676" i="40" l="1"/>
  <c r="F676" i="40" s="1"/>
  <c r="D678" i="40"/>
  <c r="B677" i="40" a="1"/>
  <c r="B677" i="40" l="1"/>
  <c r="F677" i="40" s="1"/>
  <c r="D679" i="40"/>
  <c r="B678" i="40" a="1"/>
  <c r="B678" i="40" l="1"/>
  <c r="F678" i="40" s="1"/>
  <c r="D680" i="40"/>
  <c r="B679" i="40" a="1"/>
  <c r="B679" i="40" l="1"/>
  <c r="F679" i="40" s="1"/>
  <c r="D681" i="40"/>
  <c r="B680" i="40" a="1"/>
  <c r="B680" i="40" l="1"/>
  <c r="F680" i="40" s="1"/>
  <c r="D682" i="40"/>
  <c r="B681" i="40" a="1"/>
  <c r="B681" i="40" l="1"/>
  <c r="F681" i="40" s="1"/>
  <c r="D683" i="40"/>
  <c r="B682" i="40" a="1"/>
  <c r="B682" i="40" l="1"/>
  <c r="F682" i="40" s="1"/>
  <c r="F684" i="40"/>
  <c r="D684" i="40"/>
  <c r="D685" i="40" s="1"/>
  <c r="B683" i="40" a="1"/>
  <c r="B683" i="40" l="1"/>
  <c r="F683" i="40" s="1"/>
  <c r="D686" i="40"/>
  <c r="B685" i="40" a="1"/>
  <c r="B685" i="40" l="1"/>
  <c r="F685" i="40" s="1"/>
  <c r="D687" i="40"/>
  <c r="B686" i="40" a="1"/>
  <c r="B686" i="40" l="1"/>
  <c r="F686" i="40" s="1"/>
  <c r="D688" i="40"/>
  <c r="B687" i="40" a="1"/>
  <c r="B687" i="40" l="1"/>
  <c r="F687" i="40" s="1"/>
  <c r="D689" i="40"/>
  <c r="B688" i="40" a="1"/>
  <c r="B688" i="40" l="1"/>
  <c r="F688" i="40" s="1"/>
  <c r="D690" i="40"/>
  <c r="B689" i="40" a="1"/>
  <c r="B689" i="40" l="1"/>
  <c r="F689" i="40" s="1"/>
  <c r="D691" i="40"/>
  <c r="B690" i="40" a="1"/>
  <c r="B690" i="40" l="1"/>
  <c r="F690" i="40" s="1"/>
  <c r="D692" i="40"/>
  <c r="B691" i="40" a="1"/>
  <c r="B691" i="40" l="1"/>
  <c r="F691" i="40" s="1"/>
  <c r="D693" i="40"/>
  <c r="B692" i="40" a="1"/>
  <c r="B692" i="40" l="1"/>
  <c r="F692" i="40" s="1"/>
  <c r="D694" i="40"/>
  <c r="B693" i="40" a="1"/>
  <c r="B693" i="40" l="1"/>
  <c r="F693" i="40" s="1"/>
  <c r="F695" i="40"/>
  <c r="D695" i="40"/>
  <c r="D696" i="40" s="1"/>
  <c r="B694" i="40" a="1"/>
  <c r="B694" i="40" l="1"/>
  <c r="F694" i="40" s="1"/>
  <c r="D697" i="40"/>
  <c r="B696" i="40" a="1"/>
  <c r="B696" i="40" l="1"/>
  <c r="F696" i="40" s="1"/>
  <c r="D698" i="40"/>
  <c r="B697" i="40" a="1"/>
  <c r="B697" i="40" l="1"/>
  <c r="F697" i="40" s="1"/>
  <c r="D699" i="40"/>
  <c r="B698" i="40" a="1"/>
  <c r="B698" i="40" l="1"/>
  <c r="F698" i="40" s="1"/>
  <c r="D700" i="40"/>
  <c r="B699" i="40" a="1"/>
  <c r="B699" i="40" l="1"/>
  <c r="F699" i="40" s="1"/>
  <c r="D701" i="40"/>
  <c r="B700" i="40" a="1"/>
  <c r="B700" i="40" l="1"/>
  <c r="F700" i="40" s="1"/>
  <c r="D702" i="40"/>
  <c r="B701" i="40" a="1"/>
  <c r="B701" i="40" l="1"/>
  <c r="F701" i="40" s="1"/>
  <c r="D703" i="40"/>
  <c r="B702" i="40" a="1"/>
  <c r="B702" i="40" l="1"/>
  <c r="F702" i="40" s="1"/>
  <c r="D704" i="40"/>
  <c r="B703" i="40" a="1"/>
  <c r="B703" i="40" l="1"/>
  <c r="F703" i="40" s="1"/>
  <c r="D705" i="40"/>
  <c r="B704" i="40" a="1"/>
  <c r="B704" i="40" l="1"/>
  <c r="F704" i="40" s="1"/>
  <c r="F706" i="40"/>
  <c r="D706" i="40"/>
  <c r="B705" i="40" a="1"/>
  <c r="D707" i="40" l="1"/>
  <c r="B705" i="40"/>
  <c r="F705" i="40" s="1"/>
  <c r="D708" i="40" l="1"/>
  <c r="B707" i="40" a="1"/>
  <c r="B707" i="40" l="1"/>
  <c r="F707" i="40" s="1"/>
  <c r="D709" i="40"/>
  <c r="B708" i="40" a="1"/>
  <c r="B708" i="40" l="1"/>
  <c r="F708" i="40" s="1"/>
  <c r="D710" i="40"/>
  <c r="B709" i="40" a="1"/>
  <c r="B709" i="40" l="1"/>
  <c r="F709" i="40" s="1"/>
  <c r="D711" i="40"/>
  <c r="B710" i="40" a="1"/>
  <c r="B710" i="40" l="1"/>
  <c r="F710" i="40" s="1"/>
  <c r="D712" i="40"/>
  <c r="B711" i="40" a="1"/>
  <c r="B711" i="40" l="1"/>
  <c r="F711" i="40" s="1"/>
  <c r="D713" i="40"/>
  <c r="B712" i="40" a="1"/>
  <c r="B712" i="40" l="1"/>
  <c r="F712" i="40" s="1"/>
  <c r="D714" i="40"/>
  <c r="B713" i="40" a="1"/>
  <c r="B713" i="40" l="1"/>
  <c r="F713" i="40" s="1"/>
  <c r="D715" i="40"/>
  <c r="B714" i="40" a="1"/>
  <c r="B714" i="40" l="1"/>
  <c r="F714" i="40" s="1"/>
  <c r="D716" i="40"/>
  <c r="B715" i="40" a="1"/>
  <c r="B715" i="40" l="1"/>
  <c r="F715" i="40" s="1"/>
  <c r="F717" i="40"/>
  <c r="D717" i="40"/>
  <c r="D718" i="40" s="1"/>
  <c r="B716" i="40" a="1"/>
  <c r="B716" i="40" l="1"/>
  <c r="F716" i="40" s="1"/>
  <c r="D719" i="40"/>
  <c r="B718" i="40" a="1"/>
  <c r="B718" i="40" l="1"/>
  <c r="F718" i="40" s="1"/>
  <c r="D720" i="40"/>
  <c r="B719" i="40" a="1"/>
  <c r="B719" i="40" l="1"/>
  <c r="F719" i="40" s="1"/>
  <c r="D721" i="40"/>
  <c r="B720" i="40" a="1"/>
  <c r="B720" i="40" l="1"/>
  <c r="F720" i="40" s="1"/>
  <c r="D722" i="40"/>
  <c r="B721" i="40" a="1"/>
  <c r="B721" i="40" l="1"/>
  <c r="F721" i="40" s="1"/>
  <c r="D723" i="40"/>
  <c r="B722" i="40" a="1"/>
  <c r="B722" i="40" l="1"/>
  <c r="F722" i="40" s="1"/>
  <c r="D724" i="40"/>
  <c r="B723" i="40" a="1"/>
  <c r="B723" i="40" l="1"/>
  <c r="F723" i="40" s="1"/>
  <c r="D725" i="40"/>
  <c r="B724" i="40" a="1"/>
  <c r="B724" i="40" l="1"/>
  <c r="F724" i="40" s="1"/>
  <c r="D726" i="40"/>
  <c r="B725" i="40" a="1"/>
  <c r="B725" i="40" l="1"/>
  <c r="F725" i="40" s="1"/>
  <c r="D727" i="40"/>
  <c r="B726" i="40" a="1"/>
  <c r="B726" i="40" l="1"/>
  <c r="F726" i="40" s="1"/>
  <c r="F728" i="40"/>
  <c r="D728" i="40"/>
  <c r="D729" i="40" s="1"/>
  <c r="B727" i="40" a="1"/>
  <c r="B727" i="40" l="1"/>
  <c r="F727" i="40" s="1"/>
  <c r="D730" i="40"/>
  <c r="B729" i="40" a="1"/>
  <c r="B729" i="40" l="1"/>
  <c r="F729" i="40" s="1"/>
  <c r="D731" i="40"/>
  <c r="B730" i="40" a="1"/>
  <c r="B730" i="40" l="1"/>
  <c r="F730" i="40" s="1"/>
  <c r="D732" i="40"/>
  <c r="B731" i="40" a="1"/>
  <c r="B731" i="40" l="1"/>
  <c r="F731" i="40" s="1"/>
  <c r="D733" i="40"/>
  <c r="B732" i="40" a="1"/>
  <c r="B732" i="40" l="1"/>
  <c r="F732" i="40" s="1"/>
  <c r="D734" i="40"/>
  <c r="B733" i="40" a="1"/>
  <c r="B733" i="40" l="1"/>
  <c r="F733" i="40" s="1"/>
  <c r="D735" i="40"/>
  <c r="B734" i="40" a="1"/>
  <c r="B734" i="40" l="1"/>
  <c r="F734" i="40" s="1"/>
  <c r="D736" i="40"/>
  <c r="B735" i="40" a="1"/>
  <c r="B735" i="40" l="1"/>
  <c r="F735" i="40" s="1"/>
  <c r="D737" i="40"/>
  <c r="B736" i="40" a="1"/>
  <c r="B736" i="40" l="1"/>
  <c r="F736" i="40" s="1"/>
  <c r="D738" i="40"/>
  <c r="B737" i="40" a="1"/>
  <c r="B737" i="40" l="1"/>
  <c r="F737" i="40" s="1"/>
  <c r="F739" i="40"/>
  <c r="D739" i="40"/>
  <c r="D740" i="40" s="1"/>
  <c r="B738" i="40" a="1"/>
  <c r="B738" i="40" l="1"/>
  <c r="F738" i="40" s="1"/>
  <c r="D741" i="40"/>
  <c r="B740" i="40" a="1"/>
  <c r="B740" i="40" l="1"/>
  <c r="F740" i="40" s="1"/>
  <c r="D742" i="40"/>
  <c r="B741" i="40" a="1"/>
  <c r="B741" i="40" l="1"/>
  <c r="F741" i="40" s="1"/>
  <c r="D743" i="40"/>
  <c r="B742" i="40" a="1"/>
  <c r="B742" i="40" l="1"/>
  <c r="F742" i="40" s="1"/>
  <c r="D744" i="40"/>
  <c r="B743" i="40" a="1"/>
  <c r="B743" i="40" l="1"/>
  <c r="F743" i="40" s="1"/>
  <c r="D745" i="40"/>
  <c r="B744" i="40" a="1"/>
  <c r="B744" i="40" l="1"/>
  <c r="F744" i="40" s="1"/>
  <c r="D746" i="40"/>
  <c r="B745" i="40" a="1"/>
  <c r="B745" i="40" l="1"/>
  <c r="F745" i="40" s="1"/>
  <c r="D747" i="40"/>
  <c r="B746" i="40" a="1"/>
  <c r="B746" i="40" l="1"/>
  <c r="F746" i="40" s="1"/>
  <c r="D748" i="40"/>
  <c r="B747" i="40" a="1"/>
  <c r="B747" i="40" l="1"/>
  <c r="F747" i="40" s="1"/>
  <c r="D749" i="40"/>
  <c r="B748" i="40" a="1"/>
  <c r="B748" i="40" l="1"/>
  <c r="F748" i="40" s="1"/>
  <c r="F750" i="40"/>
  <c r="D750" i="40"/>
  <c r="B749" i="40" a="1"/>
  <c r="D751" i="40" l="1"/>
  <c r="B749" i="40"/>
  <c r="F749" i="40" s="1"/>
  <c r="D752" i="40" l="1"/>
  <c r="B751" i="40" a="1"/>
  <c r="B751" i="40" l="1"/>
  <c r="F751" i="40" s="1"/>
  <c r="D753" i="40"/>
  <c r="B752" i="40" a="1"/>
  <c r="B752" i="40" l="1"/>
  <c r="F752" i="40" s="1"/>
  <c r="D754" i="40"/>
  <c r="B753" i="40" a="1"/>
  <c r="B753" i="40" l="1"/>
  <c r="F753" i="40" s="1"/>
  <c r="D755" i="40"/>
  <c r="B754" i="40" a="1"/>
  <c r="B754" i="40" l="1"/>
  <c r="F754" i="40" s="1"/>
  <c r="D756" i="40"/>
  <c r="B755" i="40" a="1"/>
  <c r="B755" i="40" l="1"/>
  <c r="F755" i="40" s="1"/>
  <c r="D757" i="40"/>
  <c r="B756" i="40" a="1"/>
  <c r="B756" i="40" l="1"/>
  <c r="F756" i="40" s="1"/>
  <c r="D758" i="40"/>
  <c r="B757" i="40" a="1"/>
  <c r="B757" i="40" l="1"/>
  <c r="F757" i="40" s="1"/>
  <c r="D759" i="40"/>
  <c r="B758" i="40" a="1"/>
  <c r="B758" i="40" l="1"/>
  <c r="F758" i="40" s="1"/>
  <c r="D760" i="40"/>
  <c r="B759" i="40" a="1"/>
  <c r="B759" i="40" l="1"/>
  <c r="F759" i="40" s="1"/>
  <c r="F761" i="40"/>
  <c r="D761" i="40"/>
  <c r="D762" i="40" s="1"/>
  <c r="B760" i="40" a="1"/>
  <c r="B760" i="40" l="1"/>
  <c r="F760" i="40" s="1"/>
  <c r="D763" i="40"/>
  <c r="B762" i="40" a="1"/>
  <c r="B762" i="40" l="1"/>
  <c r="F762" i="40" s="1"/>
  <c r="D764" i="40"/>
  <c r="B763" i="40" a="1"/>
  <c r="B763" i="40" l="1"/>
  <c r="F763" i="40" s="1"/>
  <c r="D765" i="40"/>
  <c r="B764" i="40" a="1"/>
  <c r="B764" i="40" l="1"/>
  <c r="F764" i="40" s="1"/>
  <c r="D766" i="40"/>
  <c r="B765" i="40" a="1"/>
  <c r="B765" i="40" l="1"/>
  <c r="F765" i="40" s="1"/>
  <c r="D767" i="40"/>
  <c r="B766" i="40" a="1"/>
  <c r="B766" i="40" l="1"/>
  <c r="F766" i="40" s="1"/>
  <c r="D768" i="40"/>
  <c r="B767" i="40" a="1"/>
  <c r="B767" i="40" l="1"/>
  <c r="F767" i="40" s="1"/>
  <c r="D769" i="40"/>
  <c r="B768" i="40" a="1"/>
  <c r="B768" i="40" l="1"/>
  <c r="F768" i="40" s="1"/>
  <c r="D770" i="40"/>
  <c r="B769" i="40" a="1"/>
  <c r="B769" i="40" l="1"/>
  <c r="F769" i="40" s="1"/>
  <c r="D771" i="40"/>
  <c r="B770" i="40" a="1"/>
  <c r="B770" i="40" l="1"/>
  <c r="F770" i="40" s="1"/>
  <c r="F772" i="40"/>
  <c r="D772" i="40"/>
  <c r="D773" i="40" s="1"/>
  <c r="B771" i="40" a="1"/>
  <c r="B771" i="40" l="1"/>
  <c r="F771" i="40" s="1"/>
  <c r="D774" i="40"/>
  <c r="B773" i="40" a="1"/>
  <c r="B773" i="40" l="1"/>
  <c r="F773" i="40" s="1"/>
  <c r="D775" i="40"/>
  <c r="B774" i="40" a="1"/>
  <c r="B774" i="40" l="1"/>
  <c r="F774" i="40" s="1"/>
  <c r="D776" i="40"/>
  <c r="B775" i="40" a="1"/>
  <c r="B775" i="40" l="1"/>
  <c r="F775" i="40" s="1"/>
  <c r="D777" i="40"/>
  <c r="B776" i="40" a="1"/>
  <c r="B776" i="40" l="1"/>
  <c r="F776" i="40" s="1"/>
  <c r="D778" i="40"/>
  <c r="B777" i="40" a="1"/>
  <c r="B777" i="40" l="1"/>
  <c r="F777" i="40" s="1"/>
  <c r="D779" i="40"/>
  <c r="B778" i="40" a="1"/>
  <c r="B778" i="40" l="1"/>
  <c r="F778" i="40" s="1"/>
  <c r="D780" i="40"/>
  <c r="B779" i="40" a="1"/>
  <c r="B779" i="40" l="1"/>
  <c r="F779" i="40" s="1"/>
  <c r="D781" i="40"/>
  <c r="B780" i="40" a="1"/>
  <c r="B780" i="40" l="1"/>
  <c r="F780" i="40" s="1"/>
  <c r="D782" i="40"/>
  <c r="B781" i="40" a="1"/>
  <c r="B781" i="40" l="1"/>
  <c r="F781" i="40" s="1"/>
  <c r="F783" i="40"/>
  <c r="D783" i="40"/>
  <c r="D784" i="40" s="1"/>
  <c r="B782" i="40" a="1"/>
  <c r="B782" i="40" l="1"/>
  <c r="F782" i="40" s="1"/>
  <c r="D785" i="40"/>
  <c r="B784" i="40" a="1"/>
  <c r="B784" i="40" l="1"/>
  <c r="F784" i="40" s="1"/>
  <c r="D786" i="40"/>
  <c r="B785" i="40" a="1"/>
  <c r="B785" i="40" l="1"/>
  <c r="F785" i="40" s="1"/>
  <c r="D787" i="40"/>
  <c r="B786" i="40" a="1"/>
  <c r="B786" i="40" l="1"/>
  <c r="F786" i="40" s="1"/>
  <c r="D788" i="40"/>
  <c r="B787" i="40" a="1"/>
  <c r="B787" i="40" l="1"/>
  <c r="F787" i="40" s="1"/>
  <c r="D789" i="40"/>
  <c r="B788" i="40" a="1"/>
  <c r="B788" i="40" l="1"/>
  <c r="F788" i="40" s="1"/>
  <c r="D790" i="40"/>
  <c r="B789" i="40" a="1"/>
  <c r="B789" i="40" l="1"/>
  <c r="F789" i="40" s="1"/>
  <c r="D791" i="40"/>
  <c r="B790" i="40" a="1"/>
  <c r="B790" i="40" l="1"/>
  <c r="F790" i="40" s="1"/>
  <c r="D792" i="40"/>
  <c r="B791" i="40" a="1"/>
  <c r="B791" i="40" l="1"/>
  <c r="F791" i="40" s="1"/>
  <c r="D793" i="40"/>
  <c r="B792" i="40" a="1"/>
  <c r="B792" i="40" l="1"/>
  <c r="F792" i="40" s="1"/>
  <c r="F794" i="40"/>
  <c r="D794" i="40"/>
  <c r="D795" i="40" s="1"/>
  <c r="B793" i="40" a="1"/>
  <c r="D796" i="40" l="1"/>
  <c r="B793" i="40"/>
  <c r="F793" i="40" s="1"/>
  <c r="B795" i="40" a="1"/>
  <c r="B795" i="40" l="1"/>
  <c r="F795" i="40" s="1"/>
  <c r="D797" i="40"/>
  <c r="B796" i="40" a="1"/>
  <c r="B796" i="40" l="1"/>
  <c r="F796" i="40" s="1"/>
  <c r="D798" i="40"/>
  <c r="B797" i="40" a="1"/>
  <c r="B797" i="40" l="1"/>
  <c r="F797" i="40" s="1"/>
  <c r="D799" i="40"/>
  <c r="B798" i="40" a="1"/>
  <c r="B798" i="40" l="1"/>
  <c r="F798" i="40" s="1"/>
  <c r="D800" i="40"/>
  <c r="B799" i="40" a="1"/>
  <c r="B799" i="40" l="1"/>
  <c r="F799" i="40" s="1"/>
  <c r="D801" i="40"/>
  <c r="B800" i="40" a="1"/>
  <c r="B800" i="40" l="1"/>
  <c r="F800" i="40" s="1"/>
  <c r="D802" i="40"/>
  <c r="B801" i="40" a="1"/>
  <c r="B801" i="40" l="1"/>
  <c r="F801" i="40" s="1"/>
  <c r="D803" i="40"/>
  <c r="B802" i="40" a="1"/>
  <c r="B802" i="40" l="1"/>
  <c r="F802" i="40" s="1"/>
  <c r="D804" i="40"/>
  <c r="B803" i="40" a="1"/>
  <c r="B803" i="40" l="1"/>
  <c r="F803" i="40" s="1"/>
  <c r="F805" i="40"/>
  <c r="D805" i="40"/>
  <c r="D806" i="40" s="1"/>
  <c r="B804" i="40" a="1"/>
  <c r="B804" i="40" l="1"/>
  <c r="F804" i="40" s="1"/>
  <c r="D807" i="40"/>
  <c r="B806" i="40" a="1"/>
  <c r="B806" i="40" l="1"/>
  <c r="F806" i="40" s="1"/>
  <c r="D808" i="40"/>
  <c r="B807" i="40" a="1"/>
  <c r="B807" i="40" l="1"/>
  <c r="F807" i="40" s="1"/>
  <c r="D809" i="40"/>
  <c r="B808" i="40" a="1"/>
  <c r="B808" i="40" l="1"/>
  <c r="F808" i="40" s="1"/>
  <c r="D810" i="40"/>
  <c r="B809" i="40" a="1"/>
  <c r="B809" i="40" l="1"/>
  <c r="F809" i="40" s="1"/>
  <c r="D811" i="40"/>
  <c r="B810" i="40" a="1"/>
  <c r="B810" i="40" l="1"/>
  <c r="F810" i="40" s="1"/>
  <c r="D812" i="40"/>
  <c r="B811" i="40" a="1"/>
  <c r="B811" i="40" l="1"/>
  <c r="F811" i="40" s="1"/>
  <c r="D813" i="40"/>
  <c r="B812" i="40" a="1"/>
  <c r="B812" i="40" l="1"/>
  <c r="F812" i="40" s="1"/>
  <c r="D814" i="40"/>
  <c r="B813" i="40" a="1"/>
  <c r="B813" i="40" l="1"/>
  <c r="F813" i="40" s="1"/>
  <c r="D815" i="40"/>
  <c r="B814" i="40" a="1"/>
  <c r="B814" i="40" l="1"/>
  <c r="F814" i="40" s="1"/>
  <c r="F816" i="40"/>
  <c r="D816" i="40"/>
  <c r="D817" i="40" s="1"/>
  <c r="B815" i="40" a="1"/>
  <c r="B815" i="40" l="1"/>
  <c r="F815" i="40" s="1"/>
  <c r="D818" i="40"/>
  <c r="B817" i="40" a="1"/>
  <c r="B817" i="40" l="1"/>
  <c r="F817" i="40" s="1"/>
  <c r="D819" i="40"/>
  <c r="B818" i="40" a="1"/>
  <c r="B818" i="40" l="1"/>
  <c r="F818" i="40" s="1"/>
  <c r="D820" i="40"/>
  <c r="B819" i="40" a="1"/>
  <c r="B819" i="40" l="1"/>
  <c r="F819" i="40" s="1"/>
  <c r="D821" i="40"/>
  <c r="B820" i="40" a="1"/>
  <c r="B820" i="40" l="1"/>
  <c r="F820" i="40" s="1"/>
  <c r="D822" i="40"/>
  <c r="B821" i="40" a="1"/>
  <c r="B821" i="40" l="1"/>
  <c r="F821" i="40" s="1"/>
  <c r="D823" i="40"/>
  <c r="B822" i="40" a="1"/>
  <c r="B822" i="40" l="1"/>
  <c r="F822" i="40" s="1"/>
  <c r="D824" i="40"/>
  <c r="B823" i="40" a="1"/>
  <c r="B823" i="40" l="1"/>
  <c r="F823" i="40" s="1"/>
  <c r="D825" i="40"/>
  <c r="B824" i="40" a="1"/>
  <c r="B824" i="40" l="1"/>
  <c r="F824" i="40" s="1"/>
  <c r="D826" i="40"/>
  <c r="B825" i="40" a="1"/>
  <c r="B825" i="40" l="1"/>
  <c r="F825" i="40" s="1"/>
  <c r="F827" i="40"/>
  <c r="D827" i="40"/>
  <c r="D828" i="40" s="1"/>
  <c r="B826" i="40" a="1"/>
  <c r="B826" i="40" l="1"/>
  <c r="F826" i="40" s="1"/>
  <c r="D829" i="40"/>
  <c r="B828" i="40" a="1"/>
  <c r="B828" i="40" l="1"/>
  <c r="F828" i="40" s="1"/>
  <c r="D830" i="40"/>
  <c r="B829" i="40" a="1"/>
  <c r="B829" i="40" l="1"/>
  <c r="F829" i="40" s="1"/>
  <c r="D831" i="40"/>
  <c r="B830" i="40" a="1"/>
  <c r="B830" i="40" l="1"/>
  <c r="F830" i="40" s="1"/>
  <c r="D832" i="40"/>
  <c r="B831" i="40" a="1"/>
  <c r="B831" i="40" l="1"/>
  <c r="F831" i="40" s="1"/>
  <c r="D833" i="40"/>
  <c r="B832" i="40" a="1"/>
  <c r="B832" i="40" l="1"/>
  <c r="F832" i="40" s="1"/>
  <c r="D834" i="40"/>
  <c r="B833" i="40" a="1"/>
  <c r="B833" i="40" l="1"/>
  <c r="F833" i="40" s="1"/>
  <c r="D835" i="40"/>
  <c r="B834" i="40" a="1"/>
  <c r="B834" i="40" l="1"/>
  <c r="F834" i="40" s="1"/>
  <c r="D836" i="40"/>
  <c r="B835" i="40" a="1"/>
  <c r="B835" i="40" l="1"/>
  <c r="F835" i="40" s="1"/>
  <c r="D837" i="40"/>
  <c r="B836" i="40" a="1"/>
  <c r="B836" i="40" l="1"/>
  <c r="F836" i="40" s="1"/>
  <c r="F838" i="40"/>
  <c r="D838" i="40"/>
  <c r="B837" i="40" a="1"/>
  <c r="B837" i="40" l="1"/>
  <c r="F837"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tc={13083093-4915-4A3B-84B2-4FB542DB2309}</author>
  </authors>
  <commentList>
    <comment ref="B36" authorId="0" shapeId="0" xr:uid="{13083093-4915-4A3B-84B2-4FB542DB2309}">
      <text>
        <t>[Threaded comment]
Your version of Excel allows you to read this threaded comment; however, any edits to it will get removed if the file is opened in a newer version of Excel. Learn more: https://go.microsoft.com/fwlink/?linkid=870924
Comment:
    FULLRIGHTS =
[Pcode + "0" + RightsCode Group (CODE)]
Don't forget to put 0 (zero) between them!!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tc={B65C83AF-84EF-4F86-A3A9-850CF067A76D}</author>
  </authors>
  <commentList>
    <comment ref="E12" authorId="0" shapeId="0" xr:uid="{B65C83AF-84EF-4F86-A3A9-850CF067A76D}">
      <text>
        <t>[Threaded comment]
Your version of Excel allows you to read this threaded comment; however, any edits to it will get removed if the file is opened in a newer version of Excel. Learn more: https://go.microsoft.com/fwlink/?linkid=870924
Comment:
    Click to link to WorkSheet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<sst xmlns="http://schemas.openxmlformats.org/spreadsheetml/2006/main" count="6520" uniqueCount="1453">
  <si>
    <t>GO</t>
  </si>
  <si>
    <t/>
  </si>
  <si>
    <t>SET ANSI_NULLS ON</t>
  </si>
  <si>
    <t>SET QUOTED_IDENTIFIER ON</t>
  </si>
  <si>
    <t>SET ANSI_PADDING ON</t>
  </si>
  <si>
    <t xml:space="preserve">Ascending  </t>
  </si>
  <si>
    <t>(</t>
  </si>
  <si>
    <t>)WITH (PAD_INDEX  = OFF, STATISTICS_NORECOMPUTE  = OFF, IGNORE_DUP_KEY = OFF, ALLOW_ROW_LOCKS  = ON, ALLOW_PAGE_LOCKS  = ON, FILLFACTOR = 60) ON [PRIMARY]</t>
  </si>
  <si>
    <t>) ON [PRIMARY]</t>
  </si>
  <si>
    <t>SET ANSI_PADDING OFF</t>
  </si>
  <si>
    <t>TYPE</t>
  </si>
  <si>
    <t>varchar</t>
  </si>
  <si>
    <t>datetime</t>
  </si>
  <si>
    <t>NO</t>
  </si>
  <si>
    <t>FIELDNAME</t>
  </si>
  <si>
    <t>SIZE</t>
  </si>
  <si>
    <t>TABLE NAME</t>
  </si>
  <si>
    <t>INDEX NAME</t>
  </si>
  <si>
    <t>ORDER</t>
  </si>
  <si>
    <t>DATABASE</t>
  </si>
  <si>
    <t>SIBISDB</t>
  </si>
  <si>
    <t>TABLE DETAILS</t>
  </si>
  <si>
    <t>SYNTAX CORRECTED</t>
  </si>
  <si>
    <t>INDEX DETAILS (PRIMARY KEY)</t>
  </si>
  <si>
    <t>FIELD NAME</t>
  </si>
  <si>
    <t>FIELD NO</t>
  </si>
  <si>
    <t>INQ ORDER</t>
  </si>
  <si>
    <t>No</t>
  </si>
  <si>
    <t>Action</t>
  </si>
  <si>
    <t>Difficult Rate</t>
  </si>
  <si>
    <t>Mandays</t>
  </si>
  <si>
    <t>Function Description</t>
  </si>
  <si>
    <t>(1-10)</t>
  </si>
  <si>
    <t>ENG LABEL</t>
  </si>
  <si>
    <t>THA LABEL</t>
  </si>
  <si>
    <t>ENG</t>
  </si>
  <si>
    <t>THA</t>
  </si>
  <si>
    <t>TotalRec</t>
  </si>
  <si>
    <t>nSampleSelect</t>
  </si>
  <si>
    <t>cLangCol</t>
  </si>
  <si>
    <t>cLangList</t>
  </si>
  <si>
    <t>cLangSelect</t>
  </si>
  <si>
    <t>Type</t>
  </si>
  <si>
    <t>Database</t>
  </si>
  <si>
    <t>Table Generate and Adjustment</t>
  </si>
  <si>
    <t>(Details form Function Sheet)</t>
  </si>
  <si>
    <t>ManDays</t>
  </si>
  <si>
    <t>Calendar</t>
  </si>
  <si>
    <t>Month(s)--&gt;</t>
  </si>
  <si>
    <t>UAT</t>
  </si>
  <si>
    <t>Programming &amp; Report Generate</t>
  </si>
  <si>
    <t>Calendar Days</t>
  </si>
  <si>
    <t>Conceptual</t>
  </si>
  <si>
    <t>Adjustingment (Program, Report)</t>
  </si>
  <si>
    <t>Description</t>
  </si>
  <si>
    <t>Function (Items)</t>
  </si>
  <si>
    <t>DB Diagram</t>
  </si>
  <si>
    <t>Workflow Diagram</t>
  </si>
  <si>
    <t>Order</t>
  </si>
  <si>
    <t>001</t>
  </si>
  <si>
    <t>Event_Function</t>
  </si>
  <si>
    <t>Y</t>
  </si>
  <si>
    <t>003</t>
  </si>
  <si>
    <t>002</t>
  </si>
  <si>
    <t>Exit</t>
  </si>
  <si>
    <t>N</t>
  </si>
  <si>
    <t>showmsg</t>
  </si>
  <si>
    <t>Parameter01</t>
  </si>
  <si>
    <t>Parameter02</t>
  </si>
  <si>
    <t>Parameter03</t>
  </si>
  <si>
    <t>vbYesNo</t>
  </si>
  <si>
    <t>Status</t>
  </si>
  <si>
    <t>ClassOfRisk</t>
  </si>
  <si>
    <t>Currency</t>
  </si>
  <si>
    <t>EntryBy</t>
  </si>
  <si>
    <t>EntryDate</t>
  </si>
  <si>
    <t>SAVE PCLAIM</t>
  </si>
  <si>
    <t>Save Property Claim</t>
  </si>
  <si>
    <t>Task</t>
  </si>
  <si>
    <t>Internal</t>
  </si>
  <si>
    <t>Call</t>
  </si>
  <si>
    <t>Module</t>
  </si>
  <si>
    <t>Choice</t>
  </si>
  <si>
    <t>Yes</t>
  </si>
  <si>
    <t>Parameter04</t>
  </si>
  <si>
    <t>Parameter05</t>
  </si>
  <si>
    <t>Conditon</t>
  </si>
  <si>
    <t>Parameter06</t>
  </si>
  <si>
    <t>Parameter07</t>
  </si>
  <si>
    <t>Parameter08</t>
  </si>
  <si>
    <t>Parameter09</t>
  </si>
  <si>
    <t>Parameter10</t>
  </si>
  <si>
    <t>PLEASE CONFIRM</t>
  </si>
  <si>
    <t>SAVE DATA</t>
  </si>
  <si>
    <t>vbOKOnly</t>
  </si>
  <si>
    <t>A</t>
  </si>
  <si>
    <t>B</t>
  </si>
  <si>
    <t>C</t>
  </si>
  <si>
    <t>D</t>
  </si>
  <si>
    <t>E</t>
  </si>
  <si>
    <t>F</t>
  </si>
  <si>
    <t>G</t>
  </si>
  <si>
    <t>H</t>
  </si>
  <si>
    <t>I</t>
  </si>
  <si>
    <t>J</t>
  </si>
  <si>
    <t>K</t>
  </si>
  <si>
    <t>L</t>
  </si>
  <si>
    <t>M</t>
  </si>
  <si>
    <t>O</t>
  </si>
  <si>
    <t>P</t>
  </si>
  <si>
    <t>Q</t>
  </si>
  <si>
    <t>R</t>
  </si>
  <si>
    <t>S</t>
  </si>
  <si>
    <t>T</t>
  </si>
  <si>
    <t>U</t>
  </si>
  <si>
    <t>V</t>
  </si>
  <si>
    <t>W</t>
  </si>
  <si>
    <t>X</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</si>
  <si>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</si>
  <si>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</si>
  <si>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</si>
  <si>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</si>
  <si>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</si>
  <si>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</si>
  <si>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</si>
  <si>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</si>
  <si>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</si>
  <si>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</si>
  <si>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</si>
  <si>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</si>
  <si>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</si>
  <si>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</si>
  <si>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</si>
  <si>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</si>
  <si>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</si>
  <si>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</si>
  <si>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</si>
  <si>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</si>
  <si>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</si>
  <si>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</si>
  <si>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</si>
  <si>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</si>
  <si>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</si>
  <si>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</si>
  <si>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</si>
  <si>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</si>
  <si>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</si>
  <si>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</si>
  <si>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</si>
  <si>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</si>
  <si>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</si>
  <si>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</si>
  <si>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</si>
  <si>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</si>
  <si>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</si>
  <si>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</si>
  <si>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</si>
  <si>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</si>
  <si>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</si>
  <si>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</si>
  <si>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</si>
  <si>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</si>
  <si>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</si>
  <si>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</si>
  <si>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</si>
  <si>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</si>
  <si>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</si>
  <si>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</si>
  <si>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</si>
  <si>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</si>
  <si>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</si>
  <si>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</si>
  <si>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</si>
  <si>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</si>
  <si>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</si>
  <si>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</si>
  <si>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</si>
  <si>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</si>
  <si>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</si>
  <si>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</si>
  <si>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</si>
  <si>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</si>
  <si>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</si>
  <si>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</si>
  <si>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</si>
  <si>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</si>
  <si>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</si>
  <si>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</si>
  <si>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</si>
  <si>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</si>
  <si>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</si>
  <si>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</si>
  <si>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</si>
  <si>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</si>
  <si>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</si>
  <si>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</si>
  <si>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</si>
  <si>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</si>
  <si>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EA</t>
  </si>
  <si>
    <t>DB</t>
  </si>
  <si>
    <t>EB</t>
  </si>
  <si>
    <t>DC</t>
  </si>
  <si>
    <t>EC</t>
  </si>
  <si>
    <t>DD</t>
  </si>
  <si>
    <t>ED</t>
  </si>
  <si>
    <t>DE</t>
  </si>
  <si>
    <t>EE</t>
  </si>
  <si>
    <t>DF</t>
  </si>
  <si>
    <t>EF</t>
  </si>
  <si>
    <t>DG</t>
  </si>
  <si>
    <t>EG</t>
  </si>
  <si>
    <t>DH</t>
  </si>
  <si>
    <t>EH</t>
  </si>
  <si>
    <t>DI</t>
  </si>
  <si>
    <t>EI</t>
  </si>
  <si>
    <t>DJ</t>
  </si>
  <si>
    <t>EJ</t>
  </si>
  <si>
    <t>DK</t>
  </si>
  <si>
    <t>EK</t>
  </si>
  <si>
    <t>DL</t>
  </si>
  <si>
    <t>EL</t>
  </si>
  <si>
    <t>DM</t>
  </si>
  <si>
    <t>EM</t>
  </si>
  <si>
    <t>DN</t>
  </si>
  <si>
    <t>EN</t>
  </si>
  <si>
    <t>DO</t>
  </si>
  <si>
    <t>EO</t>
  </si>
  <si>
    <t>DP</t>
  </si>
  <si>
    <t>EP</t>
  </si>
  <si>
    <t>DQ</t>
  </si>
  <si>
    <t>EQ</t>
  </si>
  <si>
    <t>DR</t>
  </si>
  <si>
    <t>ER</t>
  </si>
  <si>
    <t>DS</t>
  </si>
  <si>
    <t>ES</t>
  </si>
  <si>
    <t>DT</t>
  </si>
  <si>
    <t>ET</t>
  </si>
  <si>
    <t>DU</t>
  </si>
  <si>
    <t>EU</t>
  </si>
  <si>
    <t>DV</t>
  </si>
  <si>
    <t>EV</t>
  </si>
  <si>
    <t>DW</t>
  </si>
  <si>
    <t>EW</t>
  </si>
  <si>
    <t>DX</t>
  </si>
  <si>
    <t>EX</t>
  </si>
  <si>
    <t>DY</t>
  </si>
  <si>
    <t>EY</t>
  </si>
  <si>
    <t>DZ</t>
  </si>
  <si>
    <t>EZ</t>
  </si>
  <si>
    <t>FA</t>
  </si>
  <si>
    <t>GA</t>
  </si>
  <si>
    <t>FB</t>
  </si>
  <si>
    <t>GB</t>
  </si>
  <si>
    <t>FC</t>
  </si>
  <si>
    <t>GC</t>
  </si>
  <si>
    <t>FD</t>
  </si>
  <si>
    <t>GD</t>
  </si>
  <si>
    <t>FE</t>
  </si>
  <si>
    <t>GE</t>
  </si>
  <si>
    <t>FF</t>
  </si>
  <si>
    <t>GF</t>
  </si>
  <si>
    <t>FG</t>
  </si>
  <si>
    <t>GG</t>
  </si>
  <si>
    <t>FH</t>
  </si>
  <si>
    <t>GH</t>
  </si>
  <si>
    <t>FI</t>
  </si>
  <si>
    <t>GI</t>
  </si>
  <si>
    <t>FJ</t>
  </si>
  <si>
    <t>GJ</t>
  </si>
  <si>
    <t>FK</t>
  </si>
  <si>
    <t>GK</t>
  </si>
  <si>
    <t>FL</t>
  </si>
  <si>
    <t>GL</t>
  </si>
  <si>
    <t>FM</t>
  </si>
  <si>
    <t>GM</t>
  </si>
  <si>
    <t>FN</t>
  </si>
  <si>
    <t>GN</t>
  </si>
  <si>
    <t>FO</t>
  </si>
  <si>
    <t>FP</t>
  </si>
  <si>
    <t>GP</t>
  </si>
  <si>
    <t>FQ</t>
  </si>
  <si>
    <t>GQ</t>
  </si>
  <si>
    <t>FR</t>
  </si>
  <si>
    <t>GR</t>
  </si>
  <si>
    <t>FS</t>
  </si>
  <si>
    <t>GS</t>
  </si>
  <si>
    <t>FT</t>
  </si>
  <si>
    <t>GT</t>
  </si>
  <si>
    <t>FU</t>
  </si>
  <si>
    <t>GU</t>
  </si>
  <si>
    <t>FV</t>
  </si>
  <si>
    <t>GV</t>
  </si>
  <si>
    <t>FW</t>
  </si>
  <si>
    <t>GW</t>
  </si>
  <si>
    <t>FX</t>
  </si>
  <si>
    <t>GX</t>
  </si>
  <si>
    <t>FY</t>
  </si>
  <si>
    <t>GY</t>
  </si>
  <si>
    <t>FZ</t>
  </si>
  <si>
    <t>GZ</t>
  </si>
  <si>
    <t>COLNO</t>
  </si>
  <si>
    <t>LETTER</t>
  </si>
  <si>
    <t>TAB01</t>
  </si>
  <si>
    <t>TAB02</t>
  </si>
  <si>
    <t>TAB03</t>
  </si>
  <si>
    <t>DETAIL ORDER</t>
  </si>
  <si>
    <t>Risk</t>
  </si>
  <si>
    <t>EXIT ONLY</t>
  </si>
  <si>
    <t>Only Exit Program</t>
  </si>
  <si>
    <t>MSG ONLY</t>
  </si>
  <si>
    <t>Show Message Only</t>
  </si>
  <si>
    <t>aGoToMain</t>
  </si>
  <si>
    <t>ID</t>
  </si>
  <si>
    <t>Underwriter</t>
  </si>
  <si>
    <t>QUOTATION</t>
  </si>
  <si>
    <t>SEQNO</t>
  </si>
  <si>
    <t>Address1</t>
  </si>
  <si>
    <t>Address2</t>
  </si>
  <si>
    <t>City</t>
  </si>
  <si>
    <t>Address 1</t>
  </si>
  <si>
    <t>Address 2</t>
  </si>
  <si>
    <t>Zip Code</t>
  </si>
  <si>
    <t>Entry By</t>
  </si>
  <si>
    <t>Entry Date</t>
  </si>
  <si>
    <t>Database Design</t>
  </si>
  <si>
    <t>Quotation Workflow , Developing Method and Screen Design</t>
  </si>
  <si>
    <t>Programming</t>
  </si>
  <si>
    <t>DevExpress - Report Server</t>
  </si>
  <si>
    <t xml:space="preserve">Report - Quotation Document Design </t>
  </si>
  <si>
    <t>Dashboard - Quotaion Design</t>
  </si>
  <si>
    <t>Combine to Webpage</t>
  </si>
  <si>
    <t>Document Management - Plug In (Wikran)</t>
  </si>
  <si>
    <t>DevExtreme UI - Edit Page (CRUD/Validation) (Wikran)</t>
  </si>
  <si>
    <t>DevExtreme UI - DataGrid Read Only (Wikran)</t>
  </si>
  <si>
    <t>DevExtreme  Main Page design + MENU + Theme (Wikran)</t>
  </si>
  <si>
    <t>API - Data Connection CRUD - By Javascript ES6 (Wachiraphan)</t>
  </si>
  <si>
    <t>API - Data Validation and Calculation Javascript ES6 (Wachiraphan/Wikran)</t>
  </si>
  <si>
    <t>Excel for Page Generate (Script + HTML5 Generte) All Pages (Wikran)</t>
  </si>
  <si>
    <t>Wikran</t>
  </si>
  <si>
    <t>ClientType</t>
  </si>
  <si>
    <t>MobileNo</t>
  </si>
  <si>
    <t>{</t>
  </si>
  <si>
    <t>}</t>
  </si>
  <si>
    <t>},</t>
  </si>
  <si>
    <t>Client Type</t>
  </si>
  <si>
    <t>Client Code</t>
  </si>
  <si>
    <t>Mobile No</t>
  </si>
  <si>
    <t>PROSPECT</t>
  </si>
  <si>
    <t>Division</t>
  </si>
  <si>
    <t>IDCardNo</t>
  </si>
  <si>
    <t>UNDERWRITER</t>
  </si>
  <si>
    <t>RISK</t>
  </si>
  <si>
    <t>INSURED-PROPERTY</t>
  </si>
  <si>
    <t>CLIENTS</t>
  </si>
  <si>
    <t>RISKUNDERWRITER</t>
  </si>
  <si>
    <t>POLICY</t>
  </si>
  <si>
    <t>wikran-w10</t>
  </si>
  <si>
    <t>b18e9f22-2069-4f35-9739-4d7f976335eb</t>
  </si>
  <si>
    <t>aDbServer</t>
  </si>
  <si>
    <t>aDbTokenKey</t>
  </si>
  <si>
    <t>aUserID</t>
  </si>
  <si>
    <t>aUserTokenKey</t>
  </si>
  <si>
    <t>A75FCC75-8FB6-4460-B3F6-7070B4437930</t>
  </si>
  <si>
    <t>number</t>
  </si>
  <si>
    <t>dataType</t>
  </si>
  <si>
    <t>format</t>
  </si>
  <si>
    <t>allowHiding</t>
  </si>
  <si>
    <t>false</t>
  </si>
  <si>
    <t>fixedPoint</t>
  </si>
  <si>
    <t>&gt;9000 = Hide</t>
  </si>
  <si>
    <t>visible</t>
  </si>
  <si>
    <t>aBoolean</t>
  </si>
  <si>
    <t>aDataType</t>
  </si>
  <si>
    <t>date</t>
  </si>
  <si>
    <t>aFormat</t>
  </si>
  <si>
    <t>Phone</t>
  </si>
  <si>
    <t>aFValue</t>
  </si>
  <si>
    <t>title</t>
  </si>
  <si>
    <t>height</t>
  </si>
  <si>
    <t>true</t>
  </si>
  <si>
    <t>width</t>
  </si>
  <si>
    <t>my</t>
  </si>
  <si>
    <t>at</t>
  </si>
  <si>
    <t>of</t>
  </si>
  <si>
    <t>position</t>
  </si>
  <si>
    <t>showTitle</t>
  </si>
  <si>
    <t>(Attachment File)</t>
  </si>
  <si>
    <t>Client</t>
  </si>
  <si>
    <t>Quotation / Quotation Version / Diagram / Insure-Property / Server</t>
  </si>
  <si>
    <t>Press Yes To EXIT</t>
  </si>
  <si>
    <t>icon</t>
  </si>
  <si>
    <t>alabel</t>
  </si>
  <si>
    <t>url</t>
  </si>
  <si>
    <t>categoryid</t>
  </si>
  <si>
    <t>name</t>
  </si>
  <si>
    <t>MenuTable</t>
  </si>
  <si>
    <t xml:space="preserve">Icon </t>
  </si>
  <si>
    <t>Icon</t>
  </si>
  <si>
    <t>URL</t>
  </si>
  <si>
    <t>Menu Name</t>
  </si>
  <si>
    <t>rightsgroup</t>
  </si>
  <si>
    <t>nvarchar</t>
  </si>
  <si>
    <t>Rights Group</t>
  </si>
  <si>
    <t>Clients</t>
  </si>
  <si>
    <t>Insurers</t>
  </si>
  <si>
    <t>Class Of Risk</t>
  </si>
  <si>
    <t>Account Executive</t>
  </si>
  <si>
    <t>Admin</t>
  </si>
  <si>
    <t>CATEGORY</t>
  </si>
  <si>
    <t>DBTOKEN</t>
  </si>
  <si>
    <t>DESC.</t>
  </si>
  <si>
    <t>FIELDS</t>
  </si>
  <si>
    <t>ENTRYBY</t>
  </si>
  <si>
    <t>Password</t>
  </si>
  <si>
    <t>Active</t>
  </si>
  <si>
    <t>bit</t>
  </si>
  <si>
    <t>Scopebase</t>
  </si>
  <si>
    <t>Department</t>
  </si>
  <si>
    <t>Nickname</t>
  </si>
  <si>
    <t>PictureLoc</t>
  </si>
  <si>
    <t>TableName</t>
  </si>
  <si>
    <t>caption</t>
  </si>
  <si>
    <t>sortOrder</t>
  </si>
  <si>
    <t>SQLITE</t>
  </si>
  <si>
    <t>MSSQL</t>
  </si>
  <si>
    <t>aDBProvider</t>
  </si>
  <si>
    <t>cProvider</t>
  </si>
  <si>
    <t>cbb91dcb-9e28-438f-91ad-ed5ffe143802</t>
  </si>
  <si>
    <t>DBTOKENKEY</t>
  </si>
  <si>
    <t>PROVIDOR</t>
  </si>
  <si>
    <t>[GENERATE TABLE - MSSQL COMMAND]</t>
  </si>
  <si>
    <t>GENERATE TABLE - SQLITE</t>
  </si>
  <si>
    <t>asc</t>
  </si>
  <si>
    <t>dd/MM/yyyy</t>
  </si>
  <si>
    <t>AccountExecutive</t>
  </si>
  <si>
    <t>PrimaryKey</t>
  </si>
  <si>
    <t>pageID</t>
  </si>
  <si>
    <t>Page ID</t>
  </si>
  <si>
    <t>326459ff-7ea6-4465-a946-9326b783d492</t>
  </si>
  <si>
    <t>MasterPageSetUp</t>
  </si>
  <si>
    <t>QueryStr</t>
  </si>
  <si>
    <t>TBKey</t>
  </si>
  <si>
    <t>d1a42aa7-349e-477c-8f26-75781206caeb</t>
  </si>
  <si>
    <t>Name</t>
  </si>
  <si>
    <t>Address3</t>
  </si>
  <si>
    <t>Address 3</t>
  </si>
  <si>
    <t>PhoneBusiness</t>
  </si>
  <si>
    <t>PhoneHome</t>
  </si>
  <si>
    <t>Business Tel.</t>
  </si>
  <si>
    <t>Home Tel.</t>
  </si>
  <si>
    <t>RiskGroupI</t>
  </si>
  <si>
    <t>RiskGroupII</t>
  </si>
  <si>
    <t>RiskShortDesc</t>
  </si>
  <si>
    <t>RiskGovernment</t>
  </si>
  <si>
    <t>a138191b-8943-43dc-99a0-21b42837f205</t>
  </si>
  <si>
    <t>CrossReference</t>
  </si>
  <si>
    <t>PostCode</t>
  </si>
  <si>
    <t>Facsimile</t>
  </si>
  <si>
    <t>AccountContact</t>
  </si>
  <si>
    <t>Addressee</t>
  </si>
  <si>
    <t>Salutation</t>
  </si>
  <si>
    <t>DaysCredit</t>
  </si>
  <si>
    <t>TrueUnderwriter</t>
  </si>
  <si>
    <t>FinanceContact</t>
  </si>
  <si>
    <t>GeneralClaimContact</t>
  </si>
  <si>
    <t>InsuranceLine</t>
  </si>
  <si>
    <t>VATPayType</t>
  </si>
  <si>
    <t>PhoneFinance</t>
  </si>
  <si>
    <t>PhoneClaims</t>
  </si>
  <si>
    <t>FaxFinance</t>
  </si>
  <si>
    <t>FaxClaims</t>
  </si>
  <si>
    <t>smallint</t>
  </si>
  <si>
    <t>2579415e-2599-4fb8-a1f4-3ee3648d87cb</t>
  </si>
  <si>
    <t>Insurer Code</t>
  </si>
  <si>
    <t>Short Name</t>
  </si>
  <si>
    <t>Home Tel</t>
  </si>
  <si>
    <t>Business Tel</t>
  </si>
  <si>
    <t>Fax</t>
  </si>
  <si>
    <t>Account Contact</t>
  </si>
  <si>
    <t>Days Credit</t>
  </si>
  <si>
    <t>Finance Contact</t>
  </si>
  <si>
    <t>Insurance Line</t>
  </si>
  <si>
    <t>General Claim Contact</t>
  </si>
  <si>
    <t>VAT Pay Type</t>
  </si>
  <si>
    <t>Finance Tel</t>
  </si>
  <si>
    <t>Claims Tel</t>
  </si>
  <si>
    <t>Finance Fax</t>
  </si>
  <si>
    <t>Claims Fax</t>
  </si>
  <si>
    <t>validationRules</t>
  </si>
  <si>
    <t>// column list</t>
  </si>
  <si>
    <t>Column with comma</t>
  </si>
  <si>
    <t>email</t>
  </si>
  <si>
    <t>telephone</t>
  </si>
  <si>
    <t>User Name</t>
  </si>
  <si>
    <t>Token Key</t>
  </si>
  <si>
    <t>Group Rights</t>
  </si>
  <si>
    <t>Items</t>
  </si>
  <si>
    <t>otp</t>
  </si>
  <si>
    <t>OTP</t>
  </si>
  <si>
    <t>User ID</t>
  </si>
  <si>
    <t>Key Rights</t>
  </si>
  <si>
    <t>Email</t>
  </si>
  <si>
    <t>Telephone</t>
  </si>
  <si>
    <t>Picture Location</t>
  </si>
  <si>
    <t>Nick name</t>
  </si>
  <si>
    <t>//</t>
  </si>
  <si>
    <t>popup</t>
  </si>
  <si>
    <t>fullScreen</t>
  </si>
  <si>
    <t>useIcons</t>
  </si>
  <si>
    <t>allowUpdating</t>
  </si>
  <si>
    <t>allowDeleting</t>
  </si>
  <si>
    <t>allowAdding</t>
  </si>
  <si>
    <t>row</t>
  </si>
  <si>
    <t>aEditMode</t>
  </si>
  <si>
    <t>mode</t>
  </si>
  <si>
    <t>USERS</t>
  </si>
  <si>
    <t>Pword</t>
  </si>
  <si>
    <t>Kright</t>
  </si>
  <si>
    <t>Tkey</t>
  </si>
  <si>
    <t>Gright</t>
  </si>
  <si>
    <t>MainUsrs</t>
  </si>
  <si>
    <t>Main User</t>
  </si>
  <si>
    <t>IDUsr</t>
  </si>
  <si>
    <t>LGName</t>
  </si>
  <si>
    <t>boolean</t>
  </si>
  <si>
    <t>01f518c9-c818-4e9f-85cb-6245ee1a2637</t>
  </si>
  <si>
    <t>CrossRef</t>
  </si>
  <si>
    <t>Area</t>
  </si>
  <si>
    <t>Industry</t>
  </si>
  <si>
    <t>Occupation</t>
  </si>
  <si>
    <t>DateofBirth</t>
  </si>
  <si>
    <t>AccountAgent</t>
  </si>
  <si>
    <t>ClientGroup</t>
  </si>
  <si>
    <t>ClientCategory</t>
  </si>
  <si>
    <t>OtherName</t>
  </si>
  <si>
    <t>CreationDate</t>
  </si>
  <si>
    <t>HistoryCategory</t>
  </si>
  <si>
    <t>NewClient</t>
  </si>
  <si>
    <t>InternetAddress</t>
  </si>
  <si>
    <t>ShortName</t>
  </si>
  <si>
    <t>RunningNumber</t>
  </si>
  <si>
    <t>ContactFinance</t>
  </si>
  <si>
    <t>TaxName</t>
  </si>
  <si>
    <t>TaxAddress1</t>
  </si>
  <si>
    <t>TaxAddress2</t>
  </si>
  <si>
    <t>TaxAddress3</t>
  </si>
  <si>
    <t>TaxIDNO</t>
  </si>
  <si>
    <t>SourceOfBiz_Code</t>
  </si>
  <si>
    <t>7f47ed54-a6fc-4d92-99e8-ae7ee6340232</t>
  </si>
  <si>
    <t>Source</t>
  </si>
  <si>
    <t>Birth Date</t>
  </si>
  <si>
    <t>Account Agent</t>
  </si>
  <si>
    <t>Client Group</t>
  </si>
  <si>
    <t>Client Category</t>
  </si>
  <si>
    <t>Other Name</t>
  </si>
  <si>
    <t>Creation Date</t>
  </si>
  <si>
    <t>History Category</t>
  </si>
  <si>
    <t>New Client</t>
  </si>
  <si>
    <t>Internet Address</t>
  </si>
  <si>
    <t>Running Number</t>
  </si>
  <si>
    <t>Tax Name</t>
  </si>
  <si>
    <t>Tax Address 1</t>
  </si>
  <si>
    <t>Tax Address 2</t>
  </si>
  <si>
    <t>Tax Address 3</t>
  </si>
  <si>
    <t>Tax ID NO</t>
  </si>
  <si>
    <t>Source Of Business</t>
  </si>
  <si>
    <t>ID Card NO</t>
  </si>
  <si>
    <t>aEditorType</t>
  </si>
  <si>
    <t>aWorWO</t>
  </si>
  <si>
    <t>With</t>
  </si>
  <si>
    <t>WithOut</t>
  </si>
  <si>
    <t>aSheetsName</t>
  </si>
  <si>
    <t>CLASSOFRISK</t>
  </si>
  <si>
    <t>MASTERPAGE</t>
  </si>
  <si>
    <t>MENU</t>
  </si>
  <si>
    <t xml:space="preserve">Sheet Name </t>
  </si>
  <si>
    <t xml:space="preserve">with aEditorList </t>
  </si>
  <si>
    <t>DOMAIN</t>
  </si>
  <si>
    <t>http://wikran-w10:8081</t>
  </si>
  <si>
    <t xml:space="preserve">https://cbsdev2.locktonwattana.com </t>
  </si>
  <si>
    <t>aDomainList</t>
  </si>
  <si>
    <t>&lt;!DOCTYPE html&gt;</t>
  </si>
  <si>
    <t>&lt;head&gt;</t>
  </si>
  <si>
    <t>&lt;meta http-equiv="Content-Language" content="th"&gt;</t>
  </si>
  <si>
    <t>&lt;meta http-equiv="X-UA-Compatible" content="IE=edge" /&gt;</t>
  </si>
  <si>
    <t>&lt;meta name="viewport" content="width=device-width, initial-scale=1.0, maximum-scale=1.0" /&gt;</t>
  </si>
  <si>
    <t xml:space="preserve">&lt;script src="vendor/jquery/3.5.1/jquery.min.js"&gt;&lt;/script&gt; </t>
  </si>
  <si>
    <t>&lt;script&gt;window.jQuery || document.write(decodeURIComponent('%3Cscript src="js/jquery.min.js"%3E%3C/script%3E'))&lt;/script&gt;</t>
  </si>
  <si>
    <t>&lt;link rel="dx-theme" data-theme="generic.light" href="DevExpressDevExtreme/Lib/css/dx.light.css"  data-active="false"&gt;</t>
  </si>
  <si>
    <t>&lt;link rel="dx-theme" data-theme="generic.dark" href="DevExpressDevExtreme/Lib/css/dx.dark.css"  data-active="false"&gt;</t>
  </si>
  <si>
    <t>&lt;link rel="dx-theme" data-theme="generic.softblue" href="DevExpressDevExtreme/Lib/css/dx.softblue.css"  data-active="true"&gt;</t>
  </si>
  <si>
    <t>&lt;link rel="dx-theme" data-theme="generic.carmine" href="DevExpressDevExtreme/Lib/css/dx.carmine.css"  data-active="false"&gt;</t>
  </si>
  <si>
    <t>&lt;link rel="dx-theme" data-theme="material.teal.dark.compact" href="DevExpressDevExtreme/Lib/css/dx.material.teal.dark.compact.css" data-active="false"&gt;</t>
  </si>
  <si>
    <t xml:space="preserve">	&lt;!-- Export Excel --&gt;</t>
  </si>
  <si>
    <t xml:space="preserve">    &lt;script src="https://cdnjs.cloudflare.com/ajax/libs/babel-polyfill/7.4.0/polyfill.min.js"&gt;&lt;/script&gt;</t>
  </si>
  <si>
    <t xml:space="preserve">    &lt;script src="https://cdnjs.cloudflare.com/ajax/libs/exceljs/3.3.1/exceljs.min.js"&gt;&lt;/script&gt;</t>
  </si>
  <si>
    <t xml:space="preserve">    &lt;script src="https://cdnjs.cloudflare.com/ajax/libs/FileSaver.js/1.3.8/FileSaver.min.js"&gt;&lt;/script&gt;</t>
  </si>
  <si>
    <t xml:space="preserve">	&lt;!-- Export to PDF --&gt;</t>
  </si>
  <si>
    <t xml:space="preserve">    &lt;script type="text/javascript" src="https://cdnjs.cloudflare.com/ajax/libs/jspdf/2.0.0/jspdf.umd.min.js"&gt;&lt;/script&gt;</t>
  </si>
  <si>
    <t xml:space="preserve">    &lt;script type="text/javascript" src="https://cdnjs.cloudflare.com/ajax/libs/jspdf-autotable/3.5.9/jspdf.plugin.autotable.min.js"&gt;&lt;/script&gt;</t>
  </si>
  <si>
    <t>&lt;/head&gt;</t>
  </si>
  <si>
    <t>&lt;body class="dx-viewport"&gt;</t>
  </si>
  <si>
    <t>&lt;script&gt;</t>
  </si>
  <si>
    <t>$(function(){</t>
  </si>
  <si>
    <t>if (aaEnt) {</t>
  </si>
  <si>
    <t>update: function (key, values) {</t>
  </si>
  <si>
    <t>var ObjRowData = JSON.stringify($.extend({}, ObjKeyData, values));</t>
  </si>
  <si>
    <t>remove: function(key) {</t>
  </si>
  <si>
    <t>var ObjRowData = JSON.stringify($.extend({}, ObjKeyData));</t>
  </si>
  <si>
    <t>sendRequestNew("Delete",ObjRowData,aaTBKey,aaPFDMI,atob(aaXToX));</t>
  </si>
  <si>
    <t>allowColumnResizing: true,</t>
  </si>
  <si>
    <t xml:space="preserve">				</t>
  </si>
  <si>
    <t>aMasterCRUD</t>
  </si>
  <si>
    <t>aMasterCRUDII</t>
  </si>
  <si>
    <t xml:space="preserve">			}				</t>
  </si>
  <si>
    <t>);</t>
  </si>
  <si>
    <t xml:space="preserve">	function sendRequestNew(Action, Data, TokenKey, domain, AccessKey) {</t>
  </si>
  <si>
    <t>});</t>
  </si>
  <si>
    <t xml:space="preserve">&lt;/script&gt;	</t>
  </si>
  <si>
    <t>&lt;/body&gt;</t>
  </si>
  <si>
    <t>&lt;/html&gt;</t>
  </si>
  <si>
    <t>$("#gridContainer").dxDataGrid({</t>
  </si>
  <si>
    <t>aNext2C</t>
  </si>
  <si>
    <t xml:space="preserve">       useIcons: true,</t>
  </si>
  <si>
    <t xml:space="preserve">       allowUpdating: true,</t>
  </si>
  <si>
    <t xml:space="preserve">   sortOrder:"asc",</t>
  </si>
  <si>
    <t>// Editing</t>
  </si>
  <si>
    <t xml:space="preserve"> columns: [</t>
  </si>
  <si>
    <t>editing: {</t>
  </si>
  <si>
    <t>Risk Group I</t>
  </si>
  <si>
    <t>Risk Group II</t>
  </si>
  <si>
    <t>Risk Short Desc</t>
  </si>
  <si>
    <t>Risk Government</t>
  </si>
  <si>
    <t>e.component.option("icon", expanding ? "collapse" : "expand");</t>
  </si>
  <si>
    <t>&lt;META HTTP-EQUIV="Pragma" CONTENT="no-cache"&gt;</t>
  </si>
  <si>
    <t>&lt;META HTTP-EQUIV="Expires" CONTENT="-1"&gt;</t>
  </si>
  <si>
    <t>allowColumnReordering: true,</t>
  </si>
  <si>
    <t>columnMinWidth: 100,</t>
  </si>
  <si>
    <t>enabled: true</t>
  </si>
  <si>
    <t xml:space="preserve">},		</t>
  </si>
  <si>
    <t>columnChooser: {</t>
  </si>
  <si>
    <t>showBorders: true,</t>
  </si>
  <si>
    <t>selection: {</t>
  </si>
  <si>
    <t>mode: 'multiple'</t>
  </si>
  <si>
    <t>showPageSizeSelector: true,</t>
  </si>
  <si>
    <t>showInfo: true</t>
  </si>
  <si>
    <t xml:space="preserve">},	</t>
  </si>
  <si>
    <t xml:space="preserve">showBorders: true,			</t>
  </si>
  <si>
    <t xml:space="preserve">groupPaging: true,		</t>
  </si>
  <si>
    <t>showColumnLines: true,</t>
  </si>
  <si>
    <t>showRowLines: true,</t>
  </si>
  <si>
    <t>rowAlternationEnabled: true,</t>
  </si>
  <si>
    <t>],</t>
  </si>
  <si>
    <t xml:space="preserve">      window.jsPDF = window.jspdf.jsPDF;</t>
  </si>
  <si>
    <t xml:space="preserve">      applyPlugin(window.jsPDF);</t>
  </si>
  <si>
    <t xml:space="preserve">      console.clear();</t>
  </si>
  <si>
    <t xml:space="preserve">      var aaXToX = localStorage["aaXXoX"]; </t>
  </si>
  <si>
    <t xml:space="preserve">      var aaXNoX = localStorage["aaXXuX"];</t>
  </si>
  <si>
    <t xml:space="preserve">      var aaXTXB = "326459ff-7ea6-4465-a946-9326b783d492";</t>
  </si>
  <si>
    <t xml:space="preserve">      var aaPXXI = localStorage["aPXIXD"];</t>
  </si>
  <si>
    <t xml:space="preserve">      var jqxhr = $.getJSON( aaPFDMI + "/pythonLT/" + atob(aaXToX) + "/" + aaXTXB + "/" + aaPXXI, function(e) {</t>
  </si>
  <si>
    <t xml:space="preserve">          console.log( "error" );</t>
  </si>
  <si>
    <t>FTP Server : ftps://waws-prod-sg1-059.ftp.azurewebsites.windows.net/site/wwwroot</t>
  </si>
  <si>
    <t>user : cbsfront\$cbsfront</t>
  </si>
  <si>
    <t>password : qhRMtSEdC7KT9Q3TCFRpS3tjpJQJKybtSWfBfSDqa7veABeEs020dFxf5Awp</t>
  </si>
  <si>
    <t>DMQ</t>
  </si>
  <si>
    <t>pythonLT</t>
  </si>
  <si>
    <t>DMP</t>
  </si>
  <si>
    <t>pythonpost</t>
  </si>
  <si>
    <t>DMQ = Data Manager Query  แทน pythonLT    และ DMP = Data Manager Post (CRUD) แทน pythonpost</t>
  </si>
  <si>
    <t>Meaning</t>
  </si>
  <si>
    <t>Data Management Query</t>
  </si>
  <si>
    <t>Data Management Post</t>
  </si>
  <si>
    <t xml:space="preserve">API </t>
  </si>
  <si>
    <t>APIOLD</t>
  </si>
  <si>
    <t>APINEW</t>
  </si>
  <si>
    <t>APINEWQ</t>
  </si>
  <si>
    <t>APINEWP</t>
  </si>
  <si>
    <t>APITYPE</t>
  </si>
  <si>
    <t>APIPREFIX</t>
  </si>
  <si>
    <t>APIOLDQ</t>
  </si>
  <si>
    <t>APIOLDP</t>
  </si>
  <si>
    <t>aObjMPage = e;</t>
  </si>
  <si>
    <t>console.log( "success" );</t>
  </si>
  <si>
    <t xml:space="preserve">aaKeyField = aObjMPage[0].PrimaryKey; </t>
  </si>
  <si>
    <t>aaTBKey = aObjMPage[0].TBKey;</t>
  </si>
  <si>
    <t>localStorage.setItem("aaXKFX", aaKeyField);</t>
  </si>
  <si>
    <t>.done(function(e) {</t>
  </si>
  <si>
    <t>console.log( "second success" );</t>
  </si>
  <si>
    <t>localStorage.setItem("aaXTBX", aaTBKey);</t>
  </si>
  <si>
    <t>})</t>
  </si>
  <si>
    <t>.fail(function() {</t>
  </si>
  <si>
    <t xml:space="preserve">});	</t>
  </si>
  <si>
    <t>&lt;/script&gt;</t>
  </si>
  <si>
    <t>&lt;div class="container"&gt;</t>
  </si>
  <si>
    <t>&lt;div id="gridContainer"&gt;&lt;/div&gt;</t>
  </si>
  <si>
    <t>&lt;/div&gt;</t>
  </si>
  <si>
    <t>&lt;!-- Export Excel --&gt;</t>
  </si>
  <si>
    <t>var aaPXIXD = localStorage["aPXIXD"];</t>
  </si>
  <si>
    <t>var aaEnt = aaPXIXD.includes("X");</t>
  </si>
  <si>
    <t>var aaKeyField = localStorage["aaXKFX"];</t>
  </si>
  <si>
    <t>var aaTBKey = localStorage["aaXTBX"];</t>
  </si>
  <si>
    <t>var aaUsrN = localStorage["aaXXuX"];</t>
  </si>
  <si>
    <t xml:space="preserve">	 function logEvent(eventName) {</t>
  </si>
  <si>
    <t>var logList = $("#events ul"),</t>
  </si>
  <si>
    <t>newItem = $("&lt;li&gt;", { text: eventName });</t>
  </si>
  <si>
    <t>logList.prepend(newItem);</t>
  </si>
  <si>
    <t>let Url = domain + '/pythonpost' + '/' + AccessKey + '/' + Action + '/' + TokenKey + '/true/true';</t>
  </si>
  <si>
    <t>console.log('Goal...Repuest Web API : ' + Data);</t>
  </si>
  <si>
    <t>var settings = {"url": Url,"method": "POST","timeout": 0,"headers": {"Content-Type": "application/json"},"data":Data,};</t>
  </si>
  <si>
    <t>$.ajax(settings).done(function (response) {console.log(response);});</t>
  </si>
  <si>
    <t>aaKeyField = aObjMPage[0].PrimaryKey;</t>
  </si>
  <si>
    <t>.always(function() {</t>
  </si>
  <si>
    <t>console.log( "complete" );</t>
  </si>
  <si>
    <t xml:space="preserve">return $.getJSON(aaPFDMI + "/pythonLT/" + atob(aaXToX) +"/" + aaTBKey + "/all") </t>
  </si>
  <si>
    <t>visible: true</t>
  </si>
  <si>
    <t>visible: true,</t>
  </si>
  <si>
    <t>applyFilter: "auto"</t>
  </si>
  <si>
    <t>headerFilter: {</t>
  </si>
  <si>
    <t>grouping: {</t>
  </si>
  <si>
    <t>searchPanel: {</t>
  </si>
  <si>
    <t>paging: {</t>
  </si>
  <si>
    <t>pageSize: 10</t>
  </si>
  <si>
    <t>pager: {</t>
  </si>
  <si>
    <t>export: {</t>
  </si>
  <si>
    <t>allowExportSelectedData: true</t>
  </si>
  <si>
    <t>onExporting: function(e) {</t>
  </si>
  <si>
    <t>const workbook = new ExcelJS.Workbook();</t>
  </si>
  <si>
    <t>const worksheet = workbook.addWorksheet('DATA');</t>
  </si>
  <si>
    <t>DevExpress.excelExporter.exportDataGrid({</t>
  </si>
  <si>
    <t>worksheet: worksheet,</t>
  </si>
  <si>
    <t>component: e.component</t>
  </si>
  <si>
    <t>}).then(function() {</t>
  </si>
  <si>
    <t>workbook.xlsx.writeBuffer().then(function(buffer) {</t>
  </si>
  <si>
    <t>e.cancel = true;</t>
  </si>
  <si>
    <t>onEditorPreparing: function (e) {</t>
  </si>
  <si>
    <t xml:space="preserve">},			</t>
  </si>
  <si>
    <t>// Tool Bar</t>
  </si>
  <si>
    <t>onToolbarPreparing: function(e) {</t>
  </si>
  <si>
    <t>var dataGrid = e.component;</t>
  </si>
  <si>
    <t>e.toolbarOptions.items.unshift(</t>
  </si>
  <si>
    <t>type: "success",</t>
  </si>
  <si>
    <t>width: 140,</t>
  </si>
  <si>
    <t>onClick: function(e) {</t>
  </si>
  <si>
    <t>var expanding = e.component.option("text") === "Expand All";</t>
  </si>
  <si>
    <t>dataGrid.option("grouping.autoExpandAll", expanding);</t>
  </si>
  <si>
    <t>e.component.option("text", expanding ? "Collapse All" : "Expand All");</t>
  </si>
  <si>
    <t>location: "after",</t>
  </si>
  <si>
    <t>widget: "dxButton",</t>
  </si>
  <si>
    <t>options: {</t>
  </si>
  <si>
    <t>icon: "exportpdf",</t>
  </si>
  <si>
    <t>text: "Export to PDF",</t>
  </si>
  <si>
    <t>onClick: function() {</t>
  </si>
  <si>
    <t>const doc = new jsPDF();</t>
  </si>
  <si>
    <t>DevExpress.pdfExporter.exportDataGrid({</t>
  </si>
  <si>
    <t>jsPDFDocument: doc,</t>
  </si>
  <si>
    <t>component: dataGrid</t>
  </si>
  <si>
    <t>icon: "refresh",</t>
  </si>
  <si>
    <t>dataGrid.refresh();</t>
  </si>
  <si>
    <t>}).dxDataGrid("instance");</t>
  </si>
  <si>
    <t>insert: function(values) {</t>
  </si>
  <si>
    <t>var ObjKeyData = {EntryBy: aaUsrN , EntryDate: new Date()};</t>
  </si>
  <si>
    <t>sendRequestNew("Insert",ObjRowData,aaTBKey,aaPFDMI,atob(aaXToX));</t>
  </si>
  <si>
    <t xml:space="preserve">// Export to Excel 		</t>
  </si>
  <si>
    <t>&lt;link rel="dx-theme" data-theme="generic.carmine.compact" href="DevExpressDevExtreme/Lib/css/dx.carmine.compact.css"  data-active="false"&gt;</t>
  </si>
  <si>
    <t>&lt;link rel="dx-theme" data-theme="material.blue.dark.compact" href="DevExpressDevExtreme/Lib/css/dx.material.blue.dark.compact.css" data-active="false"&gt;</t>
  </si>
  <si>
    <t>&lt;link rel="dx-theme" data-theme="material.blue.light.compact" href="DevExpressDevExtreme/Lib/css/dx.material.blue.light.compact.css" data-active="false"&gt;</t>
  </si>
  <si>
    <t>&lt;link rel="dx-theme" data-theme="generic.darkviolet" href="DevExpressDevExtreme/Lib/css/dx.darkviolet.css"  data-active="false"&gt;</t>
  </si>
  <si>
    <t>&lt;link rel="dx-theme" data-theme="generic.darkmoon" href="DevExpressDevExtreme/Lib/css/dx.darkmoon.css"  data-active="false"&gt;</t>
  </si>
  <si>
    <t>&lt;link rel="dx-theme" data-theme="generic.darkmoon.compact" href="DevExpressDevExtreme/Lib/css/dx.darkmoon.compact.css"  data-active="false"&gt;</t>
  </si>
  <si>
    <t>&lt;link rel="dx-theme" data-theme="generic.darkviolet.compact" href="DevExpressDevExtreme/Lib/css/dx.darkviolet.compact.css"  data-active="false"&gt;</t>
  </si>
  <si>
    <t>Master Page SetUp</t>
  </si>
  <si>
    <t>Table Name</t>
  </si>
  <si>
    <t>Primary Key</t>
  </si>
  <si>
    <t>Table Key</t>
  </si>
  <si>
    <t>Project</t>
  </si>
  <si>
    <t>CBS</t>
  </si>
  <si>
    <t>DMQ/</t>
  </si>
  <si>
    <t>DMP/</t>
  </si>
  <si>
    <t>aPROJECT</t>
  </si>
  <si>
    <t>HTML File Name</t>
  </si>
  <si>
    <t>&lt;link rel="stylesheet" href="DevExpressDevExtreme/Lib/css/dx.common.css"&gt;</t>
  </si>
  <si>
    <t>$(document).ready(function () {</t>
  </si>
  <si>
    <t>var aDXTheme = localStorage["aDXTheme"]</t>
  </si>
  <si>
    <t>DevExpress.ui.themes.current(aDXTheme);</t>
  </si>
  <si>
    <t>filterRow: {</t>
  </si>
  <si>
    <t>}),</t>
  </si>
  <si>
    <t>dataSource: new DevExpress.data.CustomStore({</t>
  </si>
  <si>
    <t xml:space="preserve">loadMode: "omit", </t>
  </si>
  <si>
    <t>load: function() {</t>
  </si>
  <si>
    <t>.fail(function() { throw "Data loading error" });</t>
  </si>
  <si>
    <t>&lt;meta http-equiv="content-Type" content="text/html; charset=window-874"&gt;</t>
  </si>
  <si>
    <t>&lt;meta http-equiv="content-Type" content="text/html; charset=tis-620"&gt;</t>
  </si>
  <si>
    <t>groupPanel: {</t>
  </si>
  <si>
    <t>else {</t>
  </si>
  <si>
    <t xml:space="preserve"> var ObjRowData = JSON.stringify(values);</t>
  </si>
  <si>
    <t>PageID</t>
  </si>
  <si>
    <t>Menu Title</t>
  </si>
  <si>
    <t>Main ID</t>
  </si>
  <si>
    <t>ทดสอบการกำหนด Workflow ผ่านทาง Excel Marco ..??</t>
  </si>
  <si>
    <t>HELP</t>
  </si>
  <si>
    <t>SAVE QUO</t>
  </si>
  <si>
    <t>Save Quotation</t>
  </si>
  <si>
    <t>QUOTATION SAVE</t>
  </si>
  <si>
    <t>SAVE QUOTATION</t>
  </si>
  <si>
    <t>DONE</t>
  </si>
  <si>
    <t>GOTOMAIN</t>
  </si>
  <si>
    <t>Goto Main Page</t>
  </si>
  <si>
    <t>Project Name</t>
  </si>
  <si>
    <t>GOTOSHEET</t>
  </si>
  <si>
    <t>Goto Sheet</t>
  </si>
  <si>
    <t>aGoToSheet</t>
  </si>
  <si>
    <t>Workflow</t>
  </si>
  <si>
    <t>Function</t>
  </si>
  <si>
    <t>WorkFlowAction</t>
  </si>
  <si>
    <t>DBDiagram</t>
  </si>
  <si>
    <t>DBTableList</t>
  </si>
  <si>
    <t>{ Core Broking System }</t>
  </si>
  <si>
    <t>Database Name</t>
  </si>
  <si>
    <t>JSON Control File</t>
  </si>
  <si>
    <t>No Of Fields</t>
  </si>
  <si>
    <t>WorkSheet</t>
  </si>
  <si>
    <t>SEQ.NO</t>
  </si>
  <si>
    <t>Provider</t>
  </si>
  <si>
    <t>C8</t>
  </si>
  <si>
    <t>C14</t>
  </si>
  <si>
    <t>cFileName</t>
  </si>
  <si>
    <t>cFNforLink</t>
  </si>
  <si>
    <t>Link</t>
  </si>
  <si>
    <t>XO</t>
  </si>
  <si>
    <t>Data Link (Web)</t>
  </si>
  <si>
    <t>Limit</t>
  </si>
  <si>
    <t>Fields</t>
  </si>
  <si>
    <t>C10</t>
  </si>
  <si>
    <t>API Domain</t>
  </si>
  <si>
    <t>Goto Sheet DBTableList</t>
  </si>
  <si>
    <t>aGoToTGSheet</t>
  </si>
  <si>
    <t>GOTOTG</t>
  </si>
  <si>
    <t>LWT Core Broking System</t>
  </si>
  <si>
    <t>PAGE Domain</t>
  </si>
  <si>
    <t>PROJECT FIRST PAGE</t>
  </si>
  <si>
    <t>aPageDomainList</t>
  </si>
  <si>
    <t>http://wikran-w10:8088</t>
  </si>
  <si>
    <t>https://cbsfront.azurewebsites.net</t>
  </si>
  <si>
    <t>index.html</t>
  </si>
  <si>
    <t>C6</t>
  </si>
  <si>
    <t>PROJECT</t>
  </si>
  <si>
    <t>DESCRIPTION</t>
  </si>
  <si>
    <t>Menu Table</t>
  </si>
  <si>
    <t>SETUP</t>
  </si>
  <si>
    <t>DBPROVIDOR</t>
  </si>
  <si>
    <t>aDBTYPE</t>
  </si>
  <si>
    <t>MASTER</t>
  </si>
  <si>
    <t>TRANSACTION</t>
  </si>
  <si>
    <t>API CMD</t>
  </si>
  <si>
    <t>C7</t>
  </si>
  <si>
    <t>E6</t>
  </si>
  <si>
    <t>C12</t>
  </si>
  <si>
    <t>E7</t>
  </si>
  <si>
    <t>C11</t>
  </si>
  <si>
    <t>AGENT</t>
  </si>
  <si>
    <t>Agent</t>
  </si>
  <si>
    <t>5c7b55fb-2e98-4c10-9378-13375425af93</t>
  </si>
  <si>
    <t>ContactPerson</t>
  </si>
  <si>
    <t>IsSubAgent</t>
  </si>
  <si>
    <t>Contact Person</t>
  </si>
  <si>
    <t>Real Sub Agent</t>
  </si>
  <si>
    <t>Agents</t>
  </si>
  <si>
    <t>batch</t>
  </si>
  <si>
    <t>cell</t>
  </si>
  <si>
    <t>form</t>
  </si>
  <si>
    <t>DataGrid</t>
  </si>
  <si>
    <t>Edit</t>
  </si>
  <si>
    <t>with Editor</t>
  </si>
  <si>
    <t>HTML FILE NAME</t>
  </si>
  <si>
    <t>SHEET NAME</t>
  </si>
  <si>
    <t>CHECK 'Entryby'</t>
  </si>
  <si>
    <t>CHECK 'EntryBy'</t>
  </si>
  <si>
    <t>Variable</t>
  </si>
  <si>
    <t>Value</t>
  </si>
  <si>
    <t>V2</t>
  </si>
  <si>
    <t>=RIGHT(B2,1)&amp;C2&amp;MID(B2,2,1)&amp;C2&amp;MID(B2,5,1)&amp;LEFT(B2,1)&amp;INDIRECT(B2&amp;"!C7")&amp;".html"</t>
  </si>
  <si>
    <t>T5</t>
  </si>
  <si>
    <t>T6</t>
  </si>
  <si>
    <t>T7</t>
  </si>
  <si>
    <t>T8</t>
  </si>
  <si>
    <t>T9</t>
  </si>
  <si>
    <t>T10</t>
  </si>
  <si>
    <t>V5</t>
  </si>
  <si>
    <t>V6</t>
  </si>
  <si>
    <t>V7</t>
  </si>
  <si>
    <t>V8</t>
  </si>
  <si>
    <t>V9</t>
  </si>
  <si>
    <t xml:space="preserve"> [ 1=0 ]</t>
  </si>
  <si>
    <t>CURRENCY</t>
  </si>
  <si>
    <t>Code</t>
  </si>
  <si>
    <t>Currency Code</t>
  </si>
  <si>
    <t>22b4c16a-7c2d-4088-ac1a-4efc13e1fb01</t>
  </si>
  <si>
    <t>]}</t>
  </si>
  <si>
    <t>aSpaceT</t>
  </si>
  <si>
    <t>aNumOfSpace</t>
  </si>
  <si>
    <t>aModelFilePath</t>
  </si>
  <si>
    <t>aModelFileName</t>
  </si>
  <si>
    <t>API TARGET PATH</t>
  </si>
  <si>
    <t>JSON Filename</t>
  </si>
  <si>
    <t>C:\inetpub\wwwroot\UtilityWebApp\App_Data\</t>
  </si>
  <si>
    <t>Master Page</t>
  </si>
  <si>
    <t>Database - Table List (GEN json/HTML)</t>
  </si>
  <si>
    <t>[90100]</t>
  </si>
  <si>
    <t>[90115]</t>
  </si>
  <si>
    <t>Core Broking &gt; Agents</t>
  </si>
  <si>
    <t>setup,admin</t>
  </si>
  <si>
    <t>MAIN ID</t>
  </si>
  <si>
    <t>[90116]</t>
  </si>
  <si>
    <t>[90114]</t>
  </si>
  <si>
    <t>[90112]</t>
  </si>
  <si>
    <t>[90111]</t>
  </si>
  <si>
    <t>[90110]</t>
  </si>
  <si>
    <t>[99010]</t>
  </si>
  <si>
    <t>[990]</t>
  </si>
  <si>
    <t>[98500]</t>
  </si>
  <si>
    <t>[98502]</t>
  </si>
  <si>
    <t>[98501]</t>
  </si>
  <si>
    <t>ACCOUNTEXECUTIVE</t>
  </si>
  <si>
    <t>246b1f7c-4321-464f-bf50-221a15dc8fcf</t>
  </si>
  <si>
    <t>Unit</t>
  </si>
  <si>
    <t>Title</t>
  </si>
  <si>
    <t>Internet_Address</t>
  </si>
  <si>
    <t>S124</t>
  </si>
  <si>
    <t>T124</t>
  </si>
  <si>
    <t xml:space="preserve">       mode: "popup",</t>
  </si>
  <si>
    <t xml:space="preserve">           fullScreen: false,</t>
  </si>
  <si>
    <t xml:space="preserve">           showTitle: true,</t>
  </si>
  <si>
    <t xml:space="preserve">           width: 1000,</t>
  </si>
  <si>
    <t xml:space="preserve">           height: 525,</t>
  </si>
  <si>
    <t xml:space="preserve">                   my: "top",</t>
  </si>
  <si>
    <t xml:space="preserve">                   at: "top",</t>
  </si>
  <si>
    <t xml:space="preserve">                   of: "window"</t>
  </si>
  <si>
    <t>AGENTFULL</t>
  </si>
  <si>
    <t>ad07071a-8827-42da-8e5d-edbe50e0f565</t>
  </si>
  <si>
    <t>TAXName</t>
  </si>
  <si>
    <t>TAXAddress1</t>
  </si>
  <si>
    <t>TAXAddress2</t>
  </si>
  <si>
    <t>TAXAddress3</t>
  </si>
  <si>
    <t>TAXPostCode</t>
  </si>
  <si>
    <t>TAXCity</t>
  </si>
  <si>
    <t>TAXIDNo</t>
  </si>
  <si>
    <t>BirthDate</t>
  </si>
  <si>
    <t>AgentType</t>
  </si>
  <si>
    <t>AgentLocation</t>
  </si>
  <si>
    <t>AgreementFlag</t>
  </si>
  <si>
    <t>AgreementStatus</t>
  </si>
  <si>
    <t>AgentStatus</t>
  </si>
  <si>
    <t>AgentCategory</t>
  </si>
  <si>
    <t>PaymentInfo</t>
  </si>
  <si>
    <t>Remark1</t>
  </si>
  <si>
    <t>Remark2</t>
  </si>
  <si>
    <t>Remark3</t>
  </si>
  <si>
    <t>OwnerAE</t>
  </si>
  <si>
    <t>VATType</t>
  </si>
  <si>
    <t>WHTFlag</t>
  </si>
  <si>
    <t>WHTCode</t>
  </si>
  <si>
    <t>Branch</t>
  </si>
  <si>
    <t>PSBankCode</t>
  </si>
  <si>
    <t>PSBankKey</t>
  </si>
  <si>
    <t>PSPayMethod</t>
  </si>
  <si>
    <t>PayGroup</t>
  </si>
  <si>
    <t>AgentBank</t>
  </si>
  <si>
    <t>AgentBankAcct</t>
  </si>
  <si>
    <t>AgentBankBranch</t>
  </si>
  <si>
    <t>WHTForm</t>
  </si>
  <si>
    <t>ChqName</t>
  </si>
  <si>
    <t>AgreementDetail1</t>
  </si>
  <si>
    <t>AgreementDetail2</t>
  </si>
  <si>
    <t>AgreementDetail3</t>
  </si>
  <si>
    <t>AgreementGenDate</t>
  </si>
  <si>
    <t>AgreementEffDate</t>
  </si>
  <si>
    <t>AgreementExpDate</t>
  </si>
  <si>
    <t>TAX Name</t>
  </si>
  <si>
    <t>TAX Address1</t>
  </si>
  <si>
    <t>TAX Address2</t>
  </si>
  <si>
    <t>TAX Address3</t>
  </si>
  <si>
    <t>TAX PostCode</t>
  </si>
  <si>
    <t>TAX City</t>
  </si>
  <si>
    <t>TAX IDNo</t>
  </si>
  <si>
    <t>Agent Type</t>
  </si>
  <si>
    <t>Agent Location</t>
  </si>
  <si>
    <t>Agreement Flag</t>
  </si>
  <si>
    <t>Agreement Status</t>
  </si>
  <si>
    <t>Agent Status</t>
  </si>
  <si>
    <t>Agent Category</t>
  </si>
  <si>
    <t>Payment Info</t>
  </si>
  <si>
    <t>AgentInfo</t>
  </si>
  <si>
    <t>Agent Expand</t>
  </si>
  <si>
    <t>Owner AE</t>
  </si>
  <si>
    <t>VAT Type</t>
  </si>
  <si>
    <t>WHT Flag</t>
  </si>
  <si>
    <t>WHT Code</t>
  </si>
  <si>
    <t>PS Bank Code</t>
  </si>
  <si>
    <t>PS Bank Key</t>
  </si>
  <si>
    <t>PS Pay Method</t>
  </si>
  <si>
    <t>Pay Group</t>
  </si>
  <si>
    <t>Agent Bank</t>
  </si>
  <si>
    <t>Agent Bank Acct</t>
  </si>
  <si>
    <t>Agent Bank Branch</t>
  </si>
  <si>
    <t>WHT Form</t>
  </si>
  <si>
    <t>Chq Name</t>
  </si>
  <si>
    <t>Agreement Detail1</t>
  </si>
  <si>
    <t>Agreement Detail2</t>
  </si>
  <si>
    <t>Agreement Detail3</t>
  </si>
  <si>
    <t>Agreement GenDate</t>
  </si>
  <si>
    <t>Agreement EffDate</t>
  </si>
  <si>
    <t>Agreement ExpDate</t>
  </si>
  <si>
    <t>Core Broking &gt; Agent Info</t>
  </si>
  <si>
    <t>admin.setup</t>
  </si>
  <si>
    <t>[90117]</t>
  </si>
  <si>
    <t>Start Date</t>
  </si>
  <si>
    <t>Est Finished</t>
  </si>
  <si>
    <t>Finished Date</t>
  </si>
  <si>
    <t>On Progress</t>
  </si>
  <si>
    <t>Done</t>
  </si>
  <si>
    <t>Percent</t>
  </si>
  <si>
    <t>Pending</t>
  </si>
  <si>
    <t>Not Start</t>
  </si>
  <si>
    <t>Total</t>
  </si>
  <si>
    <t>AGENTINFO</t>
  </si>
  <si>
    <t>// summary</t>
  </si>
  <si>
    <t>Summary</t>
  </si>
  <si>
    <t>count</t>
  </si>
  <si>
    <t>aSummaryType</t>
  </si>
  <si>
    <t>sum</t>
  </si>
  <si>
    <t>valueFormat</t>
  </si>
  <si>
    <t>max</t>
  </si>
  <si>
    <t>skipEmptyValues</t>
  </si>
  <si>
    <t>recalculateWhileEditing</t>
  </si>
  <si>
    <t>displayFormat</t>
  </si>
  <si>
    <t>groupItems</t>
  </si>
  <si>
    <t xml:space="preserve">valueFormat: </t>
  </si>
  <si>
    <t>min</t>
  </si>
  <si>
    <t>summaryType</t>
  </si>
  <si>
    <t>totalItems:</t>
  </si>
  <si>
    <t xml:space="preserve">recalculateWhileEditing: </t>
  </si>
  <si>
    <t xml:space="preserve">skipEmptyValues: </t>
  </si>
  <si>
    <t xml:space="preserve">groupItems: </t>
  </si>
  <si>
    <t>totalItems</t>
  </si>
  <si>
    <t>Totaltems</t>
  </si>
  <si>
    <t xml:space="preserve">         { type: "buttons",</t>
  </si>
  <si>
    <t xml:space="preserve">               width: 110,</t>
  </si>
  <si>
    <t xml:space="preserve">               buttons: ["edit", "delete"]</t>
  </si>
  <si>
    <t xml:space="preserve">         }</t>
  </si>
  <si>
    <t xml:space="preserve">  summary: {</t>
  </si>
  <si>
    <t xml:space="preserve">      recalculateWhileEditing: true,</t>
  </si>
  <si>
    <t xml:space="preserve">      skipEmptyValues: false,</t>
  </si>
  <si>
    <t xml:space="preserve">      totalItems: [</t>
  </si>
  <si>
    <t xml:space="preserve">            summaryType: "count",</t>
  </si>
  <si>
    <t xml:space="preserve">            displayFormat: "{0} Items",</t>
  </si>
  <si>
    <t xml:space="preserve">         },</t>
  </si>
  <si>
    <t xml:space="preserve">      ],</t>
  </si>
  <si>
    <t xml:space="preserve">  }, </t>
  </si>
  <si>
    <t>groupIndex</t>
  </si>
  <si>
    <t>string</t>
  </si>
  <si>
    <t>object</t>
  </si>
  <si>
    <t>avg</t>
  </si>
  <si>
    <t>custom</t>
  </si>
  <si>
    <t>asortOrder</t>
  </si>
  <si>
    <t>desc</t>
  </si>
  <si>
    <t>D120</t>
  </si>
  <si>
    <t xml:space="preserve">TICK BLANK OUT AND COPY CODE </t>
  </si>
  <si>
    <t>\\Wdmycloud\bkw_wdmycloud\iPhone_Picture</t>
  </si>
  <si>
    <t>\ ไม่สามารถมีใน Table</t>
  </si>
  <si>
    <t>Aexec</t>
  </si>
  <si>
    <t>Auto Expand</t>
  </si>
  <si>
    <t>X2</t>
  </si>
  <si>
    <t>Button icon</t>
  </si>
  <si>
    <t>Button text</t>
  </si>
  <si>
    <t>&lt;html&gt;</t>
  </si>
  <si>
    <t>sorting: {</t>
  </si>
  <si>
    <t>mode: "multiple"</t>
  </si>
  <si>
    <t>//console.log( aaKeyField );</t>
  </si>
  <si>
    <t>REAL Underwriter</t>
  </si>
  <si>
    <t>Data</t>
  </si>
  <si>
    <t>Excel</t>
  </si>
  <si>
    <t>PDF</t>
  </si>
  <si>
    <t>ReadOnly</t>
  </si>
  <si>
    <t>Import</t>
  </si>
  <si>
    <t>Export</t>
  </si>
  <si>
    <t>Report</t>
  </si>
  <si>
    <t>Printable</t>
  </si>
  <si>
    <t>Export2PDF</t>
  </si>
  <si>
    <t>Export2Excel</t>
  </si>
  <si>
    <t>Position</t>
  </si>
  <si>
    <t>REPORT</t>
  </si>
  <si>
    <t>EXCEL</t>
  </si>
  <si>
    <t>RIGHTS</t>
  </si>
  <si>
    <t>1</t>
  </si>
  <si>
    <t>2</t>
  </si>
  <si>
    <t>3</t>
  </si>
  <si>
    <t>4</t>
  </si>
  <si>
    <t>5</t>
  </si>
  <si>
    <t>6</t>
  </si>
  <si>
    <t>7</t>
  </si>
  <si>
    <t>8</t>
  </si>
  <si>
    <t>9</t>
  </si>
  <si>
    <t>CODE</t>
  </si>
  <si>
    <t>Import and Export</t>
  </si>
  <si>
    <t>Report Full Rights</t>
  </si>
  <si>
    <t>test--&gt;</t>
  </si>
  <si>
    <t>Note</t>
  </si>
  <si>
    <t>For 4.Report</t>
  </si>
  <si>
    <t>For 1.Data, 4.Report</t>
  </si>
  <si>
    <t>For 2.Excel, 3.PDF, 4.Report</t>
  </si>
  <si>
    <t>For 2.Excel, 3.PDF</t>
  </si>
  <si>
    <t>admin</t>
  </si>
  <si>
    <t>Administrator</t>
  </si>
  <si>
    <t>setup</t>
  </si>
  <si>
    <t>Project Setup (Administrtor User)</t>
  </si>
  <si>
    <t>ebd</t>
  </si>
  <si>
    <t xml:space="preserve">Employee Benefits </t>
  </si>
  <si>
    <t>ans</t>
  </si>
  <si>
    <t>A and S</t>
  </si>
  <si>
    <t>corp</t>
  </si>
  <si>
    <t>Corporate</t>
  </si>
  <si>
    <t>rid</t>
  </si>
  <si>
    <t>claim</t>
  </si>
  <si>
    <t>Claims</t>
  </si>
  <si>
    <t>Reinsurance</t>
  </si>
  <si>
    <t>Management</t>
  </si>
  <si>
    <t>PrgAccessRights</t>
  </si>
  <si>
    <t>PrgAccessRightsName</t>
  </si>
  <si>
    <t>Program Access Rights for MENU and USERS</t>
  </si>
  <si>
    <t>FULLRIGHTS</t>
  </si>
  <si>
    <t>setup0266A</t>
  </si>
  <si>
    <t>Program Access Rights (Table)</t>
  </si>
  <si>
    <t xml:space="preserve">Position </t>
  </si>
  <si>
    <t>RightsAccess</t>
  </si>
  <si>
    <t>WorkFlow Action (Test)</t>
  </si>
  <si>
    <t>Rights Access Setup and Meaning</t>
  </si>
  <si>
    <t>Disable</t>
  </si>
  <si>
    <t>[separated by 0 (zero)]</t>
  </si>
  <si>
    <t>faad</t>
  </si>
  <si>
    <t>Financial and Accounting Admin</t>
  </si>
  <si>
    <t>faar</t>
  </si>
  <si>
    <t>Financial and Accounting AR</t>
  </si>
  <si>
    <t>faap</t>
  </si>
  <si>
    <t>Financial and Accounting AP</t>
  </si>
  <si>
    <t>Financial and Accounting Collection</t>
  </si>
  <si>
    <t>faco</t>
  </si>
  <si>
    <t>faco0266A</t>
  </si>
  <si>
    <t>faad0266A</t>
  </si>
  <si>
    <t>corp0266A</t>
  </si>
  <si>
    <t>corp01333</t>
  </si>
  <si>
    <t>mng</t>
  </si>
  <si>
    <t>RCODE</t>
  </si>
  <si>
    <t>RIGHTSDESC</t>
  </si>
  <si>
    <t>PCODE</t>
  </si>
  <si>
    <t>[03010]</t>
  </si>
  <si>
    <t>[030]</t>
  </si>
  <si>
    <t>Dept.</t>
  </si>
  <si>
    <t>IT</t>
  </si>
  <si>
    <t>Username</t>
  </si>
  <si>
    <t>Process (step by step)</t>
  </si>
  <si>
    <t>Menu Rights</t>
  </si>
  <si>
    <t>USER Rights</t>
  </si>
  <si>
    <t>MENU Rights</t>
  </si>
  <si>
    <t>USERS Rights</t>
  </si>
  <si>
    <t>USER Rights COMPARE TO MENU Rights - Conceptual and Function</t>
  </si>
  <si>
    <t>The way how to compare?</t>
  </si>
  <si>
    <r>
      <t xml:space="preserve">[MENU Rights Array] compare to[USER Rights Array] </t>
    </r>
    <r>
      <rPr>
        <i/>
        <sz val="10"/>
        <color rgb="FFFF0000"/>
        <rFont val="Calibri"/>
        <family val="2"/>
        <scheme val="minor"/>
      </rPr>
      <t>process will stop</t>
    </r>
    <r>
      <rPr>
        <sz val="10"/>
        <color theme="1"/>
        <rFont val="Calibri"/>
        <family val="2"/>
        <charset val="222"/>
        <scheme val="minor"/>
      </rPr>
      <t xml:space="preserve"> </t>
    </r>
    <r>
      <rPr>
        <b/>
        <sz val="10"/>
        <color theme="1"/>
        <rFont val="Calibri"/>
        <family val="2"/>
        <scheme val="minor"/>
      </rPr>
      <t>when</t>
    </r>
    <r>
      <rPr>
        <sz val="10"/>
        <color theme="1"/>
        <rFont val="Calibri"/>
        <family val="2"/>
        <charset val="222"/>
        <scheme val="minor"/>
      </rPr>
      <t xml:space="preserve"> MENU Rights = USER Rights</t>
    </r>
  </si>
  <si>
    <t>CRU</t>
  </si>
  <si>
    <t>CRUD</t>
  </si>
  <si>
    <t>1444</t>
  </si>
  <si>
    <t>Create Read Update Fro 1.Data</t>
  </si>
  <si>
    <t>Create Read Update Delete For 1.Data</t>
  </si>
  <si>
    <t>377B</t>
  </si>
  <si>
    <t>2768</t>
  </si>
  <si>
    <t>admin0377B</t>
  </si>
  <si>
    <t>admin,corp01444,corp</t>
  </si>
  <si>
    <t>setup,corp01444</t>
  </si>
  <si>
    <t>1441</t>
  </si>
  <si>
    <t>4-7</t>
  </si>
  <si>
    <t>1,8-B</t>
  </si>
  <si>
    <t>1-3</t>
  </si>
  <si>
    <t>FromRC</t>
  </si>
  <si>
    <t>corp01444</t>
  </si>
  <si>
    <t>claim0277A</t>
  </si>
  <si>
    <t>claim03664</t>
  </si>
  <si>
    <t>claim01448</t>
  </si>
  <si>
    <t>mng01668</t>
  </si>
  <si>
    <t>2664</t>
  </si>
  <si>
    <t xml:space="preserve">5.จัดทำ โปรแกรม Login ด้วย Table Users และสามารถ ส่ง OTP เพื่อใช้งานผ่านทาง e-Mail ที่ลงทะเบียนไว้
    เมื่อ Login ผ่านจะส่ง OTP ไปให้ทาง e-Mail 
    เมื่อใส่รหัส OTP ผ่าน จะได้ สิทธิ์ (Rights) ของผู้ใช้งาน เพื่อนำไปใช้เป็นสิทธ์ สำหรับการเข้าโปรแกรม สิทธิ์การทำงาน (Roles) และสิทธิ์ Scope Based </t>
  </si>
  <si>
    <t>งาน User Interface (UI) by DevExpress/DevExtreme, jQuery, javaScript, HTML5, CSS3</t>
  </si>
  <si>
    <t>CODING</t>
  </si>
  <si>
    <t>User Interface</t>
  </si>
  <si>
    <t>API</t>
  </si>
  <si>
    <t>งาน API พัฒนาโดยคุณวชิรพันธ์</t>
  </si>
  <si>
    <t>3.กำหนด สิทธิ์ (Roles) เพื่อทำงานในแต่ละ Function ประกอบด้วย
        3.1.การเข้าถึง Table/Database
        3.2 การ Disable/Import/Export Excel File
        3.3 การ Disable/Import/Export PDF File
        3.4 การ Disable/Printable/Export to Excel/Export 2 PDF
        3.5 อื่น ๆ ในอนาคต</t>
  </si>
  <si>
    <t>EXCEL VBA</t>
  </si>
  <si>
    <t>PENDING</t>
  </si>
  <si>
    <t xml:space="preserve">2.กำหนด สิทธ์ (Rights) เพื่อใช้งานเมนู ตามสิทธิ์ (Menu Rights) ของแต่ละคน (User Rights)
</t>
  </si>
  <si>
    <t>1. API สร้างด้วย C# สำหรับ การ Create , Read, Update, Delete  Record 
โดยที่มี json control file เป็นตัวกำหนด Database Server, Table  ซึ่งยังสามารถ กำหนดเฉพาะ Project ที่ต้องการได้ เช่นสำหรับ Core Broking System จะมีไฟล์ Controller 
ชื่อ CBSModelCtl.json ทำให้ การกำหนด Database Server และ Table ที่จะนำไปใช้งานมีความยืดหยุ่น โดยที่ยังคงใช้ Token Key เพื่อเป็นการรักษาความปลอดภัย
โดยที่ Function ของ API นี้สามารถ
1. CRUD 
2. run Stored Procedure
3. นำไปใช้เพื่อ Import Excel, Scope based permission, Gen Token Key, Login process อื่น ๆ
4. Get and Save json to table</t>
  </si>
  <si>
    <t>2. API สร้างด้วย C# สำหรับส่ง Email โดยสามารถ
1. มี parameters Sender Name, Sender Address, Recipient Address, CC email, Bcc email, Subject, Attachment (WIP), Body (HTML5 CSS3 javascript)
2. นำไปสร้าง UI - jQuery, javaScript  เพื่อ ทำ Function SendEmail 
3. นำไปใช้ส่ง OTP</t>
  </si>
  <si>
    <t xml:space="preserve">4.กำหนด Scope based Permission (by Aexce หรือ ตาม Group อื่น ๆ ได้ตามต้องการ) 
โดยสั่งจาก UI ผ่าน API ไปทำงานที่ MSSQL - Stored Procedure
</t>
  </si>
  <si>
    <t>1.สร้าง EXCEL VBA Program เพื่อสร้าง HTML Code, json code สำหรับ Setup File Program / Master File Program ในแบบ Standard จนถึง Advance (some functions)
1. Generate json controller file
2. Generate HTML file (standard/advance)
3. Create MSSQL table, SQLite Table
4. Test API program
5. Use for Design and Workflow</t>
  </si>
  <si>
    <t>สามารถนำ ทั้ง UI, Excel Gen Program และ API ไปพัฒนาระบบได้ทันที</t>
  </si>
  <si>
    <t>30 Working Days</t>
  </si>
  <si>
    <t>30-60 Working Days</t>
  </si>
  <si>
    <t>3. API สร้างด้วย C# สำหรับ เก็บ Transaction Log</t>
  </si>
  <si>
    <t>60-90 Working Days</t>
  </si>
  <si>
    <t>20 Working Days</t>
  </si>
  <si>
    <t>30-45 Working Days</t>
  </si>
  <si>
    <t>60 Working Days</t>
  </si>
  <si>
    <r>
      <rPr>
        <b/>
        <sz val="10"/>
        <color theme="1"/>
        <rFont val="Calibri"/>
        <family val="2"/>
        <scheme val="minor"/>
      </rPr>
      <t>3.Expense Reimbursement / Payment Voucher (Online)</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Approve Process (link to Staff Table)
</t>
    </r>
  </si>
  <si>
    <t>STATUS</t>
  </si>
  <si>
    <r>
      <rPr>
        <b/>
        <sz val="10"/>
        <color theme="1"/>
        <rFont val="Calibri"/>
        <family val="2"/>
        <scheme val="minor"/>
      </rPr>
      <t>20/04/2021</t>
    </r>
    <r>
      <rPr>
        <sz val="10"/>
        <color theme="1"/>
        <rFont val="Calibri"/>
        <family val="2"/>
        <scheme val="minor"/>
      </rPr>
      <t xml:space="preserve">
เริ่ม ออกแบบ และดำเนินการ จะส่ง e-Mail เพื่อแจ้งให้ทราบต่อไป ในสัปดาห์นี้</t>
    </r>
  </si>
  <si>
    <r>
      <rPr>
        <b/>
        <sz val="10"/>
        <color theme="1"/>
        <rFont val="Calibri"/>
        <family val="2"/>
        <scheme val="minor"/>
      </rPr>
      <t>12/04/2021</t>
    </r>
    <r>
      <rPr>
        <sz val="10"/>
        <color theme="1"/>
        <rFont val="Calibri"/>
        <family val="2"/>
        <scheme val="minor"/>
      </rPr>
      <t xml:space="preserve">
 ออกแบบ และดำเนินการ จะส่ง e-Mail เพื่อแจ้งให้ทราบรายละเอีดย ในสัปดาห์นี้</t>
    </r>
  </si>
  <si>
    <r>
      <rPr>
        <b/>
        <sz val="10"/>
        <color theme="1"/>
        <rFont val="Calibri"/>
        <family val="2"/>
        <scheme val="minor"/>
      </rPr>
      <t>01/05/2021</t>
    </r>
    <r>
      <rPr>
        <sz val="10"/>
        <color theme="1"/>
        <rFont val="Calibri"/>
        <family val="2"/>
        <scheme val="minor"/>
      </rPr>
      <t xml:space="preserve">
จะเริ่มดำเนินการ</t>
    </r>
  </si>
  <si>
    <r>
      <rPr>
        <b/>
        <sz val="10"/>
        <color theme="1"/>
        <rFont val="Calibri"/>
        <family val="2"/>
        <scheme val="minor"/>
      </rPr>
      <t>25/06/2021</t>
    </r>
    <r>
      <rPr>
        <sz val="10"/>
        <color theme="1"/>
        <rFont val="Calibri"/>
        <family val="2"/>
        <scheme val="minor"/>
      </rPr>
      <t xml:space="preserve">
จะเริ่มดำเนินการ</t>
    </r>
  </si>
  <si>
    <r>
      <rPr>
        <b/>
        <sz val="10"/>
        <color theme="1"/>
        <rFont val="Calibri"/>
        <family val="2"/>
        <scheme val="minor"/>
      </rPr>
      <t>08/05/2021</t>
    </r>
    <r>
      <rPr>
        <sz val="10"/>
        <color theme="1"/>
        <rFont val="Calibri"/>
        <family val="2"/>
        <scheme val="minor"/>
      </rPr>
      <t xml:space="preserve">
จะเริ่มดำเนินการ</t>
    </r>
  </si>
  <si>
    <r>
      <rPr>
        <b/>
        <sz val="10"/>
        <color theme="1"/>
        <rFont val="Calibri"/>
        <family val="2"/>
        <scheme val="minor"/>
      </rPr>
      <t xml:space="preserve">2.Fee Invoice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Link to PeopleSoft Data 
</t>
    </r>
  </si>
  <si>
    <t>ออกแบบมาตราฐานเพียงพอต่อการพัฒนาโปรแกรม แต่ยังดำเนินการปรับปรุงอยู่</t>
  </si>
  <si>
    <t>กำลังปรับปรุงให้ สามารถสร้าง HTML file ที่สวยงานขึ้นและรองรับ Roles และ scope based permission</t>
  </si>
  <si>
    <t>อนาคตต้องเพิ่ม Function ส่งด้วย SMS</t>
  </si>
  <si>
    <t>กำลังพัฒนาเพื่องการ ใส่ Attachment File</t>
  </si>
  <si>
    <t>อยู่ในช่วยพัฒนา</t>
  </si>
  <si>
    <r>
      <rPr>
        <b/>
        <sz val="10"/>
        <color theme="1"/>
        <rFont val="Calibri"/>
        <family val="2"/>
        <scheme val="minor"/>
      </rPr>
      <t>1. Memo for Collection Team, Business Unit, DN Generate Unit</t>
    </r>
    <r>
      <rPr>
        <sz val="10"/>
        <color theme="1"/>
        <rFont val="Calibri"/>
        <family val="2"/>
        <charset val="222"/>
        <scheme val="minor"/>
      </rPr>
      <t xml:space="preserve">
- Link ระบบ Document Control (Jack)
- Online Search / Online Memo / Report Generate
- API เก็บ Transaction Log
- ให้ DN Gen Unit /BU สร้าง Invoice (Billing ) เพื่อตามงาน **ขึ้นอยู่กับระยะเวลา</t>
    </r>
  </si>
  <si>
    <r>
      <rPr>
        <b/>
        <sz val="10"/>
        <color theme="1"/>
        <rFont val="Calibri"/>
        <family val="2"/>
        <scheme val="minor"/>
      </rPr>
      <t>4.Reminder/ Process Automation / Discussion Record / Document Management</t>
    </r>
    <r>
      <rPr>
        <sz val="10"/>
        <color theme="1"/>
        <rFont val="Calibri"/>
        <family val="2"/>
        <charset val="222"/>
        <scheme val="minor"/>
      </rPr>
      <t xml:space="preserve">
- Link ระบบ Document Control (Jack)
- API เก็บ Transaction Log
- Workflow process (Sample in Excel)</t>
    </r>
  </si>
  <si>
    <r>
      <rPr>
        <b/>
        <sz val="10"/>
        <color theme="1"/>
        <rFont val="Calibri"/>
        <family val="2"/>
        <scheme val="minor"/>
      </rPr>
      <t xml:space="preserve">5.Policy Renewal Phase I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t>
    </r>
  </si>
  <si>
    <r>
      <t xml:space="preserve">  สร้างมาตราฐาน สำหรับการพัฒนา ระบบ ที่เป็นแบบแผน ตามวิธีทำงานของ DevExpress/DevExtreme, JavaScript,</t>
    </r>
    <r>
      <rPr>
        <b/>
        <sz val="10"/>
        <color theme="1"/>
        <rFont val="Calibri"/>
        <family val="2"/>
        <scheme val="minor"/>
      </rPr>
      <t xml:space="preserve"> jQuery</t>
    </r>
    <r>
      <rPr>
        <sz val="10"/>
        <color theme="1"/>
        <rFont val="Calibri"/>
        <family val="2"/>
        <charset val="222"/>
        <scheme val="minor"/>
      </rPr>
      <t>, MSSQL, SQLite, HTML5, CSS3, C#
Azure Cloud, DMZzone (json Control file) ทั้งงาน User Interface (UI) และ งาน API
Menu Group Rights , Users Group Rigts and scope based permission</t>
    </r>
  </si>
  <si>
    <t>Function Usage Roles (Table)</t>
  </si>
  <si>
    <t>Function Usage Roles Meaning</t>
  </si>
  <si>
    <t>UsageRolesCode</t>
  </si>
  <si>
    <t>UsageRoles</t>
  </si>
  <si>
    <t>0</t>
  </si>
  <si>
    <t>000</t>
  </si>
  <si>
    <t>110</t>
  </si>
  <si>
    <t>111</t>
  </si>
  <si>
    <t>10</t>
  </si>
  <si>
    <t>01</t>
  </si>
  <si>
    <t>11</t>
  </si>
  <si>
    <t>100</t>
  </si>
  <si>
    <t>101</t>
  </si>
  <si>
    <t>Roles</t>
  </si>
  <si>
    <t>sendRequestNew(aUpdateText,ObjRowData,aaTBKey,aaPFDMI,atob(aaXToX));</t>
  </si>
  <si>
    <t>aNewCRUD</t>
  </si>
  <si>
    <t>arDataD</t>
  </si>
  <si>
    <t>arDataC</t>
  </si>
  <si>
    <t>arDataU</t>
  </si>
  <si>
    <t xml:space="preserve">       allowDeleting: arDataD,</t>
  </si>
  <si>
    <t xml:space="preserve">       allowAdding: arDataC,</t>
  </si>
  <si>
    <t>} else {</t>
  </si>
  <si>
    <t>var aMMaMx = localStorage["MMaMx"];</t>
  </si>
  <si>
    <t>var aRRgRs = aMMaMx.split('0');</t>
  </si>
  <si>
    <t>var aDDeDx = aRRgRs[0];</t>
  </si>
  <si>
    <t xml:space="preserve">var aRrgSx = aRRgRs[1]; </t>
  </si>
  <si>
    <t>if ( jQuery.type(aRrgSx) === "undefined"){</t>
  </si>
  <si>
    <t xml:space="preserve">    aRrgSx = "377B";</t>
  </si>
  <si>
    <t>let nDataPos = 1;</t>
  </si>
  <si>
    <t>let nExcelPos = 2;</t>
  </si>
  <si>
    <t>let nPDFPos = 3;</t>
  </si>
  <si>
    <t>let nRPTPos = 4;</t>
  </si>
  <si>
    <t>var arDataC = aRolesAction(aRrgSx,nDataPos,1);</t>
  </si>
  <si>
    <t>var arDataU = aRolesAction(aRrgSx,nDataPos,2);</t>
  </si>
  <si>
    <t>if (arDataU === 1){</t>
  </si>
  <si>
    <t xml:space="preserve">   var aUpdateText = "Update";</t>
  </si>
  <si>
    <t xml:space="preserve">   var aUpdateText = "xxx";</t>
  </si>
  <si>
    <t>var arDataD = aRolesAction(aRrgSx,nDataPos,3);</t>
  </si>
  <si>
    <t>var arExcelEx = aRolesAction(aRrgSx,nExcelPos,2);</t>
  </si>
  <si>
    <t>var arPDFEx = aRolesAction(aRrgSx,nPDFPos,2);</t>
  </si>
  <si>
    <t>AccountExecutive in (Select Aexec from ScopesBasedPermission Where username = 'wikran')</t>
  </si>
  <si>
    <t xml:space="preserve">Scopes Based Permission </t>
  </si>
  <si>
    <t>onContentReady:function(e){</t>
  </si>
  <si>
    <t xml:space="preserve">   var aSaveVisible = 1;</t>
  </si>
  <si>
    <t xml:space="preserve">   var aCancelText = "Cancel";</t>
  </si>
  <si>
    <t xml:space="preserve">   var aCancelicon = "close"; </t>
  </si>
  <si>
    <t xml:space="preserve">   var aSaveVisible = 0;</t>
  </si>
  <si>
    <t>e.component.option('toolbarItems[0].visible', aSaveVisible);</t>
  </si>
  <si>
    <t>e.component.option('toolbarItems[1].options.text', aCancelText);</t>
  </si>
  <si>
    <t xml:space="preserve">       popup: {</t>
  </si>
  <si>
    <t xml:space="preserve">                    position: {</t>
  </si>
  <si>
    <t xml:space="preserve">          onContentReady:function(e){</t>
  </si>
  <si>
    <t xml:space="preserve">                    e.component.option('toolbarItems[0].visible', aSaveVisible);</t>
  </si>
  <si>
    <t xml:space="preserve">                    e.component.option('toolbarItems[1].options.text', aCancelText);</t>
  </si>
  <si>
    <t xml:space="preserve">          },</t>
  </si>
  <si>
    <t>enabled: arExcelEx,</t>
  </si>
  <si>
    <t>visible: arPDFEx,</t>
  </si>
  <si>
    <t>e.component.option('toolbarItems[0].options.icon', 'save');</t>
  </si>
  <si>
    <t>e.component.option('toolbarItems[1].options.icon', aCancelicon);</t>
  </si>
  <si>
    <t xml:space="preserve">                    e.component.option('toolbarItems[0].options.icon', 'save');</t>
  </si>
  <si>
    <t xml:space="preserve">                    e.component.option('toolbarItems[1].options.icon', aCancelicon);</t>
  </si>
  <si>
    <t xml:space="preserve">          }</t>
  </si>
  <si>
    <t xml:space="preserve">       }</t>
  </si>
  <si>
    <t xml:space="preserve">  },</t>
  </si>
  <si>
    <t xml:space="preserve">    if(e.parentType === "dataRow" &amp;&amp; arDataU === 0){  </t>
  </si>
  <si>
    <t xml:space="preserve">        e.editorOptions.disabled = true;</t>
  </si>
  <si>
    <t xml:space="preserve">    } else {     </t>
  </si>
  <si>
    <t xml:space="preserve">        if (e.parentType === "dataRow" &amp;&amp; (e.dataField === "EntryBy" || e.dataField === "EntryDate")) {</t>
  </si>
  <si>
    <t xml:space="preserve">        }</t>
  </si>
  <si>
    <t xml:space="preserve">    }</t>
  </si>
  <si>
    <t>&lt;!-- Icon --&gt;</t>
  </si>
  <si>
    <t>&lt;link href="./fontawesome-free-5.15.1-web/css/fontawesome.css" rel="stylesheet"&gt;</t>
  </si>
  <si>
    <t>&lt;link href="./fontawesome-free-5.15.1-web/css/brands.css" rel="stylesheet"&gt;</t>
  </si>
  <si>
    <t>&lt;link href="./fontawesome-free-5.15.1-web/css/solid.css" rel="stylesheet"&gt;</t>
  </si>
  <si>
    <t>&lt;link href="./uicons/uicons-bold-rounded/css/uicons-bold-rounded.css" rel="stylesheet"&gt;</t>
  </si>
  <si>
    <t>&lt;link href="./uicons/uicons-solid-rounded/css/uicons-solid-rounded.css" rel="stylesheet"&gt;</t>
  </si>
  <si>
    <t>&lt;script src="aaTMain.js"&gt;&lt;/script&gt;</t>
  </si>
  <si>
    <t>&lt;script src="ajQjsLib.js"&gt;&lt;/script&gt;</t>
  </si>
  <si>
    <t>&lt;script type="text/javascript" src="DevExpressDevExtreme/Lib/js/dx.all.js"&gt;&lt;/script&gt;</t>
  </si>
  <si>
    <t xml:space="preserve">&lt;!--&lt;script src="https://cdn3.devexpress.com/jslib/20.2.4/js/dx.all.js"&gt;&lt;/script&gt;--&gt;	</t>
  </si>
  <si>
    <t xml:space="preserve">&lt;!-- Export to PDF --&gt;	</t>
  </si>
  <si>
    <t>allowedPageSizes: [5, 10, 20, 50],</t>
  </si>
  <si>
    <t xml:space="preserve">   var aCancelText = "EXIT";</t>
  </si>
  <si>
    <t xml:space="preserve">var aCancelType = "danger"; </t>
  </si>
  <si>
    <t xml:space="preserve">var aCancelType = "success"; </t>
  </si>
  <si>
    <t>e.component.option('toolbarItems[1].options.type', aCancelType);</t>
  </si>
  <si>
    <t xml:space="preserve">           e.component.option('toolbarItems[1].options.type', aCancelType);</t>
  </si>
  <si>
    <t>e.component.option('toolbarItems[0].options.type', 'success');</t>
  </si>
  <si>
    <t xml:space="preserve">                    e.component.option('toolbarItems[0].options.type', 'success');</t>
  </si>
  <si>
    <t xml:space="preserve">   var aCancelicon = "fas fa-sign-out-alt";   </t>
  </si>
  <si>
    <t>{  dataField: "Code",</t>
  </si>
  <si>
    <t xml:space="preserve">         { column: "Code",</t>
  </si>
  <si>
    <t>HLP MNUP</t>
  </si>
  <si>
    <t>Help Menu Menu and Main Page</t>
  </si>
  <si>
    <t>STEP 3 HELP</t>
  </si>
  <si>
    <t>URL (HTML FILE)</t>
  </si>
  <si>
    <t>ต้องมีการกำหนด สิทธิ์ไว้ 2 ที่ เมื่อมีการเลือกใช้ จะมีการ Match สิทธิ์</t>
  </si>
  <si>
    <t>เมื่อ Login ได้แล้วสามารถเปลี่ยน Login ได้ที่ OPTONS &gt; LOGIN (เมนู ขวามือ) โดยทดสอบใช้งาน username = Guest/ Password Password123</t>
  </si>
  <si>
    <t>1 กำหนดสิทธิ์ไว้ที่ Menu (Rights Group)</t>
  </si>
  <si>
    <t>เช่นที่ Menu Class Of Risk กำหนดสิทธิ์ที่สามารถใช้งาน โปรแกรมจากเมนูนี้ไว้ 3 สิทธิ์ (admin,setup,corp01774)</t>
  </si>
  <si>
    <t>ที่ Menu Claim กำหนดสิทธิ์ที่สามารถใช้งาน โปรแกรมจากเมนูนี้ไว้ 2 สิทธิ์ (admin,claim01444)</t>
  </si>
  <si>
    <t>2 กำหนดสิทธิ์ไว้ที่ User (Group Rights)</t>
  </si>
  <si>
    <t>สำหรับแต่ละคน (user) ก็จะได้สิทธิ์ ตามหน้าที่ที่สามารถจะทำได้ เช่น</t>
  </si>
  <si>
    <t>User Name : Wikran จะได้สิทธิ์เป็น (admin) (สิทธิ์สูงสุด)</t>
  </si>
  <si>
    <t>User Name: Guest ได้สิทธิ์ corp01774,claim01444</t>
  </si>
  <si>
    <t>3.การเข้าถึงสิทธิ์ที่ตัวเองมี (Rights Matching)</t>
  </si>
  <si>
    <t>ระบบจะนำสิทธิ์ตาม Menu เป็นหลัก และนำสิทธิ์ที่ได้จาก การ Login มาเปรียบเทียบ (Match)</t>
  </si>
  <si>
    <t>ตัวอย่าง (รูปที่ 2 และ 3)</t>
  </si>
  <si>
    <t>เมื่อผู้ใช้งาน Login เป็น Guest จะได้สิทธิ์ corp01774 และ claim01444 ตามลำดับ</t>
  </si>
  <si>
    <t>เมื่อผู้ใช้เลือก Menu Claim ระบบจะทำการ เปรียบเทียบ Menu Group Rights กับ User Group Rights ดังนี้</t>
  </si>
  <si>
    <t>User Rights</t>
  </si>
  <si>
    <t>Match</t>
  </si>
  <si>
    <t>Rights</t>
  </si>
  <si>
    <t>ครั้งที่ 1</t>
  </si>
  <si>
    <t>corp01774</t>
  </si>
  <si>
    <t>ไม่เหมือน</t>
  </si>
  <si>
    <t>ไม่มีสิทธิ์</t>
  </si>
  <si>
    <t>claim01444</t>
  </si>
  <si>
    <t>ครั้งที่ 2</t>
  </si>
  <si>
    <t>เหมือนกัน</t>
  </si>
  <si>
    <t>มีสิทธิ์</t>
  </si>
  <si>
    <t>เข้าใช้งานได้ด้วย Roles = 1444</t>
  </si>
  <si>
    <t>เมื่อเข้าใช้โปรแกรม Claim, Guest จะมี สิทธิ์เข้าถึง การทำงาน แบบ Roles = 1444</t>
  </si>
  <si>
    <t xml:space="preserve">คือ Data: ReadOnly, Excel:Disable, PDF:Disable,Report:Disable </t>
  </si>
  <si>
    <t>1. สิทธิ์การเข้าใช้ข้อมูล 3 แบบ (1,2,3)</t>
  </si>
  <si>
    <t>1) R การอ่าน (Read) ได้อย่างเดียว Read Only [000]</t>
  </si>
  <si>
    <t>2) CRU การอ่าน (Read) , เพิ่ม (Create) และ เปลี่ยนแปลง (Update) [110]</t>
  </si>
  <si>
    <t>3) CRUD การอ่าน (Read) , เพิ่ม (Create) , เปลี่ยนแปลง (Update) และลบข้อมูล (Delete) [111]</t>
  </si>
  <si>
    <t>2. สิทธิ์ในการ Import and Export to EXCEL</t>
  </si>
  <si>
    <t>4) Disable (ไม่แสดงให้เห็น ปุ่ม) [0]</t>
  </si>
  <si>
    <t>5) Import นำ Excel เข้า Database [10]</t>
  </si>
  <si>
    <t>6) Export แปลงเป็นไฟล์ Excel [01]</t>
  </si>
  <si>
    <t>7) Impor and Export to Excel [11]</t>
  </si>
  <si>
    <t>3.สิทธิ์ในการ Import and Export to PDF</t>
  </si>
  <si>
    <t>5) Import นำ PDF เข้า Database [10] - ไม่มี</t>
  </si>
  <si>
    <t>6) Export แปลงเป็นไฟล์ PDF [01]</t>
  </si>
  <si>
    <t>7) Import and Export to PDF [11]</t>
  </si>
  <si>
    <t>4.สิทธิ์ในการใช้งาน Report</t>
  </si>
  <si>
    <t>8) Printable [100}</t>
  </si>
  <si>
    <t>9) Export2PDF [110]</t>
  </si>
  <si>
    <t>A) Export2Excel [101]</t>
  </si>
  <si>
    <t>B) Report Full Rights [111]</t>
  </si>
  <si>
    <t>สิทธิ์ในการเข้าใช้งานโปรแกรม</t>
  </si>
  <si>
    <t>รายละเอียด Role หรือสิทธ์การเข้าถึงการทำงาน 4 ประเภท</t>
  </si>
  <si>
    <t>อธิบายเรื่องสิทธิ์เพิ่มเติม</t>
  </si>
  <si>
    <t>สามารถ เลือก ที่จะกำหนดการเข้าถึงข้อมูลโดยใช้ SQL Command</t>
  </si>
  <si>
    <t>เช่น Table ที่มี AE และต้องการกำหนดให้ User Name ที่เป็นสมาชิกของ AE นั้นเข้าได้เฉพาะ ข้อมูลที่กำหนดให้ จะต้องดำเนินการโดย</t>
  </si>
  <si>
    <t>1. กำหนด AE ที่ User นั้น ๆ สามารถเข้าถึงได้</t>
  </si>
  <si>
    <t>2. ที่โปรแกรม ให้ใส่ การค้นหาด้วย คำสั่งนี้ ก่อน เสมอ</t>
  </si>
  <si>
    <t>ScopesBasedPremission -TABLE</t>
  </si>
  <si>
    <t>username</t>
  </si>
  <si>
    <t>CRS01</t>
  </si>
  <si>
    <t>EB01</t>
  </si>
  <si>
    <r>
      <t>เข่น สำหรับ Table Policy ต้องใส่ Query : Where AccountExecutive in (Select Aexec from ScopesBasedPermission Where username = '</t>
    </r>
    <r>
      <rPr>
        <u/>
        <sz val="10"/>
        <color theme="1"/>
        <rFont val="Calibri"/>
        <family val="2"/>
        <scheme val="minor"/>
      </rPr>
      <t>Wikran</t>
    </r>
    <r>
      <rPr>
        <sz val="10"/>
        <color theme="1"/>
        <rFont val="Calibri"/>
        <family val="2"/>
        <charset val="222"/>
        <scheme val="minor"/>
      </rPr>
      <t>') ด้วยทุกครั้ง (ชื่อเป็นไปตาม UsrID ที่ LOGIN)</t>
    </r>
  </si>
  <si>
    <t>Policy - TABLE</t>
  </si>
  <si>
    <t>Premum</t>
  </si>
  <si>
    <t>…</t>
  </si>
  <si>
    <t>ABC00029</t>
  </si>
  <si>
    <t>XXX00003</t>
  </si>
  <si>
    <t>EB02</t>
  </si>
  <si>
    <t>XYZ09384</t>
  </si>
  <si>
    <t>All Transaction --&gt;</t>
  </si>
  <si>
    <t>Where AccountExecutive in (Select Aexec from ScopesBasedPermission Where username = 'Wikran') --&gt;</t>
  </si>
  <si>
    <t>CRS02</t>
  </si>
  <si>
    <t>XYZ04778</t>
  </si>
  <si>
    <t>Wachiraphan</t>
  </si>
  <si>
    <t>CRS03</t>
  </si>
  <si>
    <t>Where AccountExecutive in (Select Aexec from ScopesBasedPermission Where username = 'Wachiraphan') --&gt;</t>
  </si>
  <si>
    <t>จะเห็นเฉพาะ AE ที่กำหนดให้ Wikran เป็นสมาชิก</t>
  </si>
  <si>
    <t>DAY70938</t>
  </si>
  <si>
    <t>ProjectsGen.xlsm</t>
  </si>
  <si>
    <t>eNd</t>
  </si>
  <si>
    <t>dataField</t>
  </si>
  <si>
    <t>NEXTNUMBER</t>
  </si>
  <si>
    <t>a32f4a17-4df8-453d-a617-dab8ceb48775</t>
  </si>
  <si>
    <t>NextNo</t>
  </si>
  <si>
    <t>int</t>
  </si>
  <si>
    <t>ConstantValue</t>
  </si>
  <si>
    <t>float</t>
  </si>
  <si>
    <t>BooleanFlag</t>
  </si>
  <si>
    <t>Remark</t>
  </si>
  <si>
    <t>NextNumber</t>
  </si>
  <si>
    <t>Next Number</t>
  </si>
  <si>
    <t>Next No</t>
  </si>
  <si>
    <t>Constant Value</t>
  </si>
  <si>
    <t>Boolean Flag</t>
  </si>
  <si>
    <t>[90201]</t>
  </si>
  <si>
    <t>[90200]</t>
  </si>
  <si>
    <t xml:space="preserve">           title: "Next Number Info" ,</t>
  </si>
  <si>
    <t xml:space="preserve">   caption:"Code",</t>
  </si>
  <si>
    <t>{  dataField: "NextNo",</t>
  </si>
  <si>
    <t xml:space="preserve">   caption:"Next No",</t>
  </si>
  <si>
    <t>{  dataField: "ConstantValue",</t>
  </si>
  <si>
    <t xml:space="preserve">   caption:"Constant Value",</t>
  </si>
  <si>
    <t>{  dataField: "BooleanFlag",</t>
  </si>
  <si>
    <t xml:space="preserve">   caption:"Boolean Flag",</t>
  </si>
  <si>
    <t xml:space="preserve">          visible: false,</t>
  </si>
  <si>
    <t>{  dataField: "Remark",</t>
  </si>
  <si>
    <t xml:space="preserve">   caption:"Remark",</t>
  </si>
  <si>
    <t>TBTemplate</t>
  </si>
  <si>
    <t>Table - Blank Template</t>
  </si>
  <si>
    <t>MASTERCOLUMNLIST</t>
  </si>
  <si>
    <t>Last Row No</t>
  </si>
  <si>
    <t xml:space="preserve">Page Setup  </t>
  </si>
  <si>
    <t xml:space="preserve">       form: {</t>
  </si>
  <si>
    <t xml:space="preserve">       },</t>
  </si>
  <si>
    <t>showColonAfterLabel</t>
  </si>
  <si>
    <t>top</t>
  </si>
  <si>
    <t>labelLocation</t>
  </si>
  <si>
    <t>aLabelLocation</t>
  </si>
  <si>
    <t>left</t>
  </si>
  <si>
    <t>right</t>
  </si>
  <si>
    <t>X5</t>
  </si>
  <si>
    <t>X6</t>
  </si>
  <si>
    <t>colCount</t>
  </si>
  <si>
    <t>X7</t>
  </si>
  <si>
    <t>colCount (2)</t>
  </si>
  <si>
    <t xml:space="preserve">       labelLocation: 'top',</t>
  </si>
  <si>
    <t xml:space="preserve">       showColonAfterLabel: false,</t>
  </si>
  <si>
    <t xml:space="preserve">       colCount:2,</t>
  </si>
  <si>
    <t xml:space="preserve">   validationRules: [{type: 'required',message: 'Code is required' }],</t>
  </si>
  <si>
    <t xml:space="preserve">   allowHiding: false,</t>
  </si>
  <si>
    <t xml:space="preserve">   validationRules: [{type: 'required',message: 'Next No is required' }],</t>
  </si>
  <si>
    <t xml:space="preserve">   dataType:"number",</t>
  </si>
  <si>
    <t xml:space="preserve">   format:18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</si>
</sst>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80">
    <font>
      <sz val="11"/>
      <color theme="1"/>
      <name val="Calibri"/>
      <family val="2"/>
      <charset val="222"/>
      <scheme val="minor"/>
    </font>
    <font>
      <sz val="11"/>
      <color theme="1"/>
      <name val="Calibri"/>
      <family val="2"/>
      <charset val="222"/>
      <scheme val="minor"/>
    </font>
    <font>
      <sz val="10"/>
      <color theme="1"/>
      <name val="Calibri"/>
      <family val="2"/>
      <charset val="222"/>
      <scheme val="minor"/>
    </font>
    <font>
      <b/>
      <sz val="10"/>
      <color theme="1"/>
      <name val="Calibri"/>
      <family val="2"/>
      <scheme val="minor"/>
    </font>
    <font>
      <b/>
      <sz val="11"/>
      <color theme="1"/>
      <name val="Calibri"/>
      <family val="2"/>
      <scheme val="minor"/>
    </font>
    <font>
      <sz val="10"/>
      <name val="Calibri"/>
      <family val="2"/>
      <charset val="222"/>
      <scheme val="minor"/>
    </font>
    <font>
      <u/>
      <sz val="11"/>
      <color theme="10"/>
      <name val="Tahoma"/>
      <family val="2"/>
      <charset val="222"/>
    </font>
    <font>
      <sz val="10"/>
      <color theme="1"/>
      <name val="Calibri"/>
      <family val="2"/>
      <scheme val="minor"/>
    </font>
    <font>
      <sz val="9"/>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b/>
      <sz val="9"/>
      <color theme="4" tint="-0.249977111117893"/>
      <name val="Calibri"/>
      <family val="2"/>
      <scheme val="minor"/>
    </font>
    <font>
      <i/>
      <sz val="8"/>
      <color theme="0" tint="-0.34998626667073579"/>
      <name val="Calibri"/>
      <family val="2"/>
      <scheme val="minor"/>
    </font>
    <font>
      <i/>
      <sz val="8"/>
      <color theme="1" tint="0.499984740745262"/>
      <name val="Calibri"/>
      <family val="2"/>
      <scheme val="minor"/>
    </font>
    <font>
      <b/>
      <sz val="7"/>
      <color theme="0"/>
      <name val="Calibri"/>
      <family val="2"/>
      <scheme val="minor"/>
    </font>
    <font>
      <sz val="9"/>
      <color theme="0"/>
      <name val="Calibri"/>
      <family val="2"/>
      <scheme val="minor"/>
    </font>
    <font>
      <b/>
      <sz val="10"/>
      <color theme="9" tint="-0.249977111117893"/>
      <name val="Calibri"/>
      <family val="2"/>
      <scheme val="minor"/>
    </font>
    <font>
      <sz val="8"/>
      <color theme="5" tint="-0.249977111117893"/>
      <name val="Tahoma"/>
      <family val="2"/>
    </font>
    <font>
      <b/>
      <sz val="7"/>
      <name val="Calibri"/>
      <family val="2"/>
      <scheme val="minor"/>
    </font>
    <font>
      <sz val="10"/>
      <color theme="0"/>
      <name val="Calibri"/>
      <family val="2"/>
      <charset val="222"/>
      <scheme val="minor"/>
    </font>
    <font>
      <b/>
      <sz val="10"/>
      <name val="Calibri"/>
      <family val="2"/>
      <scheme val="minor"/>
    </font>
    <font>
      <b/>
      <sz val="10"/>
      <color theme="5" tint="-0.249977111117893"/>
      <name val="Calibri"/>
      <family val="2"/>
      <scheme val="minor"/>
    </font>
    <font>
      <b/>
      <sz val="10"/>
      <color theme="4" tint="-0.499984740745262"/>
      <name val="Calibri"/>
      <family val="2"/>
      <scheme val="minor"/>
    </font>
    <font>
      <sz val="10"/>
      <name val="Calibri"/>
      <family val="2"/>
      <scheme val="minor"/>
    </font>
    <font>
      <b/>
      <sz val="8"/>
      <color rgb="FF990000"/>
      <name val="Tahoma"/>
      <family val="2"/>
    </font>
    <font>
      <b/>
      <sz val="9"/>
      <color theme="3" tint="-0.499984740745262"/>
      <name val="Calibri"/>
      <family val="2"/>
      <scheme val="minor"/>
    </font>
    <font>
      <sz val="9"/>
      <color theme="1"/>
      <name val="Calibri"/>
      <family val="2"/>
      <charset val="222"/>
      <scheme val="minor"/>
    </font>
    <font>
      <sz val="10"/>
      <color theme="0"/>
      <name val="Calibri"/>
      <family val="2"/>
      <scheme val="minor"/>
    </font>
    <font>
      <sz val="10"/>
      <color theme="0" tint="-4.9989318521683403E-2"/>
      <name val="Calibri"/>
      <family val="2"/>
      <scheme val="minor"/>
    </font>
    <font>
      <i/>
      <sz val="9"/>
      <color theme="1"/>
      <name val="Calibri"/>
      <family val="2"/>
      <scheme val="minor"/>
    </font>
    <font>
      <sz val="9"/>
      <name val="Calibri"/>
      <family val="2"/>
      <scheme val="minor"/>
    </font>
    <font>
      <b/>
      <sz val="8"/>
      <color theme="6" tint="-0.499984740745262"/>
      <name val="Calibri"/>
      <family val="2"/>
      <scheme val="minor"/>
    </font>
    <font>
      <sz val="10"/>
      <color rgb="FF212121"/>
      <name val="Tahoma"/>
      <family val="2"/>
    </font>
    <font>
      <sz val="11"/>
      <color theme="0"/>
      <name val="Calibri"/>
      <family val="2"/>
      <charset val="222"/>
      <scheme val="minor"/>
    </font>
    <font>
      <sz val="11"/>
      <color theme="1"/>
      <name val="Tahoma"/>
      <family val="2"/>
    </font>
    <font>
      <sz val="10"/>
      <color theme="1"/>
      <name val="Tahoma"/>
      <family val="2"/>
    </font>
    <font>
      <sz val="10"/>
      <color rgb="FF990000"/>
      <name val="Tahoma"/>
      <family val="2"/>
    </font>
    <font>
      <sz val="10"/>
      <color theme="3" tint="-0.499984740745262"/>
      <name val="Tahoma"/>
      <family val="2"/>
    </font>
    <font>
      <sz val="10"/>
      <name val="Tahoma"/>
      <family val="2"/>
    </font>
    <font>
      <sz val="8"/>
      <color theme="0"/>
      <name val="Tahoma"/>
      <family val="2"/>
    </font>
    <font>
      <sz val="8"/>
      <color rgb="FF990000"/>
      <name val="Tahoma"/>
      <family val="2"/>
    </font>
    <font>
      <sz val="7"/>
      <color theme="0"/>
      <name val="Tahoma"/>
      <family val="2"/>
    </font>
    <font>
      <sz val="11"/>
      <name val="Calibri"/>
      <family val="2"/>
      <charset val="222"/>
      <scheme val="minor"/>
    </font>
    <font>
      <u/>
      <sz val="10"/>
      <color theme="10"/>
      <name val="Tahoma"/>
      <family val="2"/>
    </font>
    <font>
      <sz val="10"/>
      <color theme="3"/>
      <name val="Tahoma"/>
      <family val="2"/>
    </font>
    <font>
      <b/>
      <sz val="8"/>
      <name val="Tahoma"/>
      <family val="2"/>
    </font>
    <font>
      <sz val="9"/>
      <color theme="1"/>
      <name val="Tahoma"/>
      <family val="2"/>
    </font>
    <font>
      <b/>
      <sz val="6"/>
      <color rgb="FFFF0000"/>
      <name val="Tahoma"/>
      <family val="2"/>
    </font>
    <font>
      <sz val="10"/>
      <color theme="0"/>
      <name val="Tahoma"/>
      <family val="2"/>
    </font>
    <font>
      <b/>
      <sz val="9"/>
      <color theme="1"/>
      <name val="Tahoma"/>
      <family val="2"/>
    </font>
    <font>
      <i/>
      <sz val="10"/>
      <color theme="5" tint="-0.249977111117893"/>
      <name val="Calibri"/>
      <family val="2"/>
      <scheme val="minor"/>
    </font>
    <font>
      <i/>
      <sz val="10"/>
      <name val="Calibri"/>
      <family val="2"/>
      <scheme val="minor"/>
    </font>
    <font>
      <b/>
      <sz val="9"/>
      <color theme="0"/>
      <name val="Calibri"/>
      <family val="2"/>
      <scheme val="minor"/>
    </font>
    <font>
      <b/>
      <sz val="9"/>
      <color theme="0" tint="-4.9989318521683403E-2"/>
      <name val="Calibri"/>
      <family val="2"/>
      <scheme val="minor"/>
    </font>
    <font>
      <sz val="11"/>
      <name val="Tahoma"/>
      <family val="2"/>
    </font>
    <font>
      <b/>
      <sz val="10"/>
      <color rgb="FFFF0000"/>
      <name val="Calibri"/>
      <family val="2"/>
      <scheme val="minor"/>
    </font>
    <font>
      <b/>
      <sz val="11"/>
      <color theme="8" tint="-0.249977111117893"/>
      <name val="Tahoma"/>
      <family val="2"/>
    </font>
    <font>
      <sz val="10"/>
      <name val="Consolas"/>
      <family val="3"/>
    </font>
    <font>
      <sz val="9"/>
      <name val="Calibri"/>
      <family val="2"/>
      <charset val="222"/>
      <scheme val="minor"/>
    </font>
    <font>
      <b/>
      <sz val="10"/>
      <color rgb="FFC00000"/>
      <name val="Calibri"/>
      <family val="2"/>
      <scheme val="minor"/>
    </font>
    <font>
      <b/>
      <sz val="11"/>
      <color theme="0"/>
      <name val="Calibri"/>
      <family val="2"/>
      <scheme val="minor"/>
    </font>
    <font>
      <sz val="10"/>
      <color rgb="FFC00000"/>
      <name val="Calibri"/>
      <family val="2"/>
      <charset val="222"/>
      <scheme val="minor"/>
    </font>
    <font>
      <sz val="8"/>
      <name val="Calibri"/>
      <family val="2"/>
      <charset val="222"/>
      <scheme val="minor"/>
    </font>
    <font>
      <b/>
      <sz val="11"/>
      <color rgb="FFC00000"/>
      <name val="Calibri"/>
      <family val="2"/>
      <scheme val="minor"/>
    </font>
    <font>
      <sz val="10"/>
      <color theme="8" tint="-0.249977111117893"/>
      <name val="Calibri"/>
      <family val="2"/>
      <charset val="222"/>
      <scheme val="minor"/>
    </font>
    <font>
      <b/>
      <sz val="10"/>
      <color theme="8" tint="-0.249977111117893"/>
      <name val="Calibri"/>
      <family val="2"/>
      <scheme val="minor"/>
    </font>
    <font>
      <b/>
      <sz val="10"/>
      <color theme="7" tint="-0.499984740745262"/>
      <name val="Calibri"/>
      <family val="2"/>
      <scheme val="minor"/>
    </font>
    <font>
      <b/>
      <sz val="10"/>
      <color theme="9" tint="-0.499984740745262"/>
      <name val="Calibri"/>
      <family val="2"/>
      <scheme val="minor"/>
    </font>
    <font>
      <b/>
      <sz val="10"/>
      <color rgb="FF002060"/>
      <name val="Calibri"/>
      <family val="2"/>
      <scheme val="minor"/>
    </font>
    <font>
      <i/>
      <sz val="10"/>
      <color rgb="FFFF0000"/>
      <name val="Calibri"/>
      <family val="2"/>
      <scheme val="minor"/>
    </font>
    <font>
      <b/>
      <sz val="11"/>
      <color theme="4"/>
      <name val="Calibri"/>
      <family val="2"/>
      <scheme val="minor"/>
    </font>
    <font>
      <b/>
      <sz val="12"/>
      <color theme="4"/>
      <name val="Calibri"/>
      <family val="2"/>
      <scheme val="minor"/>
    </font>
    <font>
      <b/>
      <sz val="12"/>
      <color theme="9" tint="-0.499984740745262"/>
      <name val="Calibri"/>
      <family val="2"/>
      <scheme val="minor"/>
    </font>
    <font>
      <b/>
      <sz val="10"/>
      <color theme="0"/>
      <name val="Calibri"/>
      <family val="2"/>
      <scheme val="minor"/>
    </font>
    <font>
      <b/>
      <sz val="10"/>
      <color theme="8" tint="-0.499984740745262"/>
      <name val="Calibri"/>
      <family val="2"/>
      <scheme val="minor"/>
    </font>
    <font>
      <sz val="10"/>
      <color theme="1"/>
      <name val="Wingdings"/>
      <charset val="2"/>
    </font>
    <font>
      <u/>
      <sz val="10"/>
      <color theme="1"/>
      <name val="Calibri"/>
      <family val="2"/>
      <scheme val="minor"/>
    </font>
    <font>
      <sz val="8"/>
      <color theme="1"/>
      <name val="Calibri"/>
      <family val="2"/>
      <charset val="222"/>
      <scheme val="minor"/>
    </font>
    <font>
      <sz val="10"/>
      <color rgb="FFFF0000"/>
      <name val="Tahoma"/>
      <family val="2"/>
    </font>
  </fonts>
  <fills count="40">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0" tint="-0.14999847407452621"/>
        <bgColor indexed="64"/>
      </patternFill>
    </fill>
    <fill>
      <patternFill patternType="solid">
        <fgColor rgb="FFCCFFCC"/>
        <bgColor indexed="64"/>
      </patternFill>
    </fill>
    <fill>
      <patternFill patternType="solid">
        <fgColor rgb="FFD9FFD9"/>
        <bgColor indexed="64"/>
      </patternFill>
    </fill>
    <fill>
      <patternFill patternType="solid">
        <fgColor rgb="FF00B0F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3"/>
        <bgColor indexed="64"/>
      </patternFill>
    </fill>
    <fill>
      <patternFill patternType="solid">
        <fgColor rgb="FFE2F2F6"/>
        <bgColor indexed="64"/>
      </patternFill>
    </fill>
    <fill>
      <patternFill patternType="solid">
        <fgColor theme="1"/>
        <bgColor indexed="64"/>
      </patternFill>
    </fill>
    <fill>
      <patternFill patternType="solid">
        <fgColor theme="4" tint="-0.499984740745262"/>
        <bgColor indexed="64"/>
      </patternFill>
    </fill>
    <fill>
      <patternFill patternType="solid">
        <fgColor theme="8" tint="0.59999389629810485"/>
        <bgColor indexed="64"/>
      </patternFill>
    </fill>
    <fill>
      <patternFill patternType="solid">
        <fgColor rgb="FFDDFFFF"/>
        <bgColor indexed="64"/>
      </patternFill>
    </fill>
    <fill>
      <patternFill patternType="darkTrellis">
        <fgColor theme="8" tint="-0.499984740745262"/>
        <bgColor theme="1"/>
      </patternFill>
    </fill>
    <fill>
      <patternFill patternType="solid">
        <fgColor theme="1" tint="0.1499984740745262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rgb="FFFF0000"/>
      </left>
      <right style="thin">
        <color rgb="FFFF0000"/>
      </right>
      <top style="thin">
        <color rgb="FFFF0000"/>
      </top>
      <bottom style="thin">
        <color rgb="FFFF0000"/>
      </bottom>
      <diagonal/>
    </border>
    <border>
      <left/>
      <right/>
      <top style="dotted">
        <color theme="5" tint="0.79995117038483843"/>
      </top>
      <bottom/>
      <diagonal/>
    </border>
    <border>
      <left/>
      <right style="dotted">
        <color theme="5" tint="0.79995117038483843"/>
      </right>
      <top style="dotted">
        <color theme="5" tint="0.79995117038483843"/>
      </top>
      <bottom/>
      <diagonal/>
    </border>
    <border>
      <left style="dotted">
        <color theme="5" tint="0.79995117038483843"/>
      </left>
      <right/>
      <top/>
      <bottom/>
      <diagonal/>
    </border>
    <border>
      <left/>
      <right style="dotted">
        <color theme="5" tint="0.79995117038483843"/>
      </right>
      <top/>
      <bottom/>
      <diagonal/>
    </border>
    <border>
      <left/>
      <right/>
      <top style="dotted">
        <color theme="5" tint="0.59996337778862885"/>
      </top>
      <bottom style="dotted">
        <color theme="5" tint="0.59996337778862885"/>
      </bottom>
      <diagonal/>
    </border>
    <border>
      <left style="dotted">
        <color theme="5" tint="0.79992065187536243"/>
      </left>
      <right style="dotted">
        <color theme="5" tint="0.59996337778862885"/>
      </right>
      <top style="dotted">
        <color theme="5" tint="0.59996337778862885"/>
      </top>
      <bottom style="dotted">
        <color theme="5" tint="0.59996337778862885"/>
      </bottom>
      <diagonal/>
    </border>
    <border>
      <left style="thick">
        <color indexed="64"/>
      </left>
      <right style="thin">
        <color indexed="64"/>
      </right>
      <top style="thin">
        <color indexed="64"/>
      </top>
      <bottom style="thin">
        <color indexed="64"/>
      </bottom>
      <diagonal/>
    </border>
    <border>
      <left style="thick">
        <color indexed="64"/>
      </left>
      <right/>
      <top style="thin">
        <color indexed="64"/>
      </top>
      <bottom style="thin">
        <color indexed="64"/>
      </bottom>
      <diagonal/>
    </border>
    <border>
      <left/>
      <right/>
      <top style="thin">
        <color indexed="64"/>
      </top>
      <bottom/>
      <diagonal/>
    </border>
    <border>
      <left style="medium">
        <color indexed="64"/>
      </left>
      <right style="hair">
        <color theme="0" tint="-4.9989318521683403E-2"/>
      </right>
      <top style="medium">
        <color indexed="64"/>
      </top>
      <bottom style="hair">
        <color theme="0" tint="-4.9989318521683403E-2"/>
      </bottom>
      <diagonal/>
    </border>
    <border>
      <left style="hair">
        <color theme="0" tint="-4.9989318521683403E-2"/>
      </left>
      <right style="medium">
        <color indexed="64"/>
      </right>
      <top style="medium">
        <color indexed="64"/>
      </top>
      <bottom style="hair">
        <color theme="0" tint="-4.9989318521683403E-2"/>
      </bottom>
      <diagonal/>
    </border>
    <border>
      <left style="medium">
        <color indexed="64"/>
      </left>
      <right style="hair">
        <color theme="0" tint="-4.9989318521683403E-2"/>
      </right>
      <top style="hair">
        <color theme="0" tint="-4.9989318521683403E-2"/>
      </top>
      <bottom style="medium">
        <color indexed="64"/>
      </bottom>
      <diagonal/>
    </border>
    <border>
      <left style="hair">
        <color theme="0" tint="-4.9989318521683403E-2"/>
      </left>
      <right style="medium">
        <color indexed="64"/>
      </right>
      <top style="hair">
        <color theme="0" tint="-4.9989318521683403E-2"/>
      </top>
      <bottom style="medium">
        <color indexed="64"/>
      </bottom>
      <diagonal/>
    </border>
    <border>
      <left/>
      <right style="dotted">
        <color theme="5" tint="0.59996337778862885"/>
      </right>
      <top style="dotted">
        <color theme="5" tint="0.59996337778862885"/>
      </top>
      <bottom style="dotted">
        <color theme="5" tint="0.59996337778862885"/>
      </bottom>
      <diagonal/>
    </border>
    <border>
      <left style="dotted">
        <color theme="5" tint="0.79992065187536243"/>
      </left>
      <right style="dotted">
        <color theme="5" tint="0.79989013336588644"/>
      </right>
      <top style="dotted">
        <color theme="5" tint="0.59996337778862885"/>
      </top>
      <bottom style="dotted">
        <color theme="5" tint="0.59996337778862885"/>
      </bottom>
      <diagonal/>
    </border>
    <border>
      <left style="dotted">
        <color theme="5" tint="0.79992065187536243"/>
      </left>
      <right/>
      <top style="dotted">
        <color theme="5" tint="0.59996337778862885"/>
      </top>
      <bottom style="dotted">
        <color theme="5" tint="0.59996337778862885"/>
      </bottom>
      <diagonal/>
    </border>
    <border>
      <left/>
      <right/>
      <top style="medium">
        <color indexed="64"/>
      </top>
      <bottom style="hair">
        <color theme="0" tint="-4.9989318521683403E-2"/>
      </bottom>
      <diagonal/>
    </border>
    <border>
      <left/>
      <right style="hair">
        <color theme="0" tint="-4.9989318521683403E-2"/>
      </right>
      <top style="medium">
        <color indexed="64"/>
      </top>
      <bottom style="hair">
        <color theme="0" tint="-4.9989318521683403E-2"/>
      </bottom>
      <diagonal/>
    </border>
    <border>
      <left style="hair">
        <color theme="0" tint="-4.9989318521683403E-2"/>
      </left>
      <right/>
      <top style="medium">
        <color indexed="64"/>
      </top>
      <bottom/>
      <diagonal/>
    </border>
    <border>
      <left/>
      <right style="hair">
        <color rgb="FF990000"/>
      </right>
      <top style="hair">
        <color rgb="FF990000"/>
      </top>
      <bottom style="hair">
        <color rgb="FF990000"/>
      </bottom>
      <diagonal/>
    </border>
    <border>
      <left/>
      <right/>
      <top style="hair">
        <color rgb="FF990000"/>
      </top>
      <bottom style="hair">
        <color rgb="FF990000"/>
      </bottom>
      <diagonal/>
    </border>
    <border>
      <left/>
      <right style="dotted">
        <color theme="5" tint="0.79989013336588644"/>
      </right>
      <top style="dotted">
        <color theme="5" tint="0.59996337778862885"/>
      </top>
      <bottom style="dotted">
        <color theme="5" tint="0.59996337778862885"/>
      </bottom>
      <diagonal/>
    </border>
    <border>
      <left style="dotted">
        <color indexed="64"/>
      </left>
      <right style="dotted">
        <color indexed="64"/>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43" fontId="1" fillId="0" borderId="0" applyFont="0" applyFill="0" applyBorder="0" applyAlignment="0" applyProtection="0"/>
    <xf numFmtId="0" fontId="6" fillId="0" borderId="0" applyNumberFormat="0" applyFill="0" applyBorder="0" applyAlignment="0" applyProtection="0">
      <alignment vertical="top"/>
      <protection locked="0"/>
    </xf>
    <xf numFmtId="9" fontId="1" fillId="0" borderId="0" applyFont="0" applyFill="0" applyBorder="0" applyAlignment="0" applyProtection="0"/>
  </cellStyleXfs>
  <cellXfs count="492">
    <xf numFmtId="0" fontId="0" fillId="0" borderId="0" xfId="0"/>
    <xf numFmtId="0" fontId="2" fillId="0" borderId="0" xfId="0" applyFont="1"/>
    <xf numFmtId="0" fontId="2" fillId="0" borderId="8" xfId="0" applyFont="1" applyBorder="1"/>
    <xf numFmtId="0" fontId="7" fillId="0" borderId="0" xfId="0" applyFont="1"/>
    <xf numFmtId="0" fontId="7" fillId="0" borderId="0" xfId="0" applyFont="1" applyFill="1"/>
    <xf numFmtId="0" fontId="7" fillId="0" borderId="1" xfId="0" applyFont="1" applyBorder="1"/>
    <xf numFmtId="0" fontId="2" fillId="0" borderId="0" xfId="0" applyFont="1" applyAlignment="1">
      <alignment horizontal="left" vertical="center"/>
    </xf>
    <xf numFmtId="0" fontId="2" fillId="0" borderId="0" xfId="0" applyFont="1" applyAlignment="1">
      <alignment vertical="center"/>
    </xf>
    <xf numFmtId="0" fontId="7" fillId="6" borderId="12" xfId="0" applyFont="1" applyFill="1" applyBorder="1"/>
    <xf numFmtId="0" fontId="3" fillId="8" borderId="1" xfId="0" applyFont="1" applyFill="1" applyBorder="1" applyAlignment="1">
      <alignment horizontal="center" vertical="center"/>
    </xf>
    <xf numFmtId="0" fontId="7" fillId="0" borderId="1" xfId="0" applyFont="1" applyBorder="1" applyAlignment="1">
      <alignment horizontal="center" vertical="center"/>
    </xf>
    <xf numFmtId="0" fontId="12" fillId="0" borderId="0" xfId="0" applyFont="1"/>
    <xf numFmtId="0" fontId="11" fillId="2" borderId="1" xfId="0" applyFont="1" applyFill="1" applyBorder="1" applyAlignment="1">
      <alignment horizontal="center" vertical="center"/>
    </xf>
    <xf numFmtId="0" fontId="13" fillId="0" borderId="0" xfId="0" applyFont="1"/>
    <xf numFmtId="0" fontId="7" fillId="0" borderId="0" xfId="0" applyFont="1" applyFill="1" applyBorder="1"/>
    <xf numFmtId="0" fontId="9" fillId="0" borderId="0" xfId="0" applyFont="1"/>
    <xf numFmtId="0" fontId="14" fillId="0" borderId="0" xfId="0" applyFont="1"/>
    <xf numFmtId="0" fontId="7" fillId="0" borderId="1" xfId="0" applyFont="1" applyBorder="1" applyAlignment="1">
      <alignment horizontal="left" vertical="center"/>
    </xf>
    <xf numFmtId="0" fontId="10" fillId="4" borderId="2" xfId="0" applyFont="1" applyFill="1" applyBorder="1" applyAlignment="1">
      <alignment horizontal="left" vertical="center"/>
    </xf>
    <xf numFmtId="0" fontId="7" fillId="0" borderId="1" xfId="0" applyFont="1" applyBorder="1" applyAlignment="1">
      <alignment horizontal="center"/>
    </xf>
    <xf numFmtId="0" fontId="7" fillId="7" borderId="1" xfId="0" applyFont="1" applyFill="1" applyBorder="1" applyAlignment="1">
      <alignment horizontal="center" vertical="center"/>
    </xf>
    <xf numFmtId="0" fontId="9" fillId="7" borderId="1" xfId="0" applyFont="1" applyFill="1" applyBorder="1" applyAlignment="1">
      <alignment horizontal="left"/>
    </xf>
    <xf numFmtId="0" fontId="9" fillId="0" borderId="2" xfId="0" applyFont="1" applyBorder="1" applyAlignment="1">
      <alignment horizontal="left" vertical="center" indent="1"/>
    </xf>
    <xf numFmtId="0" fontId="9" fillId="6" borderId="1" xfId="0" applyFont="1" applyFill="1" applyBorder="1" applyAlignment="1">
      <alignment horizontal="left" vertical="center" indent="1"/>
    </xf>
    <xf numFmtId="0" fontId="10" fillId="8" borderId="2" xfId="0" applyFont="1" applyFill="1" applyBorder="1" applyAlignment="1">
      <alignment horizontal="center" vertical="center"/>
    </xf>
    <xf numFmtId="0" fontId="10" fillId="8" borderId="13" xfId="0" applyFont="1" applyFill="1" applyBorder="1" applyAlignment="1">
      <alignment horizontal="center" vertical="center"/>
    </xf>
    <xf numFmtId="0" fontId="8" fillId="0" borderId="1" xfId="0" applyFont="1" applyBorder="1" applyAlignment="1">
      <alignment horizontal="center" vertical="center"/>
    </xf>
    <xf numFmtId="0" fontId="9" fillId="5" borderId="0" xfId="0" applyFont="1" applyFill="1"/>
    <xf numFmtId="0" fontId="9" fillId="5" borderId="0" xfId="0" quotePrefix="1" applyFont="1" applyFill="1"/>
    <xf numFmtId="0" fontId="2" fillId="0" borderId="1" xfId="0" applyFont="1" applyBorder="1"/>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center"/>
    </xf>
    <xf numFmtId="0" fontId="17" fillId="0" borderId="0" xfId="0" applyFont="1" applyAlignment="1">
      <alignment horizontal="center" vertical="center"/>
    </xf>
    <xf numFmtId="0" fontId="3" fillId="7" borderId="1" xfId="0" applyFont="1" applyFill="1" applyBorder="1" applyAlignment="1">
      <alignment horizontal="center" vertical="center"/>
    </xf>
    <xf numFmtId="0" fontId="18" fillId="0" borderId="0" xfId="2" applyFont="1" applyFill="1" applyAlignment="1" applyProtection="1">
      <alignment horizontal="center" vertical="center"/>
    </xf>
    <xf numFmtId="0" fontId="2" fillId="0" borderId="11" xfId="0" applyFont="1" applyBorder="1" applyAlignment="1">
      <alignment horizontal="left" indent="1"/>
    </xf>
    <xf numFmtId="0" fontId="2" fillId="0" borderId="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11" fillId="9" borderId="1" xfId="0" applyFont="1" applyFill="1" applyBorder="1" applyAlignment="1">
      <alignment horizontal="center" vertical="center"/>
    </xf>
    <xf numFmtId="0" fontId="19" fillId="9" borderId="1" xfId="0" applyFont="1" applyFill="1" applyBorder="1" applyAlignment="1">
      <alignment horizontal="center" vertical="center"/>
    </xf>
    <xf numFmtId="0" fontId="5" fillId="0" borderId="1" xfId="0" applyFont="1" applyBorder="1"/>
    <xf numFmtId="0" fontId="5" fillId="0" borderId="1" xfId="0" applyFont="1" applyBorder="1" applyAlignment="1">
      <alignment vertical="center"/>
    </xf>
    <xf numFmtId="0" fontId="5" fillId="0" borderId="1" xfId="0" applyFont="1" applyBorder="1" applyAlignment="1">
      <alignment horizontal="left" vertical="center"/>
    </xf>
    <xf numFmtId="0" fontId="23" fillId="10" borderId="1" xfId="0" applyFont="1" applyFill="1" applyBorder="1" applyAlignment="1">
      <alignment horizontal="center" vertical="center"/>
    </xf>
    <xf numFmtId="0" fontId="2" fillId="0" borderId="2" xfId="0" applyFont="1" applyBorder="1"/>
    <xf numFmtId="0" fontId="2" fillId="0" borderId="14" xfId="0" applyFont="1" applyBorder="1"/>
    <xf numFmtId="0" fontId="2" fillId="0" borderId="13" xfId="0" applyFont="1" applyBorder="1"/>
    <xf numFmtId="0" fontId="3" fillId="0" borderId="1" xfId="0" applyFont="1" applyBorder="1"/>
    <xf numFmtId="0" fontId="2" fillId="0" borderId="5" xfId="0" applyFont="1" applyBorder="1"/>
    <xf numFmtId="0" fontId="2" fillId="0" borderId="6" xfId="0" applyFont="1" applyBorder="1"/>
    <xf numFmtId="0" fontId="2" fillId="0" borderId="0" xfId="0" applyFont="1" applyAlignment="1">
      <alignment horizontal="right" vertical="center"/>
    </xf>
    <xf numFmtId="164" fontId="22" fillId="0" borderId="1" xfId="1" applyNumberFormat="1" applyFont="1" applyBorder="1"/>
    <xf numFmtId="0" fontId="21" fillId="0" borderId="1" xfId="0" applyFont="1" applyBorder="1"/>
    <xf numFmtId="164" fontId="21" fillId="0" borderId="1" xfId="1" applyNumberFormat="1" applyFont="1" applyBorder="1"/>
    <xf numFmtId="0" fontId="24" fillId="11" borderId="1" xfId="0" applyFont="1" applyFill="1" applyBorder="1" applyAlignment="1">
      <alignment horizontal="center" vertical="center"/>
    </xf>
    <xf numFmtId="0" fontId="24" fillId="11" borderId="1" xfId="0" applyFont="1" applyFill="1" applyBorder="1" applyAlignment="1">
      <alignment vertical="center"/>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7" fillId="0" borderId="0" xfId="0" applyFont="1" applyBorder="1"/>
    <xf numFmtId="0" fontId="7" fillId="0" borderId="6" xfId="0" applyFont="1" applyBorder="1"/>
    <xf numFmtId="0" fontId="7" fillId="0" borderId="7" xfId="0" applyFont="1" applyBorder="1"/>
    <xf numFmtId="0" fontId="7" fillId="0" borderId="11" xfId="0" applyFont="1" applyBorder="1"/>
    <xf numFmtId="0" fontId="27" fillId="0" borderId="0" xfId="0" applyFont="1"/>
    <xf numFmtId="0" fontId="0" fillId="0" borderId="0" xfId="0" applyAlignment="1">
      <alignment horizontal="left" vertical="center"/>
    </xf>
    <xf numFmtId="0" fontId="2" fillId="0" borderId="1" xfId="0" applyFont="1" applyBorder="1" applyAlignment="1">
      <alignment horizontal="left" vertical="center"/>
    </xf>
    <xf numFmtId="0" fontId="3" fillId="12" borderId="1" xfId="0" applyFont="1" applyFill="1" applyBorder="1" applyAlignment="1">
      <alignment horizontal="left" vertical="center"/>
    </xf>
    <xf numFmtId="0" fontId="2" fillId="0" borderId="0" xfId="0" applyFont="1" applyBorder="1" applyAlignment="1">
      <alignment horizontal="left" vertical="center"/>
    </xf>
    <xf numFmtId="0" fontId="3" fillId="0" borderId="0" xfId="0" applyFont="1" applyFill="1" applyBorder="1" applyAlignment="1">
      <alignment horizontal="left" vertical="center"/>
    </xf>
    <xf numFmtId="0" fontId="28" fillId="0" borderId="0" xfId="0" applyFont="1"/>
    <xf numFmtId="0" fontId="19" fillId="4" borderId="1" xfId="0" applyFont="1" applyFill="1" applyBorder="1" applyAlignment="1">
      <alignment horizontal="center" vertical="center"/>
    </xf>
    <xf numFmtId="0" fontId="19" fillId="15" borderId="3" xfId="0" applyFont="1" applyFill="1" applyBorder="1" applyAlignment="1">
      <alignment horizontal="center" vertical="center"/>
    </xf>
    <xf numFmtId="0" fontId="8" fillId="0" borderId="3" xfId="0" applyFont="1" applyBorder="1" applyAlignment="1">
      <alignment horizontal="center" vertical="center"/>
    </xf>
    <xf numFmtId="0" fontId="19" fillId="14" borderId="25" xfId="0" applyFont="1" applyFill="1" applyBorder="1" applyAlignment="1">
      <alignment horizontal="center" vertical="center"/>
    </xf>
    <xf numFmtId="0" fontId="8" fillId="0" borderId="25" xfId="0" applyFont="1" applyBorder="1" applyAlignment="1">
      <alignment horizontal="center" vertical="center"/>
    </xf>
    <xf numFmtId="0" fontId="2" fillId="0" borderId="0" xfId="0" applyFont="1" applyBorder="1"/>
    <xf numFmtId="0" fontId="3" fillId="0" borderId="12" xfId="0" applyFont="1" applyBorder="1"/>
    <xf numFmtId="0" fontId="2" fillId="0" borderId="27" xfId="0" applyFont="1" applyBorder="1"/>
    <xf numFmtId="0" fontId="2" fillId="0" borderId="0" xfId="0" applyFont="1" applyBorder="1" applyAlignment="1">
      <alignment horizontal="left" indent="2"/>
    </xf>
    <xf numFmtId="0" fontId="2" fillId="0" borderId="9" xfId="0" applyFont="1" applyBorder="1" applyAlignment="1">
      <alignment horizontal="center" vertical="center"/>
    </xf>
    <xf numFmtId="0" fontId="2" fillId="0" borderId="10" xfId="0" applyFont="1" applyBorder="1" applyAlignment="1" applyProtection="1">
      <alignment horizontal="center"/>
      <protection locked="0"/>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8"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3" xfId="0" applyFont="1" applyBorder="1" applyAlignment="1">
      <alignment horizontal="left" indent="2"/>
    </xf>
    <xf numFmtId="0" fontId="2" fillId="0" borderId="14" xfId="0" applyFont="1" applyBorder="1" applyAlignment="1">
      <alignment horizontal="left" indent="2"/>
    </xf>
    <xf numFmtId="0" fontId="2" fillId="0" borderId="7" xfId="0" applyFont="1" applyBorder="1" applyAlignment="1">
      <alignment horizontal="left" indent="3"/>
    </xf>
    <xf numFmtId="0" fontId="0" fillId="0" borderId="13" xfId="0" applyBorder="1"/>
    <xf numFmtId="0" fontId="0" fillId="0" borderId="14" xfId="0" applyBorder="1"/>
    <xf numFmtId="0" fontId="3"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18" borderId="1" xfId="0" applyFont="1" applyFill="1" applyBorder="1" applyAlignment="1">
      <alignment horizontal="center" vertical="center"/>
    </xf>
    <xf numFmtId="0" fontId="2" fillId="19" borderId="1" xfId="0" applyFont="1" applyFill="1" applyBorder="1" applyAlignment="1">
      <alignment horizontal="center" vertical="center"/>
    </xf>
    <xf numFmtId="0" fontId="2" fillId="1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20" borderId="1" xfId="0" applyFont="1" applyFill="1" applyBorder="1" applyAlignment="1">
      <alignment horizontal="center" vertical="center"/>
    </xf>
    <xf numFmtId="0" fontId="10" fillId="3" borderId="1" xfId="0" applyFont="1" applyFill="1" applyBorder="1" applyAlignment="1">
      <alignment horizontal="left" vertical="center"/>
    </xf>
    <xf numFmtId="0" fontId="7" fillId="0" borderId="2" xfId="0" applyFont="1" applyBorder="1" applyAlignment="1">
      <alignment horizontal="left" vertical="center"/>
    </xf>
    <xf numFmtId="0" fontId="7" fillId="0" borderId="3" xfId="0" applyFont="1" applyBorder="1"/>
    <xf numFmtId="0" fontId="7" fillId="0" borderId="12" xfId="0" applyFont="1" applyBorder="1"/>
    <xf numFmtId="0" fontId="7" fillId="0" borderId="4" xfId="0" applyFont="1" applyBorder="1"/>
    <xf numFmtId="0" fontId="10" fillId="3" borderId="3" xfId="0" applyFont="1" applyFill="1" applyBorder="1" applyAlignment="1">
      <alignment horizontal="left" vertical="center"/>
    </xf>
    <xf numFmtId="0" fontId="2" fillId="0" borderId="3" xfId="0" applyFont="1" applyBorder="1"/>
    <xf numFmtId="0" fontId="7" fillId="0" borderId="0" xfId="0" quotePrefix="1" applyFont="1"/>
    <xf numFmtId="0" fontId="2" fillId="0" borderId="1" xfId="0" quotePrefix="1" applyFont="1" applyBorder="1"/>
    <xf numFmtId="0" fontId="2" fillId="10" borderId="1" xfId="0" applyFont="1" applyFill="1" applyBorder="1"/>
    <xf numFmtId="0" fontId="2" fillId="0" borderId="13" xfId="0" quotePrefix="1" applyFont="1" applyBorder="1"/>
    <xf numFmtId="0" fontId="2" fillId="0" borderId="13" xfId="0" applyFont="1" applyFill="1" applyBorder="1"/>
    <xf numFmtId="0" fontId="2" fillId="0" borderId="13" xfId="0" applyFont="1" applyBorder="1" applyAlignment="1">
      <alignment horizontal="left" vertical="center"/>
    </xf>
    <xf numFmtId="0" fontId="2" fillId="0" borderId="14" xfId="0" applyFont="1" applyBorder="1" applyAlignment="1">
      <alignment horizontal="left" vertical="center"/>
    </xf>
    <xf numFmtId="0" fontId="4" fillId="0" borderId="0" xfId="0" applyFont="1" applyFill="1" applyAlignment="1"/>
    <xf numFmtId="0" fontId="7" fillId="0" borderId="0" xfId="0" quotePrefix="1" applyFont="1" applyAlignment="1">
      <alignment horizontal="left" vertical="center"/>
    </xf>
    <xf numFmtId="0" fontId="15" fillId="0" borderId="0" xfId="0" applyFont="1" applyAlignment="1">
      <alignment horizontal="center" vertical="center"/>
    </xf>
    <xf numFmtId="0" fontId="7" fillId="0" borderId="1" xfId="0" applyFont="1" applyBorder="1" applyAlignment="1">
      <alignment horizontal="right" vertical="center"/>
    </xf>
    <xf numFmtId="0" fontId="16" fillId="0" borderId="0" xfId="0" applyFont="1" applyAlignment="1">
      <alignment horizontal="center" vertical="center"/>
    </xf>
    <xf numFmtId="0" fontId="11" fillId="0" borderId="0" xfId="0" applyFont="1" applyAlignment="1">
      <alignment horizontal="center" vertical="center"/>
    </xf>
    <xf numFmtId="0" fontId="7" fillId="0" borderId="2" xfId="0" applyFont="1" applyBorder="1"/>
    <xf numFmtId="0" fontId="3" fillId="3" borderId="1" xfId="0" applyFont="1" applyFill="1" applyBorder="1"/>
    <xf numFmtId="0" fontId="7" fillId="5" borderId="0" xfId="0" applyFont="1" applyFill="1"/>
    <xf numFmtId="0" fontId="10" fillId="8" borderId="1" xfId="0" applyFont="1" applyFill="1" applyBorder="1" applyAlignment="1">
      <alignment horizontal="center" vertical="center"/>
    </xf>
    <xf numFmtId="11" fontId="7" fillId="0" borderId="3" xfId="0" applyNumberFormat="1" applyFont="1" applyBorder="1"/>
    <xf numFmtId="0" fontId="0" fillId="0" borderId="0" xfId="0" applyAlignment="1">
      <alignment vertical="center"/>
    </xf>
    <xf numFmtId="0" fontId="2" fillId="5" borderId="0" xfId="0" applyFont="1" applyFill="1" applyAlignment="1">
      <alignment vertical="center"/>
    </xf>
    <xf numFmtId="0" fontId="0" fillId="0" borderId="0" xfId="0" applyFill="1" applyAlignment="1">
      <alignment vertical="center"/>
    </xf>
    <xf numFmtId="0" fontId="2" fillId="0" borderId="0" xfId="0" applyFont="1" applyFill="1" applyAlignment="1">
      <alignment vertical="center"/>
    </xf>
    <xf numFmtId="0" fontId="2" fillId="0" borderId="0" xfId="0" quotePrefix="1" applyFont="1" applyFill="1" applyAlignment="1">
      <alignment horizontal="left" vertical="center"/>
    </xf>
    <xf numFmtId="0" fontId="2" fillId="6" borderId="0" xfId="0" applyFont="1" applyFill="1" applyAlignment="1">
      <alignment vertical="center"/>
    </xf>
    <xf numFmtId="0" fontId="29" fillId="0" borderId="0" xfId="0" applyFont="1"/>
    <xf numFmtId="11" fontId="0" fillId="0" borderId="0" xfId="0" applyNumberFormat="1" applyAlignment="1">
      <alignment vertical="center"/>
    </xf>
    <xf numFmtId="0" fontId="0" fillId="0" borderId="0" xfId="0" applyAlignment="1">
      <alignment horizontal="right" vertical="center"/>
    </xf>
    <xf numFmtId="0" fontId="24" fillId="0" borderId="0" xfId="0" applyFont="1"/>
    <xf numFmtId="0" fontId="19" fillId="0" borderId="0" xfId="0" applyFont="1" applyAlignment="1">
      <alignment horizontal="center" vertical="center"/>
    </xf>
    <xf numFmtId="0" fontId="31" fillId="0" borderId="0" xfId="0" applyFont="1" applyAlignment="1">
      <alignment horizontal="center" vertical="center"/>
    </xf>
    <xf numFmtId="0" fontId="31" fillId="6" borderId="1" xfId="0" applyFont="1" applyFill="1" applyBorder="1" applyAlignment="1">
      <alignment horizontal="left" vertical="center"/>
    </xf>
    <xf numFmtId="0" fontId="31" fillId="0" borderId="1" xfId="0" applyFont="1" applyBorder="1" applyAlignment="1">
      <alignment horizontal="left" vertical="center"/>
    </xf>
    <xf numFmtId="0" fontId="2" fillId="0" borderId="1" xfId="0" quotePrefix="1" applyFont="1" applyFill="1" applyBorder="1" applyAlignment="1">
      <alignment vertical="center"/>
    </xf>
    <xf numFmtId="49" fontId="31" fillId="0" borderId="1" xfId="0" applyNumberFormat="1" applyFont="1" applyBorder="1" applyAlignment="1">
      <alignment horizontal="center" vertical="center"/>
    </xf>
    <xf numFmtId="0" fontId="2" fillId="6" borderId="0" xfId="0" applyFont="1" applyFill="1" applyAlignment="1">
      <alignment horizontal="left" vertical="center"/>
    </xf>
    <xf numFmtId="0" fontId="15" fillId="21" borderId="1" xfId="0" applyFont="1" applyFill="1" applyBorder="1" applyAlignment="1">
      <alignment horizontal="left" vertical="center"/>
    </xf>
    <xf numFmtId="0" fontId="24" fillId="0" borderId="0" xfId="0" applyFont="1" applyAlignment="1">
      <alignment horizontal="left" vertical="center"/>
    </xf>
    <xf numFmtId="0" fontId="0" fillId="0" borderId="0" xfId="0" applyFill="1" applyAlignment="1">
      <alignment horizontal="center" vertical="center"/>
    </xf>
    <xf numFmtId="0" fontId="2" fillId="0" borderId="0" xfId="0" applyFont="1" applyFill="1" applyAlignment="1">
      <alignment horizontal="left" vertical="center"/>
    </xf>
    <xf numFmtId="0" fontId="2" fillId="0" borderId="1" xfId="0" applyFont="1" applyFill="1" applyBorder="1" applyAlignment="1">
      <alignment vertical="center"/>
    </xf>
    <xf numFmtId="0" fontId="31" fillId="4" borderId="1" xfId="0" applyFont="1" applyFill="1" applyBorder="1" applyAlignment="1">
      <alignment horizontal="center" vertical="center"/>
    </xf>
    <xf numFmtId="0" fontId="31" fillId="0" borderId="1" xfId="0" quotePrefix="1" applyFont="1" applyBorder="1" applyAlignment="1">
      <alignment horizontal="center" vertical="center"/>
    </xf>
    <xf numFmtId="0" fontId="24" fillId="0" borderId="0" xfId="0" quotePrefix="1" applyFont="1"/>
    <xf numFmtId="0" fontId="2" fillId="7" borderId="0" xfId="0" applyFont="1" applyFill="1" applyAlignment="1">
      <alignment vertical="center"/>
    </xf>
    <xf numFmtId="0" fontId="24" fillId="0" borderId="0" xfId="0" applyFont="1" applyFill="1" applyBorder="1"/>
    <xf numFmtId="0" fontId="31" fillId="0" borderId="0" xfId="0" applyFont="1" applyFill="1" applyBorder="1" applyAlignment="1">
      <alignment horizontal="center" vertical="center"/>
    </xf>
    <xf numFmtId="0" fontId="31" fillId="0" borderId="0" xfId="0" applyFont="1" applyFill="1" applyBorder="1" applyAlignment="1">
      <alignment horizontal="left" vertical="center"/>
    </xf>
    <xf numFmtId="0" fontId="32" fillId="0" borderId="0" xfId="0" applyFont="1"/>
    <xf numFmtId="0" fontId="7" fillId="0" borderId="0" xfId="0" applyFont="1" applyAlignment="1">
      <alignment horizontal="right" vertical="center"/>
    </xf>
    <xf numFmtId="0" fontId="20" fillId="0" borderId="0" xfId="0" applyFont="1" applyFill="1" applyAlignment="1">
      <alignment vertical="center"/>
    </xf>
    <xf numFmtId="0" fontId="2" fillId="17" borderId="1" xfId="0" applyFont="1" applyFill="1" applyBorder="1" applyAlignment="1">
      <alignment horizontal="left" vertical="center"/>
    </xf>
    <xf numFmtId="0" fontId="0" fillId="0" borderId="0" xfId="0" applyFill="1" applyBorder="1"/>
    <xf numFmtId="11" fontId="0" fillId="0" borderId="0" xfId="0" applyNumberFormat="1" applyFill="1" applyAlignment="1">
      <alignment vertical="center"/>
    </xf>
    <xf numFmtId="0" fontId="28" fillId="5" borderId="0" xfId="0" applyFont="1" applyFill="1"/>
    <xf numFmtId="0" fontId="24" fillId="5" borderId="0" xfId="0" applyFont="1" applyFill="1" applyBorder="1"/>
    <xf numFmtId="0" fontId="24" fillId="5" borderId="0" xfId="0" applyFont="1" applyFill="1"/>
    <xf numFmtId="0" fontId="4" fillId="0" borderId="0" xfId="0" applyFont="1" applyFill="1" applyAlignment="1">
      <alignment horizontal="center" vertical="center"/>
    </xf>
    <xf numFmtId="0" fontId="30" fillId="0" borderId="3" xfId="0" applyFont="1" applyBorder="1" applyAlignment="1">
      <alignment horizontal="left" vertical="center"/>
    </xf>
    <xf numFmtId="0" fontId="7" fillId="0" borderId="5" xfId="0" applyFont="1" applyBorder="1"/>
    <xf numFmtId="0" fontId="7" fillId="0" borderId="27" xfId="0" applyFont="1" applyBorder="1"/>
    <xf numFmtId="0" fontId="7" fillId="0" borderId="8" xfId="0" applyFont="1" applyBorder="1"/>
    <xf numFmtId="0" fontId="2" fillId="0" borderId="2" xfId="0" quotePrefix="1" applyFont="1" applyBorder="1"/>
    <xf numFmtId="0" fontId="2" fillId="5" borderId="0" xfId="0" applyFont="1" applyFill="1" applyAlignment="1">
      <alignment horizontal="left" vertical="center" indent="3"/>
    </xf>
    <xf numFmtId="0" fontId="2" fillId="2" borderId="0" xfId="0" quotePrefix="1" applyFont="1" applyFill="1" applyAlignment="1">
      <alignment horizontal="left" vertical="center" indent="3"/>
    </xf>
    <xf numFmtId="0" fontId="2" fillId="5" borderId="0" xfId="0" quotePrefix="1" applyFont="1" applyFill="1" applyAlignment="1">
      <alignment horizontal="left" vertical="center" indent="3"/>
    </xf>
    <xf numFmtId="0" fontId="0" fillId="0" borderId="0" xfId="0" applyAlignment="1">
      <alignment horizontal="left" vertical="center" indent="3"/>
    </xf>
    <xf numFmtId="0" fontId="7" fillId="0" borderId="0" xfId="0" applyFont="1" applyFill="1" applyAlignment="1">
      <alignment horizontal="left" vertical="center" indent="4"/>
    </xf>
    <xf numFmtId="0" fontId="3" fillId="0" borderId="0" xfId="0" applyFont="1" applyAlignment="1">
      <alignment vertical="center"/>
    </xf>
    <xf numFmtId="0" fontId="2" fillId="8" borderId="1" xfId="0" applyFont="1" applyFill="1" applyBorder="1"/>
    <xf numFmtId="0" fontId="11" fillId="6" borderId="1" xfId="0" applyFont="1" applyFill="1" applyBorder="1"/>
    <xf numFmtId="0" fontId="27" fillId="0" borderId="1" xfId="0" applyFont="1" applyBorder="1"/>
    <xf numFmtId="0" fontId="27" fillId="0" borderId="1" xfId="0" quotePrefix="1" applyFont="1" applyBorder="1"/>
    <xf numFmtId="0" fontId="27" fillId="22" borderId="0" xfId="0" applyFont="1" applyFill="1"/>
    <xf numFmtId="0" fontId="35" fillId="22" borderId="0" xfId="0" applyFont="1" applyFill="1"/>
    <xf numFmtId="0" fontId="35" fillId="22" borderId="0" xfId="0" applyFont="1" applyFill="1" applyBorder="1"/>
    <xf numFmtId="0" fontId="35" fillId="4" borderId="20" xfId="0" applyFont="1" applyFill="1" applyBorder="1"/>
    <xf numFmtId="0" fontId="35" fillId="4" borderId="21" xfId="0" applyFont="1" applyFill="1" applyBorder="1"/>
    <xf numFmtId="0" fontId="35" fillId="4" borderId="22" xfId="0" applyFont="1" applyFill="1" applyBorder="1"/>
    <xf numFmtId="0" fontId="36" fillId="0" borderId="0" xfId="0" applyFont="1"/>
    <xf numFmtId="0" fontId="36" fillId="4" borderId="21" xfId="0" applyFont="1" applyFill="1" applyBorder="1"/>
    <xf numFmtId="0" fontId="36" fillId="4" borderId="22" xfId="0" applyFont="1" applyFill="1" applyBorder="1"/>
    <xf numFmtId="0" fontId="37" fillId="0" borderId="24" xfId="0" applyFont="1" applyFill="1" applyBorder="1" applyAlignment="1" applyProtection="1">
      <alignment horizontal="center" vertical="center"/>
    </xf>
    <xf numFmtId="0" fontId="35" fillId="0" borderId="0" xfId="0" applyFont="1" applyFill="1" applyBorder="1"/>
    <xf numFmtId="0" fontId="35" fillId="4" borderId="0" xfId="0" applyFont="1" applyFill="1" applyBorder="1"/>
    <xf numFmtId="0" fontId="36" fillId="4" borderId="0" xfId="0" applyFont="1" applyFill="1" applyBorder="1"/>
    <xf numFmtId="0" fontId="40" fillId="0" borderId="24" xfId="0" applyFont="1" applyFill="1" applyBorder="1" applyAlignment="1" applyProtection="1">
      <alignment horizontal="left" vertical="center"/>
    </xf>
    <xf numFmtId="0" fontId="42" fillId="0" borderId="33" xfId="0" applyFont="1" applyFill="1" applyBorder="1" applyAlignment="1" applyProtection="1">
      <alignment horizontal="left" vertical="center"/>
    </xf>
    <xf numFmtId="0" fontId="42" fillId="0" borderId="24" xfId="0" applyFont="1" applyFill="1" applyBorder="1" applyAlignment="1" applyProtection="1">
      <alignment horizontal="left" vertical="center"/>
    </xf>
    <xf numFmtId="0" fontId="37" fillId="0" borderId="32" xfId="0" applyFont="1" applyFill="1" applyBorder="1" applyAlignment="1" applyProtection="1">
      <alignment horizontal="center" vertical="center"/>
    </xf>
    <xf numFmtId="0" fontId="39" fillId="0" borderId="0" xfId="0" applyFont="1"/>
    <xf numFmtId="0" fontId="39" fillId="0" borderId="0" xfId="0" applyFont="1" applyAlignment="1">
      <alignment horizontal="center" vertical="center"/>
    </xf>
    <xf numFmtId="0" fontId="39" fillId="0" borderId="0" xfId="0" quotePrefix="1" applyFont="1"/>
    <xf numFmtId="0" fontId="39" fillId="0" borderId="0" xfId="0" applyFont="1" applyAlignment="1">
      <alignment horizontal="center"/>
    </xf>
    <xf numFmtId="0" fontId="44" fillId="0" borderId="0" xfId="2" applyFont="1" applyAlignment="1" applyProtection="1"/>
    <xf numFmtId="0" fontId="45" fillId="23" borderId="1" xfId="0" applyFont="1" applyFill="1" applyBorder="1" applyAlignment="1">
      <alignment horizontal="left" vertical="center"/>
    </xf>
    <xf numFmtId="0" fontId="45" fillId="9" borderId="1" xfId="0" applyFont="1" applyFill="1" applyBorder="1" applyAlignment="1">
      <alignment horizontal="center" vertical="center"/>
    </xf>
    <xf numFmtId="0" fontId="45" fillId="9" borderId="1" xfId="0" applyFont="1" applyFill="1" applyBorder="1"/>
    <xf numFmtId="0" fontId="41" fillId="0" borderId="0" xfId="2" applyFont="1" applyFill="1" applyBorder="1" applyAlignment="1" applyProtection="1">
      <alignment horizontal="center" vertical="center"/>
    </xf>
    <xf numFmtId="0" fontId="43" fillId="0" borderId="0" xfId="0" applyFont="1" applyFill="1" applyBorder="1"/>
    <xf numFmtId="0" fontId="46" fillId="0" borderId="0" xfId="2" applyFont="1" applyFill="1" applyBorder="1" applyAlignment="1" applyProtection="1">
      <alignment horizontal="center" vertical="center"/>
    </xf>
    <xf numFmtId="0" fontId="39" fillId="0" borderId="1" xfId="2" applyFont="1" applyBorder="1" applyAlignment="1" applyProtection="1">
      <alignment horizontal="right" vertical="center"/>
    </xf>
    <xf numFmtId="0" fontId="36" fillId="0" borderId="1" xfId="0" applyFont="1" applyBorder="1"/>
    <xf numFmtId="0" fontId="36" fillId="0" borderId="1" xfId="0" applyFont="1" applyBorder="1" applyAlignment="1">
      <alignment horizontal="left" vertical="center"/>
    </xf>
    <xf numFmtId="0" fontId="36" fillId="0" borderId="1" xfId="0" applyFont="1" applyBorder="1" applyProtection="1">
      <protection locked="0"/>
    </xf>
    <xf numFmtId="0" fontId="47" fillId="0" borderId="38" xfId="0" applyFont="1" applyFill="1" applyBorder="1" applyAlignment="1">
      <alignment horizontal="left" vertical="center" indent="1"/>
    </xf>
    <xf numFmtId="0" fontId="47" fillId="0" borderId="39" xfId="0" applyFont="1" applyFill="1" applyBorder="1" applyAlignment="1">
      <alignment horizontal="left" vertical="center" indent="1"/>
    </xf>
    <xf numFmtId="0" fontId="48" fillId="4" borderId="18" xfId="2" applyFont="1" applyFill="1" applyBorder="1" applyAlignment="1" applyProtection="1">
      <alignment horizontal="center" vertical="center"/>
    </xf>
    <xf numFmtId="0" fontId="10" fillId="0" borderId="0" xfId="0" applyFont="1" applyFill="1" applyBorder="1" applyAlignment="1">
      <alignment vertical="center"/>
    </xf>
    <xf numFmtId="0" fontId="10" fillId="3" borderId="6" xfId="0" applyFont="1" applyFill="1" applyBorder="1" applyAlignment="1">
      <alignment horizontal="left" vertical="center"/>
    </xf>
    <xf numFmtId="0" fontId="10" fillId="0" borderId="0" xfId="0" applyFont="1" applyFill="1" applyBorder="1" applyAlignment="1">
      <alignment horizontal="left" vertical="center"/>
    </xf>
    <xf numFmtId="0" fontId="10" fillId="9" borderId="1" xfId="0" applyFont="1" applyFill="1" applyBorder="1" applyAlignment="1">
      <alignment horizontal="left" vertical="center"/>
    </xf>
    <xf numFmtId="0" fontId="2" fillId="0" borderId="2" xfId="0" applyFont="1" applyBorder="1" applyAlignment="1">
      <alignment horizontal="left" vertical="center"/>
    </xf>
    <xf numFmtId="0" fontId="7" fillId="0" borderId="0" xfId="0" applyFont="1" applyBorder="1" applyAlignment="1">
      <alignment horizontal="left" vertical="center"/>
    </xf>
    <xf numFmtId="0" fontId="2" fillId="15" borderId="1" xfId="0" applyFont="1" applyFill="1" applyBorder="1" applyAlignment="1">
      <alignment horizontal="left" vertical="center"/>
    </xf>
    <xf numFmtId="0" fontId="10" fillId="25" borderId="3" xfId="0" applyFont="1" applyFill="1" applyBorder="1" applyAlignment="1">
      <alignment horizontal="left" vertical="center"/>
    </xf>
    <xf numFmtId="0" fontId="10" fillId="25" borderId="1" xfId="0" applyFont="1" applyFill="1" applyBorder="1" applyAlignment="1">
      <alignment horizontal="left" vertical="center"/>
    </xf>
    <xf numFmtId="0" fontId="10" fillId="3" borderId="5" xfId="0" applyFont="1" applyFill="1" applyBorder="1" applyAlignment="1">
      <alignment horizontal="left" vertical="center"/>
    </xf>
    <xf numFmtId="0" fontId="10" fillId="3" borderId="14" xfId="0" applyFont="1" applyFill="1" applyBorder="1" applyAlignment="1">
      <alignment horizontal="left" vertical="center"/>
    </xf>
    <xf numFmtId="0" fontId="9" fillId="0" borderId="0" xfId="0" applyFont="1" applyFill="1" applyBorder="1" applyAlignment="1">
      <alignment horizontal="left" vertical="center"/>
    </xf>
    <xf numFmtId="0" fontId="10" fillId="0" borderId="12" xfId="0" applyFont="1" applyFill="1" applyBorder="1" applyAlignment="1">
      <alignment vertical="center"/>
    </xf>
    <xf numFmtId="0" fontId="7" fillId="0" borderId="14" xfId="0" applyFont="1" applyBorder="1" applyAlignment="1">
      <alignment horizontal="left" vertical="center"/>
    </xf>
    <xf numFmtId="0" fontId="9" fillId="0" borderId="0" xfId="0" applyFont="1" applyFill="1" applyBorder="1" applyAlignment="1">
      <alignment vertical="center"/>
    </xf>
    <xf numFmtId="0" fontId="10" fillId="3" borderId="3" xfId="0" applyFont="1" applyFill="1" applyBorder="1" applyAlignment="1">
      <alignment vertical="center"/>
    </xf>
    <xf numFmtId="0" fontId="10" fillId="3" borderId="1" xfId="0" applyFont="1" applyFill="1" applyBorder="1" applyAlignment="1">
      <alignment vertical="center"/>
    </xf>
    <xf numFmtId="0" fontId="10" fillId="3" borderId="6" xfId="0" applyFont="1" applyFill="1" applyBorder="1" applyAlignment="1">
      <alignment vertical="center"/>
    </xf>
    <xf numFmtId="0" fontId="25" fillId="0" borderId="0" xfId="2" applyFont="1" applyFill="1" applyBorder="1" applyAlignment="1" applyProtection="1">
      <alignment horizontal="center" vertical="center"/>
    </xf>
    <xf numFmtId="0" fontId="25" fillId="0" borderId="0" xfId="2" applyFont="1" applyFill="1" applyBorder="1" applyAlignment="1" applyProtection="1">
      <alignment horizontal="center" vertical="center"/>
      <protection locked="0"/>
    </xf>
    <xf numFmtId="0" fontId="18" fillId="0" borderId="0" xfId="2" applyFont="1" applyFill="1" applyBorder="1" applyAlignment="1" applyProtection="1">
      <alignment horizontal="center" vertical="center"/>
    </xf>
    <xf numFmtId="0" fontId="49" fillId="0" borderId="0" xfId="0" applyFont="1"/>
    <xf numFmtId="0" fontId="47" fillId="0" borderId="0" xfId="0" applyFont="1" applyFill="1" applyBorder="1" applyAlignment="1">
      <alignment horizontal="left" vertical="center" indent="1"/>
    </xf>
    <xf numFmtId="0" fontId="47" fillId="0" borderId="0" xfId="0" applyFont="1" applyFill="1" applyBorder="1" applyAlignment="1">
      <alignment horizontal="left" vertical="center"/>
    </xf>
    <xf numFmtId="47" fontId="24" fillId="0" borderId="0" xfId="0" applyNumberFormat="1" applyFont="1"/>
    <xf numFmtId="0" fontId="24" fillId="0" borderId="1" xfId="0" applyFont="1" applyBorder="1"/>
    <xf numFmtId="0" fontId="24" fillId="0" borderId="1" xfId="0" applyFont="1" applyBorder="1" applyAlignment="1">
      <alignment horizontal="left" vertical="center" indent="1"/>
    </xf>
    <xf numFmtId="0" fontId="51" fillId="3" borderId="1" xfId="0" applyFont="1" applyFill="1" applyBorder="1" applyAlignment="1">
      <alignment horizontal="left" vertical="center"/>
    </xf>
    <xf numFmtId="0" fontId="24" fillId="3" borderId="1" xfId="0" applyFont="1" applyFill="1" applyBorder="1" applyAlignment="1">
      <alignment horizontal="left" vertical="center"/>
    </xf>
    <xf numFmtId="0" fontId="24" fillId="11" borderId="1" xfId="0" applyFont="1" applyFill="1" applyBorder="1" applyAlignment="1">
      <alignment horizontal="left" vertical="center"/>
    </xf>
    <xf numFmtId="0" fontId="52" fillId="0" borderId="1" xfId="0" applyFont="1" applyFill="1" applyBorder="1" applyAlignment="1" applyProtection="1">
      <alignment horizontal="left" vertical="center" indent="1"/>
      <protection locked="0"/>
    </xf>
    <xf numFmtId="0" fontId="24" fillId="0" borderId="1" xfId="0" applyFont="1" applyFill="1" applyBorder="1" applyAlignment="1" applyProtection="1">
      <alignment horizontal="left" vertical="center" indent="1"/>
      <protection locked="0"/>
    </xf>
    <xf numFmtId="0" fontId="24" fillId="0" borderId="1" xfId="0" applyFont="1" applyBorder="1" applyAlignment="1" applyProtection="1">
      <alignment horizontal="left" vertical="center" indent="1"/>
      <protection locked="0"/>
    </xf>
    <xf numFmtId="0" fontId="11" fillId="25" borderId="3" xfId="0" applyFont="1" applyFill="1" applyBorder="1" applyAlignment="1">
      <alignment horizontal="left" vertical="center"/>
    </xf>
    <xf numFmtId="0" fontId="11" fillId="25" borderId="1" xfId="0" applyFont="1" applyFill="1" applyBorder="1" applyAlignment="1">
      <alignment horizontal="left" vertical="center"/>
    </xf>
    <xf numFmtId="0" fontId="11" fillId="3" borderId="1" xfId="0" applyFont="1" applyFill="1" applyBorder="1" applyAlignment="1">
      <alignment horizontal="left" vertical="center"/>
    </xf>
    <xf numFmtId="0" fontId="11" fillId="3" borderId="3" xfId="0" applyFont="1" applyFill="1" applyBorder="1" applyAlignment="1">
      <alignment horizontal="left" vertical="center"/>
    </xf>
    <xf numFmtId="0" fontId="11" fillId="3" borderId="6" xfId="0" applyFont="1" applyFill="1" applyBorder="1" applyAlignment="1">
      <alignment horizontal="left" vertical="center"/>
    </xf>
    <xf numFmtId="0" fontId="11" fillId="9" borderId="1" xfId="0" applyFont="1" applyFill="1" applyBorder="1" applyAlignment="1">
      <alignment horizontal="left" vertical="center"/>
    </xf>
    <xf numFmtId="0" fontId="24" fillId="0" borderId="3" xfId="0" applyFont="1" applyBorder="1" applyAlignment="1">
      <alignment horizontal="left" vertical="center" indent="1"/>
    </xf>
    <xf numFmtId="0" fontId="53" fillId="27" borderId="1" xfId="0" applyFont="1" applyFill="1" applyBorder="1" applyAlignment="1">
      <alignment horizontal="left" vertical="center" indent="1"/>
    </xf>
    <xf numFmtId="0" fontId="53" fillId="28" borderId="1" xfId="0" applyFont="1" applyFill="1" applyBorder="1" applyAlignment="1">
      <alignment horizontal="left" vertical="center" indent="1"/>
    </xf>
    <xf numFmtId="0" fontId="54" fillId="26" borderId="1" xfId="0" applyFont="1" applyFill="1" applyBorder="1" applyAlignment="1">
      <alignment horizontal="left" vertical="center" indent="1"/>
    </xf>
    <xf numFmtId="0" fontId="54" fillId="27" borderId="1" xfId="0" applyFont="1" applyFill="1" applyBorder="1" applyAlignment="1">
      <alignment horizontal="left" vertical="center" indent="1"/>
    </xf>
    <xf numFmtId="0" fontId="55" fillId="22" borderId="0" xfId="0" applyFont="1" applyFill="1"/>
    <xf numFmtId="0" fontId="55" fillId="4" borderId="0" xfId="0" applyFont="1" applyFill="1" applyBorder="1"/>
    <xf numFmtId="0" fontId="55" fillId="4" borderId="19" xfId="0" applyFont="1" applyFill="1" applyBorder="1"/>
    <xf numFmtId="0" fontId="39" fillId="4" borderId="22" xfId="0" applyFont="1" applyFill="1" applyBorder="1"/>
    <xf numFmtId="0" fontId="55" fillId="22" borderId="0" xfId="0" applyFont="1" applyFill="1" applyBorder="1"/>
    <xf numFmtId="0" fontId="55" fillId="0" borderId="0" xfId="0" applyFont="1" applyFill="1" applyBorder="1"/>
    <xf numFmtId="0" fontId="55" fillId="22" borderId="0" xfId="0" applyFont="1" applyFill="1" applyProtection="1"/>
    <xf numFmtId="0" fontId="38" fillId="29" borderId="23" xfId="2" applyFont="1" applyFill="1" applyBorder="1" applyAlignment="1" applyProtection="1">
      <alignment horizontal="left" vertical="center" indent="2"/>
    </xf>
    <xf numFmtId="0" fontId="37" fillId="29" borderId="40" xfId="0" applyFont="1" applyFill="1" applyBorder="1" applyAlignment="1" applyProtection="1">
      <alignment horizontal="left" vertical="center"/>
    </xf>
    <xf numFmtId="0" fontId="56" fillId="12" borderId="1" xfId="0" applyFont="1" applyFill="1" applyBorder="1"/>
    <xf numFmtId="0" fontId="34" fillId="0" borderId="0" xfId="0" quotePrefix="1" applyFont="1" applyAlignment="1">
      <alignment vertical="center"/>
    </xf>
    <xf numFmtId="0" fontId="7" fillId="5" borderId="1" xfId="0" applyFont="1" applyFill="1" applyBorder="1" applyAlignment="1">
      <alignment horizontal="left" vertical="center" indent="1"/>
    </xf>
    <xf numFmtId="0" fontId="7" fillId="0" borderId="1" xfId="0" applyFont="1" applyFill="1" applyBorder="1" applyAlignment="1">
      <alignment horizontal="left" vertical="center" indent="1"/>
    </xf>
    <xf numFmtId="0" fontId="7" fillId="0" borderId="1" xfId="0" quotePrefix="1" applyFont="1" applyFill="1" applyBorder="1" applyAlignment="1">
      <alignment horizontal="left" vertical="center" indent="1"/>
    </xf>
    <xf numFmtId="0" fontId="24" fillId="0" borderId="0" xfId="0" applyFont="1" applyBorder="1"/>
    <xf numFmtId="0" fontId="7" fillId="5" borderId="0" xfId="0" applyFont="1" applyFill="1" applyAlignment="1">
      <alignment horizontal="left" vertical="center"/>
    </xf>
    <xf numFmtId="0" fontId="26" fillId="0" borderId="0" xfId="0" applyFont="1" applyFill="1" applyBorder="1"/>
    <xf numFmtId="0" fontId="10" fillId="0" borderId="0" xfId="0" applyFont="1" applyFill="1" applyBorder="1" applyAlignment="1">
      <alignment horizontal="center" vertical="center"/>
    </xf>
    <xf numFmtId="0" fontId="3" fillId="0" borderId="0" xfId="0" applyFont="1" applyFill="1" applyBorder="1"/>
    <xf numFmtId="0" fontId="7" fillId="0" borderId="0" xfId="0" applyFont="1" applyFill="1" applyBorder="1" applyAlignment="1">
      <alignment horizontal="center" vertical="center"/>
    </xf>
    <xf numFmtId="0" fontId="9" fillId="0" borderId="0" xfId="0" applyFont="1" applyFill="1" applyBorder="1" applyAlignment="1">
      <alignment horizontal="left"/>
    </xf>
    <xf numFmtId="0" fontId="7" fillId="0" borderId="0" xfId="0" quotePrefix="1" applyFont="1" applyFill="1" applyBorder="1"/>
    <xf numFmtId="0" fontId="7" fillId="0" borderId="0" xfId="0" quotePrefix="1" applyFont="1" applyFill="1" applyBorder="1" applyAlignment="1">
      <alignment horizontal="left" vertical="center"/>
    </xf>
    <xf numFmtId="0" fontId="2" fillId="6" borderId="1" xfId="0" applyFont="1" applyFill="1" applyBorder="1"/>
    <xf numFmtId="0" fontId="24" fillId="0" borderId="1" xfId="0" applyFont="1" applyBorder="1" applyAlignment="1">
      <alignment horizontal="left" vertical="center"/>
    </xf>
    <xf numFmtId="0" fontId="54" fillId="30" borderId="1" xfId="0" applyFont="1" applyFill="1" applyBorder="1" applyAlignment="1">
      <alignment horizontal="left" vertical="center" indent="1"/>
    </xf>
    <xf numFmtId="0" fontId="31" fillId="2" borderId="1" xfId="0" applyFont="1" applyFill="1" applyBorder="1" applyAlignment="1">
      <alignment horizontal="left" vertical="center"/>
    </xf>
    <xf numFmtId="0" fontId="31" fillId="0" borderId="0" xfId="0" applyFont="1" applyFill="1" applyBorder="1" applyAlignment="1">
      <alignment vertical="center"/>
    </xf>
    <xf numFmtId="0" fontId="31" fillId="2" borderId="1" xfId="0" applyFont="1" applyFill="1" applyBorder="1" applyAlignment="1">
      <alignment vertical="center"/>
    </xf>
    <xf numFmtId="0" fontId="54" fillId="31" borderId="1" xfId="0" applyFont="1" applyFill="1" applyBorder="1" applyAlignment="1">
      <alignment horizontal="left" vertical="center" indent="1"/>
    </xf>
    <xf numFmtId="0" fontId="31" fillId="4" borderId="2" xfId="0" applyFont="1" applyFill="1" applyBorder="1" applyAlignment="1">
      <alignment horizontal="left" vertical="center"/>
    </xf>
    <xf numFmtId="47" fontId="2" fillId="0" borderId="0" xfId="0" applyNumberFormat="1" applyFont="1"/>
    <xf numFmtId="0" fontId="35" fillId="32" borderId="28" xfId="0" applyFont="1" applyFill="1" applyBorder="1" applyProtection="1"/>
    <xf numFmtId="0" fontId="55" fillId="32" borderId="37" xfId="0" applyFont="1" applyFill="1" applyBorder="1" applyProtection="1"/>
    <xf numFmtId="0" fontId="35" fillId="32" borderId="35" xfId="0" applyFont="1" applyFill="1" applyBorder="1"/>
    <xf numFmtId="0" fontId="35" fillId="32" borderId="36" xfId="0" applyFont="1" applyFill="1" applyBorder="1"/>
    <xf numFmtId="0" fontId="35" fillId="32" borderId="29" xfId="0" applyFont="1" applyFill="1" applyBorder="1"/>
    <xf numFmtId="0" fontId="35" fillId="32" borderId="15" xfId="0" applyFont="1" applyFill="1" applyBorder="1"/>
    <xf numFmtId="0" fontId="35" fillId="32" borderId="30" xfId="0" applyFont="1" applyFill="1" applyBorder="1"/>
    <xf numFmtId="0" fontId="35" fillId="32" borderId="16" xfId="0" applyFont="1" applyFill="1" applyBorder="1"/>
    <xf numFmtId="0" fontId="35" fillId="32" borderId="31" xfId="0" applyFont="1" applyFill="1" applyBorder="1"/>
    <xf numFmtId="0" fontId="55" fillId="32" borderId="17" xfId="0" applyFont="1" applyFill="1" applyBorder="1"/>
    <xf numFmtId="0" fontId="35" fillId="32" borderId="17" xfId="0" applyFont="1" applyFill="1" applyBorder="1"/>
    <xf numFmtId="0" fontId="36" fillId="0" borderId="1" xfId="0" applyFont="1" applyBorder="1" applyAlignment="1">
      <alignment horizontal="left" vertical="center" indent="1"/>
    </xf>
    <xf numFmtId="0" fontId="46" fillId="0" borderId="0" xfId="0" applyFont="1" applyAlignment="1">
      <alignment horizontal="center" vertical="center"/>
    </xf>
    <xf numFmtId="0" fontId="2" fillId="0" borderId="1" xfId="0" applyFont="1" applyBorder="1" applyAlignment="1" applyProtection="1">
      <alignment horizontal="center"/>
      <protection locked="0"/>
    </xf>
    <xf numFmtId="0" fontId="2" fillId="34" borderId="1" xfId="0" applyFont="1" applyFill="1" applyBorder="1"/>
    <xf numFmtId="14" fontId="2" fillId="0" borderId="1" xfId="0" applyNumberFormat="1" applyFont="1" applyBorder="1"/>
    <xf numFmtId="9" fontId="2" fillId="0" borderId="1" xfId="0" applyNumberFormat="1" applyFont="1" applyBorder="1"/>
    <xf numFmtId="0" fontId="56" fillId="0" borderId="1" xfId="0" applyFont="1" applyFill="1" applyBorder="1" applyAlignment="1">
      <alignment horizontal="center" vertical="center"/>
    </xf>
    <xf numFmtId="9" fontId="3" fillId="0" borderId="1" xfId="3" applyFont="1" applyBorder="1"/>
    <xf numFmtId="9" fontId="20" fillId="0" borderId="0" xfId="0" applyNumberFormat="1" applyFont="1"/>
    <xf numFmtId="9" fontId="37" fillId="0" borderId="24" xfId="0" applyNumberFormat="1" applyFont="1" applyFill="1" applyBorder="1" applyAlignment="1" applyProtection="1">
      <alignment horizontal="center" vertical="center"/>
    </xf>
    <xf numFmtId="0" fontId="24" fillId="0" borderId="0" xfId="0" applyFont="1" applyFill="1" applyBorder="1" applyAlignment="1">
      <alignment horizontal="left" vertical="center"/>
    </xf>
    <xf numFmtId="0" fontId="33" fillId="0" borderId="5" xfId="0" quotePrefix="1" applyFont="1" applyBorder="1" applyAlignment="1">
      <alignment horizontal="left" vertical="center"/>
    </xf>
    <xf numFmtId="0" fontId="2" fillId="0" borderId="8" xfId="0" applyFont="1" applyBorder="1" applyAlignment="1">
      <alignment horizontal="left" vertical="center"/>
    </xf>
    <xf numFmtId="0" fontId="33" fillId="0" borderId="9" xfId="0" quotePrefix="1" applyFont="1" applyBorder="1" applyAlignment="1">
      <alignment horizontal="left" vertical="center"/>
    </xf>
    <xf numFmtId="0" fontId="2" fillId="0" borderId="10" xfId="0" applyFont="1" applyBorder="1" applyAlignment="1">
      <alignment horizontal="left" vertical="center"/>
    </xf>
    <xf numFmtId="0" fontId="33" fillId="0" borderId="6" xfId="0" quotePrefix="1" applyFont="1" applyBorder="1" applyAlignment="1">
      <alignment horizontal="left" vertical="center"/>
    </xf>
    <xf numFmtId="0" fontId="2" fillId="0" borderId="11" xfId="0" applyFont="1" applyBorder="1" applyAlignment="1">
      <alignment horizontal="left" vertical="center"/>
    </xf>
    <xf numFmtId="0" fontId="3" fillId="15" borderId="1" xfId="0" applyFont="1" applyFill="1" applyBorder="1" applyAlignment="1">
      <alignment horizontal="left" vertical="center" indent="1"/>
    </xf>
    <xf numFmtId="11" fontId="0" fillId="0" borderId="0" xfId="0" applyNumberFormat="1" applyFill="1" applyBorder="1" applyAlignment="1">
      <alignment vertical="center"/>
    </xf>
    <xf numFmtId="0" fontId="0" fillId="0" borderId="0" xfId="0" applyFill="1" applyBorder="1" applyAlignment="1">
      <alignment vertical="center"/>
    </xf>
    <xf numFmtId="49" fontId="0" fillId="0" borderId="0" xfId="0" applyNumberFormat="1" applyFill="1" applyBorder="1"/>
    <xf numFmtId="0" fontId="34" fillId="27" borderId="0" xfId="0" applyFont="1" applyFill="1" applyAlignment="1">
      <alignment horizontal="left" vertical="center" indent="2"/>
    </xf>
    <xf numFmtId="0" fontId="5" fillId="6" borderId="0" xfId="0" applyFont="1" applyFill="1" applyAlignment="1">
      <alignment vertical="center"/>
    </xf>
    <xf numFmtId="0" fontId="58" fillId="0" borderId="0" xfId="0" applyFont="1" applyAlignment="1">
      <alignment horizontal="left" vertical="center"/>
    </xf>
    <xf numFmtId="0" fontId="31" fillId="0" borderId="1" xfId="0" applyFont="1" applyBorder="1" applyAlignment="1">
      <alignment horizontal="center" vertical="center"/>
    </xf>
    <xf numFmtId="0" fontId="2" fillId="5" borderId="0" xfId="0" applyFont="1" applyFill="1" applyAlignment="1">
      <alignment horizontal="left" vertical="center"/>
    </xf>
    <xf numFmtId="0" fontId="31" fillId="15" borderId="1" xfId="0" applyFont="1" applyFill="1" applyBorder="1" applyAlignment="1">
      <alignment horizontal="left" vertical="center"/>
    </xf>
    <xf numFmtId="0" fontId="24" fillId="15" borderId="1" xfId="0" applyFont="1" applyFill="1" applyBorder="1"/>
    <xf numFmtId="0" fontId="3" fillId="4" borderId="1" xfId="0" applyFont="1" applyFill="1" applyBorder="1"/>
    <xf numFmtId="0" fontId="7" fillId="5" borderId="0" xfId="0" applyFont="1" applyFill="1" applyAlignment="1">
      <alignment horizontal="left" vertical="center" indent="1"/>
    </xf>
    <xf numFmtId="0" fontId="7" fillId="5" borderId="0" xfId="0" quotePrefix="1" applyFont="1" applyFill="1" applyAlignment="1">
      <alignment horizontal="left" vertical="center" indent="1"/>
    </xf>
    <xf numFmtId="0" fontId="7" fillId="5" borderId="0" xfId="0" applyFont="1" applyFill="1" applyAlignment="1">
      <alignment horizontal="left" vertical="center" indent="5"/>
    </xf>
    <xf numFmtId="0" fontId="7" fillId="5" borderId="0" xfId="0" applyFont="1" applyFill="1" applyAlignment="1">
      <alignment horizontal="left" vertical="center" indent="2"/>
    </xf>
    <xf numFmtId="0" fontId="7" fillId="5" borderId="0" xfId="0" applyFont="1" applyFill="1" applyAlignment="1">
      <alignment horizontal="left" indent="2"/>
    </xf>
    <xf numFmtId="0" fontId="7" fillId="5" borderId="0" xfId="0" applyFont="1" applyFill="1" applyAlignment="1">
      <alignment horizontal="left" vertical="center" indent="3"/>
    </xf>
    <xf numFmtId="0" fontId="7" fillId="5" borderId="0" xfId="0" applyFont="1" applyFill="1" applyAlignment="1">
      <alignment horizontal="left" vertical="center" indent="4"/>
    </xf>
    <xf numFmtId="0" fontId="7" fillId="5" borderId="0" xfId="0" quotePrefix="1" applyFont="1" applyFill="1" applyAlignment="1">
      <alignment horizontal="left" vertical="center" indent="2"/>
    </xf>
    <xf numFmtId="0" fontId="7" fillId="5" borderId="0" xfId="0" applyFont="1" applyFill="1" applyAlignment="1">
      <alignment horizontal="left" vertical="center" indent="6"/>
    </xf>
    <xf numFmtId="0" fontId="7" fillId="5" borderId="0" xfId="0" quotePrefix="1" applyFont="1" applyFill="1" applyAlignment="1">
      <alignment horizontal="left" vertical="center"/>
    </xf>
    <xf numFmtId="0" fontId="7" fillId="5" borderId="0" xfId="0" applyFont="1" applyFill="1" applyAlignment="1">
      <alignment horizontal="left" vertical="center" indent="8"/>
    </xf>
    <xf numFmtId="0" fontId="7" fillId="5" borderId="0" xfId="0" applyFont="1" applyFill="1" applyAlignment="1">
      <alignment horizontal="left" vertical="center" indent="7"/>
    </xf>
    <xf numFmtId="0" fontId="3" fillId="4" borderId="1" xfId="0" applyFont="1" applyFill="1" applyBorder="1" applyAlignment="1">
      <alignment horizontal="left" vertical="center"/>
    </xf>
    <xf numFmtId="0" fontId="7" fillId="5" borderId="0" xfId="0" applyFont="1" applyFill="1" applyAlignment="1">
      <alignment horizontal="left" vertical="center" indent="15"/>
    </xf>
    <xf numFmtId="0" fontId="7" fillId="5" borderId="0" xfId="0" applyFont="1" applyFill="1" applyAlignment="1">
      <alignment horizontal="left" vertical="center" indent="10"/>
    </xf>
    <xf numFmtId="0" fontId="7" fillId="0" borderId="0" xfId="0" applyFont="1" applyAlignment="1">
      <alignment horizontal="left" vertical="center" indent="3"/>
    </xf>
    <xf numFmtId="0" fontId="0" fillId="15" borderId="0" xfId="0" applyFill="1" applyAlignment="1">
      <alignment vertical="center"/>
    </xf>
    <xf numFmtId="0" fontId="54" fillId="30" borderId="3" xfId="0" applyFont="1" applyFill="1" applyBorder="1" applyAlignment="1">
      <alignment horizontal="center" vertical="center"/>
    </xf>
    <xf numFmtId="0" fontId="2" fillId="0" borderId="12" xfId="0" quotePrefix="1" applyFont="1" applyFill="1" applyBorder="1" applyAlignment="1">
      <alignment vertical="center"/>
    </xf>
    <xf numFmtId="0" fontId="2" fillId="7" borderId="0" xfId="0" applyFont="1" applyFill="1" applyAlignment="1">
      <alignment horizontal="left" vertical="center"/>
    </xf>
    <xf numFmtId="0" fontId="59" fillId="0" borderId="0" xfId="0" applyFont="1" applyFill="1" applyAlignment="1">
      <alignment horizontal="left" vertical="center"/>
    </xf>
    <xf numFmtId="0" fontId="59" fillId="0" borderId="0" xfId="0" applyFont="1" applyAlignment="1">
      <alignment vertical="center"/>
    </xf>
    <xf numFmtId="0" fontId="27" fillId="0" borderId="0" xfId="0" applyFont="1" applyAlignment="1">
      <alignment vertical="center"/>
    </xf>
    <xf numFmtId="0" fontId="59" fillId="0" borderId="0" xfId="0" applyFont="1" applyAlignment="1">
      <alignment horizontal="left" vertical="center"/>
    </xf>
    <xf numFmtId="0" fontId="27" fillId="0" borderId="0" xfId="0" applyFont="1" applyFill="1" applyAlignment="1">
      <alignment horizontal="left" vertical="center"/>
    </xf>
    <xf numFmtId="0" fontId="59" fillId="0" borderId="0" xfId="0" applyFont="1" applyFill="1" applyAlignment="1">
      <alignment vertical="center"/>
    </xf>
    <xf numFmtId="0" fontId="27" fillId="0" borderId="0" xfId="0" applyFont="1" applyFill="1" applyAlignment="1">
      <alignment vertical="center"/>
    </xf>
    <xf numFmtId="0" fontId="59" fillId="0" borderId="0" xfId="0" quotePrefix="1" applyFont="1" applyFill="1" applyBorder="1" applyAlignment="1">
      <alignment horizontal="left" vertical="center"/>
    </xf>
    <xf numFmtId="0" fontId="59" fillId="0" borderId="0" xfId="0" quotePrefix="1" applyFont="1" applyFill="1" applyBorder="1" applyAlignment="1">
      <alignment vertical="center"/>
    </xf>
    <xf numFmtId="0" fontId="27" fillId="0" borderId="0" xfId="0" quotePrefix="1" applyFont="1" applyFill="1" applyBorder="1" applyAlignment="1">
      <alignment vertical="center"/>
    </xf>
    <xf numFmtId="0" fontId="59" fillId="0" borderId="0" xfId="0" quotePrefix="1" applyFont="1" applyFill="1" applyAlignment="1">
      <alignment horizontal="left" vertical="center"/>
    </xf>
    <xf numFmtId="0" fontId="3" fillId="7" borderId="0" xfId="0" applyFont="1" applyFill="1" applyAlignment="1">
      <alignment vertical="center"/>
    </xf>
    <xf numFmtId="0" fontId="60" fillId="6" borderId="0" xfId="0" applyFont="1" applyFill="1" applyAlignment="1">
      <alignment horizontal="left" vertical="center"/>
    </xf>
    <xf numFmtId="0" fontId="2" fillId="0" borderId="0" xfId="0" applyFont="1" applyFill="1" applyBorder="1"/>
    <xf numFmtId="0" fontId="2" fillId="10" borderId="2" xfId="0" applyFont="1" applyFill="1" applyBorder="1"/>
    <xf numFmtId="0" fontId="5" fillId="0" borderId="2" xfId="0" applyFont="1" applyBorder="1"/>
    <xf numFmtId="0" fontId="5" fillId="0" borderId="13" xfId="0" applyFont="1" applyBorder="1"/>
    <xf numFmtId="0" fontId="5" fillId="0" borderId="14" xfId="0" applyFont="1" applyBorder="1"/>
    <xf numFmtId="0" fontId="2" fillId="3" borderId="2" xfId="0" applyFont="1" applyFill="1" applyBorder="1"/>
    <xf numFmtId="0" fontId="2" fillId="15" borderId="2" xfId="0" applyFont="1" applyFill="1" applyBorder="1"/>
    <xf numFmtId="0" fontId="24" fillId="0" borderId="13" xfId="0" applyFont="1" applyFill="1" applyBorder="1"/>
    <xf numFmtId="0" fontId="24" fillId="0" borderId="14" xfId="0" applyFont="1" applyFill="1" applyBorder="1"/>
    <xf numFmtId="0" fontId="62" fillId="11" borderId="1" xfId="0" applyFont="1" applyFill="1" applyBorder="1" applyAlignment="1">
      <alignment horizontal="left" vertical="center"/>
    </xf>
    <xf numFmtId="0" fontId="34" fillId="0" borderId="0" xfId="0" quotePrefix="1" applyFont="1" applyFill="1" applyBorder="1"/>
    <xf numFmtId="0" fontId="7" fillId="0" borderId="0" xfId="0" applyFont="1" applyFill="1" applyAlignment="1">
      <alignment horizontal="left" vertical="center" indent="7"/>
    </xf>
    <xf numFmtId="49" fontId="2" fillId="0" borderId="1" xfId="0" applyNumberFormat="1" applyFont="1" applyBorder="1" applyAlignment="1">
      <alignment horizontal="center" vertical="center"/>
    </xf>
    <xf numFmtId="49" fontId="2" fillId="0" borderId="0" xfId="0" applyNumberFormat="1" applyFont="1" applyBorder="1" applyAlignment="1">
      <alignment horizontal="center" vertical="center"/>
    </xf>
    <xf numFmtId="0" fontId="2" fillId="14" borderId="1" xfId="0" applyFont="1" applyFill="1" applyBorder="1" applyAlignment="1">
      <alignment horizontal="center" vertical="center"/>
    </xf>
    <xf numFmtId="0" fontId="2" fillId="14" borderId="1" xfId="0" applyFont="1" applyFill="1" applyBorder="1" applyAlignment="1">
      <alignment horizontal="center"/>
    </xf>
    <xf numFmtId="0" fontId="2" fillId="2" borderId="1" xfId="0" applyFont="1" applyFill="1" applyBorder="1" applyAlignment="1">
      <alignment horizontal="center" vertical="center"/>
    </xf>
    <xf numFmtId="0" fontId="20" fillId="35" borderId="41" xfId="0" applyFont="1" applyFill="1" applyBorder="1" applyAlignment="1">
      <alignment horizontal="center" vertical="center"/>
    </xf>
    <xf numFmtId="0" fontId="2" fillId="0" borderId="1" xfId="0" quotePrefix="1" applyFont="1" applyBorder="1" applyAlignment="1">
      <alignment horizontal="center" vertical="center"/>
    </xf>
    <xf numFmtId="0" fontId="2" fillId="3" borderId="1" xfId="0" applyFont="1" applyFill="1" applyBorder="1"/>
    <xf numFmtId="0" fontId="2" fillId="3" borderId="12" xfId="0" applyFont="1" applyFill="1" applyBorder="1"/>
    <xf numFmtId="49" fontId="2" fillId="0" borderId="2" xfId="0" quotePrefix="1" applyNumberFormat="1" applyFont="1" applyBorder="1"/>
    <xf numFmtId="0" fontId="3" fillId="23" borderId="1" xfId="0" applyFont="1" applyFill="1" applyBorder="1" applyAlignment="1">
      <alignment horizontal="left" vertical="center"/>
    </xf>
    <xf numFmtId="0" fontId="30" fillId="0" borderId="0" xfId="0" quotePrefix="1" applyFont="1" applyAlignment="1">
      <alignment horizontal="right" vertical="center"/>
    </xf>
    <xf numFmtId="0" fontId="3" fillId="0" borderId="0" xfId="0" applyFont="1"/>
    <xf numFmtId="0" fontId="4" fillId="0" borderId="0" xfId="0" applyFont="1"/>
    <xf numFmtId="0" fontId="2" fillId="0" borderId="12" xfId="0" applyFont="1" applyBorder="1"/>
    <xf numFmtId="0" fontId="2" fillId="19" borderId="1" xfId="0" applyFont="1" applyFill="1" applyBorder="1"/>
    <xf numFmtId="0" fontId="3" fillId="19" borderId="1" xfId="0" applyFont="1" applyFill="1" applyBorder="1"/>
    <xf numFmtId="0" fontId="3" fillId="2" borderId="1" xfId="0" applyFont="1" applyFill="1" applyBorder="1" applyAlignment="1">
      <alignment horizontal="center" vertical="center"/>
    </xf>
    <xf numFmtId="0" fontId="2" fillId="4" borderId="3" xfId="0" applyFont="1" applyFill="1" applyBorder="1"/>
    <xf numFmtId="0" fontId="2" fillId="4" borderId="1" xfId="0" applyFont="1" applyFill="1" applyBorder="1"/>
    <xf numFmtId="0" fontId="2" fillId="0" borderId="1" xfId="0" quotePrefix="1" applyNumberFormat="1" applyFont="1" applyBorder="1"/>
    <xf numFmtId="0" fontId="3" fillId="23" borderId="1" xfId="0" applyFont="1" applyFill="1" applyBorder="1" applyAlignment="1">
      <alignment horizontal="center" vertical="center"/>
    </xf>
    <xf numFmtId="0" fontId="2" fillId="4" borderId="5" xfId="0" applyFont="1" applyFill="1" applyBorder="1"/>
    <xf numFmtId="0" fontId="2" fillId="4" borderId="8" xfId="0" applyFont="1" applyFill="1" applyBorder="1"/>
    <xf numFmtId="0" fontId="64" fillId="0" borderId="0" xfId="0" applyFont="1"/>
    <xf numFmtId="49" fontId="2" fillId="33" borderId="43" xfId="0" quotePrefix="1" applyNumberFormat="1" applyFont="1" applyFill="1" applyBorder="1" applyProtection="1">
      <protection locked="0"/>
    </xf>
    <xf numFmtId="49" fontId="2" fillId="33" borderId="42" xfId="0" quotePrefix="1" applyNumberFormat="1" applyFont="1" applyFill="1" applyBorder="1" applyProtection="1">
      <protection locked="0"/>
    </xf>
    <xf numFmtId="0" fontId="65" fillId="0" borderId="0" xfId="0" applyFont="1" applyAlignment="1">
      <alignment horizontal="left" vertical="center"/>
    </xf>
    <xf numFmtId="0" fontId="2" fillId="3" borderId="3" xfId="0" applyFont="1" applyFill="1" applyBorder="1"/>
    <xf numFmtId="0" fontId="2" fillId="3" borderId="6" xfId="0" applyFont="1" applyFill="1" applyBorder="1"/>
    <xf numFmtId="0" fontId="2" fillId="3" borderId="11" xfId="0" applyFont="1" applyFill="1" applyBorder="1"/>
    <xf numFmtId="0" fontId="2" fillId="3" borderId="1" xfId="0" applyFont="1" applyFill="1" applyBorder="1" applyAlignment="1">
      <alignment horizontal="left" vertical="center"/>
    </xf>
    <xf numFmtId="0" fontId="2" fillId="0" borderId="2" xfId="0" quotePrefix="1" applyNumberFormat="1" applyFont="1" applyBorder="1"/>
    <xf numFmtId="0" fontId="27" fillId="33" borderId="44" xfId="0" applyFont="1" applyFill="1" applyBorder="1" applyProtection="1">
      <protection locked="0"/>
    </xf>
    <xf numFmtId="0" fontId="2" fillId="3" borderId="14" xfId="0" quotePrefix="1" applyNumberFormat="1" applyFont="1" applyFill="1" applyBorder="1"/>
    <xf numFmtId="0" fontId="2" fillId="3" borderId="14" xfId="0" applyFont="1" applyFill="1" applyBorder="1"/>
    <xf numFmtId="0" fontId="60" fillId="4" borderId="1" xfId="0" applyFont="1" applyFill="1" applyBorder="1" applyAlignment="1">
      <alignment horizontal="left" vertical="center"/>
    </xf>
    <xf numFmtId="0" fontId="2" fillId="36" borderId="1" xfId="0" applyFont="1" applyFill="1" applyBorder="1"/>
    <xf numFmtId="0" fontId="66" fillId="0" borderId="0" xfId="0" applyFont="1"/>
    <xf numFmtId="0" fontId="60" fillId="0" borderId="0" xfId="0" applyFont="1"/>
    <xf numFmtId="0" fontId="2" fillId="5" borderId="1" xfId="0" applyFont="1" applyFill="1" applyBorder="1"/>
    <xf numFmtId="0" fontId="2" fillId="5" borderId="1" xfId="0" applyFont="1" applyFill="1" applyBorder="1" applyAlignment="1">
      <alignment horizontal="left" vertical="center"/>
    </xf>
    <xf numFmtId="0" fontId="67" fillId="0" borderId="0" xfId="0" applyFont="1"/>
    <xf numFmtId="0" fontId="68" fillId="0" borderId="0" xfId="0" applyFont="1"/>
    <xf numFmtId="0" fontId="2" fillId="23" borderId="1" xfId="0" applyFont="1" applyFill="1" applyBorder="1"/>
    <xf numFmtId="0" fontId="2" fillId="23" borderId="2" xfId="0" applyFont="1" applyFill="1" applyBorder="1"/>
    <xf numFmtId="0" fontId="2" fillId="0" borderId="1" xfId="0" applyFont="1" applyFill="1" applyBorder="1" applyProtection="1"/>
    <xf numFmtId="0" fontId="69" fillId="0" borderId="0" xfId="0" applyFont="1" applyAlignment="1">
      <alignment horizontal="left" vertical="center"/>
    </xf>
    <xf numFmtId="0" fontId="56" fillId="0" borderId="0" xfId="0" applyFont="1"/>
    <xf numFmtId="0" fontId="71" fillId="0" borderId="0" xfId="0" applyFont="1" applyFill="1" applyBorder="1" applyAlignment="1">
      <alignment vertical="center"/>
    </xf>
    <xf numFmtId="0" fontId="71" fillId="37" borderId="1" xfId="0" applyFont="1" applyFill="1" applyBorder="1" applyAlignment="1">
      <alignment horizontal="center" vertical="center"/>
    </xf>
    <xf numFmtId="0" fontId="2" fillId="0" borderId="0" xfId="0" quotePrefix="1" applyFont="1" applyBorder="1" applyAlignment="1">
      <alignment horizontal="center" vertical="center"/>
    </xf>
    <xf numFmtId="16" fontId="2" fillId="0" borderId="1" xfId="0" quotePrefix="1" applyNumberFormat="1" applyFont="1" applyBorder="1"/>
    <xf numFmtId="0" fontId="3" fillId="2" borderId="1" xfId="0" applyFont="1" applyFill="1" applyBorder="1" applyAlignment="1">
      <alignment horizontal="left" vertical="center"/>
    </xf>
    <xf numFmtId="0" fontId="2" fillId="0" borderId="1" xfId="0" applyFont="1" applyBorder="1" applyAlignment="1">
      <alignment horizontal="left" vertical="top" wrapText="1"/>
    </xf>
    <xf numFmtId="0" fontId="2" fillId="0" borderId="1" xfId="0" applyFont="1" applyBorder="1" applyAlignment="1">
      <alignment wrapText="1"/>
    </xf>
    <xf numFmtId="0" fontId="72" fillId="0" borderId="1" xfId="0" applyFont="1" applyBorder="1" applyAlignment="1">
      <alignment horizontal="center" vertical="center"/>
    </xf>
    <xf numFmtId="0" fontId="73" fillId="0" borderId="1" xfId="0" applyFont="1" applyBorder="1" applyAlignment="1">
      <alignment horizontal="center" vertical="center"/>
    </xf>
    <xf numFmtId="9" fontId="72" fillId="0" borderId="1" xfId="0" applyNumberFormat="1" applyFont="1" applyBorder="1" applyAlignment="1">
      <alignment horizontal="center" vertical="center"/>
    </xf>
    <xf numFmtId="0" fontId="2" fillId="38" borderId="0" xfId="0" applyFont="1" applyFill="1" applyBorder="1"/>
    <xf numFmtId="0" fontId="2" fillId="38" borderId="10" xfId="0" applyFont="1" applyFill="1" applyBorder="1"/>
    <xf numFmtId="0" fontId="2" fillId="38" borderId="8" xfId="0" applyFont="1" applyFill="1" applyBorder="1"/>
    <xf numFmtId="0" fontId="2" fillId="0" borderId="1" xfId="0" applyFont="1" applyBorder="1" applyAlignment="1">
      <alignment horizontal="left" vertical="center" wrapText="1"/>
    </xf>
    <xf numFmtId="0" fontId="7" fillId="0" borderId="1" xfId="0" applyFont="1" applyBorder="1" applyAlignment="1">
      <alignment wrapText="1"/>
    </xf>
    <xf numFmtId="0" fontId="72" fillId="0" borderId="1" xfId="0" applyFont="1" applyBorder="1" applyAlignment="1">
      <alignment horizontal="center" vertical="center" wrapText="1"/>
    </xf>
    <xf numFmtId="0" fontId="75" fillId="0" borderId="0" xfId="0" applyFont="1" applyFill="1" applyAlignment="1">
      <alignment horizontal="left" vertical="center" indent="1"/>
    </xf>
    <xf numFmtId="0" fontId="7" fillId="0" borderId="1" xfId="0" applyFont="1" applyBorder="1" applyAlignment="1">
      <alignment vertical="top" wrapText="1"/>
    </xf>
    <xf numFmtId="0" fontId="7" fillId="0" borderId="1" xfId="0" applyFont="1" applyBorder="1" applyAlignment="1">
      <alignment horizontal="left" vertical="top" wrapText="1"/>
    </xf>
    <xf numFmtId="0" fontId="2" fillId="0" borderId="2" xfId="0" applyFont="1" applyBorder="1" applyAlignment="1">
      <alignment horizontal="left" vertical="top" wrapText="1"/>
    </xf>
    <xf numFmtId="0" fontId="2" fillId="38" borderId="0" xfId="0" applyFont="1" applyFill="1"/>
    <xf numFmtId="0" fontId="2" fillId="0" borderId="14" xfId="0" applyFont="1" applyBorder="1" applyAlignment="1">
      <alignment horizontal="left" vertical="top" wrapText="1"/>
    </xf>
    <xf numFmtId="0" fontId="24" fillId="0" borderId="2" xfId="0" quotePrefix="1" applyFont="1" applyFill="1" applyBorder="1"/>
    <xf numFmtId="0" fontId="24" fillId="0" borderId="13" xfId="0" quotePrefix="1" applyFont="1" applyFill="1" applyBorder="1"/>
    <xf numFmtId="0" fontId="7" fillId="5" borderId="0" xfId="0" applyFont="1" applyFill="1" applyAlignment="1">
      <alignment horizontal="left"/>
    </xf>
    <xf numFmtId="0" fontId="7" fillId="5" borderId="0" xfId="0" quotePrefix="1" applyFont="1" applyFill="1" applyAlignment="1">
      <alignment horizontal="left" vertical="center" indent="3"/>
    </xf>
    <xf numFmtId="0" fontId="76" fillId="0" borderId="0" xfId="0" applyFont="1"/>
    <xf numFmtId="0" fontId="2" fillId="2" borderId="0" xfId="0" quotePrefix="1" applyFont="1" applyFill="1" applyAlignment="1">
      <alignment horizontal="left" vertical="center"/>
    </xf>
    <xf numFmtId="0" fontId="2" fillId="2" borderId="0" xfId="0" quotePrefix="1" applyFont="1" applyFill="1" applyAlignment="1">
      <alignment horizontal="left" vertical="center" indent="6"/>
    </xf>
    <xf numFmtId="0" fontId="45" fillId="6" borderId="1" xfId="0" applyFont="1" applyFill="1" applyBorder="1" applyAlignment="1">
      <alignment horizontal="left" vertical="center" indent="1"/>
    </xf>
    <xf numFmtId="0" fontId="36" fillId="0" borderId="0" xfId="0" applyFont="1" applyFill="1" applyBorder="1"/>
    <xf numFmtId="0" fontId="2" fillId="5" borderId="0" xfId="0" applyFont="1" applyFill="1"/>
    <xf numFmtId="0" fontId="3" fillId="5" borderId="0" xfId="0" applyFont="1" applyFill="1"/>
    <xf numFmtId="0" fontId="7" fillId="5" borderId="1" xfId="0" applyFont="1" applyFill="1" applyBorder="1"/>
    <xf numFmtId="0" fontId="7" fillId="5" borderId="5" xfId="0" applyFont="1" applyFill="1" applyBorder="1"/>
    <xf numFmtId="0" fontId="7" fillId="5" borderId="9" xfId="0" applyFont="1" applyFill="1" applyBorder="1"/>
    <xf numFmtId="0" fontId="7" fillId="5" borderId="6" xfId="0" applyFont="1" applyFill="1" applyBorder="1"/>
    <xf numFmtId="0" fontId="2" fillId="0" borderId="0" xfId="0" applyFont="1" applyAlignment="1">
      <alignment horizontal="left" vertical="center" indent="2"/>
    </xf>
    <xf numFmtId="0" fontId="3" fillId="0" borderId="0" xfId="0" applyFont="1" applyAlignment="1">
      <alignment horizontal="left" vertical="center"/>
    </xf>
    <xf numFmtId="0" fontId="2" fillId="15" borderId="1" xfId="0" applyFont="1" applyFill="1" applyBorder="1" applyAlignment="1">
      <alignment vertical="center"/>
    </xf>
    <xf numFmtId="43" fontId="2" fillId="0" borderId="0" xfId="1" applyFont="1" applyAlignment="1">
      <alignment horizontal="left" vertical="center"/>
    </xf>
    <xf numFmtId="43" fontId="2" fillId="0" borderId="1" xfId="1" applyFont="1" applyBorder="1" applyAlignment="1">
      <alignment horizontal="left" vertical="center"/>
    </xf>
    <xf numFmtId="0" fontId="2" fillId="7" borderId="1" xfId="0" applyFont="1" applyFill="1" applyBorder="1" applyAlignment="1">
      <alignment horizontal="left" vertical="center"/>
    </xf>
    <xf numFmtId="0" fontId="78" fillId="0" borderId="1" xfId="0" applyFont="1" applyBorder="1"/>
    <xf numFmtId="0" fontId="78" fillId="0" borderId="0" xfId="0" applyFont="1" applyBorder="1"/>
    <xf numFmtId="0" fontId="40" fillId="29" borderId="34" xfId="0" applyFont="1" applyFill="1" applyBorder="1" applyAlignment="1" applyProtection="1">
      <alignment horizontal="left" vertical="center"/>
    </xf>
    <xf numFmtId="0" fontId="49" fillId="29" borderId="23" xfId="2" applyFont="1" applyFill="1" applyBorder="1" applyAlignment="1" applyProtection="1">
      <alignment horizontal="left" vertical="center"/>
    </xf>
    <xf numFmtId="0" fontId="47" fillId="0" borderId="38" xfId="0" applyFont="1" applyFill="1" applyBorder="1" applyAlignment="1" applyProtection="1">
      <alignment horizontal="left" vertical="center" indent="1"/>
      <protection locked="0"/>
    </xf>
    <xf numFmtId="0" fontId="38" fillId="0" borderId="32" xfId="2" applyFont="1" applyFill="1" applyBorder="1" applyAlignment="1" applyProtection="1">
      <alignment horizontal="left" vertical="center"/>
    </xf>
    <xf numFmtId="0" fontId="7" fillId="0" borderId="1" xfId="0" applyFont="1" applyFill="1" applyBorder="1" applyAlignment="1">
      <alignment horizontal="right" vertical="center" indent="1"/>
    </xf>
    <xf numFmtId="0" fontId="7" fillId="15" borderId="1" xfId="0" applyFont="1" applyFill="1" applyBorder="1" applyAlignment="1">
      <alignment horizontal="left" vertical="center" indent="1"/>
    </xf>
    <xf numFmtId="0" fontId="2" fillId="8" borderId="0" xfId="0" applyFont="1" applyFill="1" applyAlignment="1">
      <alignment vertical="center"/>
    </xf>
    <xf numFmtId="0" fontId="79" fillId="0" borderId="32" xfId="2" applyFont="1" applyFill="1" applyBorder="1" applyAlignment="1" applyProtection="1">
      <alignment horizontal="left" vertical="center"/>
    </xf>
    <xf numFmtId="0" fontId="2" fillId="0" borderId="1" xfId="0" quotePrefix="1" applyFont="1" applyFill="1" applyBorder="1" applyAlignment="1">
      <alignment horizontal="left" vertical="center" indent="1"/>
    </xf>
    <xf numFmtId="0" fontId="57" fillId="4" borderId="0" xfId="0" applyFont="1" applyFill="1" applyBorder="1" applyAlignment="1">
      <alignment horizontal="center" vertical="center"/>
    </xf>
    <xf numFmtId="0" fontId="61" fillId="30" borderId="8" xfId="0" applyFont="1" applyFill="1" applyBorder="1" applyAlignment="1">
      <alignment horizontal="center" vertical="center"/>
    </xf>
    <xf numFmtId="0" fontId="61" fillId="30" borderId="11" xfId="0" applyFont="1" applyFill="1" applyBorder="1" applyAlignment="1">
      <alignment horizontal="center" vertical="center"/>
    </xf>
    <xf numFmtId="0" fontId="74" fillId="26" borderId="6" xfId="0" applyFont="1" applyFill="1" applyBorder="1" applyAlignment="1">
      <alignment horizontal="center" vertical="center"/>
    </xf>
    <xf numFmtId="0" fontId="74" fillId="26" borderId="7" xfId="0" applyFont="1" applyFill="1" applyBorder="1" applyAlignment="1">
      <alignment horizontal="center" vertical="center"/>
    </xf>
    <xf numFmtId="0" fontId="20" fillId="39" borderId="0" xfId="0" applyFont="1" applyFill="1" applyAlignment="1">
      <alignment horizontal="center" vertical="center"/>
    </xf>
    <xf numFmtId="0" fontId="2" fillId="0" borderId="0" xfId="0" applyFont="1" applyAlignment="1">
      <alignment horizontal="right" vertical="center"/>
    </xf>
    <xf numFmtId="0" fontId="47" fillId="24" borderId="1" xfId="0" applyFont="1" applyFill="1" applyBorder="1" applyAlignment="1">
      <alignment horizontal="left" vertical="center"/>
    </xf>
    <xf numFmtId="0" fontId="47" fillId="4" borderId="1" xfId="0" applyFont="1" applyFill="1" applyBorder="1" applyAlignment="1">
      <alignment horizontal="left" vertical="center"/>
    </xf>
    <xf numFmtId="0" fontId="47" fillId="6" borderId="1" xfId="0" applyFont="1" applyFill="1" applyBorder="1" applyAlignment="1">
      <alignment horizontal="left" vertical="center"/>
    </xf>
    <xf numFmtId="0" fontId="50" fillId="24" borderId="1" xfId="0" applyFont="1" applyFill="1" applyBorder="1" applyAlignment="1">
      <alignment horizontal="left" vertical="center"/>
    </xf>
    <xf numFmtId="0" fontId="19" fillId="13" borderId="26" xfId="0" applyFont="1" applyFill="1" applyBorder="1" applyAlignment="1">
      <alignment horizontal="center" vertical="center"/>
    </xf>
    <xf numFmtId="0" fontId="19" fillId="13" borderId="4" xfId="0" applyFont="1" applyFill="1" applyBorder="1" applyAlignment="1">
      <alignment horizontal="center" vertical="center"/>
    </xf>
    <xf numFmtId="0" fontId="19" fillId="13" borderId="12" xfId="0" applyFont="1" applyFill="1" applyBorder="1" applyAlignment="1">
      <alignment horizontal="center" vertical="center"/>
    </xf>
  </cellXfs>
  <cellStyles count="4">
    <cellStyle name="Comma" xfId="1" builtinId="3"/>
    <cellStyle name="Hyperlink" xfId="2" builtinId="8"/>
    <cellStyle name="Normal" xfId="0" builtinId="0"/>
    <cellStyle name="Percent" xfId="3" builtinId="5"/>
  </cellStyles>
  <dxfs count="2">
    <dxf>
      <fill>
        <patternFill>
          <bgColor rgb="FFBEE395"/>
        </patternFill>
      </fill>
    </dxf>
    <dxf>
      <fill>
        <patternFill>
          <bgColor rgb="FFBEE395"/>
        </patternFill>
      </fill>
    </dxf>
  </dxfs>
  <tableStyles count="0" defaultTableStyle="TableStyleMedium9" defaultPivotStyle="PivotStyleLight16"/>
  <colors>
    <mruColors>
      <color rgb="FF990000"/>
      <color rgb="FFF8A764"/>
      <color rgb="FF000000"/>
      <color rgb="FFFFC4A7"/>
      <color rgb="FFDDFFFF"/>
      <color rgb="FFCCFFCC"/>
      <color rgb="FFE2F2F6"/>
      <color rgb="FFBEE395"/>
      <color rgb="FFCCFFFF"/>
      <color rgb="FFD9FF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10.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9.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333375</xdr:colOff>
      <xdr:row>3</xdr:row>
      <xdr:rowOff>104775</xdr:rowOff>
    </xdr:from>
    <xdr:to>
      <xdr:col>4</xdr:col>
      <xdr:colOff>140475</xdr:colOff>
      <xdr:row>6</xdr:row>
      <xdr:rowOff>16650</xdr:rowOff>
    </xdr:to>
    <xdr:pic>
      <xdr:nvPicPr>
        <xdr:cNvPr id="2" name="Graphic 1" descr="Earth Globe - Asia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266825" y="581025"/>
          <a:ext cx="464325" cy="464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28575</xdr:colOff>
      <xdr:row>0</xdr:row>
      <xdr:rowOff>47626</xdr:rowOff>
    </xdr:from>
    <xdr:to>
      <xdr:col>1</xdr:col>
      <xdr:colOff>571500</xdr:colOff>
      <xdr:row>0</xdr:row>
      <xdr:rowOff>238125</xdr:rowOff>
    </xdr:to>
    <xdr:sp macro="[0]!'aRunWorkFlow &quot;GOTOMAIN&quot;'" textlink="">
      <xdr:nvSpPr>
        <xdr:cNvPr id="6" name="Rounded Rectangle 1">
          <a:extLst>
            <a:ext uri="{FF2B5EF4-FFF2-40B4-BE49-F238E27FC236}">
              <a16:creationId xmlns:a16="http://schemas.microsoft.com/office/drawing/2014/main" id="{00000000-0008-0000-0100-000006000000}"/>
            </a:ext>
          </a:extLst>
        </xdr:cNvPr>
        <xdr:cNvSpPr/>
      </xdr:nvSpPr>
      <xdr:spPr>
        <a:xfrm>
          <a:off x="238125" y="47626"/>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66675</xdr:colOff>
      <xdr:row>0</xdr:row>
      <xdr:rowOff>57150</xdr:rowOff>
    </xdr:from>
    <xdr:to>
      <xdr:col>1</xdr:col>
      <xdr:colOff>609600</xdr:colOff>
      <xdr:row>0</xdr:row>
      <xdr:rowOff>247649</xdr:rowOff>
    </xdr:to>
    <xdr:sp macro="[0]!'aRunWorkFlow &quot;GOTOMAIN&quot;'" textlink="">
      <xdr:nvSpPr>
        <xdr:cNvPr id="2" name="Rounded Rectangle 1">
          <a:extLst>
            <a:ext uri="{FF2B5EF4-FFF2-40B4-BE49-F238E27FC236}">
              <a16:creationId xmlns:a16="http://schemas.microsoft.com/office/drawing/2014/main" id="{C7E44307-6089-4C2F-B20A-0B4BF8B4E302}"/>
            </a:ext>
          </a:extLst>
        </xdr:cNvPr>
        <xdr:cNvSpPr/>
      </xdr:nvSpPr>
      <xdr:spPr>
        <a:xfrm>
          <a:off x="466725" y="57150"/>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28575</xdr:colOff>
      <xdr:row>0</xdr:row>
      <xdr:rowOff>47624</xdr:rowOff>
    </xdr:from>
    <xdr:to>
      <xdr:col>1</xdr:col>
      <xdr:colOff>571500</xdr:colOff>
      <xdr:row>0</xdr:row>
      <xdr:rowOff>228599</xdr:rowOff>
    </xdr:to>
    <xdr:sp macro="[0]!'aRunWorkFlow &quot;GOTOMAIN&quot;'" textlink="">
      <xdr:nvSpPr>
        <xdr:cNvPr id="26" name="Rounded Rectangle 1">
          <a:extLst>
            <a:ext uri="{FF2B5EF4-FFF2-40B4-BE49-F238E27FC236}">
              <a16:creationId xmlns:a16="http://schemas.microsoft.com/office/drawing/2014/main" id="{00000000-0008-0000-0200-00001A000000}"/>
            </a:ext>
          </a:extLst>
        </xdr:cNvPr>
        <xdr:cNvSpPr/>
      </xdr:nvSpPr>
      <xdr:spPr>
        <a:xfrm>
          <a:off x="333375" y="47624"/>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695325</xdr:colOff>
      <xdr:row>27</xdr:row>
      <xdr:rowOff>0</xdr:rowOff>
    </xdr:from>
    <xdr:to>
      <xdr:col>6</xdr:col>
      <xdr:colOff>1476375</xdr:colOff>
      <xdr:row>29</xdr:row>
      <xdr:rowOff>0</xdr:rowOff>
    </xdr:to>
    <xdr:sp macro="[0]!aSavePClaim" textlink="">
      <xdr:nvSpPr>
        <xdr:cNvPr id="2" name="Rounded Rectangle 2">
          <a:extLst>
            <a:ext uri="{FF2B5EF4-FFF2-40B4-BE49-F238E27FC236}">
              <a16:creationId xmlns:a16="http://schemas.microsoft.com/office/drawing/2014/main" id="{00000000-0008-0000-0300-000002000000}"/>
            </a:ext>
          </a:extLst>
        </xdr:cNvPr>
        <xdr:cNvSpPr/>
      </xdr:nvSpPr>
      <xdr:spPr>
        <a:xfrm>
          <a:off x="4829175" y="4114800"/>
          <a:ext cx="781050" cy="3048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SAVE</a:t>
          </a:r>
          <a:endParaRPr lang="th-TH" sz="1100"/>
        </a:p>
      </xdr:txBody>
    </xdr:sp>
    <xdr:clientData/>
  </xdr:twoCellAnchor>
  <xdr:twoCellAnchor editAs="absolute">
    <xdr:from>
      <xdr:col>0</xdr:col>
      <xdr:colOff>200025</xdr:colOff>
      <xdr:row>26</xdr:row>
      <xdr:rowOff>114300</xdr:rowOff>
    </xdr:from>
    <xdr:to>
      <xdr:col>1</xdr:col>
      <xdr:colOff>257175</xdr:colOff>
      <xdr:row>28</xdr:row>
      <xdr:rowOff>114300</xdr:rowOff>
    </xdr:to>
    <xdr:sp macro="[0]!'aRunWorkFlow &quot;GOTOMAIN&quot;'" textlink="">
      <xdr:nvSpPr>
        <xdr:cNvPr id="3" name="Rounded Rectangle 1">
          <a:extLst>
            <a:ext uri="{FF2B5EF4-FFF2-40B4-BE49-F238E27FC236}">
              <a16:creationId xmlns:a16="http://schemas.microsoft.com/office/drawing/2014/main" id="{00000000-0008-0000-0300-000003000000}"/>
            </a:ext>
          </a:extLst>
        </xdr:cNvPr>
        <xdr:cNvSpPr/>
      </xdr:nvSpPr>
      <xdr:spPr>
        <a:xfrm>
          <a:off x="200025" y="4076700"/>
          <a:ext cx="762000" cy="304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6</xdr:col>
      <xdr:colOff>1657350</xdr:colOff>
      <xdr:row>27</xdr:row>
      <xdr:rowOff>0</xdr:rowOff>
    </xdr:from>
    <xdr:to>
      <xdr:col>6</xdr:col>
      <xdr:colOff>2419350</xdr:colOff>
      <xdr:row>29</xdr:row>
      <xdr:rowOff>0</xdr:rowOff>
    </xdr:to>
    <xdr:sp macro="[0]!'aRunWorkFlow &quot;MSG ONLY&quot;'" textlink="">
      <xdr:nvSpPr>
        <xdr:cNvPr id="4" name="Rounded Rectangle 3">
          <a:extLst>
            <a:ext uri="{FF2B5EF4-FFF2-40B4-BE49-F238E27FC236}">
              <a16:creationId xmlns:a16="http://schemas.microsoft.com/office/drawing/2014/main" id="{00000000-0008-0000-0300-000004000000}"/>
            </a:ext>
          </a:extLst>
        </xdr:cNvPr>
        <xdr:cNvSpPr/>
      </xdr:nvSpPr>
      <xdr:spPr>
        <a:xfrm>
          <a:off x="5791200" y="4114800"/>
          <a:ext cx="762000" cy="3048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rtlCol="0" anchor="ctr"/>
        <a:lstStyle/>
        <a:p>
          <a:pPr algn="ctr"/>
          <a:r>
            <a:rPr lang="en-US" sz="1100"/>
            <a:t>HELP</a:t>
          </a:r>
          <a:endParaRPr lang="th-TH" sz="1100"/>
        </a:p>
      </xdr:txBody>
    </xdr:sp>
    <xdr:clientData/>
  </xdr:twoCellAnchor>
  <xdr:twoCellAnchor editAs="absolute">
    <xdr:from>
      <xdr:col>6</xdr:col>
      <xdr:colOff>2828925</xdr:colOff>
      <xdr:row>27</xdr:row>
      <xdr:rowOff>0</xdr:rowOff>
    </xdr:from>
    <xdr:to>
      <xdr:col>7</xdr:col>
      <xdr:colOff>66675</xdr:colOff>
      <xdr:row>29</xdr:row>
      <xdr:rowOff>0</xdr:rowOff>
    </xdr:to>
    <xdr:sp macro="[0]!'aRunWorkFlow &quot;SAVE QUO&quot;'" textlink="">
      <xdr:nvSpPr>
        <xdr:cNvPr id="5" name="Rounded Rectangle 5">
          <a:extLst>
            <a:ext uri="{FF2B5EF4-FFF2-40B4-BE49-F238E27FC236}">
              <a16:creationId xmlns:a16="http://schemas.microsoft.com/office/drawing/2014/main" id="{00000000-0008-0000-0300-000005000000}"/>
            </a:ext>
          </a:extLst>
        </xdr:cNvPr>
        <xdr:cNvSpPr/>
      </xdr:nvSpPr>
      <xdr:spPr>
        <a:xfrm>
          <a:off x="6962775" y="4114800"/>
          <a:ext cx="762000" cy="3048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en-US" sz="900" b="1"/>
            <a:t>SAVE</a:t>
          </a:r>
          <a:r>
            <a:rPr lang="en-US" sz="900" b="1" baseline="0"/>
            <a:t> QUO</a:t>
          </a:r>
          <a:endParaRPr lang="th-TH" sz="900" b="1"/>
        </a:p>
      </xdr:txBody>
    </xdr:sp>
    <xdr:clientData/>
  </xdr:twoCellAnchor>
  <xdr:twoCellAnchor editAs="absolute">
    <xdr:from>
      <xdr:col>8</xdr:col>
      <xdr:colOff>1247775</xdr:colOff>
      <xdr:row>26</xdr:row>
      <xdr:rowOff>133350</xdr:rowOff>
    </xdr:from>
    <xdr:to>
      <xdr:col>10</xdr:col>
      <xdr:colOff>38100</xdr:colOff>
      <xdr:row>29</xdr:row>
      <xdr:rowOff>95250</xdr:rowOff>
    </xdr:to>
    <xdr:sp macro="[0]!'aRunWorkFlow &quot;GOTOSHEET&quot;'" textlink="">
      <xdr:nvSpPr>
        <xdr:cNvPr id="7" name="Rounded Rectangle 1">
          <a:extLst>
            <a:ext uri="{FF2B5EF4-FFF2-40B4-BE49-F238E27FC236}">
              <a16:creationId xmlns:a16="http://schemas.microsoft.com/office/drawing/2014/main" id="{00000000-0008-0000-0300-000007000000}"/>
            </a:ext>
          </a:extLst>
        </xdr:cNvPr>
        <xdr:cNvSpPr/>
      </xdr:nvSpPr>
      <xdr:spPr>
        <a:xfrm>
          <a:off x="9582150" y="4095750"/>
          <a:ext cx="762000" cy="4191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700" b="0"/>
            <a:t>GOTO</a:t>
          </a:r>
          <a:br>
            <a:rPr lang="en-US" sz="700" b="0"/>
          </a:br>
          <a:r>
            <a:rPr lang="en-US" sz="800" b="0"/>
            <a:t>SHEET</a:t>
          </a:r>
          <a:endParaRPr lang="th-TH" sz="1050" b="0"/>
        </a:p>
      </xdr:txBody>
    </xdr:sp>
    <xdr:clientData/>
  </xdr:twoCellAnchor>
  <xdr:twoCellAnchor editAs="absolute">
    <xdr:from>
      <xdr:col>7</xdr:col>
      <xdr:colOff>438150</xdr:colOff>
      <xdr:row>27</xdr:row>
      <xdr:rowOff>9525</xdr:rowOff>
    </xdr:from>
    <xdr:to>
      <xdr:col>8</xdr:col>
      <xdr:colOff>923925</xdr:colOff>
      <xdr:row>29</xdr:row>
      <xdr:rowOff>9525</xdr:rowOff>
    </xdr:to>
    <xdr:sp macro="[0]!'aRunWorkFlow &quot;GOTOTG&quot;'" textlink="">
      <xdr:nvSpPr>
        <xdr:cNvPr id="9" name="Rounded Rectangle 1">
          <a:extLst>
            <a:ext uri="{FF2B5EF4-FFF2-40B4-BE49-F238E27FC236}">
              <a16:creationId xmlns:a16="http://schemas.microsoft.com/office/drawing/2014/main" id="{00000000-0008-0000-0300-000009000000}"/>
            </a:ext>
          </a:extLst>
        </xdr:cNvPr>
        <xdr:cNvSpPr/>
      </xdr:nvSpPr>
      <xdr:spPr>
        <a:xfrm>
          <a:off x="8096250" y="4124325"/>
          <a:ext cx="1162050" cy="304800"/>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100"/>
            <a:t>Taget Sheet</a:t>
          </a:r>
          <a:endParaRPr lang="th-TH"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2</xdr:col>
      <xdr:colOff>342900</xdr:colOff>
      <xdr:row>1</xdr:row>
      <xdr:rowOff>95250</xdr:rowOff>
    </xdr:to>
    <xdr:sp macro="[0]!'aRunWorkFlow &quot;GOTOMAIN&quot;'" textlink="">
      <xdr:nvSpPr>
        <xdr:cNvPr id="2" name="Rounded Rectangle 1">
          <a:extLst>
            <a:ext uri="{FF2B5EF4-FFF2-40B4-BE49-F238E27FC236}">
              <a16:creationId xmlns:a16="http://schemas.microsoft.com/office/drawing/2014/main" id="{00000000-0008-0000-0400-000002000000}"/>
            </a:ext>
          </a:extLst>
        </xdr:cNvPr>
        <xdr:cNvSpPr/>
      </xdr:nvSpPr>
      <xdr:spPr>
        <a:xfrm>
          <a:off x="428625" y="7620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304800</xdr:colOff>
      <xdr:row>0</xdr:row>
      <xdr:rowOff>85725</xdr:rowOff>
    </xdr:from>
    <xdr:to>
      <xdr:col>2</xdr:col>
      <xdr:colOff>28575</xdr:colOff>
      <xdr:row>1</xdr:row>
      <xdr:rowOff>76200</xdr:rowOff>
    </xdr:to>
    <xdr:sp macro="[0]!'aRunWorkFlow &quot;GOTOMAIN&quot;'" textlink="">
      <xdr:nvSpPr>
        <xdr:cNvPr id="3" name="Rounded Rectangle 1">
          <a:extLst>
            <a:ext uri="{FF2B5EF4-FFF2-40B4-BE49-F238E27FC236}">
              <a16:creationId xmlns:a16="http://schemas.microsoft.com/office/drawing/2014/main" id="{00000000-0008-0000-0500-000003000000}"/>
            </a:ext>
          </a:extLst>
        </xdr:cNvPr>
        <xdr:cNvSpPr/>
      </xdr:nvSpPr>
      <xdr:spPr>
        <a:xfrm>
          <a:off x="304800" y="85725"/>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161925</xdr:colOff>
      <xdr:row>4</xdr:row>
      <xdr:rowOff>171449</xdr:rowOff>
    </xdr:from>
    <xdr:to>
      <xdr:col>10</xdr:col>
      <xdr:colOff>219075</xdr:colOff>
      <xdr:row>11</xdr:row>
      <xdr:rowOff>47624</xdr:rowOff>
    </xdr:to>
    <xdr:sp macro="" textlink="">
      <xdr:nvSpPr>
        <xdr:cNvPr id="8" name="Rectangular Callout 7">
          <a:extLst>
            <a:ext uri="{FF2B5EF4-FFF2-40B4-BE49-F238E27FC236}">
              <a16:creationId xmlns:a16="http://schemas.microsoft.com/office/drawing/2014/main" id="{00000000-0008-0000-0600-000008000000}"/>
            </a:ext>
          </a:extLst>
        </xdr:cNvPr>
        <xdr:cNvSpPr/>
      </xdr:nvSpPr>
      <xdr:spPr>
        <a:xfrm>
          <a:off x="4124325" y="171449"/>
          <a:ext cx="3228975" cy="1209675"/>
        </a:xfrm>
        <a:prstGeom prst="wedgeRectCallout">
          <a:avLst>
            <a:gd name="adj1" fmla="val -57857"/>
            <a:gd name="adj2" fmla="val 7381"/>
          </a:avLst>
        </a:prstGeom>
        <a:solidFill>
          <a:schemeClr val="accent5">
            <a:lumMod val="20000"/>
            <a:lumOff val="8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4</xdr:col>
      <xdr:colOff>457200</xdr:colOff>
      <xdr:row>4</xdr:row>
      <xdr:rowOff>161924</xdr:rowOff>
    </xdr:from>
    <xdr:to>
      <xdr:col>5</xdr:col>
      <xdr:colOff>1038225</xdr:colOff>
      <xdr:row>11</xdr:row>
      <xdr:rowOff>38099</xdr:rowOff>
    </xdr:to>
    <xdr:sp macro="" textlink="">
      <xdr:nvSpPr>
        <xdr:cNvPr id="22" name="Folded Corner 21">
          <a:extLst>
            <a:ext uri="{FF2B5EF4-FFF2-40B4-BE49-F238E27FC236}">
              <a16:creationId xmlns:a16="http://schemas.microsoft.com/office/drawing/2014/main" id="{00000000-0008-0000-0600-000016000000}"/>
            </a:ext>
          </a:extLst>
        </xdr:cNvPr>
        <xdr:cNvSpPr/>
      </xdr:nvSpPr>
      <xdr:spPr>
        <a:xfrm>
          <a:off x="2828925" y="161924"/>
          <a:ext cx="1047750" cy="1209675"/>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800" b="0">
              <a:solidFill>
                <a:schemeClr val="tx2">
                  <a:lumMod val="75000"/>
                </a:schemeClr>
              </a:solidFill>
            </a:rPr>
            <a:t>(file.doc</a:t>
          </a:r>
          <a:r>
            <a:rPr lang="en-GB" sz="800" b="0" baseline="0">
              <a:solidFill>
                <a:schemeClr val="tx2">
                  <a:lumMod val="75000"/>
                </a:schemeClr>
              </a:solidFill>
            </a:rPr>
            <a:t> or PDF)</a:t>
          </a:r>
        </a:p>
        <a:p>
          <a:pPr algn="ctr"/>
          <a:endParaRPr lang="en-GB" sz="800" b="0" baseline="0">
            <a:solidFill>
              <a:schemeClr val="tx2">
                <a:lumMod val="75000"/>
              </a:schemeClr>
            </a:solidFill>
          </a:endParaRPr>
        </a:p>
        <a:p>
          <a:pPr algn="l"/>
          <a:r>
            <a:rPr lang="en-GB" sz="900" b="1">
              <a:solidFill>
                <a:schemeClr val="tx2">
                  <a:lumMod val="75000"/>
                </a:schemeClr>
              </a:solidFill>
            </a:rPr>
            <a:t>Manage by </a:t>
          </a:r>
          <a:r>
            <a:rPr lang="en-GB" sz="800" b="0">
              <a:solidFill>
                <a:schemeClr val="tx2">
                  <a:lumMod val="75000"/>
                </a:schemeClr>
              </a:solidFill>
            </a:rPr>
            <a:t>Document Control - System</a:t>
          </a:r>
        </a:p>
      </xdr:txBody>
    </xdr:sp>
    <xdr:clientData/>
  </xdr:twoCellAnchor>
  <xdr:twoCellAnchor>
    <xdr:from>
      <xdr:col>4</xdr:col>
      <xdr:colOff>0</xdr:colOff>
      <xdr:row>12</xdr:row>
      <xdr:rowOff>152400</xdr:rowOff>
    </xdr:from>
    <xdr:to>
      <xdr:col>5</xdr:col>
      <xdr:colOff>0</xdr:colOff>
      <xdr:row>13</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a:off x="2371725" y="914400"/>
          <a:ext cx="466725" cy="219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9525</xdr:colOff>
      <xdr:row>14</xdr:row>
      <xdr:rowOff>66675</xdr:rowOff>
    </xdr:from>
    <xdr:to>
      <xdr:col>5</xdr:col>
      <xdr:colOff>0</xdr:colOff>
      <xdr:row>16</xdr:row>
      <xdr:rowOff>142875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V="1">
          <a:off x="2381250" y="1209675"/>
          <a:ext cx="457200" cy="457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xdr:row>
      <xdr:rowOff>95250</xdr:rowOff>
    </xdr:from>
    <xdr:to>
      <xdr:col>5</xdr:col>
      <xdr:colOff>0</xdr:colOff>
      <xdr:row>20</xdr:row>
      <xdr:rowOff>152400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2371725" y="2190750"/>
          <a:ext cx="466725" cy="247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57151</xdr:rowOff>
    </xdr:from>
    <xdr:to>
      <xdr:col>5</xdr:col>
      <xdr:colOff>19050</xdr:colOff>
      <xdr:row>24</xdr:row>
      <xdr:rowOff>133350</xdr:rowOff>
    </xdr:to>
    <xdr:cxnSp macro="">
      <xdr:nvCxnSpPr>
        <xdr:cNvPr id="9" name="Straight Arrow Connector 8">
          <a:extLst>
            <a:ext uri="{FF2B5EF4-FFF2-40B4-BE49-F238E27FC236}">
              <a16:creationId xmlns:a16="http://schemas.microsoft.com/office/drawing/2014/main" id="{00000000-0008-0000-0600-000009000000}"/>
            </a:ext>
          </a:extLst>
        </xdr:cNvPr>
        <xdr:cNvCxnSpPr/>
      </xdr:nvCxnSpPr>
      <xdr:spPr>
        <a:xfrm flipV="1">
          <a:off x="2371725" y="2724151"/>
          <a:ext cx="485775" cy="4571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514350</xdr:colOff>
      <xdr:row>23</xdr:row>
      <xdr:rowOff>161925</xdr:rowOff>
    </xdr:from>
    <xdr:to>
      <xdr:col>5</xdr:col>
      <xdr:colOff>514350</xdr:colOff>
      <xdr:row>26</xdr:row>
      <xdr:rowOff>9525</xdr:rowOff>
    </xdr:to>
    <xdr:cxnSp macro="">
      <xdr:nvCxnSpPr>
        <xdr:cNvPr id="12" name="Straight Arrow Connector 11">
          <a:extLst>
            <a:ext uri="{FF2B5EF4-FFF2-40B4-BE49-F238E27FC236}">
              <a16:creationId xmlns:a16="http://schemas.microsoft.com/office/drawing/2014/main" id="{00000000-0008-0000-0600-00000C000000}"/>
            </a:ext>
          </a:extLst>
        </xdr:cNvPr>
        <xdr:cNvCxnSpPr/>
      </xdr:nvCxnSpPr>
      <xdr:spPr>
        <a:xfrm flipV="1">
          <a:off x="3352800" y="301942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19</xdr:row>
      <xdr:rowOff>114300</xdr:rowOff>
    </xdr:from>
    <xdr:to>
      <xdr:col>6</xdr:col>
      <xdr:colOff>523875</xdr:colOff>
      <xdr:row>22</xdr:row>
      <xdr:rowOff>161925</xdr:rowOff>
    </xdr:to>
    <xdr:cxnSp macro="">
      <xdr:nvCxnSpPr>
        <xdr:cNvPr id="14" name="Straight Arrow Connector 13">
          <a:extLst>
            <a:ext uri="{FF2B5EF4-FFF2-40B4-BE49-F238E27FC236}">
              <a16:creationId xmlns:a16="http://schemas.microsoft.com/office/drawing/2014/main" id="{00000000-0008-0000-0600-00000E000000}"/>
            </a:ext>
          </a:extLst>
        </xdr:cNvPr>
        <xdr:cNvCxnSpPr/>
      </xdr:nvCxnSpPr>
      <xdr:spPr>
        <a:xfrm>
          <a:off x="3962400" y="2209800"/>
          <a:ext cx="523875" cy="619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15</xdr:row>
      <xdr:rowOff>171450</xdr:rowOff>
    </xdr:from>
    <xdr:to>
      <xdr:col>7</xdr:col>
      <xdr:colOff>28575</xdr:colOff>
      <xdr:row>15</xdr:row>
      <xdr:rowOff>171450</xdr:rowOff>
    </xdr:to>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3971925" y="1504950"/>
          <a:ext cx="55245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200025</xdr:colOff>
      <xdr:row>13</xdr:row>
      <xdr:rowOff>9525</xdr:rowOff>
    </xdr:from>
    <xdr:to>
      <xdr:col>10</xdr:col>
      <xdr:colOff>28575</xdr:colOff>
      <xdr:row>18</xdr:row>
      <xdr:rowOff>85725</xdr:rowOff>
    </xdr:to>
    <xdr:sp macro="" textlink="">
      <xdr:nvSpPr>
        <xdr:cNvPr id="2" name="Folded Corner 1">
          <a:extLst>
            <a:ext uri="{FF2B5EF4-FFF2-40B4-BE49-F238E27FC236}">
              <a16:creationId xmlns:a16="http://schemas.microsoft.com/office/drawing/2014/main" id="{00000000-0008-0000-0600-000002000000}"/>
            </a:ext>
          </a:extLst>
        </xdr:cNvPr>
        <xdr:cNvSpPr/>
      </xdr:nvSpPr>
      <xdr:spPr>
        <a:xfrm>
          <a:off x="6305550" y="9620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a:p>
          <a:pPr algn="ctr"/>
          <a:endParaRPr lang="en-GB" sz="1000" b="0">
            <a:solidFill>
              <a:schemeClr val="tx2">
                <a:lumMod val="75000"/>
              </a:schemeClr>
            </a:solidFill>
          </a:endParaRPr>
        </a:p>
      </xdr:txBody>
    </xdr:sp>
    <xdr:clientData/>
  </xdr:twoCellAnchor>
  <xdr:twoCellAnchor>
    <xdr:from>
      <xdr:col>9</xdr:col>
      <xdr:colOff>885825</xdr:colOff>
      <xdr:row>14</xdr:row>
      <xdr:rowOff>47625</xdr:rowOff>
    </xdr:from>
    <xdr:to>
      <xdr:col>11</xdr:col>
      <xdr:colOff>333375</xdr:colOff>
      <xdr:row>19</xdr:row>
      <xdr:rowOff>123825</xdr:rowOff>
    </xdr:to>
    <xdr:sp macro="" textlink="">
      <xdr:nvSpPr>
        <xdr:cNvPr id="10" name="Folded Corner 9">
          <a:extLst>
            <a:ext uri="{FF2B5EF4-FFF2-40B4-BE49-F238E27FC236}">
              <a16:creationId xmlns:a16="http://schemas.microsoft.com/office/drawing/2014/main" id="{00000000-0008-0000-0600-00000A000000}"/>
            </a:ext>
          </a:extLst>
        </xdr:cNvPr>
        <xdr:cNvSpPr/>
      </xdr:nvSpPr>
      <xdr:spPr>
        <a:xfrm>
          <a:off x="6991350" y="11906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8</xdr:col>
      <xdr:colOff>0</xdr:colOff>
      <xdr:row>15</xdr:row>
      <xdr:rowOff>142875</xdr:rowOff>
    </xdr:from>
    <xdr:to>
      <xdr:col>9</xdr:col>
      <xdr:colOff>200025</xdr:colOff>
      <xdr:row>15</xdr:row>
      <xdr:rowOff>142875</xdr:rowOff>
    </xdr:to>
    <xdr:cxnSp macro="">
      <xdr:nvCxnSpPr>
        <xdr:cNvPr id="6" name="Straight Arrow Connector 5">
          <a:extLst>
            <a:ext uri="{FF2B5EF4-FFF2-40B4-BE49-F238E27FC236}">
              <a16:creationId xmlns:a16="http://schemas.microsoft.com/office/drawing/2014/main" id="{00000000-0008-0000-0600-000006000000}"/>
            </a:ext>
          </a:extLst>
        </xdr:cNvPr>
        <xdr:cNvCxnSpPr>
          <a:endCxn id="2" idx="1"/>
        </xdr:cNvCxnSpPr>
      </xdr:nvCxnSpPr>
      <xdr:spPr>
        <a:xfrm>
          <a:off x="5591175" y="1476375"/>
          <a:ext cx="7143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xdr:row>
      <xdr:rowOff>66675</xdr:rowOff>
    </xdr:from>
    <xdr:to>
      <xdr:col>7</xdr:col>
      <xdr:colOff>581025</xdr:colOff>
      <xdr:row>10</xdr:row>
      <xdr:rowOff>142875</xdr:rowOff>
    </xdr:to>
    <xdr:sp macro="" textlink="">
      <xdr:nvSpPr>
        <xdr:cNvPr id="13" name="Folded Corner 12">
          <a:extLst>
            <a:ext uri="{FF2B5EF4-FFF2-40B4-BE49-F238E27FC236}">
              <a16:creationId xmlns:a16="http://schemas.microsoft.com/office/drawing/2014/main" id="{00000000-0008-0000-0600-00000D000000}"/>
            </a:ext>
          </a:extLst>
        </xdr:cNvPr>
        <xdr:cNvSpPr/>
      </xdr:nvSpPr>
      <xdr:spPr>
        <a:xfrm>
          <a:off x="42195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1000" b="1">
              <a:solidFill>
                <a:schemeClr val="tx2">
                  <a:lumMod val="75000"/>
                </a:schemeClr>
              </a:solidFill>
            </a:rPr>
            <a:t>(.docx)</a:t>
          </a:r>
        </a:p>
        <a:p>
          <a:pPr algn="ctr"/>
          <a:r>
            <a:rPr lang="en-GB" sz="1000" b="0">
              <a:solidFill>
                <a:schemeClr val="tx2">
                  <a:lumMod val="75000"/>
                </a:schemeClr>
              </a:solidFill>
            </a:rPr>
            <a:t>(Main</a:t>
          </a:r>
          <a:r>
            <a:rPr lang="en-GB" sz="1000" b="0" baseline="0">
              <a:solidFill>
                <a:schemeClr val="tx2">
                  <a:lumMod val="75000"/>
                </a:schemeClr>
              </a:solidFill>
            </a:rPr>
            <a:t> Page</a:t>
          </a:r>
          <a:r>
            <a:rPr lang="en-GB" sz="1000" b="0">
              <a:solidFill>
                <a:schemeClr val="tx2">
                  <a:lumMod val="75000"/>
                </a:schemeClr>
              </a:solidFill>
            </a:rPr>
            <a:t>)</a:t>
          </a:r>
        </a:p>
        <a:p>
          <a:pPr algn="ctr"/>
          <a:r>
            <a:rPr lang="en-GB" sz="1000" b="0">
              <a:solidFill>
                <a:schemeClr val="tx2">
                  <a:lumMod val="75000"/>
                </a:schemeClr>
              </a:solidFill>
            </a:rPr>
            <a:t>Auto Gen</a:t>
          </a:r>
        </a:p>
        <a:p>
          <a:pPr algn="ctr"/>
          <a:r>
            <a:rPr lang="en-GB" sz="1000" b="0">
              <a:solidFill>
                <a:schemeClr val="tx2">
                  <a:lumMod val="75000"/>
                </a:schemeClr>
              </a:solidFill>
            </a:rPr>
            <a:t>Mail Merge</a:t>
          </a:r>
        </a:p>
      </xdr:txBody>
    </xdr:sp>
    <xdr:clientData/>
  </xdr:twoCellAnchor>
  <xdr:twoCellAnchor>
    <xdr:from>
      <xdr:col>7</xdr:col>
      <xdr:colOff>790575</xdr:colOff>
      <xdr:row>5</xdr:row>
      <xdr:rowOff>66675</xdr:rowOff>
    </xdr:from>
    <xdr:to>
      <xdr:col>9</xdr:col>
      <xdr:colOff>38100</xdr:colOff>
      <xdr:row>10</xdr:row>
      <xdr:rowOff>142875</xdr:rowOff>
    </xdr:to>
    <xdr:sp macro="" textlink="">
      <xdr:nvSpPr>
        <xdr:cNvPr id="20" name="Folded Corner 19">
          <a:extLst>
            <a:ext uri="{FF2B5EF4-FFF2-40B4-BE49-F238E27FC236}">
              <a16:creationId xmlns:a16="http://schemas.microsoft.com/office/drawing/2014/main" id="{00000000-0008-0000-0600-000014000000}"/>
            </a:ext>
          </a:extLst>
        </xdr:cNvPr>
        <xdr:cNvSpPr/>
      </xdr:nvSpPr>
      <xdr:spPr>
        <a:xfrm>
          <a:off x="52863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xdr:txBody>
    </xdr:sp>
    <xdr:clientData/>
  </xdr:twoCellAnchor>
  <xdr:twoCellAnchor>
    <xdr:from>
      <xdr:col>9</xdr:col>
      <xdr:colOff>228600</xdr:colOff>
      <xdr:row>5</xdr:row>
      <xdr:rowOff>57150</xdr:rowOff>
    </xdr:from>
    <xdr:to>
      <xdr:col>10</xdr:col>
      <xdr:colOff>57150</xdr:colOff>
      <xdr:row>10</xdr:row>
      <xdr:rowOff>133350</xdr:rowOff>
    </xdr:to>
    <xdr:sp macro="" textlink="">
      <xdr:nvSpPr>
        <xdr:cNvPr id="21" name="Folded Corner 20">
          <a:extLst>
            <a:ext uri="{FF2B5EF4-FFF2-40B4-BE49-F238E27FC236}">
              <a16:creationId xmlns:a16="http://schemas.microsoft.com/office/drawing/2014/main" id="{00000000-0008-0000-0600-000015000000}"/>
            </a:ext>
          </a:extLst>
        </xdr:cNvPr>
        <xdr:cNvSpPr/>
      </xdr:nvSpPr>
      <xdr:spPr>
        <a:xfrm>
          <a:off x="6334125" y="247650"/>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5</xdr:col>
      <xdr:colOff>504825</xdr:colOff>
      <xdr:row>11</xdr:row>
      <xdr:rowOff>38099</xdr:rowOff>
    </xdr:from>
    <xdr:to>
      <xdr:col>5</xdr:col>
      <xdr:colOff>514350</xdr:colOff>
      <xdr:row>11</xdr:row>
      <xdr:rowOff>161925</xdr:rowOff>
    </xdr:to>
    <xdr:cxnSp macro="">
      <xdr:nvCxnSpPr>
        <xdr:cNvPr id="23" name="Straight Arrow Connector 22">
          <a:extLst>
            <a:ext uri="{FF2B5EF4-FFF2-40B4-BE49-F238E27FC236}">
              <a16:creationId xmlns:a16="http://schemas.microsoft.com/office/drawing/2014/main" id="{00000000-0008-0000-0600-000017000000}"/>
            </a:ext>
          </a:extLst>
        </xdr:cNvPr>
        <xdr:cNvCxnSpPr>
          <a:endCxn id="22" idx="2"/>
        </xdr:cNvCxnSpPr>
      </xdr:nvCxnSpPr>
      <xdr:spPr>
        <a:xfrm flipV="1">
          <a:off x="3343275" y="1371599"/>
          <a:ext cx="9525" cy="1238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114300</xdr:colOff>
      <xdr:row>0</xdr:row>
      <xdr:rowOff>95250</xdr:rowOff>
    </xdr:from>
    <xdr:to>
      <xdr:col>1</xdr:col>
      <xdr:colOff>190500</xdr:colOff>
      <xdr:row>1</xdr:row>
      <xdr:rowOff>85725</xdr:rowOff>
    </xdr:to>
    <xdr:sp macro="[0]!'aRunWorkFlow &quot;GOTOMAIN&quot;'" textlink="">
      <xdr:nvSpPr>
        <xdr:cNvPr id="18" name="Rounded Rectangle 1">
          <a:extLst>
            <a:ext uri="{FF2B5EF4-FFF2-40B4-BE49-F238E27FC236}">
              <a16:creationId xmlns:a16="http://schemas.microsoft.com/office/drawing/2014/main" id="{00000000-0008-0000-0600-000012000000}"/>
            </a:ext>
          </a:extLst>
        </xdr:cNvPr>
        <xdr:cNvSpPr/>
      </xdr:nvSpPr>
      <xdr:spPr>
        <a:xfrm>
          <a:off x="114300" y="9525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9525</xdr:colOff>
      <xdr:row>0</xdr:row>
      <xdr:rowOff>76200</xdr:rowOff>
    </xdr:from>
    <xdr:to>
      <xdr:col>5</xdr:col>
      <xdr:colOff>266700</xdr:colOff>
      <xdr:row>1</xdr:row>
      <xdr:rowOff>114300</xdr:rowOff>
    </xdr:to>
    <xdr:sp macro="[0]!'aRunWorkFlow &quot;GOTOMAIN&quot;'" textlink="">
      <xdr:nvSpPr>
        <xdr:cNvPr id="2" name="Rounded Rectangle 1">
          <a:extLst>
            <a:ext uri="{FF2B5EF4-FFF2-40B4-BE49-F238E27FC236}">
              <a16:creationId xmlns:a16="http://schemas.microsoft.com/office/drawing/2014/main" id="{00000000-0008-0000-0700-000002000000}"/>
            </a:ext>
          </a:extLst>
        </xdr:cNvPr>
        <xdr:cNvSpPr/>
      </xdr:nvSpPr>
      <xdr:spPr>
        <a:xfrm>
          <a:off x="209550" y="7620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xdr:from>
      <xdr:col>12</xdr:col>
      <xdr:colOff>704850</xdr:colOff>
      <xdr:row>1</xdr:row>
      <xdr:rowOff>85724</xdr:rowOff>
    </xdr:from>
    <xdr:to>
      <xdr:col>13</xdr:col>
      <xdr:colOff>1009650</xdr:colOff>
      <xdr:row>5</xdr:row>
      <xdr:rowOff>17849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05950" y="247649"/>
          <a:ext cx="1066800" cy="608400"/>
          <a:chOff x="12773025" y="247649"/>
          <a:chExt cx="1066800" cy="638175"/>
        </a:xfrm>
      </xdr:grpSpPr>
      <xdr:sp macro="[0]!aCopySheetAndRename" textlink="">
        <xdr:nvSpPr>
          <xdr:cNvPr id="3" name="Rounded Rectangle 1">
            <a:extLst>
              <a:ext uri="{FF2B5EF4-FFF2-40B4-BE49-F238E27FC236}">
                <a16:creationId xmlns:a16="http://schemas.microsoft.com/office/drawing/2014/main" id="{00000000-0008-0000-0700-000003000000}"/>
              </a:ext>
            </a:extLst>
          </xdr:cNvPr>
          <xdr:cNvSpPr/>
        </xdr:nvSpPr>
        <xdr:spPr>
          <a:xfrm>
            <a:off x="12773025" y="247649"/>
            <a:ext cx="1066800" cy="6381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800" b="1">
                <a:solidFill>
                  <a:schemeClr val="tx2">
                    <a:lumMod val="75000"/>
                  </a:schemeClr>
                </a:solidFill>
              </a:rPr>
              <a:t>GEN</a:t>
            </a:r>
            <a:br>
              <a:rPr lang="en-US" sz="800" b="0">
                <a:solidFill>
                  <a:schemeClr val="tx2">
                    <a:lumMod val="75000"/>
                  </a:schemeClr>
                </a:solidFill>
              </a:rPr>
            </a:br>
            <a:r>
              <a:rPr lang="en-US" sz="900" b="0">
                <a:solidFill>
                  <a:schemeClr val="tx2">
                    <a:lumMod val="75000"/>
                  </a:schemeClr>
                </a:solidFill>
              </a:rPr>
              <a:t>NEW TABLE</a:t>
            </a:r>
            <a:r>
              <a:rPr lang="en-US" sz="900" b="0" baseline="0">
                <a:solidFill>
                  <a:schemeClr val="tx2">
                    <a:lumMod val="75000"/>
                  </a:schemeClr>
                </a:solidFill>
              </a:rPr>
              <a:t> WORKSHEET</a:t>
            </a:r>
            <a:endParaRPr lang="th-TH" sz="1100" b="0">
              <a:solidFill>
                <a:schemeClr val="tx2">
                  <a:lumMod val="75000"/>
                </a:schemeClr>
              </a:solidFill>
            </a:endParaRPr>
          </a:p>
        </xdr:txBody>
      </xdr:sp>
      <xdr:sp macro="[0]!aCopySheetAndRename" textlink="">
        <xdr:nvSpPr>
          <xdr:cNvPr id="24" name="Oval 23">
            <a:extLst>
              <a:ext uri="{FF2B5EF4-FFF2-40B4-BE49-F238E27FC236}">
                <a16:creationId xmlns:a16="http://schemas.microsoft.com/office/drawing/2014/main" id="{00000000-0008-0000-0700-000018000000}"/>
              </a:ext>
            </a:extLst>
          </xdr:cNvPr>
          <xdr:cNvSpPr/>
        </xdr:nvSpPr>
        <xdr:spPr>
          <a:xfrm>
            <a:off x="13535025" y="285750"/>
            <a:ext cx="257175" cy="247650"/>
          </a:xfrm>
          <a:prstGeom prst="ellips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100" b="1">
                <a:solidFill>
                  <a:schemeClr val="accent4">
                    <a:lumMod val="50000"/>
                  </a:schemeClr>
                </a:solidFill>
              </a:rPr>
              <a:t>1</a:t>
            </a:r>
          </a:p>
        </xdr:txBody>
      </xdr:sp>
    </xdr:grpSp>
    <xdr:clientData/>
  </xdr:twoCellAnchor>
  <xdr:twoCellAnchor>
    <xdr:from>
      <xdr:col>13</xdr:col>
      <xdr:colOff>1228725</xdr:colOff>
      <xdr:row>1</xdr:row>
      <xdr:rowOff>85726</xdr:rowOff>
    </xdr:from>
    <xdr:to>
      <xdr:col>14</xdr:col>
      <xdr:colOff>19050</xdr:colOff>
      <xdr:row>5</xdr:row>
      <xdr:rowOff>19051</xdr:rowOff>
    </xdr:to>
    <xdr:grpSp>
      <xdr:nvGrpSpPr>
        <xdr:cNvPr id="8" name="Group 7">
          <a:extLst>
            <a:ext uri="{FF2B5EF4-FFF2-40B4-BE49-F238E27FC236}">
              <a16:creationId xmlns:a16="http://schemas.microsoft.com/office/drawing/2014/main" id="{362282AC-A505-4BD2-A63D-419A4613C6D3}"/>
            </a:ext>
          </a:extLst>
        </xdr:cNvPr>
        <xdr:cNvGrpSpPr/>
      </xdr:nvGrpSpPr>
      <xdr:grpSpPr>
        <a:xfrm>
          <a:off x="10791825" y="247651"/>
          <a:ext cx="1066800" cy="609600"/>
          <a:chOff x="10915650" y="247651"/>
          <a:chExt cx="1066800" cy="609600"/>
        </a:xfrm>
      </xdr:grpSpPr>
      <xdr:grpSp>
        <xdr:nvGrpSpPr>
          <xdr:cNvPr id="12" name="Group 11">
            <a:extLst>
              <a:ext uri="{FF2B5EF4-FFF2-40B4-BE49-F238E27FC236}">
                <a16:creationId xmlns:a16="http://schemas.microsoft.com/office/drawing/2014/main" id="{00000000-0008-0000-0700-00000C000000}"/>
              </a:ext>
            </a:extLst>
          </xdr:cNvPr>
          <xdr:cNvGrpSpPr/>
        </xdr:nvGrpSpPr>
        <xdr:grpSpPr>
          <a:xfrm>
            <a:off x="10915650" y="247651"/>
            <a:ext cx="1066800" cy="609600"/>
            <a:chOff x="10296525" y="247650"/>
            <a:chExt cx="1066800" cy="609600"/>
          </a:xfrm>
        </xdr:grpSpPr>
        <xdr:sp macro="[0]!aInsertModelJson" textlink="">
          <xdr:nvSpPr>
            <xdr:cNvPr id="10" name="Rounded Rectangle 1">
              <a:extLst>
                <a:ext uri="{FF2B5EF4-FFF2-40B4-BE49-F238E27FC236}">
                  <a16:creationId xmlns:a16="http://schemas.microsoft.com/office/drawing/2014/main" id="{00000000-0008-0000-0700-00000A000000}"/>
                </a:ext>
              </a:extLst>
            </xdr:cNvPr>
            <xdr:cNvSpPr/>
          </xdr:nvSpPr>
          <xdr:spPr>
            <a:xfrm>
              <a:off x="10296525" y="247650"/>
              <a:ext cx="1066800" cy="6096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endParaRPr lang="en-US" sz="800" b="1">
                <a:solidFill>
                  <a:schemeClr val="tx2">
                    <a:lumMod val="75000"/>
                  </a:schemeClr>
                </a:solidFill>
              </a:endParaRPr>
            </a:p>
            <a:p>
              <a:pPr algn="ctr"/>
              <a:endParaRPr lang="en-US" sz="900" b="1">
                <a:solidFill>
                  <a:schemeClr val="tx2">
                    <a:lumMod val="75000"/>
                  </a:schemeClr>
                </a:solidFill>
              </a:endParaRPr>
            </a:p>
            <a:p>
              <a:pPr algn="ctr"/>
              <a:r>
                <a:rPr lang="en-US" sz="900" b="1">
                  <a:solidFill>
                    <a:schemeClr val="tx2">
                      <a:lumMod val="75000"/>
                    </a:schemeClr>
                  </a:solidFill>
                </a:rPr>
                <a:t> GEN Model.json</a:t>
              </a:r>
              <a:endParaRPr lang="th-TH" sz="900" b="1">
                <a:solidFill>
                  <a:schemeClr val="tx2">
                    <a:lumMod val="75000"/>
                  </a:schemeClr>
                </a:solidFill>
              </a:endParaRPr>
            </a:p>
          </xdr:txBody>
        </xdr:sp>
        <xdr:pic macro="[0]!aInsertModelJson">
          <xdr:nvPicPr>
            <xdr:cNvPr id="11" name="Graphic 10" descr="Web design outline">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0677525" y="333376"/>
              <a:ext cx="295274" cy="295274"/>
            </a:xfrm>
            <a:prstGeom prst="rect">
              <a:avLst/>
            </a:prstGeom>
          </xdr:spPr>
        </xdr:pic>
      </xdr:grpSp>
      <xdr:sp macro="" textlink="">
        <xdr:nvSpPr>
          <xdr:cNvPr id="26" name="Oval 25">
            <a:extLst>
              <a:ext uri="{FF2B5EF4-FFF2-40B4-BE49-F238E27FC236}">
                <a16:creationId xmlns:a16="http://schemas.microsoft.com/office/drawing/2014/main" id="{00000000-0008-0000-0700-00001A000000}"/>
              </a:ext>
            </a:extLst>
          </xdr:cNvPr>
          <xdr:cNvSpPr/>
        </xdr:nvSpPr>
        <xdr:spPr>
          <a:xfrm>
            <a:off x="11687175" y="285750"/>
            <a:ext cx="257175" cy="24765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GB" sz="1100" b="1">
                <a:solidFill>
                  <a:schemeClr val="accent4">
                    <a:lumMod val="50000"/>
                  </a:schemeClr>
                </a:solidFill>
              </a:rPr>
              <a:t>2</a:t>
            </a:r>
          </a:p>
        </xdr:txBody>
      </xdr:sp>
    </xdr:grpSp>
    <xdr:clientData/>
  </xdr:twoCellAnchor>
  <xdr:twoCellAnchor>
    <xdr:from>
      <xdr:col>15</xdr:col>
      <xdr:colOff>790573</xdr:colOff>
      <xdr:row>1</xdr:row>
      <xdr:rowOff>76200</xdr:rowOff>
    </xdr:from>
    <xdr:to>
      <xdr:col>16</xdr:col>
      <xdr:colOff>979873</xdr:colOff>
      <xdr:row>5</xdr:row>
      <xdr:rowOff>8325</xdr:rowOff>
    </xdr:to>
    <xdr:grpSp>
      <xdr:nvGrpSpPr>
        <xdr:cNvPr id="32" name="Group 31">
          <a:extLst>
            <a:ext uri="{FF2B5EF4-FFF2-40B4-BE49-F238E27FC236}">
              <a16:creationId xmlns:a16="http://schemas.microsoft.com/office/drawing/2014/main" id="{104BB872-0572-4D3D-9A97-DD778C4DFA1F}"/>
            </a:ext>
          </a:extLst>
        </xdr:cNvPr>
        <xdr:cNvGrpSpPr/>
      </xdr:nvGrpSpPr>
      <xdr:grpSpPr>
        <a:xfrm>
          <a:off x="13373098" y="238125"/>
          <a:ext cx="1065600" cy="608400"/>
          <a:chOff x="10801348" y="1009650"/>
          <a:chExt cx="1065600" cy="608400"/>
        </a:xfrm>
      </xdr:grpSpPr>
      <xdr:grpSp>
        <xdr:nvGrpSpPr>
          <xdr:cNvPr id="5" name="Group 4">
            <a:extLst>
              <a:ext uri="{FF2B5EF4-FFF2-40B4-BE49-F238E27FC236}">
                <a16:creationId xmlns:a16="http://schemas.microsoft.com/office/drawing/2014/main" id="{00000000-0008-0000-0700-000005000000}"/>
              </a:ext>
            </a:extLst>
          </xdr:cNvPr>
          <xdr:cNvGrpSpPr/>
        </xdr:nvGrpSpPr>
        <xdr:grpSpPr>
          <a:xfrm>
            <a:off x="10801348" y="1009650"/>
            <a:ext cx="1065600" cy="608400"/>
            <a:chOff x="9020175" y="933450"/>
            <a:chExt cx="1066800" cy="609600"/>
          </a:xfrm>
        </xdr:grpSpPr>
        <xdr:sp macro="[0]!selectRange" textlink="">
          <xdr:nvSpPr>
            <xdr:cNvPr id="4" name="Rounded Rectangle 1">
              <a:extLst>
                <a:ext uri="{FF2B5EF4-FFF2-40B4-BE49-F238E27FC236}">
                  <a16:creationId xmlns:a16="http://schemas.microsoft.com/office/drawing/2014/main" id="{00000000-0008-0000-0700-000004000000}"/>
                </a:ext>
              </a:extLst>
            </xdr:cNvPr>
            <xdr:cNvSpPr/>
          </xdr:nvSpPr>
          <xdr:spPr>
            <a:xfrm>
              <a:off x="9020175" y="933450"/>
              <a:ext cx="1066800" cy="609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a:solidFill>
                    <a:srgbClr val="0070C0"/>
                  </a:solidFill>
                </a:rPr>
                <a:t>GEN </a:t>
              </a:r>
              <a:r>
                <a:rPr lang="en-US" sz="900" b="1">
                  <a:solidFill>
                    <a:srgbClr val="0070C0"/>
                  </a:solidFill>
                </a:rPr>
                <a:t>HTML FILE</a:t>
              </a:r>
              <a:endParaRPr lang="th-TH" sz="1100" b="1">
                <a:solidFill>
                  <a:srgbClr val="0070C0"/>
                </a:solidFill>
              </a:endParaRPr>
            </a:p>
          </xdr:txBody>
        </xdr:sp>
        <xdr:pic macro="[0]!selectRange">
          <xdr:nvPicPr>
            <xdr:cNvPr id="7" name="Graphic 6" descr="Web design">
              <a:extLst>
                <a:ext uri="{FF2B5EF4-FFF2-40B4-BE49-F238E27FC236}">
                  <a16:creationId xmlns:a16="http://schemas.microsoft.com/office/drawing/2014/main" id="{00000000-0008-0000-07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9372074" y="1019175"/>
              <a:ext cx="325202" cy="314325"/>
            </a:xfrm>
            <a:prstGeom prst="rect">
              <a:avLst/>
            </a:prstGeom>
          </xdr:spPr>
        </xdr:pic>
      </xdr:grpSp>
      <xdr:sp macro="" textlink="">
        <xdr:nvSpPr>
          <xdr:cNvPr id="27" name="Oval 26">
            <a:extLst>
              <a:ext uri="{FF2B5EF4-FFF2-40B4-BE49-F238E27FC236}">
                <a16:creationId xmlns:a16="http://schemas.microsoft.com/office/drawing/2014/main" id="{00000000-0008-0000-0700-00001B000000}"/>
              </a:ext>
            </a:extLst>
          </xdr:cNvPr>
          <xdr:cNvSpPr/>
        </xdr:nvSpPr>
        <xdr:spPr>
          <a:xfrm>
            <a:off x="11559749" y="1048902"/>
            <a:ext cx="259200" cy="255135"/>
          </a:xfrm>
          <a:prstGeom prst="ellipse">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100" b="1">
                <a:solidFill>
                  <a:schemeClr val="accent4">
                    <a:lumMod val="50000"/>
                  </a:schemeClr>
                </a:solidFill>
              </a:rPr>
              <a:t>4</a:t>
            </a:r>
          </a:p>
        </xdr:txBody>
      </xdr:sp>
    </xdr:grpSp>
    <xdr:clientData/>
  </xdr:twoCellAnchor>
  <xdr:twoCellAnchor>
    <xdr:from>
      <xdr:col>14</xdr:col>
      <xdr:colOff>247649</xdr:colOff>
      <xdr:row>1</xdr:row>
      <xdr:rowOff>76200</xdr:rowOff>
    </xdr:from>
    <xdr:to>
      <xdr:col>15</xdr:col>
      <xdr:colOff>570299</xdr:colOff>
      <xdr:row>5</xdr:row>
      <xdr:rowOff>8325</xdr:rowOff>
    </xdr:to>
    <xdr:grpSp>
      <xdr:nvGrpSpPr>
        <xdr:cNvPr id="25" name="Group 24">
          <a:extLst>
            <a:ext uri="{FF2B5EF4-FFF2-40B4-BE49-F238E27FC236}">
              <a16:creationId xmlns:a16="http://schemas.microsoft.com/office/drawing/2014/main" id="{1568C6DC-56F3-4871-9E32-B342F0C63637}"/>
            </a:ext>
          </a:extLst>
        </xdr:cNvPr>
        <xdr:cNvGrpSpPr/>
      </xdr:nvGrpSpPr>
      <xdr:grpSpPr>
        <a:xfrm>
          <a:off x="12087224" y="238125"/>
          <a:ext cx="1065600" cy="608400"/>
          <a:chOff x="9515474" y="1009650"/>
          <a:chExt cx="1065600" cy="608400"/>
        </a:xfrm>
      </xdr:grpSpPr>
      <xdr:sp macro="[0]!'aRunWorkFlow &quot;HLP MNUP&quot;'" textlink="">
        <xdr:nvSpPr>
          <xdr:cNvPr id="29" name="Rounded Rectangle 1">
            <a:extLst>
              <a:ext uri="{FF2B5EF4-FFF2-40B4-BE49-F238E27FC236}">
                <a16:creationId xmlns:a16="http://schemas.microsoft.com/office/drawing/2014/main" id="{00000000-0008-0000-0700-00001D000000}"/>
              </a:ext>
            </a:extLst>
          </xdr:cNvPr>
          <xdr:cNvSpPr/>
        </xdr:nvSpPr>
        <xdr:spPr>
          <a:xfrm>
            <a:off x="9515474" y="1009650"/>
            <a:ext cx="1065600" cy="6084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baseline="0">
                <a:solidFill>
                  <a:srgbClr val="0070C0"/>
                </a:solidFill>
              </a:rPr>
              <a:t> </a:t>
            </a:r>
            <a:r>
              <a:rPr lang="en-US" sz="800" b="1" baseline="0">
                <a:solidFill>
                  <a:schemeClr val="accent3">
                    <a:lumMod val="50000"/>
                  </a:schemeClr>
                </a:solidFill>
              </a:rPr>
              <a:t>MENU/MAINPAGE</a:t>
            </a:r>
            <a:endParaRPr lang="th-TH" sz="1100" b="1">
              <a:solidFill>
                <a:schemeClr val="accent3">
                  <a:lumMod val="50000"/>
                </a:schemeClr>
              </a:solidFill>
            </a:endParaRPr>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10293074" y="1048902"/>
            <a:ext cx="259200" cy="255135"/>
          </a:xfrm>
          <a:prstGeom prst="ellipse">
            <a:avLst/>
          </a:prstGeom>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b="1">
                <a:solidFill>
                  <a:schemeClr val="accent4">
                    <a:lumMod val="50000"/>
                  </a:schemeClr>
                </a:solidFill>
              </a:rPr>
              <a:t>3</a:t>
            </a:r>
          </a:p>
        </xdr:txBody>
      </xdr:sp>
      <xdr:pic>
        <xdr:nvPicPr>
          <xdr:cNvPr id="23" name="Graphic 22" descr="Lights On with solid fill">
            <a:extLst>
              <a:ext uri="{FF2B5EF4-FFF2-40B4-BE49-F238E27FC236}">
                <a16:creationId xmlns:a16="http://schemas.microsoft.com/office/drawing/2014/main" id="{73DABF3B-EC25-493F-8644-8C9FD925EA5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867899" y="1066800"/>
            <a:ext cx="314325" cy="314325"/>
          </a:xfrm>
          <a:prstGeom prst="rect">
            <a:avLst/>
          </a:prstGeom>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676275</xdr:colOff>
      <xdr:row>1</xdr:row>
      <xdr:rowOff>47625</xdr:rowOff>
    </xdr:from>
    <xdr:to>
      <xdr:col>16</xdr:col>
      <xdr:colOff>219075</xdr:colOff>
      <xdr:row>4</xdr:row>
      <xdr:rowOff>76200</xdr:rowOff>
    </xdr:to>
    <xdr:grpSp>
      <xdr:nvGrpSpPr>
        <xdr:cNvPr id="15" name="GenHTML_icon">
          <a:extLst>
            <a:ext uri="{FF2B5EF4-FFF2-40B4-BE49-F238E27FC236}">
              <a16:creationId xmlns:a16="http://schemas.microsoft.com/office/drawing/2014/main" id="{D74A35FE-E091-42E8-A747-F51867B6B7F3}"/>
            </a:ext>
          </a:extLst>
        </xdr:cNvPr>
        <xdr:cNvGrpSpPr/>
      </xdr:nvGrpSpPr>
      <xdr:grpSpPr>
        <a:xfrm>
          <a:off x="17430750" y="381000"/>
          <a:ext cx="666750" cy="600075"/>
          <a:chOff x="19354800" y="609600"/>
          <a:chExt cx="685800" cy="531052"/>
        </a:xfrm>
      </xdr:grpSpPr>
      <xdr:sp macro="[0]!SaveSheetToCSVorTXT" textlink="">
        <xdr:nvSpPr>
          <xdr:cNvPr id="16" name="Rectangle: Rounded Corners 15">
            <a:extLst>
              <a:ext uri="{FF2B5EF4-FFF2-40B4-BE49-F238E27FC236}">
                <a16:creationId xmlns:a16="http://schemas.microsoft.com/office/drawing/2014/main" id="{F1D5D79C-1F9C-4FE9-9BC9-E39F2D5AD7EB}"/>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7" name="Group 16">
            <a:extLst>
              <a:ext uri="{FF2B5EF4-FFF2-40B4-BE49-F238E27FC236}">
                <a16:creationId xmlns:a16="http://schemas.microsoft.com/office/drawing/2014/main" id="{3AB7CC90-9D07-4346-9443-630EF2C61C4A}"/>
              </a:ext>
            </a:extLst>
          </xdr:cNvPr>
          <xdr:cNvGrpSpPr/>
        </xdr:nvGrpSpPr>
        <xdr:grpSpPr>
          <a:xfrm>
            <a:off x="19395013" y="628650"/>
            <a:ext cx="628505" cy="512002"/>
            <a:chOff x="17357350" y="84923"/>
            <a:chExt cx="624306" cy="561790"/>
          </a:xfrm>
        </xdr:grpSpPr>
        <xdr:pic macro="[0]!SaveSheetToCSVorTXT">
          <xdr:nvPicPr>
            <xdr:cNvPr id="18" name="Graphic 17" descr="Web design">
              <a:extLst>
                <a:ext uri="{FF2B5EF4-FFF2-40B4-BE49-F238E27FC236}">
                  <a16:creationId xmlns:a16="http://schemas.microsoft.com/office/drawing/2014/main" id="{88F2C8B4-BE33-4BEE-892C-1A4B8B18C84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aveSheetToCSVorTXT" textlink="">
          <xdr:nvSpPr>
            <xdr:cNvPr id="19" name="TextBox 18">
              <a:extLst>
                <a:ext uri="{FF2B5EF4-FFF2-40B4-BE49-F238E27FC236}">
                  <a16:creationId xmlns:a16="http://schemas.microsoft.com/office/drawing/2014/main" id="{D1002927-F098-48E1-85AE-573AF6D490A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editAs="absolute">
    <xdr:from>
      <xdr:col>0</xdr:col>
      <xdr:colOff>104775</xdr:colOff>
      <xdr:row>0</xdr:row>
      <xdr:rowOff>47625</xdr:rowOff>
    </xdr:from>
    <xdr:to>
      <xdr:col>0</xdr:col>
      <xdr:colOff>676275</xdr:colOff>
      <xdr:row>0</xdr:row>
      <xdr:rowOff>247650</xdr:rowOff>
    </xdr:to>
    <xdr:sp macro="[0]!'aRunWorkFlow &quot;GOTOTG&quot;'" textlink="">
      <xdr:nvSpPr>
        <xdr:cNvPr id="7" name="Rounded Rectangle 1">
          <a:extLst>
            <a:ext uri="{FF2B5EF4-FFF2-40B4-BE49-F238E27FC236}">
              <a16:creationId xmlns:a16="http://schemas.microsoft.com/office/drawing/2014/main" id="{6B1880D2-17AD-47C2-8BA9-0BADC7EAA661}"/>
            </a:ext>
          </a:extLst>
        </xdr:cNvPr>
        <xdr:cNvSpPr/>
      </xdr:nvSpPr>
      <xdr:spPr>
        <a:xfrm>
          <a:off x="10477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editAs="absolute">
    <xdr:from>
      <xdr:col>0</xdr:col>
      <xdr:colOff>819150</xdr:colOff>
      <xdr:row>0</xdr:row>
      <xdr:rowOff>47625</xdr:rowOff>
    </xdr:from>
    <xdr:to>
      <xdr:col>0</xdr:col>
      <xdr:colOff>1390650</xdr:colOff>
      <xdr:row>0</xdr:row>
      <xdr:rowOff>247650</xdr:rowOff>
    </xdr:to>
    <xdr:sp macro="[0]!'aRunWorkFlow &quot;GOTOMAIN&quot;'" textlink="">
      <xdr:nvSpPr>
        <xdr:cNvPr id="8" name="Rounded Rectangle 1">
          <a:extLst>
            <a:ext uri="{FF2B5EF4-FFF2-40B4-BE49-F238E27FC236}">
              <a16:creationId xmlns:a16="http://schemas.microsoft.com/office/drawing/2014/main" id="{C32BC47E-CA3E-4C50-A969-0D96A0CDE393}"/>
            </a:ext>
          </a:extLst>
        </xdr:cNvPr>
        <xdr:cNvSpPr/>
      </xdr:nvSpPr>
      <xdr:spPr>
        <a:xfrm>
          <a:off x="81915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09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9" name="GenHTML_icon">
          <a:extLst>
            <a:ext uri="{FF2B5EF4-FFF2-40B4-BE49-F238E27FC236}">
              <a16:creationId xmlns:a16="http://schemas.microsoft.com/office/drawing/2014/main" id="{00000000-0008-0000-0900-000009000000}"/>
            </a:ext>
          </a:extLst>
        </xdr:cNvPr>
        <xdr:cNvGrpSpPr/>
      </xdr:nvGrpSpPr>
      <xdr:grpSpPr>
        <a:xfrm>
          <a:off x="7010400" y="381000"/>
          <a:ext cx="666750" cy="600075"/>
          <a:chOff x="19354800" y="609600"/>
          <a:chExt cx="685800" cy="531052"/>
        </a:xfrm>
      </xdr:grpSpPr>
      <xdr:sp macro="[0]!selectRange" textlink="">
        <xdr:nvSpPr>
          <xdr:cNvPr id="10" name="Rectangle: Rounded Corners 9">
            <a:extLst>
              <a:ext uri="{FF2B5EF4-FFF2-40B4-BE49-F238E27FC236}">
                <a16:creationId xmlns:a16="http://schemas.microsoft.com/office/drawing/2014/main" id="{00000000-0008-0000-0900-00000A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900-00000B000000}"/>
              </a:ext>
            </a:extLst>
          </xdr:cNvPr>
          <xdr:cNvGrpSpPr/>
        </xdr:nvGrpSpPr>
        <xdr:grpSpPr>
          <a:xfrm>
            <a:off x="19395013" y="628650"/>
            <a:ext cx="628505" cy="512002"/>
            <a:chOff x="17357350" y="84923"/>
            <a:chExt cx="624306" cy="561790"/>
          </a:xfrm>
        </xdr:grpSpPr>
        <xdr:pic macro="[0]!selectRange">
          <xdr:nvPicPr>
            <xdr:cNvPr id="12" name="Graphic 11" descr="Web design">
              <a:extLst>
                <a:ext uri="{FF2B5EF4-FFF2-40B4-BE49-F238E27FC236}">
                  <a16:creationId xmlns:a16="http://schemas.microsoft.com/office/drawing/2014/main" id="{00000000-0008-0000-09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3" name="TextBox 12">
              <a:extLst>
                <a:ext uri="{FF2B5EF4-FFF2-40B4-BE49-F238E27FC236}">
                  <a16:creationId xmlns:a16="http://schemas.microsoft.com/office/drawing/2014/main" id="{00000000-0008-0000-0900-00000D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4" name="Group 13">
          <a:extLst>
            <a:ext uri="{FF2B5EF4-FFF2-40B4-BE49-F238E27FC236}">
              <a16:creationId xmlns:a16="http://schemas.microsoft.com/office/drawing/2014/main" id="{00000000-0008-0000-0900-00000E000000}"/>
            </a:ext>
          </a:extLst>
        </xdr:cNvPr>
        <xdr:cNvGrpSpPr/>
      </xdr:nvGrpSpPr>
      <xdr:grpSpPr>
        <a:xfrm>
          <a:off x="6134100" y="381000"/>
          <a:ext cx="666750" cy="600075"/>
          <a:chOff x="5648325" y="809625"/>
          <a:chExt cx="666750" cy="514350"/>
        </a:xfrm>
      </xdr:grpSpPr>
      <xdr:sp macro="[0]!aInsertModelJson" textlink="">
        <xdr:nvSpPr>
          <xdr:cNvPr id="15" name="Rectangle: Rounded Corners 14">
            <a:extLst>
              <a:ext uri="{FF2B5EF4-FFF2-40B4-BE49-F238E27FC236}">
                <a16:creationId xmlns:a16="http://schemas.microsoft.com/office/drawing/2014/main" id="{00000000-0008-0000-0900-00000F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6" name="Group 15">
            <a:extLst>
              <a:ext uri="{FF2B5EF4-FFF2-40B4-BE49-F238E27FC236}">
                <a16:creationId xmlns:a16="http://schemas.microsoft.com/office/drawing/2014/main" id="{00000000-0008-0000-0900-000010000000}"/>
              </a:ext>
            </a:extLst>
          </xdr:cNvPr>
          <xdr:cNvGrpSpPr/>
        </xdr:nvGrpSpPr>
        <xdr:grpSpPr>
          <a:xfrm>
            <a:off x="5649321" y="828076"/>
            <a:ext cx="611047" cy="495899"/>
            <a:chOff x="5687421" y="828076"/>
            <a:chExt cx="611047" cy="495899"/>
          </a:xfrm>
        </xdr:grpSpPr>
        <xdr:pic macro="[0]!aInsertModelJson">
          <xdr:nvPicPr>
            <xdr:cNvPr id="17" name="Graphic 16" descr="Web design">
              <a:extLst>
                <a:ext uri="{FF2B5EF4-FFF2-40B4-BE49-F238E27FC236}">
                  <a16:creationId xmlns:a16="http://schemas.microsoft.com/office/drawing/2014/main" id="{00000000-0008-0000-0900-000011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8" name="TextBox 17">
              <a:extLst>
                <a:ext uri="{FF2B5EF4-FFF2-40B4-BE49-F238E27FC236}">
                  <a16:creationId xmlns:a16="http://schemas.microsoft.com/office/drawing/2014/main" id="{00000000-0008-0000-0900-000012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9" name="TextBox 18">
          <a:extLst>
            <a:ext uri="{FF2B5EF4-FFF2-40B4-BE49-F238E27FC236}">
              <a16:creationId xmlns:a16="http://schemas.microsoft.com/office/drawing/2014/main" id="{685161BB-1568-4EA8-8DF4-D105BB20121D}"/>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20" name="Rounded Rectangle 1">
          <a:extLst>
            <a:ext uri="{FF2B5EF4-FFF2-40B4-BE49-F238E27FC236}">
              <a16:creationId xmlns:a16="http://schemas.microsoft.com/office/drawing/2014/main" id="{721B093C-1154-4229-B5E9-8E9A853CB20D}"/>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9525</xdr:colOff>
      <xdr:row>0</xdr:row>
      <xdr:rowOff>47625</xdr:rowOff>
    </xdr:from>
    <xdr:to>
      <xdr:col>1</xdr:col>
      <xdr:colOff>581025</xdr:colOff>
      <xdr:row>1</xdr:row>
      <xdr:rowOff>57150</xdr:rowOff>
    </xdr:to>
    <xdr:sp macro="[0]!'aRunWorkFlow &quot;GOTOTG&quot;'" textlink="">
      <xdr:nvSpPr>
        <xdr:cNvPr id="7" name="Back_icon">
          <a:extLst>
            <a:ext uri="{FF2B5EF4-FFF2-40B4-BE49-F238E27FC236}">
              <a16:creationId xmlns:a16="http://schemas.microsoft.com/office/drawing/2014/main" id="{00000000-0008-0000-0A00-000007000000}"/>
            </a:ext>
          </a:extLst>
        </xdr:cNvPr>
        <xdr:cNvSpPr/>
      </xdr:nvSpPr>
      <xdr:spPr>
        <a:xfrm>
          <a:off x="95250"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10</xdr:col>
      <xdr:colOff>19050</xdr:colOff>
      <xdr:row>2</xdr:row>
      <xdr:rowOff>0</xdr:rowOff>
    </xdr:from>
    <xdr:to>
      <xdr:col>10</xdr:col>
      <xdr:colOff>685800</xdr:colOff>
      <xdr:row>5</xdr:row>
      <xdr:rowOff>28575</xdr:rowOff>
    </xdr:to>
    <xdr:grpSp>
      <xdr:nvGrpSpPr>
        <xdr:cNvPr id="22" name="GenHTML_icon">
          <a:extLst>
            <a:ext uri="{FF2B5EF4-FFF2-40B4-BE49-F238E27FC236}">
              <a16:creationId xmlns:a16="http://schemas.microsoft.com/office/drawing/2014/main" id="{00000000-0008-0000-0A00-000016000000}"/>
            </a:ext>
          </a:extLst>
        </xdr:cNvPr>
        <xdr:cNvGrpSpPr/>
      </xdr:nvGrpSpPr>
      <xdr:grpSpPr>
        <a:xfrm>
          <a:off x="7372350" y="381000"/>
          <a:ext cx="666750" cy="600075"/>
          <a:chOff x="19354800" y="609600"/>
          <a:chExt cx="685800" cy="531052"/>
        </a:xfrm>
      </xdr:grpSpPr>
      <xdr:sp macro="[0]!selectRange" textlink="">
        <xdr:nvSpPr>
          <xdr:cNvPr id="23" name="Rectangle: Rounded Corners 22">
            <a:extLst>
              <a:ext uri="{FF2B5EF4-FFF2-40B4-BE49-F238E27FC236}">
                <a16:creationId xmlns:a16="http://schemas.microsoft.com/office/drawing/2014/main" id="{00000000-0008-0000-0A00-000017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24" name="Group 23">
            <a:extLst>
              <a:ext uri="{FF2B5EF4-FFF2-40B4-BE49-F238E27FC236}">
                <a16:creationId xmlns:a16="http://schemas.microsoft.com/office/drawing/2014/main" id="{00000000-0008-0000-0A00-000018000000}"/>
              </a:ext>
            </a:extLst>
          </xdr:cNvPr>
          <xdr:cNvGrpSpPr/>
        </xdr:nvGrpSpPr>
        <xdr:grpSpPr>
          <a:xfrm>
            <a:off x="19395013" y="628650"/>
            <a:ext cx="628505" cy="512002"/>
            <a:chOff x="17357350" y="84923"/>
            <a:chExt cx="624306" cy="561790"/>
          </a:xfrm>
        </xdr:grpSpPr>
        <xdr:pic macro="[0]!selectRange">
          <xdr:nvPicPr>
            <xdr:cNvPr id="25" name="Graphic 24" descr="Web design">
              <a:extLst>
                <a:ext uri="{FF2B5EF4-FFF2-40B4-BE49-F238E27FC236}">
                  <a16:creationId xmlns:a16="http://schemas.microsoft.com/office/drawing/2014/main" id="{00000000-0008-0000-0A00-000019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26" name="TextBox 25">
              <a:extLst>
                <a:ext uri="{FF2B5EF4-FFF2-40B4-BE49-F238E27FC236}">
                  <a16:creationId xmlns:a16="http://schemas.microsoft.com/office/drawing/2014/main" id="{00000000-0008-0000-0A00-00001A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361950</xdr:colOff>
      <xdr:row>2</xdr:row>
      <xdr:rowOff>0</xdr:rowOff>
    </xdr:from>
    <xdr:to>
      <xdr:col>9</xdr:col>
      <xdr:colOff>428625</xdr:colOff>
      <xdr:row>5</xdr:row>
      <xdr:rowOff>28575</xdr:rowOff>
    </xdr:to>
    <xdr:grpSp>
      <xdr:nvGrpSpPr>
        <xdr:cNvPr id="60418" name="Group 60417">
          <a:extLst>
            <a:ext uri="{FF2B5EF4-FFF2-40B4-BE49-F238E27FC236}">
              <a16:creationId xmlns:a16="http://schemas.microsoft.com/office/drawing/2014/main" id="{00000000-0008-0000-0A00-000002EC0000}"/>
            </a:ext>
          </a:extLst>
        </xdr:cNvPr>
        <xdr:cNvGrpSpPr/>
      </xdr:nvGrpSpPr>
      <xdr:grpSpPr>
        <a:xfrm>
          <a:off x="6496050" y="381000"/>
          <a:ext cx="666750" cy="600075"/>
          <a:chOff x="6496050" y="323850"/>
          <a:chExt cx="666750" cy="514350"/>
        </a:xfrm>
      </xdr:grpSpPr>
      <xdr:sp macro="[0]!aInsertModelJson" textlink="">
        <xdr:nvSpPr>
          <xdr:cNvPr id="28" name="Rectangle: Rounded Corners 27">
            <a:extLst>
              <a:ext uri="{FF2B5EF4-FFF2-40B4-BE49-F238E27FC236}">
                <a16:creationId xmlns:a16="http://schemas.microsoft.com/office/drawing/2014/main" id="{00000000-0008-0000-0A00-00001C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60416" name="Group 60415">
            <a:extLst>
              <a:ext uri="{FF2B5EF4-FFF2-40B4-BE49-F238E27FC236}">
                <a16:creationId xmlns:a16="http://schemas.microsoft.com/office/drawing/2014/main" id="{00000000-0008-0000-0A00-000000EC0000}"/>
              </a:ext>
            </a:extLst>
          </xdr:cNvPr>
          <xdr:cNvGrpSpPr/>
        </xdr:nvGrpSpPr>
        <xdr:grpSpPr>
          <a:xfrm>
            <a:off x="6497046" y="342301"/>
            <a:ext cx="611047" cy="495899"/>
            <a:chOff x="5687421" y="828076"/>
            <a:chExt cx="611047" cy="495899"/>
          </a:xfrm>
        </xdr:grpSpPr>
        <xdr:pic macro="[0]!aInsertModelJson">
          <xdr:nvPicPr>
            <xdr:cNvPr id="30" name="Graphic 29" descr="Web design">
              <a:extLst>
                <a:ext uri="{FF2B5EF4-FFF2-40B4-BE49-F238E27FC236}">
                  <a16:creationId xmlns:a16="http://schemas.microsoft.com/office/drawing/2014/main" id="{00000000-0008-0000-0A00-00001E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31" name="TextBox 30">
              <a:extLst>
                <a:ext uri="{FF2B5EF4-FFF2-40B4-BE49-F238E27FC236}">
                  <a16:creationId xmlns:a16="http://schemas.microsoft.com/office/drawing/2014/main" id="{00000000-0008-0000-0A00-00001F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B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12" name="GenHTML_icon">
          <a:extLst>
            <a:ext uri="{FF2B5EF4-FFF2-40B4-BE49-F238E27FC236}">
              <a16:creationId xmlns:a16="http://schemas.microsoft.com/office/drawing/2014/main" id="{00000000-0008-0000-0B00-00000C000000}"/>
            </a:ext>
          </a:extLst>
        </xdr:cNvPr>
        <xdr:cNvGrpSpPr/>
      </xdr:nvGrpSpPr>
      <xdr:grpSpPr>
        <a:xfrm>
          <a:off x="7000875" y="381000"/>
          <a:ext cx="666750" cy="600075"/>
          <a:chOff x="19354800" y="609600"/>
          <a:chExt cx="685800" cy="531052"/>
        </a:xfrm>
      </xdr:grpSpPr>
      <xdr:sp macro="[0]!selectRange" textlink="">
        <xdr:nvSpPr>
          <xdr:cNvPr id="13" name="Rectangle: Rounded Corners 12">
            <a:extLst>
              <a:ext uri="{FF2B5EF4-FFF2-40B4-BE49-F238E27FC236}">
                <a16:creationId xmlns:a16="http://schemas.microsoft.com/office/drawing/2014/main" id="{00000000-0008-0000-0B00-00000D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4" name="Group 13">
            <a:extLst>
              <a:ext uri="{FF2B5EF4-FFF2-40B4-BE49-F238E27FC236}">
                <a16:creationId xmlns:a16="http://schemas.microsoft.com/office/drawing/2014/main" id="{00000000-0008-0000-0B00-00000E000000}"/>
              </a:ext>
            </a:extLst>
          </xdr:cNvPr>
          <xdr:cNvGrpSpPr/>
        </xdr:nvGrpSpPr>
        <xdr:grpSpPr>
          <a:xfrm>
            <a:off x="19395013" y="628650"/>
            <a:ext cx="628505" cy="512002"/>
            <a:chOff x="17357350" y="84923"/>
            <a:chExt cx="624306" cy="561790"/>
          </a:xfrm>
        </xdr:grpSpPr>
        <xdr:pic macro="[0]!selectRange">
          <xdr:nvPicPr>
            <xdr:cNvPr id="15" name="Graphic 14" descr="Web design">
              <a:extLst>
                <a:ext uri="{FF2B5EF4-FFF2-40B4-BE49-F238E27FC236}">
                  <a16:creationId xmlns:a16="http://schemas.microsoft.com/office/drawing/2014/main" id="{00000000-0008-0000-0B00-00000F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6" name="TextBox 15">
              <a:extLst>
                <a:ext uri="{FF2B5EF4-FFF2-40B4-BE49-F238E27FC236}">
                  <a16:creationId xmlns:a16="http://schemas.microsoft.com/office/drawing/2014/main" id="{00000000-0008-0000-0B00-000010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7" name="Group 16">
          <a:extLst>
            <a:ext uri="{FF2B5EF4-FFF2-40B4-BE49-F238E27FC236}">
              <a16:creationId xmlns:a16="http://schemas.microsoft.com/office/drawing/2014/main" id="{00000000-0008-0000-0B00-000011000000}"/>
            </a:ext>
          </a:extLst>
        </xdr:cNvPr>
        <xdr:cNvGrpSpPr/>
      </xdr:nvGrpSpPr>
      <xdr:grpSpPr>
        <a:xfrm>
          <a:off x="6124575" y="381000"/>
          <a:ext cx="666750" cy="600075"/>
          <a:chOff x="6496050" y="323850"/>
          <a:chExt cx="666750" cy="514350"/>
        </a:xfrm>
      </xdr:grpSpPr>
      <xdr:sp macro="[0]!aInsertModelJson"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9" name="Group 18">
            <a:extLst>
              <a:ext uri="{FF2B5EF4-FFF2-40B4-BE49-F238E27FC236}">
                <a16:creationId xmlns:a16="http://schemas.microsoft.com/office/drawing/2014/main" id="{00000000-0008-0000-0B00-000013000000}"/>
              </a:ext>
            </a:extLst>
          </xdr:cNvPr>
          <xdr:cNvGrpSpPr/>
        </xdr:nvGrpSpPr>
        <xdr:grpSpPr>
          <a:xfrm>
            <a:off x="6497046" y="342301"/>
            <a:ext cx="611047" cy="495899"/>
            <a:chOff x="5687421" y="828076"/>
            <a:chExt cx="611047" cy="495899"/>
          </a:xfrm>
        </xdr:grpSpPr>
        <xdr:pic macro="[0]!aInsertModelJson">
          <xdr:nvPicPr>
            <xdr:cNvPr id="20" name="Graphic 19" descr="Web design">
              <a:extLst>
                <a:ext uri="{FF2B5EF4-FFF2-40B4-BE49-F238E27FC236}">
                  <a16:creationId xmlns:a16="http://schemas.microsoft.com/office/drawing/2014/main" id="{00000000-0008-0000-0B00-000014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21" name="TextBox 20">
              <a:extLst>
                <a:ext uri="{FF2B5EF4-FFF2-40B4-BE49-F238E27FC236}">
                  <a16:creationId xmlns:a16="http://schemas.microsoft.com/office/drawing/2014/main" id="{00000000-0008-0000-0B00-000015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9525</xdr:colOff>
      <xdr:row>0</xdr:row>
      <xdr:rowOff>38100</xdr:rowOff>
    </xdr:from>
    <xdr:to>
      <xdr:col>1</xdr:col>
      <xdr:colOff>581025</xdr:colOff>
      <xdr:row>1</xdr:row>
      <xdr:rowOff>47625</xdr:rowOff>
    </xdr:to>
    <xdr:sp macro="[0]!'aRunWorkFlow &quot;GOTOTG&quot;'" textlink="">
      <xdr:nvSpPr>
        <xdr:cNvPr id="6" name="Rounded Rectangle 1">
          <a:extLst>
            <a:ext uri="{FF2B5EF4-FFF2-40B4-BE49-F238E27FC236}">
              <a16:creationId xmlns:a16="http://schemas.microsoft.com/office/drawing/2014/main" id="{00000000-0008-0000-0C00-000006000000}"/>
            </a:ext>
          </a:extLst>
        </xdr:cNvPr>
        <xdr:cNvSpPr/>
      </xdr:nvSpPr>
      <xdr:spPr>
        <a:xfrm>
          <a:off x="95250" y="3810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C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C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C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C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C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C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C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C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C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C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7" name="Rounded Rectangle 1">
          <a:extLst>
            <a:ext uri="{FF2B5EF4-FFF2-40B4-BE49-F238E27FC236}">
              <a16:creationId xmlns:a16="http://schemas.microsoft.com/office/drawing/2014/main" id="{00000000-0008-0000-0D00-000007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D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D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D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0D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D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D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D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D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D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D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E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E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E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E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E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E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E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E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E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E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E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F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F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F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F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F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F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F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F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F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F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F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0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0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0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0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0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6134100" y="381000"/>
          <a:ext cx="666750" cy="600075"/>
          <a:chOff x="6496050" y="323850"/>
          <a:chExt cx="666750" cy="514350"/>
        </a:xfrm>
      </xdr:grpSpPr>
      <xdr:sp macro="[0]!aInsertModelJson" textlink="">
        <xdr:nvSpPr>
          <xdr:cNvPr id="9" name="Rectangle: Rounded Corners 8">
            <a:extLst>
              <a:ext uri="{FF2B5EF4-FFF2-40B4-BE49-F238E27FC236}">
                <a16:creationId xmlns:a16="http://schemas.microsoft.com/office/drawing/2014/main" id="{00000000-0008-0000-1000-000009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000-00000A000000}"/>
              </a:ext>
            </a:extLst>
          </xdr:cNvPr>
          <xdr:cNvGrpSpPr/>
        </xdr:nvGrpSpPr>
        <xdr:grpSpPr>
          <a:xfrm>
            <a:off x="6497046" y="342301"/>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0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0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1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8" name="GenHTML_icon">
          <a:extLst>
            <a:ext uri="{FF2B5EF4-FFF2-40B4-BE49-F238E27FC236}">
              <a16:creationId xmlns:a16="http://schemas.microsoft.com/office/drawing/2014/main" id="{00000000-0008-0000-1100-000008000000}"/>
            </a:ext>
          </a:extLst>
        </xdr:cNvPr>
        <xdr:cNvGrpSpPr/>
      </xdr:nvGrpSpPr>
      <xdr:grpSpPr>
        <a:xfrm>
          <a:off x="7010400" y="381000"/>
          <a:ext cx="666750" cy="600075"/>
          <a:chOff x="19354800" y="609600"/>
          <a:chExt cx="685800" cy="531052"/>
        </a:xfrm>
      </xdr:grpSpPr>
      <xdr:sp macro="[0]!selectRange" textlink="">
        <xdr:nvSpPr>
          <xdr:cNvPr id="9" name="Rectangle: Rounded Corners 8">
            <a:extLst>
              <a:ext uri="{FF2B5EF4-FFF2-40B4-BE49-F238E27FC236}">
                <a16:creationId xmlns:a16="http://schemas.microsoft.com/office/drawing/2014/main" id="{00000000-0008-0000-1100-000009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100-00000A000000}"/>
              </a:ext>
            </a:extLst>
          </xdr:cNvPr>
          <xdr:cNvGrpSpPr/>
        </xdr:nvGrpSpPr>
        <xdr:grpSpPr>
          <a:xfrm>
            <a:off x="19395013" y="628650"/>
            <a:ext cx="628505" cy="512002"/>
            <a:chOff x="17357350" y="84923"/>
            <a:chExt cx="624306" cy="561790"/>
          </a:xfrm>
        </xdr:grpSpPr>
        <xdr:pic macro="[0]!selectRange">
          <xdr:nvPicPr>
            <xdr:cNvPr id="11" name="Graphic 10" descr="Web design">
              <a:extLst>
                <a:ext uri="{FF2B5EF4-FFF2-40B4-BE49-F238E27FC236}">
                  <a16:creationId xmlns:a16="http://schemas.microsoft.com/office/drawing/2014/main" id="{00000000-0008-0000-11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2" name="TextBox 11">
              <a:extLst>
                <a:ext uri="{FF2B5EF4-FFF2-40B4-BE49-F238E27FC236}">
                  <a16:creationId xmlns:a16="http://schemas.microsoft.com/office/drawing/2014/main" id="{00000000-0008-0000-1100-00000C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6134100" y="381000"/>
          <a:ext cx="666750" cy="600075"/>
          <a:chOff x="6496050" y="323850"/>
          <a:chExt cx="666750" cy="514350"/>
        </a:xfrm>
      </xdr:grpSpPr>
      <xdr:sp macro="[0]!aInsertModelJson" textlink="">
        <xdr:nvSpPr>
          <xdr:cNvPr id="14" name="Rectangle: Rounded Corners 13">
            <a:extLst>
              <a:ext uri="{FF2B5EF4-FFF2-40B4-BE49-F238E27FC236}">
                <a16:creationId xmlns:a16="http://schemas.microsoft.com/office/drawing/2014/main" id="{00000000-0008-0000-1100-00000E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5" name="Group 14">
            <a:extLst>
              <a:ext uri="{FF2B5EF4-FFF2-40B4-BE49-F238E27FC236}">
                <a16:creationId xmlns:a16="http://schemas.microsoft.com/office/drawing/2014/main" id="{00000000-0008-0000-1100-00000F000000}"/>
              </a:ext>
            </a:extLst>
          </xdr:cNvPr>
          <xdr:cNvGrpSpPr/>
        </xdr:nvGrpSpPr>
        <xdr:grpSpPr>
          <a:xfrm>
            <a:off x="6497046" y="342301"/>
            <a:ext cx="611047" cy="495899"/>
            <a:chOff x="5687421" y="828076"/>
            <a:chExt cx="611047" cy="495899"/>
          </a:xfrm>
        </xdr:grpSpPr>
        <xdr:pic macro="[0]!aInsertModelJson">
          <xdr:nvPicPr>
            <xdr:cNvPr id="16" name="Graphic 15" descr="Web design">
              <a:extLst>
                <a:ext uri="{FF2B5EF4-FFF2-40B4-BE49-F238E27FC236}">
                  <a16:creationId xmlns:a16="http://schemas.microsoft.com/office/drawing/2014/main" id="{00000000-0008-0000-1100-000010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7" name="TextBox 16">
              <a:extLst>
                <a:ext uri="{FF2B5EF4-FFF2-40B4-BE49-F238E27FC236}">
                  <a16:creationId xmlns:a16="http://schemas.microsoft.com/office/drawing/2014/main" id="{00000000-0008-0000-1100-000011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2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2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2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2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2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2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200-000008000000}"/>
            </a:ext>
          </a:extLst>
        </xdr:cNvPr>
        <xdr:cNvGrpSpPr/>
      </xdr:nvGrpSpPr>
      <xdr:grpSpPr>
        <a:xfrm>
          <a:off x="6134100" y="381000"/>
          <a:ext cx="666750" cy="600075"/>
          <a:chOff x="5648325" y="809625"/>
          <a:chExt cx="666750" cy="514350"/>
        </a:xfrm>
      </xdr:grpSpPr>
      <xdr:sp macro="[0]!selectRange" textlink="">
        <xdr:nvSpPr>
          <xdr:cNvPr id="9" name="Rectangle: Rounded Corners 8">
            <a:extLst>
              <a:ext uri="{FF2B5EF4-FFF2-40B4-BE49-F238E27FC236}">
                <a16:creationId xmlns:a16="http://schemas.microsoft.com/office/drawing/2014/main" id="{00000000-0008-0000-12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200-00000A000000}"/>
              </a:ext>
            </a:extLst>
          </xdr:cNvPr>
          <xdr:cNvGrpSpPr/>
        </xdr:nvGrpSpPr>
        <xdr:grpSpPr>
          <a:xfrm>
            <a:off x="5649321" y="828076"/>
            <a:ext cx="611047" cy="495899"/>
            <a:chOff x="5687421" y="828076"/>
            <a:chExt cx="611047" cy="495899"/>
          </a:xfrm>
        </xdr:grpSpPr>
        <xdr:pic macro="[0]!selectRange">
          <xdr:nvPicPr>
            <xdr:cNvPr id="11" name="Graphic 10" descr="Web design">
              <a:extLst>
                <a:ext uri="{FF2B5EF4-FFF2-40B4-BE49-F238E27FC236}">
                  <a16:creationId xmlns:a16="http://schemas.microsoft.com/office/drawing/2014/main" id="{00000000-0008-0000-12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selectRange" textlink="">
          <xdr:nvSpPr>
            <xdr:cNvPr id="12" name="TextBox 11">
              <a:extLst>
                <a:ext uri="{FF2B5EF4-FFF2-40B4-BE49-F238E27FC236}">
                  <a16:creationId xmlns:a16="http://schemas.microsoft.com/office/drawing/2014/main" id="{00000000-0008-0000-12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4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4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4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4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4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4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400-00000800000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00000000-0008-0000-14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400-00000A000000}"/>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4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4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29CE0F58-16AF-4325-A31E-BBDF562C40D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B559955-7D59-4C53-B434-D58986FDC0B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E03ACE8-B1F8-468D-8B22-DEB407650706}"/>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5CC2F672-2134-46ED-B859-983372A13B1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4912274-E9DA-4AB8-ADAA-3D924729F38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A294BF4-56B6-426F-96D4-A1FB57D92E64}"/>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7F5C30B-45EB-4B12-B817-5EBAE8E33AD4}"/>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7D32D46F-2A69-49AD-9EBF-A9A2D1BA2B2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41CC992-9313-447B-B1F3-EE80CC2D04B7}"/>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F52A8C9-53AA-4801-AD64-438FE62B5A35}"/>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50C037F1-89A9-4FC4-A411-DCD2376711DB}"/>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760D1045-5F4B-4D5D-80AC-9875730F7C57}"/>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MAIN&quot;'" textlink="">
      <xdr:nvSpPr>
        <xdr:cNvPr id="2" name="Rounded Rectangle 1">
          <a:extLst>
            <a:ext uri="{FF2B5EF4-FFF2-40B4-BE49-F238E27FC236}">
              <a16:creationId xmlns:a16="http://schemas.microsoft.com/office/drawing/2014/main" id="{FE1C5020-A43A-4990-85E1-D7ED2A10A142}"/>
            </a:ext>
          </a:extLst>
        </xdr:cNvPr>
        <xdr:cNvSpPr/>
      </xdr:nvSpPr>
      <xdr:spPr>
        <a:xfrm>
          <a:off x="24765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persons/person.xml><?xml version="1.0" encoding="utf-8"?>
<personList xmlns="http://schemas.microsoft.com/office/spreadsheetml/2018/threadedcomments" xmlns:x="http://schemas.openxmlformats.org/spreadsheetml/2006/main">
  <person displayName="Wikran Intaraprajaks" id="{2E15ADC5-5288-4553-B86E-7604C2A53573}" userId="53ffd79bade534c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6" dT="2021-04-18T01:33:50.94" personId="{2E15ADC5-5288-4553-B86E-7604C2A53573}" id="{13083093-4915-4A3B-84B2-4FB542DB2309}">
    <text>FULLRIGHTS =
[Pcode + "0" + RightsCode Group (CODE)]
Don't forget to put 0 (zero) between them!!</text>
  </threadedComment>
</ThreadedComments>
</file>

<file path=xl/threadedComments/threadedComment2.xml><?xml version="1.0" encoding="utf-8"?>
<ThreadedComments xmlns="http://schemas.microsoft.com/office/spreadsheetml/2018/threadedcomments" xmlns:x="http://schemas.openxmlformats.org/spreadsheetml/2006/main">
  <threadedComment ref="E12" dT="2021-04-30T02:22:20.44" personId="{2E15ADC5-5288-4553-B86E-7604C2A53573}" id="{B65C83AF-84EF-4F86-A3A9-850CF067A76D}">
    <text>Click to link to WorkSheet</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3"/>
  <sheetViews>
    <sheetView showGridLines="0" showRowColHeaders="0" tabSelected="1" zoomScaleNormal="100" workbookViewId="0">
      <pane ySplit="7" topLeftCell="A8" activePane="bottomLeft" state="frozen"/>
      <selection pane="bottomLeft" activeCell="F15" sqref="F15"/>
    </sheetView>
  </sheetViews>
  <sheetFormatPr defaultColWidth="0" defaultRowHeight="14.25" zeroHeight="1"/>
  <cols>
    <col min="1" max="1" width="9" style="263" customWidth="1"/>
    <col min="2" max="2" width="2.7109375" style="263" customWidth="1"/>
    <col min="3" max="3" width="2.28515625" style="189" customWidth="1"/>
    <col min="4" max="4" width="9.85546875" style="263" customWidth="1"/>
    <col min="5" max="5" width="2.5703125" style="189" customWidth="1"/>
    <col min="6" max="6" width="46" style="189" customWidth="1"/>
    <col min="7" max="7" width="7.5703125" style="189" customWidth="1"/>
    <col min="8" max="8" width="2.140625" style="189" customWidth="1"/>
    <col min="9" max="9" width="3.140625" style="189" customWidth="1"/>
    <col min="10" max="11" width="9" style="189" customWidth="1"/>
    <col min="12" max="16384" width="9" style="189" hidden="1"/>
  </cols>
  <sheetData>
    <row r="1" spans="1:11">
      <c r="A1" s="264"/>
      <c r="B1" s="258"/>
      <c r="C1" s="180"/>
      <c r="D1" s="258"/>
      <c r="E1" s="180"/>
      <c r="F1" s="180"/>
      <c r="G1" s="180"/>
      <c r="H1" s="180"/>
      <c r="I1" s="180"/>
      <c r="J1" s="180"/>
      <c r="K1" s="180"/>
    </row>
    <row r="2" spans="1:11" s="180" customFormat="1" ht="9" customHeight="1" thickBot="1">
      <c r="A2" s="264"/>
      <c r="B2" s="258"/>
      <c r="D2" s="258"/>
      <c r="J2" s="181"/>
    </row>
    <row r="3" spans="1:11" s="180" customFormat="1">
      <c r="A3" s="264"/>
      <c r="B3" s="258"/>
      <c r="C3" s="290"/>
      <c r="D3" s="291"/>
      <c r="E3" s="292"/>
      <c r="F3" s="292"/>
      <c r="G3" s="293"/>
      <c r="H3" s="294"/>
      <c r="I3" s="181"/>
      <c r="J3" s="181"/>
    </row>
    <row r="4" spans="1:11" s="180" customFormat="1">
      <c r="A4" s="264"/>
      <c r="B4" s="258"/>
      <c r="C4" s="295"/>
      <c r="D4" s="259"/>
      <c r="E4" s="190"/>
      <c r="F4" s="190"/>
      <c r="G4" s="184"/>
      <c r="H4" s="297"/>
      <c r="I4" s="181"/>
      <c r="J4" s="181"/>
    </row>
    <row r="5" spans="1:11" s="180" customFormat="1">
      <c r="A5" s="258"/>
      <c r="B5" s="258"/>
      <c r="C5" s="295"/>
      <c r="D5" s="259"/>
      <c r="E5" s="478" t="s">
        <v>817</v>
      </c>
      <c r="F5" s="478"/>
      <c r="G5" s="182"/>
      <c r="H5" s="297"/>
      <c r="I5" s="181"/>
      <c r="J5" s="181"/>
    </row>
    <row r="6" spans="1:11" s="180" customFormat="1" ht="15" customHeight="1">
      <c r="A6" s="258"/>
      <c r="B6" s="258"/>
      <c r="C6" s="295"/>
      <c r="D6" s="259"/>
      <c r="E6" s="478"/>
      <c r="F6" s="478"/>
      <c r="G6" s="184"/>
      <c r="H6" s="297"/>
      <c r="I6" s="181"/>
      <c r="J6" s="181"/>
    </row>
    <row r="7" spans="1:11" s="180" customFormat="1">
      <c r="A7" s="258"/>
      <c r="B7" s="258"/>
      <c r="C7" s="295"/>
      <c r="D7" s="260"/>
      <c r="E7" s="183"/>
      <c r="F7" s="190"/>
      <c r="G7" s="184"/>
      <c r="H7" s="297"/>
      <c r="I7" s="181"/>
      <c r="J7" s="181"/>
    </row>
    <row r="8" spans="1:11" s="180" customFormat="1">
      <c r="A8" s="258"/>
      <c r="B8" s="258"/>
      <c r="C8" s="295"/>
      <c r="D8" s="469"/>
      <c r="E8" s="470"/>
      <c r="F8" s="265"/>
      <c r="G8" s="266"/>
      <c r="H8" s="297"/>
      <c r="I8" s="181"/>
      <c r="J8" s="181"/>
    </row>
    <row r="9" spans="1:11" s="180" customFormat="1">
      <c r="A9" s="258"/>
      <c r="B9" s="258"/>
      <c r="C9" s="295"/>
      <c r="D9" s="193" t="s">
        <v>52</v>
      </c>
      <c r="E9" s="193" t="s">
        <v>52</v>
      </c>
      <c r="F9" s="472" t="str">
        <f>IFERROR(HYPERLINK(Variables!$C$12&amp;D9&amp;"!A1",E9),"")</f>
        <v>Conceptual</v>
      </c>
      <c r="G9" s="195"/>
      <c r="H9" s="297"/>
      <c r="I9" s="181"/>
      <c r="J9" s="181"/>
    </row>
    <row r="10" spans="1:11" s="180" customFormat="1">
      <c r="A10" s="258"/>
      <c r="B10" s="258"/>
      <c r="C10" s="295"/>
      <c r="D10" s="193" t="s">
        <v>812</v>
      </c>
      <c r="E10" s="193" t="s">
        <v>57</v>
      </c>
      <c r="F10" s="472" t="str">
        <f>IFERROR(HYPERLINK(Variables!$C$12&amp;D10&amp;"!A1",E10),"")</f>
        <v>Workflow Diagram</v>
      </c>
      <c r="G10" s="188"/>
      <c r="H10" s="297"/>
      <c r="I10" s="181"/>
      <c r="J10" s="181"/>
    </row>
    <row r="11" spans="1:11" s="180" customFormat="1">
      <c r="A11" s="258"/>
      <c r="B11" s="258"/>
      <c r="C11" s="295"/>
      <c r="D11" s="193" t="s">
        <v>1134</v>
      </c>
      <c r="E11" s="193" t="s">
        <v>1136</v>
      </c>
      <c r="F11" s="472" t="str">
        <f>IFERROR(HYPERLINK(Variables!$C$12&amp;D11&amp;"!A1",E11),"")</f>
        <v>Rights Access Setup and Meaning</v>
      </c>
      <c r="G11" s="310"/>
      <c r="H11" s="297"/>
      <c r="I11" s="181"/>
      <c r="J11" s="181"/>
    </row>
    <row r="12" spans="1:11" s="180" customFormat="1">
      <c r="A12" s="258"/>
      <c r="B12" s="258"/>
      <c r="C12" s="295"/>
      <c r="D12" s="193" t="s">
        <v>813</v>
      </c>
      <c r="E12" s="193" t="s">
        <v>55</v>
      </c>
      <c r="F12" s="472" t="str">
        <f>IFERROR(HYPERLINK(Variables!$C$12&amp;D12&amp;"!A1",E12),"")</f>
        <v>Function (Items)</v>
      </c>
      <c r="G12" s="310">
        <f>MAX(Function!K2)</f>
        <v>0.4538461538461539</v>
      </c>
      <c r="H12" s="297"/>
      <c r="I12" s="181"/>
      <c r="J12" s="181"/>
    </row>
    <row r="13" spans="1:11" s="180" customFormat="1">
      <c r="A13" s="258"/>
      <c r="B13" s="258"/>
      <c r="C13" s="295"/>
      <c r="D13" s="193" t="s">
        <v>30</v>
      </c>
      <c r="E13" s="193" t="s">
        <v>30</v>
      </c>
      <c r="F13" s="472" t="str">
        <f>IFERROR(HYPERLINK(Variables!$C$12&amp;D13&amp;"!A1",E13),"")</f>
        <v>Mandays</v>
      </c>
      <c r="G13" s="188">
        <f>MAX(Mandays!F:F)</f>
        <v>277</v>
      </c>
      <c r="H13" s="297"/>
      <c r="I13" s="181"/>
      <c r="J13" s="181"/>
    </row>
    <row r="14" spans="1:11" s="180" customFormat="1">
      <c r="A14" s="258"/>
      <c r="B14" s="258"/>
      <c r="C14" s="295"/>
      <c r="D14" s="193" t="s">
        <v>815</v>
      </c>
      <c r="E14" s="193" t="s">
        <v>56</v>
      </c>
      <c r="F14" s="472" t="str">
        <f>IFERROR(HYPERLINK(Variables!$C$12&amp;D14&amp;"!A1",E14),"")</f>
        <v>DB Diagram</v>
      </c>
      <c r="G14" s="188"/>
      <c r="H14" s="297"/>
      <c r="I14" s="181"/>
      <c r="J14" s="181"/>
    </row>
    <row r="15" spans="1:11" s="180" customFormat="1">
      <c r="A15" s="258"/>
      <c r="B15" s="258"/>
      <c r="C15" s="295"/>
      <c r="D15" s="193" t="s">
        <v>816</v>
      </c>
      <c r="E15" s="193" t="s">
        <v>907</v>
      </c>
      <c r="F15" s="472" t="str">
        <f>IFERROR(HYPERLINK(Variables!$C$12&amp;D15&amp;"!A1",E15),"")</f>
        <v>Database - Table List (GEN json/HTML)</v>
      </c>
      <c r="G15" s="188">
        <f>MAX(DBTableList!E13:E100)</f>
        <v>11</v>
      </c>
      <c r="H15" s="297"/>
      <c r="I15" s="181"/>
      <c r="J15" s="181"/>
    </row>
    <row r="16" spans="1:11" s="180" customFormat="1">
      <c r="A16" s="258"/>
      <c r="B16" s="258"/>
      <c r="C16" s="295"/>
      <c r="D16" s="193" t="s">
        <v>814</v>
      </c>
      <c r="E16" s="193" t="s">
        <v>1135</v>
      </c>
      <c r="F16" s="472" t="str">
        <f>IFERROR(HYPERLINK(Variables!$C$12&amp;D16&amp;"!A1",E16),"")</f>
        <v>WorkFlow Action (Test)</v>
      </c>
      <c r="G16" s="188"/>
      <c r="H16" s="297"/>
      <c r="I16" s="181"/>
      <c r="J16" s="181"/>
    </row>
    <row r="17" spans="1:10" s="180" customFormat="1">
      <c r="A17" s="258"/>
      <c r="B17" s="258"/>
      <c r="C17" s="295"/>
      <c r="D17" s="193" t="s">
        <v>1427</v>
      </c>
      <c r="E17" s="193" t="s">
        <v>1428</v>
      </c>
      <c r="F17" s="476" t="str">
        <f>IFERROR(HYPERLINK(Variables!$C$12&amp;D17&amp;"!A1",E17),"")</f>
        <v>Table - Blank Template</v>
      </c>
      <c r="G17" s="188"/>
      <c r="H17" s="297"/>
      <c r="I17" s="181"/>
      <c r="J17" s="181"/>
    </row>
    <row r="18" spans="1:10" s="180" customFormat="1">
      <c r="A18" s="258"/>
      <c r="B18" s="258"/>
      <c r="C18" s="295"/>
      <c r="D18" s="193" t="s">
        <v>1429</v>
      </c>
      <c r="E18" s="193" t="s">
        <v>1431</v>
      </c>
      <c r="F18" s="476" t="str">
        <f>IFERROR(HYPERLINK(Variables!$C$12&amp;D18&amp;"!A1",E18),"")</f>
        <v xml:space="preserve">Page Setup  </v>
      </c>
      <c r="G18" s="188"/>
      <c r="H18" s="297"/>
      <c r="I18" s="181"/>
      <c r="J18" s="181"/>
    </row>
    <row r="19" spans="1:10" s="180" customFormat="1">
      <c r="A19" s="258"/>
      <c r="B19" s="258"/>
      <c r="C19" s="295"/>
      <c r="D19" s="193"/>
      <c r="E19" s="193" t="s">
        <v>1</v>
      </c>
      <c r="F19" s="472" t="str">
        <f>IFERROR(HYPERLINK(Variables!$C$12&amp;D19&amp;"!A1",E19),"")</f>
        <v/>
      </c>
      <c r="G19" s="188"/>
      <c r="H19" s="297"/>
      <c r="I19" s="181"/>
      <c r="J19" s="181"/>
    </row>
    <row r="20" spans="1:10" s="180" customFormat="1">
      <c r="A20" s="258"/>
      <c r="B20" s="258"/>
      <c r="C20" s="295"/>
      <c r="D20" s="193"/>
      <c r="E20" s="193" t="s">
        <v>1</v>
      </c>
      <c r="F20" s="472" t="str">
        <f>IFERROR(HYPERLINK(Variables!$C$12&amp;D20&amp;"!A1",E20),"")</f>
        <v/>
      </c>
      <c r="G20" s="188"/>
      <c r="H20" s="297"/>
      <c r="I20" s="181"/>
      <c r="J20" s="181"/>
    </row>
    <row r="21" spans="1:10" s="180" customFormat="1">
      <c r="A21" s="258"/>
      <c r="B21" s="258"/>
      <c r="C21" s="295"/>
      <c r="D21" s="193"/>
      <c r="E21" s="193" t="s">
        <v>1</v>
      </c>
      <c r="F21" s="472" t="str">
        <f>IFERROR(HYPERLINK(Variables!$C$12&amp;D21&amp;"!A1",E21),"")</f>
        <v/>
      </c>
      <c r="G21" s="188"/>
      <c r="H21" s="297"/>
      <c r="I21" s="181"/>
      <c r="J21" s="181"/>
    </row>
    <row r="22" spans="1:10" s="180" customFormat="1">
      <c r="A22" s="258"/>
      <c r="B22" s="258"/>
      <c r="C22" s="295"/>
      <c r="D22" s="193"/>
      <c r="E22" s="193" t="s">
        <v>1</v>
      </c>
      <c r="F22" s="472" t="str">
        <f>IFERROR(HYPERLINK(Variables!$C$12&amp;D22&amp;"!A1",E22),"")</f>
        <v/>
      </c>
      <c r="G22" s="188"/>
      <c r="H22" s="297"/>
      <c r="I22" s="181"/>
      <c r="J22" s="181"/>
    </row>
    <row r="23" spans="1:10" s="180" customFormat="1">
      <c r="A23" s="258"/>
      <c r="B23" s="258"/>
      <c r="C23" s="295"/>
      <c r="D23" s="193"/>
      <c r="E23" s="193" t="s">
        <v>1</v>
      </c>
      <c r="F23" s="472" t="str">
        <f>IFERROR(HYPERLINK(Variables!$C$12&amp;D23&amp;"!A1",E23),"")</f>
        <v/>
      </c>
      <c r="G23" s="188"/>
      <c r="H23" s="297"/>
      <c r="I23" s="181"/>
      <c r="J23" s="181"/>
    </row>
    <row r="24" spans="1:10" s="180" customFormat="1">
      <c r="A24" s="258"/>
      <c r="B24" s="258"/>
      <c r="C24" s="295"/>
      <c r="D24" s="193"/>
      <c r="E24" s="193" t="s">
        <v>1</v>
      </c>
      <c r="F24" s="472" t="str">
        <f>IFERROR(HYPERLINK(Variables!$C$12&amp;D24&amp;"!A1",E24),"")</f>
        <v/>
      </c>
      <c r="G24" s="188"/>
      <c r="H24" s="297"/>
      <c r="I24" s="181"/>
      <c r="J24" s="181"/>
    </row>
    <row r="25" spans="1:10" s="180" customFormat="1">
      <c r="A25" s="258"/>
      <c r="B25" s="258"/>
      <c r="C25" s="295"/>
      <c r="D25" s="194"/>
      <c r="E25" s="193" t="s">
        <v>1</v>
      </c>
      <c r="F25" s="472" t="str">
        <f>IFERROR(HYPERLINK(Variables!$C$12&amp;D25&amp;"!A1",E25),"")</f>
        <v/>
      </c>
      <c r="G25" s="188"/>
      <c r="H25" s="297"/>
      <c r="I25" s="181"/>
      <c r="J25" s="181"/>
    </row>
    <row r="26" spans="1:10" s="180" customFormat="1">
      <c r="A26" s="258"/>
      <c r="B26" s="258"/>
      <c r="C26" s="295"/>
      <c r="D26" s="194"/>
      <c r="E26" s="193" t="s">
        <v>1</v>
      </c>
      <c r="F26" s="472" t="str">
        <f>IFERROR(HYPERLINK(Variables!$C$12&amp;D26&amp;"!A1",E26),"")</f>
        <v/>
      </c>
      <c r="G26" s="188"/>
      <c r="H26" s="297"/>
      <c r="I26" s="181"/>
      <c r="J26" s="181"/>
    </row>
    <row r="27" spans="1:10" s="180" customFormat="1">
      <c r="A27" s="258"/>
      <c r="B27" s="258"/>
      <c r="C27" s="295"/>
      <c r="D27" s="194"/>
      <c r="E27" s="193" t="s">
        <v>1</v>
      </c>
      <c r="F27" s="472" t="str">
        <f>IFERROR(HYPERLINK(Variables!$C$12&amp;D27&amp;"!A1",E27),"")</f>
        <v/>
      </c>
      <c r="G27" s="188"/>
      <c r="H27" s="297"/>
      <c r="I27" s="181"/>
      <c r="J27" s="181"/>
    </row>
    <row r="28" spans="1:10" s="180" customFormat="1">
      <c r="A28" s="258"/>
      <c r="B28" s="258"/>
      <c r="C28" s="295"/>
      <c r="D28" s="192"/>
      <c r="E28" s="193" t="s">
        <v>1</v>
      </c>
      <c r="F28" s="472" t="str">
        <f>IFERROR(HYPERLINK(Variables!$C$12&amp;D28&amp;"!A1",E28),"")</f>
        <v/>
      </c>
      <c r="G28" s="188"/>
      <c r="H28" s="297"/>
      <c r="I28" s="181"/>
      <c r="J28" s="181"/>
    </row>
    <row r="29" spans="1:10" s="180" customFormat="1">
      <c r="A29" s="258"/>
      <c r="B29" s="258"/>
      <c r="C29" s="295"/>
      <c r="D29" s="261"/>
      <c r="E29" s="186"/>
      <c r="F29" s="191"/>
      <c r="G29" s="187"/>
      <c r="H29" s="297"/>
      <c r="I29" s="181"/>
      <c r="J29" s="181"/>
    </row>
    <row r="30" spans="1:10" s="180" customFormat="1" ht="15" thickBot="1">
      <c r="A30" s="258"/>
      <c r="B30" s="258"/>
      <c r="C30" s="296"/>
      <c r="D30" s="299"/>
      <c r="E30" s="300"/>
      <c r="F30" s="300"/>
      <c r="G30" s="300"/>
      <c r="H30" s="298"/>
      <c r="I30" s="181"/>
      <c r="J30" s="181"/>
    </row>
    <row r="31" spans="1:10" s="180" customFormat="1">
      <c r="A31" s="258"/>
      <c r="B31" s="262"/>
      <c r="C31" s="181"/>
      <c r="D31" s="262"/>
      <c r="E31" s="181"/>
      <c r="F31" s="181"/>
      <c r="G31" s="181"/>
      <c r="H31" s="181"/>
      <c r="I31" s="181"/>
      <c r="J31" s="181"/>
    </row>
    <row r="32" spans="1:10" s="181" customFormat="1">
      <c r="A32" s="262"/>
      <c r="B32" s="262"/>
      <c r="D32" s="262"/>
    </row>
    <row r="33" spans="1:11">
      <c r="A33" s="262"/>
      <c r="B33" s="262"/>
      <c r="C33" s="181"/>
      <c r="D33" s="262"/>
      <c r="E33" s="181"/>
      <c r="F33" s="181"/>
      <c r="G33" s="181"/>
      <c r="H33" s="181"/>
      <c r="I33" s="181"/>
      <c r="J33" s="181"/>
      <c r="K33" s="181"/>
    </row>
  </sheetData>
  <sheetProtection sheet="1" objects="1" scenarios="1" insertHyperlinks="0"/>
  <mergeCells count="1">
    <mergeCell ref="E5:F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J25"/>
  <sheetViews>
    <sheetView showGridLines="0" showRowColHeaders="0" workbookViewId="0">
      <pane ySplit="5" topLeftCell="A6" activePane="bottomLeft" state="frozen"/>
      <selection pane="bottomLeft"/>
    </sheetView>
  </sheetViews>
  <sheetFormatPr defaultColWidth="9" defaultRowHeight="12.75"/>
  <cols>
    <col min="1" max="1" width="3.140625" style="1" customWidth="1"/>
    <col min="2" max="2" width="9" style="1" customWidth="1"/>
    <col min="3" max="3" width="73.42578125" style="1" customWidth="1"/>
    <col min="4" max="4" width="15.140625" style="1" customWidth="1"/>
    <col min="5" max="6" width="15.28515625" style="1" customWidth="1"/>
    <col min="7" max="7" width="13.28515625" style="1" customWidth="1"/>
    <col min="8" max="8" width="19" style="1" customWidth="1"/>
    <col min="9" max="9" width="6.7109375" style="1" customWidth="1"/>
    <col min="10" max="16384" width="9" style="1"/>
  </cols>
  <sheetData>
    <row r="1" spans="1:10" ht="21.75" customHeight="1">
      <c r="A1" s="232"/>
      <c r="B1" s="232"/>
      <c r="C1" s="232"/>
    </row>
    <row r="4" spans="1:10" ht="15" customHeight="1">
      <c r="C4" s="479" t="s">
        <v>54</v>
      </c>
      <c r="D4" s="481" t="s">
        <v>1191</v>
      </c>
      <c r="E4" s="482"/>
      <c r="F4" s="482"/>
      <c r="G4" s="482"/>
      <c r="H4" s="482"/>
    </row>
    <row r="5" spans="1:10">
      <c r="C5" s="480"/>
      <c r="D5" s="379" t="s">
        <v>1192</v>
      </c>
      <c r="E5" s="379" t="s">
        <v>1193</v>
      </c>
      <c r="F5" s="379" t="s">
        <v>1091</v>
      </c>
      <c r="G5" s="379" t="s">
        <v>1196</v>
      </c>
      <c r="H5" s="34" t="s">
        <v>1212</v>
      </c>
    </row>
    <row r="6" spans="1:10" ht="51">
      <c r="C6" s="429" t="s">
        <v>1227</v>
      </c>
      <c r="D6" s="431" t="s">
        <v>805</v>
      </c>
      <c r="E6" s="431" t="s">
        <v>805</v>
      </c>
      <c r="F6" s="432" t="s">
        <v>1197</v>
      </c>
      <c r="G6" s="431" t="s">
        <v>805</v>
      </c>
      <c r="H6" s="429" t="s">
        <v>1219</v>
      </c>
      <c r="J6" s="440"/>
    </row>
    <row r="8" spans="1:10">
      <c r="C8" s="387" t="s">
        <v>1190</v>
      </c>
    </row>
    <row r="9" spans="1:10" ht="89.25">
      <c r="C9" s="429" t="s">
        <v>1202</v>
      </c>
      <c r="D9" s="434"/>
      <c r="E9" s="434"/>
      <c r="F9" s="435"/>
      <c r="G9" s="433">
        <v>0.9</v>
      </c>
      <c r="H9" s="443" t="s">
        <v>1220</v>
      </c>
    </row>
    <row r="10" spans="1:10" ht="25.5">
      <c r="C10" s="430" t="s">
        <v>1198</v>
      </c>
      <c r="D10" s="431" t="s">
        <v>805</v>
      </c>
      <c r="E10" s="431" t="s">
        <v>805</v>
      </c>
      <c r="F10" s="434"/>
      <c r="G10" s="436"/>
      <c r="H10" s="444"/>
    </row>
    <row r="11" spans="1:10" ht="76.5">
      <c r="C11" s="430" t="s">
        <v>1195</v>
      </c>
      <c r="D11" s="431" t="s">
        <v>805</v>
      </c>
      <c r="E11" s="434"/>
      <c r="F11" s="434"/>
      <c r="G11" s="435"/>
      <c r="H11" s="444"/>
    </row>
    <row r="12" spans="1:10" ht="38.25">
      <c r="C12" s="430" t="s">
        <v>1201</v>
      </c>
      <c r="D12" s="431" t="s">
        <v>805</v>
      </c>
      <c r="E12" s="431" t="s">
        <v>805</v>
      </c>
      <c r="F12" s="434"/>
      <c r="G12" s="435"/>
      <c r="H12" s="444"/>
    </row>
    <row r="13" spans="1:10" ht="63.75">
      <c r="C13" s="430" t="s">
        <v>1189</v>
      </c>
      <c r="D13" s="431" t="s">
        <v>805</v>
      </c>
      <c r="E13" s="431" t="s">
        <v>805</v>
      </c>
      <c r="F13" s="434"/>
      <c r="G13" s="435"/>
      <c r="H13" s="429" t="s">
        <v>1221</v>
      </c>
    </row>
    <row r="15" spans="1:10">
      <c r="C15" s="387" t="s">
        <v>1194</v>
      </c>
    </row>
    <row r="16" spans="1:10" ht="127.5">
      <c r="C16" s="429" t="s">
        <v>1199</v>
      </c>
      <c r="D16" s="434"/>
      <c r="E16" s="431" t="s">
        <v>805</v>
      </c>
      <c r="F16" s="434"/>
      <c r="G16" s="434"/>
      <c r="H16" s="434"/>
    </row>
    <row r="17" spans="3:8" ht="63.75">
      <c r="C17" s="437" t="s">
        <v>1200</v>
      </c>
      <c r="D17" s="434"/>
      <c r="E17" s="433">
        <v>0.9</v>
      </c>
      <c r="F17" s="434"/>
      <c r="G17" s="435"/>
      <c r="H17" s="445" t="s">
        <v>1222</v>
      </c>
    </row>
    <row r="18" spans="3:8" ht="15.75">
      <c r="C18" s="437" t="s">
        <v>1206</v>
      </c>
      <c r="D18" s="434"/>
      <c r="E18" s="433">
        <v>0.1</v>
      </c>
      <c r="F18" s="434"/>
      <c r="G18" s="435"/>
      <c r="H18" s="429" t="s">
        <v>1223</v>
      </c>
    </row>
    <row r="19" spans="3:8">
      <c r="C19" s="6"/>
    </row>
    <row r="20" spans="3:8">
      <c r="C20" s="387" t="s">
        <v>1203</v>
      </c>
    </row>
    <row r="21" spans="3:8" ht="76.5">
      <c r="C21" s="441" t="s">
        <v>1224</v>
      </c>
      <c r="D21" s="439" t="s">
        <v>1209</v>
      </c>
      <c r="E21" s="431" t="s">
        <v>805</v>
      </c>
      <c r="F21" s="439" t="s">
        <v>1204</v>
      </c>
      <c r="G21" s="431" t="s">
        <v>805</v>
      </c>
      <c r="H21" s="442" t="s">
        <v>1214</v>
      </c>
    </row>
    <row r="22" spans="3:8" ht="153">
      <c r="C22" s="438" t="s">
        <v>1218</v>
      </c>
      <c r="D22" s="439" t="s">
        <v>1208</v>
      </c>
      <c r="E22" s="431" t="s">
        <v>805</v>
      </c>
      <c r="F22" s="434" t="s">
        <v>1204</v>
      </c>
      <c r="G22" s="431" t="s">
        <v>805</v>
      </c>
      <c r="H22" s="442" t="s">
        <v>1213</v>
      </c>
    </row>
    <row r="23" spans="3:8" ht="153">
      <c r="C23" s="438" t="s">
        <v>1211</v>
      </c>
      <c r="D23" s="439" t="s">
        <v>1209</v>
      </c>
      <c r="E23" s="431" t="s">
        <v>805</v>
      </c>
      <c r="F23" s="439" t="s">
        <v>1210</v>
      </c>
      <c r="G23" s="431" t="s">
        <v>805</v>
      </c>
      <c r="H23" s="442" t="s">
        <v>1215</v>
      </c>
    </row>
    <row r="24" spans="3:8" ht="61.5" customHeight="1">
      <c r="C24" s="441" t="s">
        <v>1225</v>
      </c>
      <c r="D24" s="439" t="s">
        <v>1207</v>
      </c>
      <c r="E24" s="431" t="s">
        <v>805</v>
      </c>
      <c r="F24" s="439" t="s">
        <v>1204</v>
      </c>
      <c r="G24" s="431" t="s">
        <v>805</v>
      </c>
      <c r="H24" s="442" t="s">
        <v>1217</v>
      </c>
    </row>
    <row r="25" spans="3:8" ht="140.25">
      <c r="C25" s="438" t="s">
        <v>1226</v>
      </c>
      <c r="D25" s="439" t="s">
        <v>1205</v>
      </c>
      <c r="E25" s="431" t="s">
        <v>805</v>
      </c>
      <c r="F25" s="439" t="s">
        <v>1204</v>
      </c>
      <c r="G25" s="431" t="s">
        <v>805</v>
      </c>
      <c r="H25" s="442" t="s">
        <v>1216</v>
      </c>
    </row>
  </sheetData>
  <sheetProtection sheet="1" selectLockedCells="1"/>
  <mergeCells count="2">
    <mergeCell ref="C4:C5"/>
    <mergeCell ref="D4:H4"/>
  </mergeCells>
  <phoneticPr fontId="63" type="noConversion"/>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9ACD-5BCF-4305-8C80-1736840F9A79}">
  <sheetPr codeName="Sheet8"/>
  <dimension ref="A1:S140"/>
  <sheetViews>
    <sheetView showGridLines="0" workbookViewId="0">
      <pane ySplit="1" topLeftCell="A44" activePane="bottomLeft" state="frozen"/>
      <selection pane="bottomLeft" activeCell="C10" sqref="C10"/>
    </sheetView>
  </sheetViews>
  <sheetFormatPr defaultColWidth="9" defaultRowHeight="12.75"/>
  <cols>
    <col min="1" max="1" width="6" style="1" customWidth="1"/>
    <col min="2" max="2" width="10.140625" style="1" customWidth="1"/>
    <col min="3" max="3" width="10" style="1" customWidth="1"/>
    <col min="4" max="4" width="75.5703125" style="1" bestFit="1" customWidth="1"/>
    <col min="5" max="5" width="2" style="6" customWidth="1"/>
    <col min="6" max="6" width="9.7109375" style="1" customWidth="1"/>
    <col min="7" max="8" width="15.28515625" style="1" bestFit="1" customWidth="1"/>
    <col min="9" max="9" width="15" style="1" bestFit="1" customWidth="1"/>
    <col min="10" max="10" width="2" style="1" customWidth="1"/>
    <col min="11" max="11" width="1.85546875" style="1" customWidth="1"/>
    <col min="12" max="12" width="7.140625" style="1" customWidth="1"/>
    <col min="13" max="13" width="7.28515625" style="1" customWidth="1"/>
    <col min="14" max="14" width="21.7109375" style="1" customWidth="1"/>
    <col min="15" max="15" width="1.7109375" style="1" customWidth="1"/>
    <col min="16" max="16" width="13.7109375" style="1" customWidth="1"/>
    <col min="17" max="17" width="16.7109375" style="1" customWidth="1"/>
    <col min="18" max="18" width="30.140625" style="1" bestFit="1" customWidth="1"/>
    <col min="19" max="19" width="5.5703125" style="1" customWidth="1"/>
    <col min="20" max="16384" width="9" style="1"/>
  </cols>
  <sheetData>
    <row r="1" spans="1:19" ht="21.75" customHeight="1">
      <c r="A1" s="232"/>
      <c r="B1" s="232"/>
      <c r="C1" s="232"/>
    </row>
    <row r="2" spans="1:19">
      <c r="L2" s="1" t="s">
        <v>1133</v>
      </c>
      <c r="P2" s="417" t="s">
        <v>1228</v>
      </c>
    </row>
    <row r="3" spans="1:19" ht="15">
      <c r="B3" s="6"/>
      <c r="C3" s="388" t="s">
        <v>1229</v>
      </c>
      <c r="F3" s="380">
        <f>MATCH(F4,$N$4:$N$7)</f>
        <v>1</v>
      </c>
      <c r="G3" s="380">
        <f>MATCH(G4,$N$4:$N$7)</f>
        <v>2</v>
      </c>
      <c r="H3" s="380">
        <f>MATCH(H4,$N$4:$N$7)</f>
        <v>3</v>
      </c>
      <c r="I3" s="380">
        <f>MATCH(I4,$N$4:$N$7)</f>
        <v>4</v>
      </c>
      <c r="L3" s="377" t="s">
        <v>1090</v>
      </c>
      <c r="M3" s="377" t="s">
        <v>1182</v>
      </c>
      <c r="N3" s="378" t="s">
        <v>42</v>
      </c>
      <c r="P3" s="392" t="s">
        <v>1230</v>
      </c>
      <c r="Q3" s="428" t="s">
        <v>1231</v>
      </c>
      <c r="R3" s="428" t="s">
        <v>1107</v>
      </c>
      <c r="S3" s="428" t="s">
        <v>1241</v>
      </c>
    </row>
    <row r="4" spans="1:19">
      <c r="C4" s="385" t="s">
        <v>1103</v>
      </c>
      <c r="D4" s="385" t="s">
        <v>1093</v>
      </c>
      <c r="F4" s="396" t="s">
        <v>1080</v>
      </c>
      <c r="G4" s="396" t="s">
        <v>1081</v>
      </c>
      <c r="H4" s="396" t="s">
        <v>1082</v>
      </c>
      <c r="I4" s="396" t="s">
        <v>1086</v>
      </c>
      <c r="L4" s="381">
        <v>1</v>
      </c>
      <c r="M4" s="108" t="s">
        <v>1181</v>
      </c>
      <c r="N4" s="29" t="s">
        <v>1080</v>
      </c>
      <c r="P4" s="375" t="s">
        <v>1094</v>
      </c>
      <c r="Q4" s="29" t="s">
        <v>1083</v>
      </c>
      <c r="R4" s="29" t="s">
        <v>1109</v>
      </c>
      <c r="S4" s="29" t="s">
        <v>1233</v>
      </c>
    </row>
    <row r="5" spans="1:19">
      <c r="C5" s="108" t="s">
        <v>1178</v>
      </c>
      <c r="D5" s="29" t="str">
        <f>+$F$4&amp;": "&amp;F5&amp;", "&amp;$G$4&amp;": "&amp;G5&amp;", "&amp;$H$4&amp;": "&amp;H5&amp;", "&amp;$I$4&amp;": "&amp;I5</f>
        <v>Data: ReadOnly, Excel: Disable, PDF: Disable, Report: ReadOnly</v>
      </c>
      <c r="F5" s="17" t="str">
        <f t="shared" ref="F5:I7" si="0">VLOOKUP(MID($C5,F$3,1),$P$4:$Q$16,2,FALSE)</f>
        <v>ReadOnly</v>
      </c>
      <c r="G5" s="68" t="str">
        <f t="shared" si="0"/>
        <v>Disable</v>
      </c>
      <c r="H5" s="68" t="str">
        <f t="shared" si="0"/>
        <v>Disable</v>
      </c>
      <c r="I5" s="68" t="str">
        <f t="shared" si="0"/>
        <v>ReadOnly</v>
      </c>
      <c r="L5" s="381">
        <v>2</v>
      </c>
      <c r="M5" s="427" t="s">
        <v>1179</v>
      </c>
      <c r="N5" s="29" t="s">
        <v>1092</v>
      </c>
      <c r="P5" s="375" t="s">
        <v>1095</v>
      </c>
      <c r="Q5" s="29" t="s">
        <v>1168</v>
      </c>
      <c r="R5" s="29" t="s">
        <v>1171</v>
      </c>
      <c r="S5" s="29" t="s">
        <v>1234</v>
      </c>
    </row>
    <row r="6" spans="1:19">
      <c r="C6" s="108" t="s">
        <v>1173</v>
      </c>
      <c r="D6" s="29" t="str">
        <f>+$F$4&amp;": "&amp;F6&amp;", "&amp;$G$4&amp;": "&amp;G6&amp;", "&amp;$H$4&amp;": "&amp;H6&amp;", "&amp;$I$4&amp;": "&amp;I6</f>
        <v>Data: CRUD, Excel: Import and Export, PDF: Import and Export, Report: Report Full Rights</v>
      </c>
      <c r="F6" s="68" t="str">
        <f t="shared" si="0"/>
        <v>CRUD</v>
      </c>
      <c r="G6" s="68" t="str">
        <f t="shared" si="0"/>
        <v>Import and Export</v>
      </c>
      <c r="H6" s="68" t="str">
        <f t="shared" si="0"/>
        <v>Import and Export</v>
      </c>
      <c r="I6" s="68" t="str">
        <f t="shared" si="0"/>
        <v>Report Full Rights</v>
      </c>
      <c r="L6" s="381">
        <v>3</v>
      </c>
      <c r="M6" s="427" t="s">
        <v>1179</v>
      </c>
      <c r="N6" s="29" t="s">
        <v>1082</v>
      </c>
      <c r="P6" s="375" t="s">
        <v>1096</v>
      </c>
      <c r="Q6" s="29" t="s">
        <v>1169</v>
      </c>
      <c r="R6" s="29" t="s">
        <v>1172</v>
      </c>
      <c r="S6" s="29" t="s">
        <v>1235</v>
      </c>
    </row>
    <row r="7" spans="1:19">
      <c r="C7" s="108" t="s">
        <v>1174</v>
      </c>
      <c r="D7" s="29" t="str">
        <f>IFERROR(+$F$4&amp;": "&amp;F7&amp;", "&amp;$G$4&amp;": "&amp;G7&amp;", "&amp;$H$4&amp;": "&amp;H7&amp;", "&amp;$I$4&amp;": "&amp;I7,"")</f>
        <v>Data: CRU, Excel: Import and Export, PDF: Export, Report: Printable</v>
      </c>
      <c r="F7" s="68" t="str">
        <f t="shared" si="0"/>
        <v>CRU</v>
      </c>
      <c r="G7" s="68" t="str">
        <f t="shared" si="0"/>
        <v>Import and Export</v>
      </c>
      <c r="H7" s="68" t="str">
        <f t="shared" si="0"/>
        <v>Export</v>
      </c>
      <c r="I7" s="68" t="str">
        <f t="shared" si="0"/>
        <v>Printable</v>
      </c>
      <c r="L7" s="381">
        <v>4</v>
      </c>
      <c r="M7" s="108" t="s">
        <v>1180</v>
      </c>
      <c r="N7" s="29" t="s">
        <v>1091</v>
      </c>
      <c r="P7" s="375" t="s">
        <v>1097</v>
      </c>
      <c r="Q7" s="29" t="s">
        <v>1137</v>
      </c>
      <c r="R7" s="29" t="s">
        <v>1110</v>
      </c>
      <c r="S7" s="29" t="s">
        <v>1232</v>
      </c>
    </row>
    <row r="8" spans="1:19">
      <c r="C8" s="108" t="s">
        <v>1188</v>
      </c>
      <c r="D8" s="29" t="str">
        <f>+$F$4&amp;": "&amp;F8&amp;", "&amp;$G$4&amp;": "&amp;G8&amp;", "&amp;$H$4&amp;": "&amp;H8&amp;", "&amp;$I$4&amp;": "&amp;I8</f>
        <v>Data: CRU, Excel: Export, PDF: Export, Report: Disable</v>
      </c>
      <c r="F8" s="68" t="str">
        <f t="shared" ref="F8:I10" si="1">IFERROR(VLOOKUP(MID($C8,F$3,1),$P$4:$Q$16,2,FALSE),"")</f>
        <v>CRU</v>
      </c>
      <c r="G8" s="68" t="str">
        <f t="shared" si="1"/>
        <v>Export</v>
      </c>
      <c r="H8" s="68" t="str">
        <f t="shared" si="1"/>
        <v>Export</v>
      </c>
      <c r="I8" s="68" t="str">
        <f t="shared" si="1"/>
        <v>Disable</v>
      </c>
      <c r="P8" s="375" t="s">
        <v>1098</v>
      </c>
      <c r="Q8" s="29" t="s">
        <v>1084</v>
      </c>
      <c r="R8" s="29" t="s">
        <v>1111</v>
      </c>
      <c r="S8" s="29" t="s">
        <v>1236</v>
      </c>
    </row>
    <row r="9" spans="1:19" ht="13.5" thickBot="1">
      <c r="C9" s="384" t="s">
        <v>1170</v>
      </c>
      <c r="D9" s="29" t="str">
        <f>+$F$4&amp;": "&amp;F9&amp;", "&amp;$G$4&amp;": "&amp;G9&amp;", "&amp;$H$4&amp;": "&amp;H9&amp;", "&amp;$I$4&amp;": "&amp;I9</f>
        <v>Data: ReadOnly, Excel: Disable, PDF: Disable, Report: Disable</v>
      </c>
      <c r="F9" s="68" t="str">
        <f t="shared" si="1"/>
        <v>ReadOnly</v>
      </c>
      <c r="G9" s="68" t="str">
        <f t="shared" si="1"/>
        <v>Disable</v>
      </c>
      <c r="H9" s="68" t="str">
        <f t="shared" si="1"/>
        <v>Disable</v>
      </c>
      <c r="I9" s="68" t="str">
        <f t="shared" si="1"/>
        <v>Disable</v>
      </c>
      <c r="P9" s="375" t="s">
        <v>1099</v>
      </c>
      <c r="Q9" s="29" t="s">
        <v>1085</v>
      </c>
      <c r="R9" s="29" t="s">
        <v>1111</v>
      </c>
      <c r="S9" s="29" t="s">
        <v>1237</v>
      </c>
    </row>
    <row r="10" spans="1:19" ht="13.5" thickBot="1">
      <c r="B10" s="386" t="s">
        <v>1106</v>
      </c>
      <c r="C10" s="401"/>
      <c r="D10" s="383" t="str">
        <f>+$F$4&amp;": "&amp;F10&amp;", "&amp;$G$4&amp;": "&amp;G10&amp;", "&amp;$H$4&amp;": "&amp;H10&amp;", "&amp;$I$4&amp;": "&amp;I10</f>
        <v xml:space="preserve">Data: , Excel: , PDF: , Report: </v>
      </c>
      <c r="F10" s="406" t="str">
        <f t="shared" si="1"/>
        <v/>
      </c>
      <c r="G10" s="406" t="str">
        <f t="shared" si="1"/>
        <v/>
      </c>
      <c r="H10" s="406" t="str">
        <f t="shared" si="1"/>
        <v/>
      </c>
      <c r="I10" s="406" t="str">
        <f t="shared" si="1"/>
        <v/>
      </c>
      <c r="P10" s="375" t="s">
        <v>1100</v>
      </c>
      <c r="Q10" s="29" t="s">
        <v>1104</v>
      </c>
      <c r="R10" s="29" t="s">
        <v>1111</v>
      </c>
      <c r="S10" s="29" t="s">
        <v>1238</v>
      </c>
    </row>
    <row r="11" spans="1:19">
      <c r="D11" s="6"/>
      <c r="P11" s="375" t="s">
        <v>1101</v>
      </c>
      <c r="Q11" s="29" t="s">
        <v>1087</v>
      </c>
      <c r="R11" s="29" t="s">
        <v>1108</v>
      </c>
      <c r="S11" s="29" t="s">
        <v>1239</v>
      </c>
    </row>
    <row r="12" spans="1:19">
      <c r="D12" s="6"/>
      <c r="P12" s="375" t="s">
        <v>1102</v>
      </c>
      <c r="Q12" s="29" t="s">
        <v>1088</v>
      </c>
      <c r="R12" s="29" t="s">
        <v>1108</v>
      </c>
      <c r="S12" s="29" t="s">
        <v>1234</v>
      </c>
    </row>
    <row r="13" spans="1:19">
      <c r="D13" s="6"/>
      <c r="P13" s="375" t="s">
        <v>95</v>
      </c>
      <c r="Q13" s="29" t="s">
        <v>1089</v>
      </c>
      <c r="R13" s="29" t="s">
        <v>1108</v>
      </c>
      <c r="S13" s="29" t="s">
        <v>1240</v>
      </c>
    </row>
    <row r="14" spans="1:19">
      <c r="D14" s="6"/>
      <c r="E14" s="70"/>
      <c r="F14" s="78"/>
      <c r="G14" s="376"/>
      <c r="H14" s="78"/>
      <c r="P14" s="375" t="s">
        <v>96</v>
      </c>
      <c r="Q14" s="29" t="s">
        <v>1105</v>
      </c>
      <c r="R14" s="29" t="s">
        <v>1108</v>
      </c>
      <c r="S14" s="29" t="s">
        <v>1235</v>
      </c>
    </row>
    <row r="15" spans="1:19">
      <c r="D15" s="6"/>
      <c r="E15" s="70"/>
      <c r="F15" s="78"/>
      <c r="G15" s="376"/>
      <c r="H15" s="78"/>
      <c r="P15" s="375"/>
      <c r="Q15" s="29"/>
      <c r="R15" s="29"/>
      <c r="S15" s="29"/>
    </row>
    <row r="16" spans="1:19" ht="15">
      <c r="C16" s="388" t="s">
        <v>1129</v>
      </c>
      <c r="D16" s="6"/>
      <c r="E16" s="70"/>
      <c r="F16" s="78"/>
      <c r="G16" s="78"/>
      <c r="H16" s="78"/>
      <c r="P16" s="375"/>
      <c r="Q16" s="29"/>
      <c r="R16" s="29"/>
      <c r="S16" s="29"/>
    </row>
    <row r="17" spans="2:18">
      <c r="C17" s="393" t="s">
        <v>1154</v>
      </c>
      <c r="D17" s="394" t="s">
        <v>847</v>
      </c>
      <c r="E17" s="363"/>
      <c r="F17" s="363"/>
      <c r="P17" s="376"/>
      <c r="Q17" s="78"/>
      <c r="R17" s="78"/>
    </row>
    <row r="18" spans="2:18">
      <c r="C18" s="106" t="s">
        <v>1112</v>
      </c>
      <c r="D18" s="29" t="str">
        <f>IFERROR(VLOOKUP(C18,$Q$26:$R$39,2,FALSE),"")</f>
        <v>Administrator</v>
      </c>
      <c r="E18" s="363"/>
      <c r="F18" s="363"/>
      <c r="P18" s="426"/>
      <c r="Q18" s="70"/>
      <c r="R18" s="78"/>
    </row>
    <row r="19" spans="2:18" ht="13.5" thickBot="1">
      <c r="C19" s="106" t="s">
        <v>1114</v>
      </c>
      <c r="D19" s="29" t="str">
        <f>IFERROR(VLOOKUP(C19,$Q$26:$R$39,2,FALSE),"")</f>
        <v>Project Setup (Administrtor User)</v>
      </c>
      <c r="E19" s="363"/>
      <c r="F19" s="363"/>
    </row>
    <row r="20" spans="2:18" ht="13.5" thickBot="1">
      <c r="B20" s="386" t="s">
        <v>1106</v>
      </c>
      <c r="C20" s="400"/>
      <c r="D20" s="382" t="str">
        <f>IFERROR(VLOOKUP(C20,$Q$26:$R$39,2,FALSE),"")</f>
        <v/>
      </c>
      <c r="E20" s="363"/>
      <c r="F20" s="363"/>
    </row>
    <row r="21" spans="2:18">
      <c r="C21" s="78"/>
      <c r="D21" s="78"/>
      <c r="E21" s="78"/>
      <c r="F21" s="78"/>
    </row>
    <row r="22" spans="2:18">
      <c r="C22" s="78"/>
      <c r="D22" s="78"/>
      <c r="E22" s="78"/>
      <c r="F22" s="78"/>
    </row>
    <row r="23" spans="2:18" ht="15">
      <c r="B23" s="399" t="s">
        <v>1129</v>
      </c>
      <c r="C23" s="78"/>
      <c r="D23" s="78"/>
      <c r="E23" s="78"/>
      <c r="F23" s="78"/>
    </row>
    <row r="24" spans="2:18">
      <c r="B24" s="402" t="s">
        <v>1138</v>
      </c>
      <c r="Q24" s="418" t="s">
        <v>1132</v>
      </c>
    </row>
    <row r="25" spans="2:18">
      <c r="B25" s="411" t="s">
        <v>1130</v>
      </c>
      <c r="C25" s="385" t="s">
        <v>1152</v>
      </c>
      <c r="D25" s="385" t="s">
        <v>1153</v>
      </c>
      <c r="F25" s="396" t="s">
        <v>1080</v>
      </c>
      <c r="G25" s="396" t="s">
        <v>1081</v>
      </c>
      <c r="H25" s="396" t="s">
        <v>1082</v>
      </c>
      <c r="I25" s="396" t="s">
        <v>1086</v>
      </c>
      <c r="L25" s="394" t="s">
        <v>1154</v>
      </c>
      <c r="M25" s="397" t="s">
        <v>847</v>
      </c>
      <c r="N25" s="398"/>
      <c r="Q25" s="391" t="s">
        <v>1127</v>
      </c>
      <c r="R25" s="391" t="s">
        <v>1128</v>
      </c>
    </row>
    <row r="26" spans="2:18">
      <c r="B26" s="29" t="s">
        <v>1175</v>
      </c>
      <c r="C26" s="395" t="str">
        <f>IFERROR(MID(B26,FIND("0",B26)+1,4),"")</f>
        <v>377B</v>
      </c>
      <c r="D26" s="29" t="str">
        <f>+$F$4&amp;": "&amp;F26&amp;", "&amp;$G$4&amp;": "&amp;G26&amp;", "&amp;$H$4&amp;": "&amp;H26&amp;", "&amp;$I$4&amp;": "&amp;I26</f>
        <v>Data: CRUD, Excel: Import and Export, PDF: Import and Export, Report: Report Full Rights</v>
      </c>
      <c r="F26" s="68" t="str">
        <f t="shared" ref="F26:I36" si="2">IFERROR(VLOOKUP(MID($C26,F$3,1),$P$4:$Q$16,2,FALSE),"")</f>
        <v>CRUD</v>
      </c>
      <c r="G26" s="68" t="str">
        <f t="shared" si="2"/>
        <v>Import and Export</v>
      </c>
      <c r="H26" s="68" t="str">
        <f t="shared" si="2"/>
        <v>Import and Export</v>
      </c>
      <c r="I26" s="68" t="str">
        <f t="shared" si="2"/>
        <v>Report Full Rights</v>
      </c>
      <c r="L26" s="106" t="str">
        <f>IFERROR(LEFT(B26,FIND("0",B26)-1),"")</f>
        <v>admin</v>
      </c>
      <c r="M26" s="50" t="str">
        <f t="shared" ref="M26:M36" si="3">IFERROR(VLOOKUP(L26,$Q$26:$R$39,2,FALSE),"")</f>
        <v>Administrator</v>
      </c>
      <c r="N26" s="2"/>
      <c r="Q26" s="29" t="s">
        <v>1112</v>
      </c>
      <c r="R26" s="29" t="s">
        <v>1113</v>
      </c>
    </row>
    <row r="27" spans="2:18">
      <c r="B27" s="46" t="s">
        <v>1131</v>
      </c>
      <c r="C27" s="407" t="str">
        <f>IFERROR(MID(B27,FIND("0",B27)+1,4),"")</f>
        <v>266A</v>
      </c>
      <c r="D27" s="46" t="str">
        <f>+$F$4&amp;": "&amp;F27&amp;", "&amp;$G$4&amp;": "&amp;G27&amp;", "&amp;$H$4&amp;": "&amp;H27&amp;", "&amp;$I$4&amp;": "&amp;I27</f>
        <v>Data: CRU, Excel: Export, PDF: Export, Report: Export2Excel</v>
      </c>
      <c r="F27" s="68" t="str">
        <f t="shared" si="2"/>
        <v>CRU</v>
      </c>
      <c r="G27" s="68" t="str">
        <f t="shared" si="2"/>
        <v>Export</v>
      </c>
      <c r="H27" s="68" t="str">
        <f t="shared" si="2"/>
        <v>Export</v>
      </c>
      <c r="I27" s="68" t="str">
        <f t="shared" si="2"/>
        <v>Export2Excel</v>
      </c>
      <c r="L27" s="106" t="str">
        <f>IFERROR(LEFT(B27,FIND("0",B27)-1),"")</f>
        <v>setup</v>
      </c>
      <c r="M27" s="106" t="str">
        <f t="shared" si="3"/>
        <v>Project Setup (Administrtor User)</v>
      </c>
      <c r="N27" s="389"/>
      <c r="Q27" s="29" t="s">
        <v>1114</v>
      </c>
      <c r="R27" s="29" t="s">
        <v>1115</v>
      </c>
    </row>
    <row r="28" spans="2:18">
      <c r="B28" s="29" t="s">
        <v>1149</v>
      </c>
      <c r="C28" s="407" t="str">
        <f t="shared" ref="C28:C35" si="4">IFERROR(MID(B28,FIND("0",B28)+1,4),"")</f>
        <v>266A</v>
      </c>
      <c r="D28" s="46" t="str">
        <f t="shared" ref="D28:D35" si="5">+$F$4&amp;": "&amp;F28&amp;", "&amp;$G$4&amp;": "&amp;G28&amp;", "&amp;$H$4&amp;": "&amp;H28&amp;", "&amp;$I$4&amp;": "&amp;I28</f>
        <v>Data: CRU, Excel: Export, PDF: Export, Report: Export2Excel</v>
      </c>
      <c r="F28" s="68" t="str">
        <f t="shared" si="2"/>
        <v>CRU</v>
      </c>
      <c r="G28" s="68" t="str">
        <f t="shared" si="2"/>
        <v>Export</v>
      </c>
      <c r="H28" s="68" t="str">
        <f t="shared" si="2"/>
        <v>Export</v>
      </c>
      <c r="I28" s="68" t="str">
        <f t="shared" si="2"/>
        <v>Export2Excel</v>
      </c>
      <c r="L28" s="106" t="str">
        <f t="shared" ref="L28:L35" si="6">IFERROR(LEFT(B28,FIND("0",B28)-1),"")</f>
        <v>corp</v>
      </c>
      <c r="M28" s="106" t="str">
        <f t="shared" si="3"/>
        <v>Corporate</v>
      </c>
      <c r="N28" s="389"/>
      <c r="Q28" s="29" t="s">
        <v>1116</v>
      </c>
      <c r="R28" s="29" t="s">
        <v>1117</v>
      </c>
    </row>
    <row r="29" spans="2:18">
      <c r="B29" s="29" t="s">
        <v>1183</v>
      </c>
      <c r="C29" s="407" t="str">
        <f t="shared" si="4"/>
        <v>1444</v>
      </c>
      <c r="D29" s="46" t="str">
        <f t="shared" si="5"/>
        <v>Data: ReadOnly, Excel: Disable, PDF: Disable, Report: Disable</v>
      </c>
      <c r="F29" s="68" t="str">
        <f t="shared" si="2"/>
        <v>ReadOnly</v>
      </c>
      <c r="G29" s="68" t="str">
        <f t="shared" si="2"/>
        <v>Disable</v>
      </c>
      <c r="H29" s="68" t="str">
        <f t="shared" si="2"/>
        <v>Disable</v>
      </c>
      <c r="I29" s="68" t="str">
        <f t="shared" si="2"/>
        <v>Disable</v>
      </c>
      <c r="L29" s="106" t="str">
        <f t="shared" si="6"/>
        <v>corp</v>
      </c>
      <c r="M29" s="106" t="str">
        <f t="shared" si="3"/>
        <v>Corporate</v>
      </c>
      <c r="N29" s="389"/>
      <c r="O29" s="6"/>
      <c r="Q29" s="29" t="s">
        <v>1118</v>
      </c>
      <c r="R29" s="29" t="s">
        <v>1119</v>
      </c>
    </row>
    <row r="30" spans="2:18">
      <c r="B30" s="29" t="s">
        <v>1184</v>
      </c>
      <c r="C30" s="407" t="str">
        <f t="shared" si="4"/>
        <v>277A</v>
      </c>
      <c r="D30" s="46" t="str">
        <f t="shared" si="5"/>
        <v>Data: CRU, Excel: Import and Export, PDF: Import and Export, Report: Export2Excel</v>
      </c>
      <c r="F30" s="68" t="str">
        <f t="shared" si="2"/>
        <v>CRU</v>
      </c>
      <c r="G30" s="68" t="str">
        <f t="shared" si="2"/>
        <v>Import and Export</v>
      </c>
      <c r="H30" s="68" t="str">
        <f t="shared" si="2"/>
        <v>Import and Export</v>
      </c>
      <c r="I30" s="68" t="str">
        <f t="shared" si="2"/>
        <v>Export2Excel</v>
      </c>
      <c r="L30" s="106" t="str">
        <f t="shared" si="6"/>
        <v>claim</v>
      </c>
      <c r="M30" s="106" t="str">
        <f t="shared" si="3"/>
        <v>Claims</v>
      </c>
      <c r="N30" s="389"/>
      <c r="O30" s="6"/>
      <c r="Q30" s="29" t="s">
        <v>1120</v>
      </c>
      <c r="R30" s="29" t="s">
        <v>1121</v>
      </c>
    </row>
    <row r="31" spans="2:18">
      <c r="B31" s="29" t="s">
        <v>1185</v>
      </c>
      <c r="C31" s="407" t="str">
        <f t="shared" si="4"/>
        <v>3664</v>
      </c>
      <c r="D31" s="46" t="str">
        <f t="shared" si="5"/>
        <v>Data: CRUD, Excel: Export, PDF: Export, Report: Disable</v>
      </c>
      <c r="F31" s="68" t="str">
        <f t="shared" si="2"/>
        <v>CRUD</v>
      </c>
      <c r="G31" s="68" t="str">
        <f t="shared" si="2"/>
        <v>Export</v>
      </c>
      <c r="H31" s="68" t="str">
        <f t="shared" si="2"/>
        <v>Export</v>
      </c>
      <c r="I31" s="68" t="str">
        <f t="shared" si="2"/>
        <v>Disable</v>
      </c>
      <c r="L31" s="106" t="str">
        <f t="shared" si="6"/>
        <v>claim</v>
      </c>
      <c r="M31" s="106" t="str">
        <f t="shared" si="3"/>
        <v>Claims</v>
      </c>
      <c r="N31" s="389"/>
      <c r="Q31" s="29" t="s">
        <v>1122</v>
      </c>
      <c r="R31" s="29" t="s">
        <v>1125</v>
      </c>
    </row>
    <row r="32" spans="2:18">
      <c r="B32" s="29" t="s">
        <v>1186</v>
      </c>
      <c r="C32" s="407" t="str">
        <f t="shared" si="4"/>
        <v>1448</v>
      </c>
      <c r="D32" s="46" t="str">
        <f t="shared" si="5"/>
        <v>Data: ReadOnly, Excel: Disable, PDF: Disable, Report: Printable</v>
      </c>
      <c r="F32" s="68" t="str">
        <f t="shared" si="2"/>
        <v>ReadOnly</v>
      </c>
      <c r="G32" s="68" t="str">
        <f t="shared" si="2"/>
        <v>Disable</v>
      </c>
      <c r="H32" s="68" t="str">
        <f t="shared" si="2"/>
        <v>Disable</v>
      </c>
      <c r="I32" s="68" t="str">
        <f t="shared" si="2"/>
        <v>Printable</v>
      </c>
      <c r="L32" s="106" t="str">
        <f t="shared" si="6"/>
        <v>claim</v>
      </c>
      <c r="M32" s="106" t="str">
        <f t="shared" si="3"/>
        <v>Claims</v>
      </c>
      <c r="N32" s="389"/>
      <c r="Q32" s="29" t="s">
        <v>1123</v>
      </c>
      <c r="R32" s="29" t="s">
        <v>1124</v>
      </c>
    </row>
    <row r="33" spans="1:18">
      <c r="B33" s="29" t="s">
        <v>1148</v>
      </c>
      <c r="C33" s="407" t="str">
        <f t="shared" si="4"/>
        <v>266A</v>
      </c>
      <c r="D33" s="46" t="str">
        <f t="shared" si="5"/>
        <v>Data: CRU, Excel: Export, PDF: Export, Report: Export2Excel</v>
      </c>
      <c r="F33" s="68" t="str">
        <f t="shared" si="2"/>
        <v>CRU</v>
      </c>
      <c r="G33" s="68" t="str">
        <f t="shared" si="2"/>
        <v>Export</v>
      </c>
      <c r="H33" s="68" t="str">
        <f t="shared" si="2"/>
        <v>Export</v>
      </c>
      <c r="I33" s="68" t="str">
        <f t="shared" si="2"/>
        <v>Export2Excel</v>
      </c>
      <c r="L33" s="106" t="str">
        <f t="shared" si="6"/>
        <v>faad</v>
      </c>
      <c r="M33" s="106" t="str">
        <f t="shared" si="3"/>
        <v>Financial and Accounting Admin</v>
      </c>
      <c r="N33" s="389"/>
      <c r="Q33" s="29" t="s">
        <v>1139</v>
      </c>
      <c r="R33" s="29" t="s">
        <v>1140</v>
      </c>
    </row>
    <row r="34" spans="1:18">
      <c r="B34" s="29" t="s">
        <v>1147</v>
      </c>
      <c r="C34" s="407" t="str">
        <f t="shared" si="4"/>
        <v>266A</v>
      </c>
      <c r="D34" s="46" t="str">
        <f t="shared" si="5"/>
        <v>Data: CRU, Excel: Export, PDF: Export, Report: Export2Excel</v>
      </c>
      <c r="F34" s="68" t="str">
        <f t="shared" si="2"/>
        <v>CRU</v>
      </c>
      <c r="G34" s="68" t="str">
        <f t="shared" si="2"/>
        <v>Export</v>
      </c>
      <c r="H34" s="68" t="str">
        <f t="shared" si="2"/>
        <v>Export</v>
      </c>
      <c r="I34" s="68" t="str">
        <f t="shared" si="2"/>
        <v>Export2Excel</v>
      </c>
      <c r="L34" s="106" t="str">
        <f t="shared" si="6"/>
        <v>faco</v>
      </c>
      <c r="M34" s="106" t="str">
        <f t="shared" si="3"/>
        <v>Financial and Accounting Collection</v>
      </c>
      <c r="N34" s="389"/>
      <c r="P34" s="6"/>
      <c r="Q34" s="29" t="s">
        <v>1141</v>
      </c>
      <c r="R34" s="29" t="s">
        <v>1142</v>
      </c>
    </row>
    <row r="35" spans="1:18">
      <c r="B35" s="29" t="s">
        <v>1187</v>
      </c>
      <c r="C35" s="395" t="str">
        <f t="shared" si="4"/>
        <v>1668</v>
      </c>
      <c r="D35" s="46" t="str">
        <f t="shared" si="5"/>
        <v>Data: ReadOnly, Excel: Export, PDF: Export, Report: Printable</v>
      </c>
      <c r="F35" s="68" t="str">
        <f t="shared" si="2"/>
        <v>ReadOnly</v>
      </c>
      <c r="G35" s="68" t="str">
        <f t="shared" si="2"/>
        <v>Export</v>
      </c>
      <c r="H35" s="68" t="str">
        <f t="shared" si="2"/>
        <v>Export</v>
      </c>
      <c r="I35" s="68" t="str">
        <f t="shared" si="2"/>
        <v>Printable</v>
      </c>
      <c r="L35" s="106" t="str">
        <f t="shared" si="6"/>
        <v>mng</v>
      </c>
      <c r="M35" s="106" t="str">
        <f t="shared" si="3"/>
        <v>Management</v>
      </c>
      <c r="N35" s="389"/>
      <c r="P35" s="6"/>
      <c r="Q35" s="29" t="s">
        <v>1143</v>
      </c>
      <c r="R35" s="29" t="s">
        <v>1144</v>
      </c>
    </row>
    <row r="36" spans="1:18" ht="13.5" thickBot="1">
      <c r="A36" s="386" t="s">
        <v>1106</v>
      </c>
      <c r="B36" s="408"/>
      <c r="C36" s="409" t="str">
        <f>IFERROR(MID(B36,FIND("0",B36)+1,4),"")</f>
        <v/>
      </c>
      <c r="D36" s="410" t="str">
        <f>+$F$4&amp;": "&amp;F36&amp;", "&amp;$G$4&amp;": "&amp;G36&amp;", "&amp;$H$4&amp;": "&amp;H36&amp;", "&amp;$I$4&amp;": "&amp;I36</f>
        <v xml:space="preserve">Data: , Excel: , PDF: , Report: </v>
      </c>
      <c r="F36" s="406" t="str">
        <f t="shared" si="2"/>
        <v/>
      </c>
      <c r="G36" s="406" t="str">
        <f t="shared" si="2"/>
        <v/>
      </c>
      <c r="H36" s="406" t="str">
        <f t="shared" si="2"/>
        <v/>
      </c>
      <c r="I36" s="406" t="str">
        <f t="shared" si="2"/>
        <v/>
      </c>
      <c r="L36" s="403" t="str">
        <f>IFERROR(LEFT(B36,FIND("0",B36)-1),"")</f>
        <v/>
      </c>
      <c r="M36" s="404" t="str">
        <f t="shared" si="3"/>
        <v/>
      </c>
      <c r="N36" s="405"/>
      <c r="Q36" s="29" t="s">
        <v>1146</v>
      </c>
      <c r="R36" s="29" t="s">
        <v>1145</v>
      </c>
    </row>
    <row r="37" spans="1:18">
      <c r="M37" s="6"/>
      <c r="N37" s="6"/>
      <c r="Q37" s="29" t="s">
        <v>1151</v>
      </c>
      <c r="R37" s="29" t="s">
        <v>1126</v>
      </c>
    </row>
    <row r="38" spans="1:18">
      <c r="M38" s="6"/>
      <c r="N38" s="6"/>
      <c r="Q38" s="29"/>
      <c r="R38" s="29"/>
    </row>
    <row r="39" spans="1:18">
      <c r="B39" s="422" t="s">
        <v>1165</v>
      </c>
      <c r="G39" s="6"/>
      <c r="H39" s="6"/>
      <c r="I39" s="6"/>
      <c r="J39" s="6"/>
      <c r="K39" s="6"/>
      <c r="Q39" s="29"/>
      <c r="R39" s="29"/>
    </row>
    <row r="41" spans="1:18">
      <c r="B41" s="413" t="s">
        <v>1163</v>
      </c>
    </row>
    <row r="42" spans="1:18">
      <c r="B42" s="419" t="s">
        <v>312</v>
      </c>
      <c r="C42" s="419" t="s">
        <v>912</v>
      </c>
      <c r="D42" s="420" t="s">
        <v>400</v>
      </c>
    </row>
    <row r="43" spans="1:18">
      <c r="B43" s="29" t="s">
        <v>1155</v>
      </c>
      <c r="C43" s="106" t="s">
        <v>1156</v>
      </c>
      <c r="D43" s="421" t="s">
        <v>1176</v>
      </c>
    </row>
    <row r="45" spans="1:18">
      <c r="B45" s="414" t="s">
        <v>1164</v>
      </c>
    </row>
    <row r="46" spans="1:18">
      <c r="B46" s="390" t="s">
        <v>522</v>
      </c>
      <c r="C46" s="390" t="s">
        <v>1157</v>
      </c>
      <c r="D46" s="390" t="s">
        <v>519</v>
      </c>
    </row>
    <row r="47" spans="1:18">
      <c r="B47" s="29" t="s">
        <v>1159</v>
      </c>
      <c r="C47" s="29" t="s">
        <v>1158</v>
      </c>
      <c r="D47" s="29" t="s">
        <v>1177</v>
      </c>
    </row>
    <row r="49" spans="1:4">
      <c r="B49" s="423" t="s">
        <v>1166</v>
      </c>
    </row>
    <row r="50" spans="1:4">
      <c r="B50" s="1" t="s">
        <v>1167</v>
      </c>
    </row>
    <row r="51" spans="1:4">
      <c r="B51" s="412" t="s">
        <v>1161</v>
      </c>
      <c r="C51" s="412" t="s">
        <v>1162</v>
      </c>
      <c r="D51" s="412" t="s">
        <v>1160</v>
      </c>
    </row>
    <row r="52" spans="1:4">
      <c r="A52" s="1">
        <v>1</v>
      </c>
      <c r="B52" s="415" t="s">
        <v>1112</v>
      </c>
      <c r="C52" s="415" t="s">
        <v>1114</v>
      </c>
      <c r="D52" s="416" t="str">
        <f>IF(OR(D51="",D51="send value and Exit Loop"),"",IF(B52=C52,"send value and Exit Loop","next"))</f>
        <v>next</v>
      </c>
    </row>
    <row r="53" spans="1:4">
      <c r="A53" s="1">
        <v>1</v>
      </c>
      <c r="B53" s="415" t="s">
        <v>1112</v>
      </c>
      <c r="C53" s="415" t="s">
        <v>1150</v>
      </c>
      <c r="D53" s="416" t="str">
        <f t="shared" ref="D53:D57" si="7">IF(OR(D52="",D52="send value and Exit Loop"),"",IF(B53=C53,"send value and Exit Loop","next"))</f>
        <v>next</v>
      </c>
    </row>
    <row r="54" spans="1:4">
      <c r="A54" s="1">
        <v>2</v>
      </c>
      <c r="B54" s="29" t="s">
        <v>1150</v>
      </c>
      <c r="C54" s="29" t="s">
        <v>1114</v>
      </c>
      <c r="D54" s="68" t="str">
        <f t="shared" si="7"/>
        <v>next</v>
      </c>
    </row>
    <row r="55" spans="1:4">
      <c r="A55" s="1">
        <v>2</v>
      </c>
      <c r="B55" s="29" t="s">
        <v>1150</v>
      </c>
      <c r="C55" s="29" t="s">
        <v>1150</v>
      </c>
      <c r="D55" s="68" t="str">
        <f t="shared" si="7"/>
        <v>send value and Exit Loop</v>
      </c>
    </row>
    <row r="56" spans="1:4">
      <c r="A56" s="1">
        <v>3</v>
      </c>
      <c r="B56" s="415" t="s">
        <v>1120</v>
      </c>
      <c r="C56" s="415" t="s">
        <v>1114</v>
      </c>
      <c r="D56" s="416" t="str">
        <f t="shared" si="7"/>
        <v/>
      </c>
    </row>
    <row r="57" spans="1:4">
      <c r="A57" s="1">
        <v>3</v>
      </c>
      <c r="B57" s="415" t="s">
        <v>1120</v>
      </c>
      <c r="C57" s="415" t="s">
        <v>1150</v>
      </c>
      <c r="D57" s="416" t="str">
        <f t="shared" si="7"/>
        <v/>
      </c>
    </row>
    <row r="60" spans="1:4">
      <c r="B60" s="1" t="s">
        <v>1269</v>
      </c>
      <c r="D60" s="235" t="s">
        <v>1268</v>
      </c>
    </row>
    <row r="61" spans="1:4">
      <c r="B61" s="1" t="s">
        <v>1373</v>
      </c>
    </row>
    <row r="62" spans="1:4">
      <c r="A62" s="78"/>
      <c r="B62" s="78" t="s">
        <v>1374</v>
      </c>
      <c r="C62" s="78"/>
      <c r="D62" s="70"/>
    </row>
    <row r="63" spans="1:4">
      <c r="A63" s="78"/>
      <c r="B63" s="1" t="s">
        <v>1375</v>
      </c>
      <c r="C63" s="78"/>
      <c r="D63" s="70"/>
    </row>
    <row r="64" spans="1:4">
      <c r="B64" s="1" t="s">
        <v>1376</v>
      </c>
    </row>
    <row r="65" spans="2:9">
      <c r="B65" s="461" t="s">
        <v>1381</v>
      </c>
    </row>
    <row r="66" spans="2:9">
      <c r="B66" s="461"/>
    </row>
    <row r="67" spans="2:9">
      <c r="B67" s="462" t="s">
        <v>1377</v>
      </c>
      <c r="F67" s="462" t="s">
        <v>1382</v>
      </c>
      <c r="G67" s="6"/>
      <c r="H67" s="6"/>
    </row>
    <row r="68" spans="2:9">
      <c r="B68" s="220" t="s">
        <v>1378</v>
      </c>
      <c r="C68" s="463" t="s">
        <v>1070</v>
      </c>
      <c r="D68" s="52" t="s">
        <v>1389</v>
      </c>
      <c r="F68" s="466" t="s">
        <v>387</v>
      </c>
      <c r="G68" s="466" t="s">
        <v>434</v>
      </c>
      <c r="H68" s="466" t="s">
        <v>1383</v>
      </c>
      <c r="I68" s="1" t="s">
        <v>1384</v>
      </c>
    </row>
    <row r="69" spans="2:9">
      <c r="B69" s="467" t="s">
        <v>338</v>
      </c>
      <c r="C69" s="467" t="s">
        <v>1379</v>
      </c>
      <c r="F69" s="68" t="s">
        <v>1385</v>
      </c>
      <c r="G69" s="68" t="s">
        <v>1380</v>
      </c>
      <c r="H69" s="465">
        <v>2000</v>
      </c>
    </row>
    <row r="70" spans="2:9">
      <c r="B70" s="467" t="s">
        <v>338</v>
      </c>
      <c r="C70" s="467" t="s">
        <v>1380</v>
      </c>
      <c r="F70" s="68" t="s">
        <v>1386</v>
      </c>
      <c r="G70" s="68" t="s">
        <v>1387</v>
      </c>
      <c r="H70" s="465">
        <v>8540</v>
      </c>
    </row>
    <row r="71" spans="2:9">
      <c r="B71" s="467" t="s">
        <v>1393</v>
      </c>
      <c r="C71" s="467" t="s">
        <v>1391</v>
      </c>
      <c r="F71" s="68" t="s">
        <v>1388</v>
      </c>
      <c r="G71" s="68" t="s">
        <v>1379</v>
      </c>
      <c r="H71" s="465">
        <v>200</v>
      </c>
    </row>
    <row r="72" spans="2:9">
      <c r="B72" s="467" t="s">
        <v>1393</v>
      </c>
      <c r="C72" s="467" t="s">
        <v>1394</v>
      </c>
      <c r="F72" s="68" t="s">
        <v>1392</v>
      </c>
      <c r="G72" s="68" t="s">
        <v>1391</v>
      </c>
      <c r="H72" s="465">
        <v>78966</v>
      </c>
    </row>
    <row r="73" spans="2:9">
      <c r="B73" s="468"/>
      <c r="C73" s="468"/>
      <c r="F73" s="68" t="s">
        <v>1397</v>
      </c>
      <c r="G73" s="68" t="s">
        <v>1394</v>
      </c>
      <c r="H73" s="465">
        <v>98600</v>
      </c>
    </row>
    <row r="74" spans="2:9">
      <c r="B74" s="78"/>
      <c r="C74" s="78"/>
      <c r="F74" s="6"/>
      <c r="G74" s="6"/>
      <c r="H74" s="464"/>
    </row>
    <row r="75" spans="2:9">
      <c r="F75" s="1" t="s">
        <v>1396</v>
      </c>
    </row>
    <row r="76" spans="2:9">
      <c r="F76" s="466" t="s">
        <v>387</v>
      </c>
      <c r="G76" s="466" t="s">
        <v>434</v>
      </c>
      <c r="H76" s="466" t="s">
        <v>1383</v>
      </c>
    </row>
    <row r="77" spans="2:9">
      <c r="C77" s="484" t="s">
        <v>1390</v>
      </c>
      <c r="D77" s="484"/>
      <c r="F77" s="68" t="s">
        <v>1388</v>
      </c>
      <c r="G77" s="68" t="s">
        <v>1379</v>
      </c>
      <c r="H77" s="465">
        <v>200</v>
      </c>
    </row>
    <row r="78" spans="2:9">
      <c r="F78" s="68" t="s">
        <v>1385</v>
      </c>
      <c r="G78" s="68" t="s">
        <v>1380</v>
      </c>
      <c r="H78" s="465">
        <v>2000</v>
      </c>
    </row>
    <row r="80" spans="2:9">
      <c r="F80" s="6"/>
      <c r="G80" s="6"/>
      <c r="H80" s="6"/>
    </row>
    <row r="81" spans="1:12">
      <c r="F81" s="466" t="s">
        <v>387</v>
      </c>
      <c r="G81" s="466" t="s">
        <v>434</v>
      </c>
      <c r="H81" s="466" t="s">
        <v>1383</v>
      </c>
    </row>
    <row r="82" spans="1:12">
      <c r="C82" s="484" t="s">
        <v>1395</v>
      </c>
      <c r="D82" s="484"/>
      <c r="F82" s="68" t="s">
        <v>1392</v>
      </c>
      <c r="G82" s="68" t="s">
        <v>1391</v>
      </c>
      <c r="H82" s="465">
        <v>78966</v>
      </c>
    </row>
    <row r="83" spans="1:12">
      <c r="F83" s="68" t="s">
        <v>1397</v>
      </c>
      <c r="G83" s="68" t="s">
        <v>1394</v>
      </c>
      <c r="H83" s="465">
        <v>98600</v>
      </c>
    </row>
    <row r="84" spans="1:12">
      <c r="F84" s="6"/>
      <c r="G84" s="6"/>
      <c r="H84" s="6"/>
    </row>
    <row r="85" spans="1:12">
      <c r="F85" s="6"/>
      <c r="G85" s="6"/>
      <c r="H85" s="6"/>
    </row>
    <row r="86" spans="1:12">
      <c r="F86" s="6"/>
      <c r="G86" s="6"/>
      <c r="H86" s="6"/>
    </row>
    <row r="87" spans="1:12">
      <c r="F87" s="6"/>
      <c r="G87" s="6"/>
      <c r="H87" s="6"/>
    </row>
    <row r="88" spans="1:12">
      <c r="F88" s="6"/>
      <c r="G88" s="6"/>
      <c r="H88" s="6"/>
    </row>
    <row r="90" spans="1:12">
      <c r="B90" s="483" t="s">
        <v>1372</v>
      </c>
      <c r="C90" s="483"/>
      <c r="D90" s="455"/>
      <c r="E90" s="326"/>
      <c r="F90" s="455"/>
      <c r="G90" s="455"/>
      <c r="H90" s="455"/>
      <c r="I90" s="455"/>
    </row>
    <row r="91" spans="1:12">
      <c r="A91" s="3"/>
      <c r="B91" s="456"/>
      <c r="C91" s="122"/>
      <c r="D91" s="122"/>
      <c r="E91" s="122"/>
      <c r="F91" s="122"/>
      <c r="G91" s="122"/>
      <c r="H91" s="122"/>
      <c r="I91" s="122"/>
      <c r="J91" s="3"/>
      <c r="K91" s="3"/>
      <c r="L91" s="3"/>
    </row>
    <row r="92" spans="1:12">
      <c r="A92" s="3"/>
      <c r="B92" s="456" t="s">
        <v>1370</v>
      </c>
      <c r="C92" s="122"/>
      <c r="D92" s="122"/>
      <c r="E92" s="122"/>
      <c r="F92" s="122"/>
      <c r="G92" s="122"/>
      <c r="H92" s="122"/>
      <c r="I92" s="122"/>
      <c r="J92" s="3"/>
      <c r="K92" s="3"/>
      <c r="L92" s="3"/>
    </row>
    <row r="93" spans="1:12">
      <c r="A93" s="3"/>
      <c r="B93" s="330" t="s">
        <v>1324</v>
      </c>
      <c r="C93" s="455"/>
      <c r="D93" s="122"/>
      <c r="E93" s="122"/>
      <c r="F93" s="122"/>
      <c r="G93" s="122"/>
      <c r="H93" s="122"/>
      <c r="I93" s="122"/>
      <c r="J93" s="3"/>
      <c r="K93" s="3"/>
      <c r="L93" s="3"/>
    </row>
    <row r="94" spans="1:12">
      <c r="A94" s="3"/>
      <c r="B94" s="330" t="s">
        <v>1325</v>
      </c>
      <c r="C94" s="455"/>
      <c r="D94" s="122"/>
      <c r="E94" s="122"/>
      <c r="F94" s="122"/>
      <c r="G94" s="122"/>
      <c r="H94" s="122"/>
      <c r="I94" s="122"/>
      <c r="J94" s="3"/>
      <c r="K94" s="3"/>
      <c r="L94" s="3"/>
    </row>
    <row r="95" spans="1:12">
      <c r="A95" s="3"/>
      <c r="B95" s="333" t="s">
        <v>1326</v>
      </c>
      <c r="C95" s="122"/>
      <c r="D95" s="122"/>
      <c r="E95" s="122"/>
      <c r="F95" s="122"/>
      <c r="G95" s="122"/>
      <c r="H95" s="122"/>
      <c r="I95" s="122"/>
      <c r="J95" s="3"/>
      <c r="K95" s="3"/>
      <c r="L95" s="3"/>
    </row>
    <row r="96" spans="1:12">
      <c r="A96" s="3"/>
      <c r="B96" s="122"/>
      <c r="C96" s="122" t="s">
        <v>1327</v>
      </c>
      <c r="D96" s="122"/>
      <c r="E96" s="122"/>
      <c r="F96" s="122"/>
      <c r="G96" s="122"/>
      <c r="H96" s="122"/>
      <c r="I96" s="122"/>
      <c r="J96" s="3"/>
      <c r="K96" s="3"/>
      <c r="L96" s="3"/>
    </row>
    <row r="97" spans="1:12">
      <c r="A97" s="3"/>
      <c r="B97" s="122"/>
      <c r="C97" s="122" t="s">
        <v>1328</v>
      </c>
      <c r="D97" s="122"/>
      <c r="E97" s="122"/>
      <c r="F97" s="122"/>
      <c r="G97" s="122"/>
      <c r="H97" s="122"/>
      <c r="I97" s="122"/>
      <c r="J97" s="3"/>
      <c r="K97" s="3"/>
      <c r="L97" s="3"/>
    </row>
    <row r="98" spans="1:12">
      <c r="A98" s="3"/>
      <c r="B98" s="333" t="s">
        <v>1329</v>
      </c>
      <c r="C98" s="122"/>
      <c r="D98" s="122"/>
      <c r="E98" s="122"/>
      <c r="F98" s="122"/>
      <c r="G98" s="122"/>
      <c r="H98" s="122"/>
      <c r="I98" s="122"/>
      <c r="J98" s="3"/>
      <c r="K98" s="3"/>
      <c r="L98" s="3"/>
    </row>
    <row r="99" spans="1:12">
      <c r="A99" s="3"/>
      <c r="B99" s="122"/>
      <c r="C99" s="122" t="s">
        <v>1330</v>
      </c>
      <c r="D99" s="122"/>
      <c r="E99" s="122"/>
      <c r="F99" s="122"/>
      <c r="G99" s="122"/>
      <c r="H99" s="122"/>
      <c r="I99" s="122"/>
      <c r="J99" s="3"/>
      <c r="K99" s="3"/>
      <c r="L99" s="3"/>
    </row>
    <row r="100" spans="1:12">
      <c r="A100" s="3"/>
      <c r="B100" s="122"/>
      <c r="C100" s="122"/>
      <c r="D100" s="122" t="s">
        <v>1331</v>
      </c>
      <c r="E100" s="122"/>
      <c r="F100" s="122"/>
      <c r="G100" s="122"/>
      <c r="H100" s="122"/>
      <c r="I100" s="122"/>
      <c r="J100" s="3"/>
      <c r="K100" s="3"/>
      <c r="L100" s="3"/>
    </row>
    <row r="101" spans="1:12">
      <c r="A101" s="3"/>
      <c r="B101" s="122"/>
      <c r="C101" s="122"/>
      <c r="D101" s="122" t="s">
        <v>1332</v>
      </c>
      <c r="E101" s="122"/>
      <c r="F101" s="122"/>
      <c r="G101" s="122"/>
      <c r="H101" s="122"/>
      <c r="I101" s="122"/>
      <c r="J101" s="3"/>
      <c r="K101" s="3"/>
      <c r="L101" s="3"/>
    </row>
    <row r="102" spans="1:12">
      <c r="A102" s="3"/>
      <c r="B102" s="333" t="s">
        <v>1333</v>
      </c>
      <c r="C102" s="122"/>
      <c r="D102" s="122"/>
      <c r="E102" s="122"/>
      <c r="F102" s="122"/>
      <c r="G102" s="122"/>
      <c r="H102" s="122"/>
      <c r="I102" s="122"/>
      <c r="J102" s="3"/>
      <c r="K102" s="3"/>
      <c r="L102" s="3"/>
    </row>
    <row r="103" spans="1:12">
      <c r="A103" s="3"/>
      <c r="B103" s="122"/>
      <c r="C103" s="122" t="s">
        <v>1334</v>
      </c>
      <c r="D103" s="122"/>
      <c r="E103" s="122"/>
      <c r="F103" s="122"/>
      <c r="G103" s="122"/>
      <c r="H103" s="122"/>
      <c r="I103" s="122"/>
      <c r="J103" s="3"/>
      <c r="K103" s="3"/>
      <c r="L103" s="3"/>
    </row>
    <row r="104" spans="1:12">
      <c r="A104" s="3"/>
      <c r="B104" s="122"/>
      <c r="C104" s="122" t="s">
        <v>1335</v>
      </c>
      <c r="D104" s="122"/>
      <c r="E104" s="122"/>
      <c r="F104" s="122"/>
      <c r="G104" s="122"/>
      <c r="H104" s="122"/>
      <c r="I104" s="122"/>
      <c r="J104" s="3"/>
      <c r="K104" s="3"/>
      <c r="L104" s="3"/>
    </row>
    <row r="105" spans="1:12">
      <c r="A105" s="3"/>
      <c r="B105" s="122"/>
      <c r="C105" s="122" t="s">
        <v>1336</v>
      </c>
      <c r="D105" s="122"/>
      <c r="E105" s="122"/>
      <c r="F105" s="122"/>
      <c r="G105" s="122"/>
      <c r="H105" s="122"/>
      <c r="I105" s="122"/>
      <c r="J105" s="3"/>
      <c r="K105" s="3"/>
      <c r="L105" s="3"/>
    </row>
    <row r="106" spans="1:12">
      <c r="A106" s="3"/>
      <c r="B106" s="122"/>
      <c r="C106" s="122" t="s">
        <v>1337</v>
      </c>
      <c r="D106" s="122"/>
      <c r="E106" s="122"/>
      <c r="F106" s="122"/>
      <c r="G106" s="122"/>
      <c r="H106" s="122"/>
      <c r="I106" s="122"/>
      <c r="J106" s="3"/>
      <c r="K106" s="3"/>
      <c r="L106" s="3"/>
    </row>
    <row r="107" spans="1:12">
      <c r="A107" s="3"/>
      <c r="B107" s="122"/>
      <c r="C107" s="122"/>
      <c r="D107" s="122"/>
      <c r="E107" s="122"/>
      <c r="F107" s="122"/>
      <c r="G107" s="122"/>
      <c r="H107" s="122"/>
      <c r="I107" s="122"/>
      <c r="J107" s="3"/>
      <c r="K107" s="3"/>
      <c r="L107" s="3"/>
    </row>
    <row r="108" spans="1:12">
      <c r="A108" s="3"/>
      <c r="B108" s="122"/>
      <c r="C108" s="457" t="s">
        <v>1161</v>
      </c>
      <c r="D108" s="457" t="s">
        <v>1338</v>
      </c>
      <c r="E108" s="326"/>
      <c r="F108" s="457" t="s">
        <v>1339</v>
      </c>
      <c r="G108" s="457" t="s">
        <v>1340</v>
      </c>
      <c r="H108" s="122"/>
      <c r="I108" s="122"/>
      <c r="J108" s="3"/>
      <c r="K108" s="3"/>
      <c r="L108" s="3"/>
    </row>
    <row r="109" spans="1:12">
      <c r="A109" s="3"/>
      <c r="B109" s="458" t="s">
        <v>1341</v>
      </c>
      <c r="C109" s="457" t="s">
        <v>1112</v>
      </c>
      <c r="D109" s="457" t="s">
        <v>1342</v>
      </c>
      <c r="E109" s="326"/>
      <c r="F109" s="457" t="s">
        <v>1343</v>
      </c>
      <c r="G109" s="457" t="s">
        <v>1344</v>
      </c>
      <c r="H109" s="122"/>
      <c r="I109" s="122"/>
      <c r="J109" s="3"/>
      <c r="K109" s="3"/>
      <c r="L109" s="3"/>
    </row>
    <row r="110" spans="1:12">
      <c r="A110" s="3"/>
      <c r="B110" s="459"/>
      <c r="C110" s="457" t="s">
        <v>1114</v>
      </c>
      <c r="D110" s="457" t="s">
        <v>1342</v>
      </c>
      <c r="E110" s="326"/>
      <c r="F110" s="457" t="s">
        <v>1343</v>
      </c>
      <c r="G110" s="457" t="s">
        <v>1344</v>
      </c>
      <c r="H110" s="122"/>
      <c r="I110" s="122"/>
      <c r="J110" s="3"/>
      <c r="K110" s="3"/>
      <c r="L110" s="3"/>
    </row>
    <row r="111" spans="1:12">
      <c r="A111" s="3"/>
      <c r="B111" s="460"/>
      <c r="C111" s="457" t="s">
        <v>1345</v>
      </c>
      <c r="D111" s="457" t="s">
        <v>1342</v>
      </c>
      <c r="E111" s="326"/>
      <c r="F111" s="457" t="s">
        <v>1343</v>
      </c>
      <c r="G111" s="457" t="s">
        <v>1344</v>
      </c>
      <c r="H111" s="122"/>
      <c r="I111" s="122"/>
      <c r="J111" s="3"/>
      <c r="K111" s="3"/>
      <c r="L111" s="3"/>
    </row>
    <row r="112" spans="1:12">
      <c r="A112" s="3"/>
      <c r="B112" s="458" t="s">
        <v>1346</v>
      </c>
      <c r="C112" s="457" t="s">
        <v>1112</v>
      </c>
      <c r="D112" s="457" t="s">
        <v>1345</v>
      </c>
      <c r="E112" s="326"/>
      <c r="F112" s="457" t="s">
        <v>1343</v>
      </c>
      <c r="G112" s="457" t="s">
        <v>1344</v>
      </c>
      <c r="H112" s="122"/>
      <c r="I112" s="122"/>
      <c r="J112" s="3"/>
      <c r="K112" s="3"/>
      <c r="L112" s="3"/>
    </row>
    <row r="113" spans="1:12">
      <c r="A113" s="3"/>
      <c r="B113" s="459"/>
      <c r="C113" s="457" t="s">
        <v>1114</v>
      </c>
      <c r="D113" s="457" t="s">
        <v>1345</v>
      </c>
      <c r="E113" s="326"/>
      <c r="F113" s="457" t="s">
        <v>1343</v>
      </c>
      <c r="G113" s="457" t="s">
        <v>1344</v>
      </c>
      <c r="H113" s="122"/>
      <c r="I113" s="122"/>
      <c r="J113" s="3"/>
      <c r="K113" s="3"/>
      <c r="L113" s="3"/>
    </row>
    <row r="114" spans="1:12">
      <c r="A114" s="3"/>
      <c r="B114" s="460"/>
      <c r="C114" s="457" t="s">
        <v>1345</v>
      </c>
      <c r="D114" s="457" t="s">
        <v>1345</v>
      </c>
      <c r="E114" s="326"/>
      <c r="F114" s="457" t="s">
        <v>1347</v>
      </c>
      <c r="G114" s="457" t="s">
        <v>1348</v>
      </c>
      <c r="H114" s="330" t="s">
        <v>1349</v>
      </c>
      <c r="I114" s="122"/>
      <c r="J114" s="3"/>
      <c r="K114" s="3"/>
      <c r="L114" s="3"/>
    </row>
    <row r="115" spans="1:12">
      <c r="A115" s="3"/>
      <c r="B115" s="122"/>
      <c r="C115" s="122"/>
      <c r="D115" s="122"/>
      <c r="E115" s="122"/>
      <c r="F115" s="122"/>
      <c r="G115" s="122"/>
      <c r="H115" s="122"/>
      <c r="I115" s="122"/>
      <c r="J115" s="3"/>
      <c r="K115" s="3"/>
      <c r="L115" s="3"/>
    </row>
    <row r="116" spans="1:12">
      <c r="A116" s="3"/>
      <c r="B116" s="122" t="s">
        <v>1350</v>
      </c>
      <c r="C116" s="122"/>
      <c r="D116" s="122"/>
      <c r="E116" s="122"/>
      <c r="F116" s="122"/>
      <c r="G116" s="122"/>
      <c r="H116" s="122"/>
      <c r="I116" s="122"/>
      <c r="J116" s="3"/>
      <c r="K116" s="3"/>
      <c r="L116" s="3"/>
    </row>
    <row r="117" spans="1:12">
      <c r="A117" s="3"/>
      <c r="B117" s="122" t="s">
        <v>1351</v>
      </c>
      <c r="C117" s="122"/>
      <c r="D117" s="122"/>
      <c r="E117" s="122"/>
      <c r="F117" s="122"/>
      <c r="G117" s="122"/>
      <c r="H117" s="122"/>
      <c r="I117" s="122"/>
      <c r="J117" s="3"/>
      <c r="K117" s="3"/>
      <c r="L117" s="3"/>
    </row>
    <row r="118" spans="1:12">
      <c r="A118" s="3"/>
      <c r="B118" s="122"/>
      <c r="C118" s="122"/>
      <c r="D118" s="122"/>
      <c r="E118" s="122"/>
      <c r="F118" s="122"/>
      <c r="G118" s="122"/>
      <c r="H118" s="122"/>
      <c r="I118" s="122"/>
      <c r="J118" s="3"/>
      <c r="K118" s="3"/>
      <c r="L118" s="3"/>
    </row>
    <row r="119" spans="1:12">
      <c r="A119" s="3"/>
      <c r="B119" s="456" t="s">
        <v>1371</v>
      </c>
      <c r="C119" s="122"/>
      <c r="D119" s="122"/>
      <c r="E119" s="122"/>
      <c r="F119" s="122"/>
      <c r="G119" s="122"/>
      <c r="H119" s="122"/>
      <c r="I119" s="122"/>
      <c r="J119" s="3"/>
      <c r="K119" s="3"/>
      <c r="L119" s="3"/>
    </row>
    <row r="120" spans="1:12">
      <c r="A120" s="3"/>
      <c r="B120" s="333" t="s">
        <v>1352</v>
      </c>
      <c r="C120" s="122"/>
      <c r="D120" s="455"/>
      <c r="E120" s="122"/>
      <c r="F120" s="122"/>
      <c r="G120" s="122"/>
      <c r="H120" s="122"/>
      <c r="I120" s="122"/>
      <c r="J120" s="3"/>
      <c r="K120" s="3"/>
      <c r="L120" s="3"/>
    </row>
    <row r="121" spans="1:12">
      <c r="A121" s="3"/>
      <c r="B121" s="122"/>
      <c r="C121" s="122" t="s">
        <v>1353</v>
      </c>
      <c r="D121" s="455"/>
      <c r="E121" s="122"/>
      <c r="F121" s="122"/>
      <c r="G121" s="122"/>
      <c r="H121" s="122"/>
      <c r="I121" s="122"/>
      <c r="J121" s="3"/>
      <c r="K121" s="3"/>
      <c r="L121" s="3"/>
    </row>
    <row r="122" spans="1:12">
      <c r="A122" s="3"/>
      <c r="B122" s="122"/>
      <c r="C122" s="122" t="s">
        <v>1354</v>
      </c>
      <c r="D122" s="455"/>
      <c r="E122" s="122"/>
      <c r="F122" s="122"/>
      <c r="G122" s="122"/>
      <c r="H122" s="122"/>
      <c r="I122" s="122"/>
      <c r="J122" s="3"/>
      <c r="K122" s="3"/>
      <c r="L122" s="3"/>
    </row>
    <row r="123" spans="1:12">
      <c r="A123" s="3"/>
      <c r="B123" s="122"/>
      <c r="C123" s="122" t="s">
        <v>1355</v>
      </c>
      <c r="D123" s="455"/>
      <c r="E123" s="122"/>
      <c r="F123" s="122"/>
      <c r="G123" s="122"/>
      <c r="H123" s="122"/>
      <c r="I123" s="122"/>
      <c r="J123" s="3"/>
      <c r="K123" s="3"/>
      <c r="L123" s="3"/>
    </row>
    <row r="124" spans="1:12">
      <c r="A124" s="3"/>
      <c r="B124" s="333" t="s">
        <v>1356</v>
      </c>
      <c r="C124" s="122"/>
      <c r="D124" s="455"/>
      <c r="E124" s="122"/>
      <c r="F124" s="122"/>
      <c r="G124" s="122"/>
      <c r="H124" s="122"/>
      <c r="I124" s="122"/>
      <c r="J124" s="3"/>
      <c r="K124" s="3"/>
      <c r="L124" s="3"/>
    </row>
    <row r="125" spans="1:12">
      <c r="A125" s="3"/>
      <c r="B125" s="122"/>
      <c r="C125" s="122" t="s">
        <v>1357</v>
      </c>
      <c r="D125" s="455"/>
      <c r="E125" s="122"/>
      <c r="F125" s="122"/>
      <c r="G125" s="122"/>
      <c r="H125" s="122"/>
      <c r="I125" s="122"/>
      <c r="J125" s="3"/>
      <c r="K125" s="3"/>
      <c r="L125" s="3"/>
    </row>
    <row r="126" spans="1:12">
      <c r="A126" s="3"/>
      <c r="B126" s="122"/>
      <c r="C126" s="122" t="s">
        <v>1358</v>
      </c>
      <c r="D126" s="455"/>
      <c r="E126" s="122"/>
      <c r="F126" s="122"/>
      <c r="G126" s="122"/>
      <c r="H126" s="122"/>
      <c r="I126" s="122"/>
      <c r="J126" s="3"/>
      <c r="K126" s="3"/>
      <c r="L126" s="3"/>
    </row>
    <row r="127" spans="1:12">
      <c r="A127" s="3"/>
      <c r="B127" s="122"/>
      <c r="C127" s="122" t="s">
        <v>1359</v>
      </c>
      <c r="D127" s="455"/>
      <c r="E127" s="122"/>
      <c r="F127" s="122"/>
      <c r="G127" s="122"/>
      <c r="H127" s="122"/>
      <c r="I127" s="122"/>
      <c r="J127" s="3"/>
      <c r="K127" s="3"/>
      <c r="L127" s="3"/>
    </row>
    <row r="128" spans="1:12">
      <c r="A128" s="3"/>
      <c r="B128" s="122"/>
      <c r="C128" s="122" t="s">
        <v>1360</v>
      </c>
      <c r="D128" s="455"/>
      <c r="E128" s="122"/>
      <c r="F128" s="122"/>
      <c r="G128" s="122"/>
      <c r="H128" s="122"/>
      <c r="I128" s="122"/>
      <c r="J128" s="3"/>
      <c r="K128" s="3"/>
      <c r="L128" s="3"/>
    </row>
    <row r="129" spans="1:12">
      <c r="A129" s="3"/>
      <c r="B129" s="333" t="s">
        <v>1361</v>
      </c>
      <c r="C129" s="122"/>
      <c r="D129" s="455"/>
      <c r="E129" s="122"/>
      <c r="F129" s="122"/>
      <c r="G129" s="122"/>
      <c r="H129" s="122"/>
      <c r="I129" s="122"/>
      <c r="J129" s="3"/>
      <c r="K129" s="3"/>
      <c r="L129" s="3"/>
    </row>
    <row r="130" spans="1:12">
      <c r="A130" s="3"/>
      <c r="B130" s="122"/>
      <c r="C130" s="122" t="s">
        <v>1357</v>
      </c>
      <c r="D130" s="455"/>
      <c r="E130" s="122"/>
      <c r="F130" s="122"/>
      <c r="G130" s="122"/>
      <c r="H130" s="122"/>
      <c r="I130" s="122"/>
      <c r="J130" s="3"/>
      <c r="K130" s="3"/>
      <c r="L130" s="3"/>
    </row>
    <row r="131" spans="1:12">
      <c r="A131" s="3"/>
      <c r="B131" s="122"/>
      <c r="C131" s="122" t="s">
        <v>1362</v>
      </c>
      <c r="D131" s="455"/>
      <c r="E131" s="122"/>
      <c r="F131" s="122"/>
      <c r="G131" s="122"/>
      <c r="H131" s="122"/>
      <c r="I131" s="122"/>
      <c r="J131" s="3"/>
      <c r="K131" s="3"/>
      <c r="L131" s="3"/>
    </row>
    <row r="132" spans="1:12">
      <c r="A132" s="3"/>
      <c r="B132" s="122"/>
      <c r="C132" s="122" t="s">
        <v>1363</v>
      </c>
      <c r="D132" s="455"/>
      <c r="E132" s="122"/>
      <c r="F132" s="122"/>
      <c r="G132" s="122"/>
      <c r="H132" s="122"/>
      <c r="I132" s="122"/>
      <c r="J132" s="3"/>
      <c r="K132" s="3"/>
      <c r="L132" s="3"/>
    </row>
    <row r="133" spans="1:12">
      <c r="A133" s="3"/>
      <c r="B133" s="122"/>
      <c r="C133" s="122" t="s">
        <v>1364</v>
      </c>
      <c r="D133" s="455"/>
      <c r="E133" s="122"/>
      <c r="F133" s="122"/>
      <c r="G133" s="122"/>
      <c r="H133" s="122"/>
      <c r="I133" s="122"/>
      <c r="J133" s="3"/>
      <c r="K133" s="3"/>
      <c r="L133" s="3"/>
    </row>
    <row r="134" spans="1:12">
      <c r="A134" s="3"/>
      <c r="B134" s="333" t="s">
        <v>1365</v>
      </c>
      <c r="C134" s="122"/>
      <c r="D134" s="455"/>
      <c r="E134" s="122"/>
      <c r="F134" s="122"/>
      <c r="G134" s="122"/>
      <c r="H134" s="122"/>
      <c r="I134" s="122"/>
      <c r="J134" s="3"/>
      <c r="K134" s="3"/>
      <c r="L134" s="3"/>
    </row>
    <row r="135" spans="1:12">
      <c r="A135" s="3"/>
      <c r="B135" s="122"/>
      <c r="C135" s="122" t="s">
        <v>1357</v>
      </c>
      <c r="D135" s="455"/>
      <c r="E135" s="122"/>
      <c r="F135" s="122"/>
      <c r="G135" s="122"/>
      <c r="H135" s="122"/>
      <c r="I135" s="122"/>
      <c r="J135" s="3"/>
      <c r="K135" s="3"/>
      <c r="L135" s="3"/>
    </row>
    <row r="136" spans="1:12">
      <c r="A136" s="3"/>
      <c r="B136" s="122"/>
      <c r="C136" s="122" t="s">
        <v>1366</v>
      </c>
      <c r="D136" s="455"/>
      <c r="E136" s="122"/>
      <c r="F136" s="122"/>
      <c r="G136" s="122"/>
      <c r="H136" s="122"/>
      <c r="I136" s="122"/>
      <c r="J136" s="3"/>
      <c r="K136" s="3"/>
      <c r="L136" s="3"/>
    </row>
    <row r="137" spans="1:12">
      <c r="A137" s="3"/>
      <c r="B137" s="122"/>
      <c r="C137" s="122" t="s">
        <v>1367</v>
      </c>
      <c r="D137" s="455"/>
      <c r="E137" s="122"/>
      <c r="F137" s="122"/>
      <c r="G137" s="122"/>
      <c r="H137" s="122"/>
      <c r="I137" s="122"/>
      <c r="J137" s="3"/>
      <c r="K137" s="3"/>
      <c r="L137" s="3"/>
    </row>
    <row r="138" spans="1:12">
      <c r="A138" s="3"/>
      <c r="B138" s="122"/>
      <c r="C138" s="122" t="s">
        <v>1368</v>
      </c>
      <c r="D138" s="455"/>
      <c r="E138" s="122"/>
      <c r="F138" s="122"/>
      <c r="G138" s="122"/>
      <c r="H138" s="122"/>
      <c r="I138" s="122"/>
      <c r="J138" s="3"/>
      <c r="K138" s="3"/>
      <c r="L138" s="3"/>
    </row>
    <row r="139" spans="1:12">
      <c r="A139" s="3"/>
      <c r="B139" s="122"/>
      <c r="C139" s="122" t="s">
        <v>1369</v>
      </c>
      <c r="D139" s="455"/>
      <c r="E139" s="122"/>
      <c r="F139" s="122"/>
      <c r="G139" s="122"/>
      <c r="H139" s="122"/>
      <c r="I139" s="122"/>
      <c r="J139" s="3"/>
      <c r="K139" s="3"/>
      <c r="L139" s="3"/>
    </row>
    <row r="140" spans="1:12">
      <c r="A140" s="3"/>
      <c r="B140" s="122"/>
      <c r="C140" s="122"/>
      <c r="D140" s="122"/>
      <c r="E140" s="122"/>
      <c r="F140" s="122"/>
      <c r="G140" s="122"/>
      <c r="H140" s="122"/>
      <c r="I140" s="122"/>
      <c r="J140" s="3"/>
      <c r="K140" s="3"/>
      <c r="L140" s="3"/>
    </row>
  </sheetData>
  <sheetProtection sheet="1" selectLockedCells="1"/>
  <mergeCells count="3">
    <mergeCell ref="B90:C90"/>
    <mergeCell ref="C77:D77"/>
    <mergeCell ref="C82:D82"/>
  </mergeCells>
  <phoneticPr fontId="63" type="noConversion"/>
  <pageMargins left="0.7" right="0.7" top="0.75" bottom="0.75" header="0.3" footer="0.3"/>
  <pageSetup paperSize="9" orientation="portrait" r:id="rId1"/>
  <ignoredErrors>
    <ignoredError sqref="P4:P12 S4:S14" numberStoredAsText="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38"/>
  <sheetViews>
    <sheetView showGridLines="0" workbookViewId="0">
      <pane ySplit="1" topLeftCell="A2" activePane="bottomLeft" state="frozen"/>
      <selection pane="bottomLeft"/>
    </sheetView>
  </sheetViews>
  <sheetFormatPr defaultRowHeight="15"/>
  <cols>
    <col min="1" max="1" width="4.5703125" customWidth="1"/>
  </cols>
  <sheetData>
    <row r="1" spans="1:2" ht="23.25" customHeight="1">
      <c r="A1" s="233"/>
    </row>
    <row r="2" spans="1:2">
      <c r="A2" s="158"/>
    </row>
    <row r="3" spans="1:2">
      <c r="A3" s="158"/>
      <c r="B3" s="158"/>
    </row>
    <row r="4" spans="1:2">
      <c r="A4" s="158"/>
      <c r="B4" s="158"/>
    </row>
    <row r="5" spans="1:2">
      <c r="A5" s="158"/>
      <c r="B5" s="158"/>
    </row>
    <row r="6" spans="1:2">
      <c r="A6" s="158"/>
      <c r="B6" s="158"/>
    </row>
    <row r="7" spans="1:2">
      <c r="A7" s="158"/>
      <c r="B7" s="158"/>
    </row>
    <row r="8" spans="1:2">
      <c r="A8" s="158"/>
      <c r="B8" s="158"/>
    </row>
    <row r="9" spans="1:2">
      <c r="A9" s="158"/>
      <c r="B9" s="158"/>
    </row>
    <row r="10" spans="1:2">
      <c r="A10" s="158"/>
      <c r="B10" s="158"/>
    </row>
    <row r="11" spans="1:2">
      <c r="A11" s="158"/>
      <c r="B11" s="158"/>
    </row>
    <row r="12" spans="1:2">
      <c r="A12" s="158"/>
      <c r="B12" s="158"/>
    </row>
    <row r="13" spans="1:2">
      <c r="A13" s="158"/>
      <c r="B13" s="158"/>
    </row>
    <row r="14" spans="1:2">
      <c r="A14" s="158"/>
      <c r="B14" s="158"/>
    </row>
    <row r="15" spans="1:2">
      <c r="A15" s="158"/>
      <c r="B15" s="158"/>
    </row>
    <row r="16" spans="1:2">
      <c r="A16" s="158"/>
      <c r="B16" s="158"/>
    </row>
    <row r="17" spans="1:2">
      <c r="A17" s="158"/>
      <c r="B17" s="158"/>
    </row>
    <row r="18" spans="1:2">
      <c r="A18" s="158"/>
      <c r="B18" s="158"/>
    </row>
    <row r="19" spans="1:2">
      <c r="A19" s="158"/>
      <c r="B19" s="158"/>
    </row>
    <row r="20" spans="1:2">
      <c r="A20" s="158"/>
      <c r="B20" s="158"/>
    </row>
    <row r="21" spans="1:2">
      <c r="A21" s="158"/>
      <c r="B21" s="158"/>
    </row>
    <row r="22" spans="1:2">
      <c r="A22" s="158"/>
      <c r="B22" s="158"/>
    </row>
    <row r="23" spans="1:2">
      <c r="A23" s="158"/>
      <c r="B23" s="158"/>
    </row>
    <row r="24" spans="1:2">
      <c r="A24" s="158"/>
      <c r="B24" s="158"/>
    </row>
    <row r="25" spans="1:2">
      <c r="A25" s="158"/>
      <c r="B25" s="158"/>
    </row>
    <row r="26" spans="1:2">
      <c r="A26" s="158"/>
      <c r="B26" s="158"/>
    </row>
    <row r="27" spans="1:2">
      <c r="A27" s="158"/>
      <c r="B27" s="158"/>
    </row>
    <row r="28" spans="1:2">
      <c r="A28" s="158"/>
      <c r="B28" s="158"/>
    </row>
    <row r="29" spans="1:2">
      <c r="A29" s="158"/>
      <c r="B29" s="158"/>
    </row>
    <row r="30" spans="1:2">
      <c r="A30" s="158"/>
      <c r="B30" s="158"/>
    </row>
    <row r="31" spans="1:2">
      <c r="A31" s="158"/>
      <c r="B31" s="158"/>
    </row>
    <row r="32" spans="1:2">
      <c r="A32" s="158"/>
      <c r="B32" s="158"/>
    </row>
    <row r="33" spans="1:2">
      <c r="A33" s="158"/>
      <c r="B33" s="158"/>
    </row>
    <row r="34" spans="1:2">
      <c r="A34" s="158"/>
      <c r="B34" s="158"/>
    </row>
    <row r="35" spans="1:2">
      <c r="A35" s="158"/>
      <c r="B35" s="158"/>
    </row>
    <row r="36" spans="1:2">
      <c r="A36" s="158"/>
      <c r="B36" s="158"/>
    </row>
    <row r="37" spans="1:2">
      <c r="A37" s="158"/>
      <c r="B37" s="158"/>
    </row>
    <row r="38" spans="1:2">
      <c r="A38" s="158"/>
      <c r="B38" s="15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autoPageBreaks="0"/>
  </sheetPr>
  <dimension ref="A1:Q30"/>
  <sheetViews>
    <sheetView showGridLines="0" workbookViewId="0"/>
  </sheetViews>
  <sheetFormatPr defaultColWidth="9" defaultRowHeight="12"/>
  <cols>
    <col min="1" max="1" width="10.5703125" style="66" bestFit="1" customWidth="1"/>
    <col min="2" max="2" width="19.5703125" style="66" bestFit="1" customWidth="1"/>
    <col min="3" max="3" width="5" style="66" bestFit="1" customWidth="1"/>
    <col min="4" max="4" width="7.28515625" style="66" bestFit="1" customWidth="1"/>
    <col min="5" max="5" width="12.42578125" style="66" bestFit="1" customWidth="1"/>
    <col min="6" max="6" width="7.140625" style="66" bestFit="1" customWidth="1"/>
    <col min="7" max="7" width="52.85546875" style="66" bestFit="1" customWidth="1"/>
    <col min="8" max="8" width="10.140625" style="66" bestFit="1" customWidth="1"/>
    <col min="9" max="9" width="19.42578125" style="66" bestFit="1" customWidth="1"/>
    <col min="10" max="16" width="10.140625" style="66" bestFit="1" customWidth="1"/>
    <col min="17" max="16384" width="9" style="66"/>
  </cols>
  <sheetData>
    <row r="1" spans="1:17">
      <c r="A1" s="176" t="s">
        <v>81</v>
      </c>
      <c r="B1" s="176" t="s">
        <v>54</v>
      </c>
      <c r="C1" s="176" t="s">
        <v>58</v>
      </c>
      <c r="D1" s="176" t="s">
        <v>78</v>
      </c>
      <c r="E1" s="176" t="s">
        <v>60</v>
      </c>
      <c r="F1" s="176" t="s">
        <v>86</v>
      </c>
      <c r="G1" s="176" t="s">
        <v>67</v>
      </c>
      <c r="H1" s="176" t="s">
        <v>68</v>
      </c>
      <c r="I1" s="176" t="s">
        <v>69</v>
      </c>
      <c r="J1" s="176" t="s">
        <v>84</v>
      </c>
      <c r="K1" s="176" t="s">
        <v>85</v>
      </c>
      <c r="L1" s="176" t="s">
        <v>87</v>
      </c>
      <c r="M1" s="176" t="s">
        <v>88</v>
      </c>
      <c r="N1" s="176" t="s">
        <v>89</v>
      </c>
      <c r="O1" s="176" t="s">
        <v>90</v>
      </c>
      <c r="P1" s="176" t="s">
        <v>91</v>
      </c>
      <c r="Q1" s="176"/>
    </row>
    <row r="2" spans="1:17">
      <c r="A2" s="177" t="s">
        <v>76</v>
      </c>
      <c r="B2" s="177" t="s">
        <v>77</v>
      </c>
      <c r="C2" s="178" t="s">
        <v>59</v>
      </c>
      <c r="D2" s="177" t="s">
        <v>82</v>
      </c>
      <c r="E2" s="177"/>
      <c r="F2" s="177" t="s">
        <v>83</v>
      </c>
      <c r="G2" s="177" t="str">
        <f>+"Press Yes To Confirm or No to Exit " &amp; CHAR(10) &amp; "กด Yes เพื่อยืนยัน กด No เพื่อยกเลิก"</f>
        <v>Press Yes To Confirm or No to Exit 
กด Yes เพื่อยืนยัน กด No เพื่อยกเลิก</v>
      </c>
      <c r="H2" s="177" t="s">
        <v>70</v>
      </c>
      <c r="I2" s="177" t="s">
        <v>92</v>
      </c>
      <c r="J2" s="177"/>
      <c r="K2" s="177"/>
      <c r="L2" s="177"/>
      <c r="M2" s="177"/>
      <c r="N2" s="177"/>
      <c r="O2" s="177"/>
      <c r="P2" s="177"/>
      <c r="Q2" s="177"/>
    </row>
    <row r="3" spans="1:17">
      <c r="A3" s="177" t="s">
        <v>76</v>
      </c>
      <c r="B3" s="177" t="s">
        <v>77</v>
      </c>
      <c r="C3" s="178" t="s">
        <v>63</v>
      </c>
      <c r="D3" s="177" t="s">
        <v>79</v>
      </c>
      <c r="E3" s="177" t="s">
        <v>64</v>
      </c>
      <c r="F3" s="177" t="s">
        <v>65</v>
      </c>
      <c r="G3" s="177"/>
      <c r="H3" s="177"/>
      <c r="I3" s="177"/>
      <c r="J3" s="177"/>
      <c r="K3" s="177"/>
      <c r="L3" s="177"/>
      <c r="M3" s="177"/>
      <c r="N3" s="177"/>
      <c r="O3" s="177"/>
      <c r="P3" s="177"/>
      <c r="Q3" s="177"/>
    </row>
    <row r="4" spans="1:17">
      <c r="A4" s="177" t="s">
        <v>76</v>
      </c>
      <c r="B4" s="177" t="s">
        <v>77</v>
      </c>
      <c r="C4" s="178" t="s">
        <v>62</v>
      </c>
      <c r="D4" s="177" t="s">
        <v>80</v>
      </c>
      <c r="E4" s="177" t="s">
        <v>66</v>
      </c>
      <c r="F4" s="177" t="s">
        <v>61</v>
      </c>
      <c r="G4" s="177" t="s">
        <v>93</v>
      </c>
      <c r="H4" s="177" t="s">
        <v>94</v>
      </c>
      <c r="I4" s="177" t="s">
        <v>93</v>
      </c>
      <c r="J4" s="177"/>
      <c r="K4" s="177"/>
      <c r="L4" s="177"/>
      <c r="M4" s="177"/>
      <c r="N4" s="177"/>
      <c r="O4" s="177"/>
      <c r="P4" s="177"/>
      <c r="Q4" s="177"/>
    </row>
    <row r="5" spans="1:17">
      <c r="A5" s="177" t="s">
        <v>307</v>
      </c>
      <c r="B5" s="177" t="s">
        <v>308</v>
      </c>
      <c r="C5" s="178" t="s">
        <v>59</v>
      </c>
      <c r="D5" s="177" t="s">
        <v>82</v>
      </c>
      <c r="E5" s="177"/>
      <c r="F5" s="177" t="s">
        <v>83</v>
      </c>
      <c r="G5" s="177" t="s">
        <v>389</v>
      </c>
      <c r="H5" s="177" t="s">
        <v>70</v>
      </c>
      <c r="I5" s="177" t="s">
        <v>92</v>
      </c>
      <c r="J5" s="177"/>
      <c r="K5" s="177"/>
      <c r="L5" s="177"/>
      <c r="M5" s="177"/>
      <c r="N5" s="177"/>
      <c r="O5" s="177"/>
      <c r="P5" s="177"/>
      <c r="Q5" s="177"/>
    </row>
    <row r="6" spans="1:17">
      <c r="A6" s="177" t="s">
        <v>307</v>
      </c>
      <c r="B6" s="177" t="s">
        <v>308</v>
      </c>
      <c r="C6" s="178" t="s">
        <v>63</v>
      </c>
      <c r="D6" s="177" t="s">
        <v>79</v>
      </c>
      <c r="E6" s="177" t="s">
        <v>64</v>
      </c>
      <c r="F6" s="177" t="s">
        <v>65</v>
      </c>
      <c r="G6" s="177"/>
      <c r="H6" s="177"/>
      <c r="I6" s="177"/>
      <c r="J6" s="177"/>
      <c r="K6" s="177"/>
      <c r="L6" s="177"/>
      <c r="M6" s="177"/>
      <c r="N6" s="177"/>
      <c r="O6" s="177"/>
      <c r="P6" s="177"/>
      <c r="Q6" s="177"/>
    </row>
    <row r="7" spans="1:17">
      <c r="A7" s="177" t="s">
        <v>307</v>
      </c>
      <c r="B7" s="177" t="s">
        <v>308</v>
      </c>
      <c r="C7" s="178" t="s">
        <v>62</v>
      </c>
      <c r="D7" s="177" t="s">
        <v>80</v>
      </c>
      <c r="E7" s="177" t="s">
        <v>311</v>
      </c>
      <c r="F7" s="177" t="s">
        <v>61</v>
      </c>
      <c r="G7" s="178"/>
      <c r="H7" s="177"/>
      <c r="I7" s="177"/>
      <c r="J7" s="177"/>
      <c r="K7" s="177"/>
      <c r="L7" s="177"/>
      <c r="M7" s="177"/>
      <c r="N7" s="177"/>
      <c r="O7" s="177"/>
      <c r="P7" s="177"/>
      <c r="Q7" s="177"/>
    </row>
    <row r="8" spans="1:17">
      <c r="A8" s="177" t="s">
        <v>309</v>
      </c>
      <c r="B8" s="177" t="s">
        <v>310</v>
      </c>
      <c r="C8" s="178" t="s">
        <v>59</v>
      </c>
      <c r="D8" s="177" t="s">
        <v>82</v>
      </c>
      <c r="E8" s="177"/>
      <c r="F8" s="177" t="s">
        <v>83</v>
      </c>
      <c r="G8" s="177" t="s">
        <v>799</v>
      </c>
      <c r="H8" s="177" t="s">
        <v>94</v>
      </c>
      <c r="I8" s="177" t="s">
        <v>800</v>
      </c>
      <c r="J8" s="177"/>
      <c r="K8" s="177"/>
      <c r="L8" s="177"/>
      <c r="M8" s="177"/>
      <c r="N8" s="177"/>
      <c r="O8" s="177"/>
      <c r="P8" s="177"/>
      <c r="Q8" s="177"/>
    </row>
    <row r="9" spans="1:17">
      <c r="A9" s="177" t="s">
        <v>801</v>
      </c>
      <c r="B9" s="177" t="s">
        <v>802</v>
      </c>
      <c r="C9" s="178" t="s">
        <v>59</v>
      </c>
      <c r="D9" s="177" t="s">
        <v>82</v>
      </c>
      <c r="E9" s="177"/>
      <c r="F9" s="177" t="s">
        <v>83</v>
      </c>
      <c r="G9" s="177" t="str">
        <f>"Press Yes To Confirm SAVE QUOTATION  or No to Not Save "&amp; CHAR(10) &amp; "กด Yes เพื่อยืนยันบันทึกใบสั่งซื้อ หรือ กด No เพื่อไม่บันทึก"</f>
        <v>Press Yes To Confirm SAVE QUOTATION  or No to Not Save 
กด Yes เพื่อยืนยันบันทึกใบสั่งซื้อ หรือ กด No เพื่อไม่บันทึก</v>
      </c>
      <c r="H9" s="177" t="s">
        <v>70</v>
      </c>
      <c r="I9" s="177" t="s">
        <v>803</v>
      </c>
      <c r="J9" s="177"/>
      <c r="K9" s="177"/>
      <c r="L9" s="177"/>
      <c r="M9" s="177"/>
      <c r="N9" s="177"/>
      <c r="O9" s="177"/>
      <c r="P9" s="177"/>
      <c r="Q9" s="177"/>
    </row>
    <row r="10" spans="1:17">
      <c r="A10" s="177" t="s">
        <v>801</v>
      </c>
      <c r="B10" s="177" t="s">
        <v>802</v>
      </c>
      <c r="C10" s="178" t="s">
        <v>63</v>
      </c>
      <c r="D10" s="177" t="s">
        <v>80</v>
      </c>
      <c r="E10" s="177" t="s">
        <v>66</v>
      </c>
      <c r="F10" s="177" t="s">
        <v>61</v>
      </c>
      <c r="G10" s="177" t="s">
        <v>804</v>
      </c>
      <c r="H10" s="177" t="s">
        <v>94</v>
      </c>
      <c r="I10" s="177" t="s">
        <v>805</v>
      </c>
      <c r="J10" s="177"/>
      <c r="K10" s="177"/>
      <c r="L10" s="177"/>
      <c r="M10" s="177"/>
      <c r="N10" s="177"/>
      <c r="O10" s="177"/>
      <c r="P10" s="177"/>
      <c r="Q10" s="177"/>
    </row>
    <row r="11" spans="1:17">
      <c r="A11" s="177" t="s">
        <v>806</v>
      </c>
      <c r="B11" s="177" t="s">
        <v>807</v>
      </c>
      <c r="C11" s="178" t="s">
        <v>59</v>
      </c>
      <c r="D11" s="177" t="s">
        <v>80</v>
      </c>
      <c r="E11" s="177" t="s">
        <v>311</v>
      </c>
      <c r="F11" s="177"/>
      <c r="G11" s="178"/>
      <c r="H11" s="177"/>
      <c r="I11" s="177"/>
      <c r="J11" s="177"/>
      <c r="K11" s="177"/>
      <c r="L11" s="177"/>
      <c r="M11" s="177"/>
      <c r="N11" s="177"/>
      <c r="O11" s="177"/>
      <c r="P11" s="177"/>
      <c r="Q11" s="177"/>
    </row>
    <row r="12" spans="1:17">
      <c r="A12" s="177" t="s">
        <v>809</v>
      </c>
      <c r="B12" s="177" t="s">
        <v>810</v>
      </c>
      <c r="C12" s="178" t="s">
        <v>59</v>
      </c>
      <c r="D12" s="177" t="s">
        <v>80</v>
      </c>
      <c r="E12" s="177" t="s">
        <v>811</v>
      </c>
      <c r="F12" s="177"/>
      <c r="G12" s="178"/>
      <c r="H12" s="177"/>
      <c r="I12" s="177"/>
      <c r="J12" s="177"/>
      <c r="K12" s="177"/>
      <c r="L12" s="177"/>
      <c r="M12" s="177"/>
      <c r="N12" s="177"/>
      <c r="O12" s="177"/>
      <c r="P12" s="177"/>
      <c r="Q12" s="177"/>
    </row>
    <row r="13" spans="1:17">
      <c r="A13" s="177" t="s">
        <v>837</v>
      </c>
      <c r="B13" s="177" t="s">
        <v>835</v>
      </c>
      <c r="C13" s="178" t="s">
        <v>59</v>
      </c>
      <c r="D13" s="177" t="s">
        <v>80</v>
      </c>
      <c r="E13" s="177" t="s">
        <v>836</v>
      </c>
      <c r="F13" s="177"/>
      <c r="G13" s="178" t="s">
        <v>816</v>
      </c>
      <c r="H13" s="177"/>
      <c r="I13" s="177"/>
      <c r="J13" s="177"/>
      <c r="K13" s="177"/>
      <c r="L13" s="177"/>
      <c r="M13" s="177"/>
      <c r="N13" s="177"/>
      <c r="O13" s="177"/>
      <c r="P13" s="177"/>
      <c r="Q13" s="177"/>
    </row>
    <row r="14" spans="1:17">
      <c r="A14" s="177" t="s">
        <v>1320</v>
      </c>
      <c r="B14" s="177" t="s">
        <v>1321</v>
      </c>
      <c r="C14" s="178" t="s">
        <v>59</v>
      </c>
      <c r="D14" s="177" t="s">
        <v>82</v>
      </c>
      <c r="E14" s="177"/>
      <c r="F14" s="177" t="s">
        <v>83</v>
      </c>
      <c r="G14" s="177" t="str">
        <f>"ที่ Web โปรแกรม" &amp; CHAR(10) &amp; "1) เลือก Menu Setup เพิ่ม ID, MAIN ID, URL และคำอธิบาย " &amp; CHAR(10) &amp; "2) ไปที่ Master Page  เพิ่มข้อมูลให้ครบ" &amp; CHAR(10) &amp; CHAR(10) &amp; "*** ต้องใส่ข้อมูลทั้งสองส่วนให้ครบจึงจะทำงานได้ถูกต้อง"</f>
        <v>ที่ Web โปรแกรม
1) เลือก Menu Setup เพิ่ม ID, MAIN ID, URL และคำอธิบาย 
2) ไปที่ Master Page  เพิ่มข้อมูลให้ครบ
*** ต้องใส่ข้อมูลทั้งสองส่วนให้ครบจึงจะทำงานได้ถูกต้อง</v>
      </c>
      <c r="H14" s="177" t="s">
        <v>94</v>
      </c>
      <c r="I14" s="177" t="s">
        <v>1322</v>
      </c>
      <c r="J14" s="177"/>
      <c r="K14" s="177"/>
      <c r="L14" s="177"/>
      <c r="M14" s="177"/>
      <c r="N14" s="177"/>
      <c r="O14" s="177"/>
      <c r="P14" s="177"/>
      <c r="Q14" s="177"/>
    </row>
    <row r="15" spans="1:17">
      <c r="A15" s="177"/>
      <c r="B15" s="177"/>
      <c r="C15" s="177"/>
      <c r="D15" s="177"/>
      <c r="E15" s="177"/>
      <c r="F15" s="177"/>
      <c r="G15" s="177"/>
      <c r="H15" s="177"/>
      <c r="I15" s="177"/>
      <c r="J15" s="177"/>
      <c r="K15" s="177"/>
      <c r="L15" s="177"/>
      <c r="M15" s="177"/>
      <c r="N15" s="177"/>
      <c r="O15" s="177"/>
      <c r="P15" s="177"/>
      <c r="Q15" s="177"/>
    </row>
    <row r="16" spans="1:17">
      <c r="A16" s="177"/>
      <c r="B16" s="177"/>
      <c r="C16" s="177"/>
      <c r="D16" s="177"/>
      <c r="E16" s="177"/>
      <c r="F16" s="177"/>
      <c r="G16" s="177"/>
      <c r="H16" s="177"/>
      <c r="I16" s="177"/>
      <c r="J16" s="177"/>
      <c r="K16" s="177"/>
      <c r="L16" s="177"/>
      <c r="M16" s="177"/>
      <c r="N16" s="177"/>
      <c r="O16" s="177"/>
      <c r="P16" s="177"/>
      <c r="Q16" s="177"/>
    </row>
    <row r="17" spans="1:17">
      <c r="A17" s="177"/>
      <c r="B17" s="177"/>
      <c r="C17" s="177"/>
      <c r="D17" s="177"/>
      <c r="E17" s="177"/>
      <c r="F17" s="177"/>
      <c r="G17" s="177"/>
      <c r="H17" s="177"/>
      <c r="I17" s="177"/>
      <c r="J17" s="177"/>
      <c r="K17" s="177"/>
      <c r="L17" s="177"/>
      <c r="M17" s="177"/>
      <c r="N17" s="177"/>
      <c r="O17" s="177"/>
      <c r="P17" s="177"/>
      <c r="Q17" s="177"/>
    </row>
    <row r="18" spans="1:17">
      <c r="A18" s="177"/>
      <c r="B18" s="177"/>
      <c r="C18" s="177"/>
      <c r="D18" s="177"/>
      <c r="E18" s="177"/>
      <c r="F18" s="177"/>
      <c r="G18" s="177"/>
      <c r="H18" s="177"/>
      <c r="I18" s="177"/>
      <c r="J18" s="177"/>
      <c r="K18" s="177"/>
      <c r="L18" s="177"/>
      <c r="M18" s="177"/>
      <c r="N18" s="177"/>
      <c r="O18" s="177"/>
      <c r="P18" s="177"/>
      <c r="Q18" s="177"/>
    </row>
    <row r="19" spans="1:17">
      <c r="A19" s="177"/>
      <c r="B19" s="177"/>
      <c r="C19" s="177"/>
      <c r="D19" s="177"/>
      <c r="E19" s="177"/>
      <c r="F19" s="177"/>
      <c r="G19" s="177"/>
      <c r="H19" s="177"/>
      <c r="I19" s="177"/>
      <c r="J19" s="177"/>
      <c r="K19" s="177"/>
      <c r="L19" s="177"/>
      <c r="M19" s="177"/>
      <c r="N19" s="177"/>
      <c r="O19" s="177"/>
      <c r="P19" s="177"/>
      <c r="Q19" s="177"/>
    </row>
    <row r="20" spans="1:17">
      <c r="A20" s="177"/>
      <c r="B20" s="177"/>
      <c r="C20" s="177"/>
      <c r="D20" s="177"/>
      <c r="E20" s="177"/>
      <c r="F20" s="177"/>
      <c r="G20" s="177"/>
      <c r="H20" s="177"/>
      <c r="I20" s="177"/>
      <c r="J20" s="177"/>
      <c r="K20" s="177"/>
      <c r="L20" s="177"/>
      <c r="M20" s="177"/>
      <c r="N20" s="177"/>
      <c r="O20" s="177"/>
      <c r="P20" s="177"/>
      <c r="Q20" s="177"/>
    </row>
    <row r="21" spans="1:17">
      <c r="A21" s="177"/>
      <c r="B21" s="177"/>
      <c r="C21" s="177"/>
      <c r="D21" s="177"/>
      <c r="E21" s="177"/>
      <c r="F21" s="177"/>
      <c r="G21" s="177"/>
      <c r="H21" s="177"/>
      <c r="I21" s="177"/>
      <c r="J21" s="177"/>
      <c r="K21" s="177"/>
      <c r="L21" s="177"/>
      <c r="M21" s="177"/>
      <c r="N21" s="177"/>
      <c r="O21" s="177"/>
      <c r="P21" s="177"/>
      <c r="Q21" s="177"/>
    </row>
    <row r="22" spans="1:17">
      <c r="A22" s="177"/>
      <c r="B22" s="177"/>
      <c r="C22" s="177"/>
      <c r="D22" s="177"/>
      <c r="E22" s="177"/>
      <c r="F22" s="177"/>
      <c r="G22" s="177"/>
      <c r="H22" s="177"/>
      <c r="I22" s="177"/>
      <c r="J22" s="177"/>
      <c r="K22" s="177"/>
      <c r="L22" s="177"/>
      <c r="M22" s="177"/>
      <c r="N22" s="177"/>
      <c r="O22" s="177"/>
      <c r="P22" s="177"/>
      <c r="Q22" s="177"/>
    </row>
    <row r="23" spans="1:17">
      <c r="A23" s="177"/>
      <c r="B23" s="177"/>
      <c r="C23" s="177"/>
      <c r="D23" s="177"/>
      <c r="E23" s="177"/>
      <c r="F23" s="177"/>
      <c r="G23" s="177"/>
      <c r="H23" s="177"/>
      <c r="I23" s="177"/>
      <c r="J23" s="177"/>
      <c r="K23" s="177"/>
      <c r="L23" s="177"/>
      <c r="M23" s="177"/>
      <c r="N23" s="177"/>
      <c r="O23" s="177"/>
      <c r="P23" s="177"/>
      <c r="Q23" s="177"/>
    </row>
    <row r="24" spans="1:17">
      <c r="A24" s="177"/>
      <c r="B24" s="177"/>
      <c r="C24" s="177"/>
      <c r="D24" s="177"/>
      <c r="E24" s="177"/>
      <c r="F24" s="177"/>
      <c r="G24" s="177"/>
      <c r="H24" s="177"/>
      <c r="I24" s="177"/>
      <c r="J24" s="177"/>
      <c r="K24" s="177"/>
      <c r="L24" s="177"/>
      <c r="M24" s="177"/>
      <c r="N24" s="177"/>
      <c r="O24" s="177"/>
      <c r="P24" s="177"/>
      <c r="Q24" s="177"/>
    </row>
    <row r="25" spans="1:17">
      <c r="A25" s="177"/>
      <c r="B25" s="177"/>
      <c r="C25" s="177"/>
      <c r="D25" s="177"/>
      <c r="E25" s="177"/>
      <c r="F25" s="177"/>
      <c r="G25" s="177"/>
      <c r="H25" s="177"/>
      <c r="I25" s="177"/>
      <c r="J25" s="177"/>
      <c r="K25" s="177"/>
      <c r="L25" s="177"/>
      <c r="M25" s="177"/>
      <c r="N25" s="177"/>
      <c r="O25" s="177"/>
      <c r="P25" s="177"/>
      <c r="Q25" s="177"/>
    </row>
    <row r="26" spans="1:17">
      <c r="A26" s="179"/>
      <c r="B26" s="179"/>
      <c r="C26" s="179"/>
      <c r="D26" s="179"/>
      <c r="E26" s="179"/>
      <c r="F26" s="179"/>
      <c r="G26" s="179"/>
      <c r="H26" s="179"/>
      <c r="I26" s="179"/>
      <c r="J26" s="179"/>
      <c r="K26" s="179"/>
      <c r="L26" s="179"/>
      <c r="M26" s="179"/>
      <c r="N26" s="179"/>
      <c r="O26" s="179"/>
      <c r="P26" s="179"/>
      <c r="Q26" s="179"/>
    </row>
    <row r="27" spans="1:17">
      <c r="A27" s="179"/>
      <c r="B27" s="179"/>
      <c r="C27" s="179"/>
      <c r="D27" s="179"/>
      <c r="E27" s="179"/>
      <c r="F27" s="179"/>
      <c r="G27" s="179"/>
      <c r="H27" s="179"/>
      <c r="I27" s="179"/>
      <c r="J27" s="179"/>
      <c r="K27" s="179"/>
      <c r="L27" s="179"/>
      <c r="M27" s="179"/>
      <c r="N27" s="179"/>
      <c r="O27" s="179"/>
      <c r="P27" s="179"/>
      <c r="Q27" s="179"/>
    </row>
    <row r="28" spans="1:17">
      <c r="A28" s="179"/>
      <c r="B28" s="179"/>
      <c r="C28" s="179"/>
      <c r="D28" s="179"/>
      <c r="E28" s="179"/>
      <c r="F28" s="179"/>
      <c r="G28" s="179"/>
      <c r="H28" s="179"/>
      <c r="I28" s="179"/>
      <c r="J28" s="179"/>
      <c r="K28" s="179"/>
      <c r="L28" s="179"/>
      <c r="M28" s="179"/>
      <c r="N28" s="179"/>
      <c r="O28" s="179"/>
      <c r="P28" s="179"/>
      <c r="Q28" s="179"/>
    </row>
    <row r="29" spans="1:17">
      <c r="A29" s="179"/>
      <c r="B29" s="179"/>
      <c r="C29" s="179"/>
      <c r="D29" s="179"/>
      <c r="E29" s="179"/>
      <c r="F29" s="179"/>
      <c r="G29" s="179"/>
      <c r="H29" s="179"/>
      <c r="I29" s="179"/>
      <c r="J29" s="179"/>
      <c r="K29" s="179"/>
      <c r="L29" s="179"/>
      <c r="M29" s="179"/>
      <c r="N29" s="179"/>
      <c r="O29" s="179"/>
      <c r="P29" s="179"/>
      <c r="Q29" s="179"/>
    </row>
    <row r="30" spans="1:17">
      <c r="A30" s="179"/>
      <c r="B30" s="179"/>
      <c r="C30" s="179"/>
      <c r="D30" s="179"/>
      <c r="E30" s="179"/>
      <c r="F30" s="179"/>
      <c r="G30" s="179"/>
      <c r="H30" s="179"/>
      <c r="I30" s="179"/>
      <c r="J30" s="179"/>
      <c r="K30" s="179"/>
      <c r="L30" s="179"/>
      <c r="M30" s="179"/>
      <c r="N30" s="179"/>
      <c r="O30" s="179"/>
      <c r="P30" s="179"/>
      <c r="Q30" s="179"/>
    </row>
  </sheetData>
  <pageMargins left="0.7" right="0.7" top="0.75" bottom="0.75" header="0.3" footer="0.3"/>
  <pageSetup paperSize="9" orientation="portrait" horizontalDpi="300" verticalDpi="300" r:id="rId1"/>
  <ignoredErrors>
    <ignoredError sqref="C2:C14"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A1:K23"/>
  <sheetViews>
    <sheetView showGridLines="0" showRowColHeaders="0" workbookViewId="0"/>
  </sheetViews>
  <sheetFormatPr defaultColWidth="9" defaultRowHeight="12.75"/>
  <cols>
    <col min="1" max="1" width="6.42578125" style="1" customWidth="1"/>
    <col min="2" max="2" width="3" style="30" bestFit="1" customWidth="1"/>
    <col min="3" max="3" width="111" style="1" customWidth="1"/>
    <col min="4" max="4" width="11.42578125" style="1" bestFit="1" customWidth="1"/>
    <col min="5" max="5" width="9.28515625" style="1" customWidth="1"/>
    <col min="6" max="6" width="9" style="1"/>
    <col min="7" max="7" width="11.85546875" style="1" customWidth="1"/>
    <col min="8" max="8" width="11.7109375" style="1" customWidth="1"/>
    <col min="9" max="9" width="12.28515625" style="1" customWidth="1"/>
    <col min="10" max="10" width="11.7109375" style="1" bestFit="1" customWidth="1"/>
    <col min="11" max="11" width="7.140625" style="1" bestFit="1" customWidth="1"/>
    <col min="12" max="16384" width="9" style="1"/>
  </cols>
  <sheetData>
    <row r="1" spans="1:11">
      <c r="A1" s="232"/>
      <c r="B1" s="35"/>
    </row>
    <row r="2" spans="1:11">
      <c r="A2" s="234"/>
      <c r="B2" s="35"/>
      <c r="D2" s="33" t="s">
        <v>32</v>
      </c>
      <c r="K2" s="309">
        <f>+K22</f>
        <v>0.4538461538461539</v>
      </c>
    </row>
    <row r="3" spans="1:11">
      <c r="B3" s="34" t="s">
        <v>13</v>
      </c>
      <c r="C3" s="34" t="s">
        <v>31</v>
      </c>
      <c r="D3" s="34" t="s">
        <v>29</v>
      </c>
      <c r="E3" s="34" t="s">
        <v>46</v>
      </c>
      <c r="F3" s="34" t="s">
        <v>47</v>
      </c>
      <c r="G3" s="34" t="s">
        <v>1016</v>
      </c>
      <c r="H3" s="34" t="s">
        <v>1017</v>
      </c>
      <c r="I3" s="34" t="s">
        <v>71</v>
      </c>
      <c r="J3" s="34" t="s">
        <v>1018</v>
      </c>
      <c r="K3" s="34" t="s">
        <v>1021</v>
      </c>
    </row>
    <row r="4" spans="1:11">
      <c r="B4" s="37">
        <v>1</v>
      </c>
      <c r="C4" s="29" t="s">
        <v>325</v>
      </c>
      <c r="D4" s="58">
        <v>3</v>
      </c>
      <c r="E4" s="29" cm="1">
        <f t="array" ref="E4">INDEX(Variables!$M$6:$M$15,D4)</f>
        <v>7</v>
      </c>
      <c r="F4" s="29" cm="1">
        <f t="array" ref="F4">INDEX(Variables!$N$6:$N$15,D4)</f>
        <v>8</v>
      </c>
      <c r="G4" s="305">
        <v>44197</v>
      </c>
      <c r="H4" s="305">
        <f>+G4+F4</f>
        <v>44205</v>
      </c>
      <c r="I4" s="29" t="s">
        <v>1022</v>
      </c>
      <c r="J4" s="29"/>
      <c r="K4" s="306">
        <v>0.4</v>
      </c>
    </row>
    <row r="5" spans="1:11">
      <c r="B5" s="37">
        <v>2</v>
      </c>
      <c r="C5" s="2" t="s">
        <v>324</v>
      </c>
      <c r="D5" s="303">
        <v>3</v>
      </c>
      <c r="E5" s="29" cm="1">
        <f t="array" ref="E5">INDEX(Variables!$M$6:$M$15,D5)</f>
        <v>7</v>
      </c>
      <c r="F5" s="29" cm="1">
        <f t="array" ref="F5">INDEX(Variables!$N$6:$N$15,D5)</f>
        <v>8</v>
      </c>
      <c r="G5" s="305">
        <v>44197</v>
      </c>
      <c r="H5" s="305">
        <f>+G5+F5</f>
        <v>44205</v>
      </c>
      <c r="I5" s="29" t="s">
        <v>1022</v>
      </c>
      <c r="J5" s="305"/>
      <c r="K5" s="306">
        <v>0.5</v>
      </c>
    </row>
    <row r="6" spans="1:11">
      <c r="B6" s="38"/>
      <c r="C6" s="36" t="s">
        <v>388</v>
      </c>
      <c r="D6" s="60"/>
      <c r="E6" s="51"/>
      <c r="F6" s="47"/>
      <c r="G6" s="305"/>
      <c r="H6" s="305"/>
      <c r="I6" s="29"/>
      <c r="J6" s="29"/>
      <c r="K6" s="29"/>
    </row>
    <row r="7" spans="1:11">
      <c r="B7" s="37">
        <v>3</v>
      </c>
      <c r="C7" s="80" t="s">
        <v>326</v>
      </c>
      <c r="D7" s="59"/>
      <c r="E7" s="46"/>
      <c r="F7" s="46"/>
      <c r="G7" s="305"/>
      <c r="H7" s="305"/>
      <c r="I7" s="29"/>
      <c r="J7" s="29"/>
      <c r="K7" s="29"/>
    </row>
    <row r="8" spans="1:11">
      <c r="B8" s="38"/>
      <c r="C8" s="81" t="s">
        <v>335</v>
      </c>
      <c r="D8" s="303">
        <v>6</v>
      </c>
      <c r="E8" s="29" cm="1">
        <f t="array" ref="E8">INDEX(Variables!$M$6:$M$15,D8)</f>
        <v>15</v>
      </c>
      <c r="F8" s="29" cm="1">
        <f t="array" ref="F8">INDEX(Variables!$N$6:$N$15,D8)</f>
        <v>23</v>
      </c>
      <c r="G8" s="305">
        <v>44197</v>
      </c>
      <c r="H8" s="305">
        <f>+G8+F8</f>
        <v>44220</v>
      </c>
      <c r="I8" s="29" t="s">
        <v>1020</v>
      </c>
      <c r="J8" s="305">
        <v>44255</v>
      </c>
      <c r="K8" s="306">
        <v>1</v>
      </c>
    </row>
    <row r="9" spans="1:11">
      <c r="B9" s="38"/>
      <c r="C9" s="81" t="s">
        <v>336</v>
      </c>
      <c r="D9" s="303">
        <v>9</v>
      </c>
      <c r="E9" s="29" cm="1">
        <f t="array" ref="E9">INDEX(Variables!$M$6:$M$15,D9)</f>
        <v>40</v>
      </c>
      <c r="F9" s="29" cm="1">
        <f t="array" ref="F9">INDEX(Variables!$N$6:$N$15,D9)</f>
        <v>48</v>
      </c>
      <c r="G9" s="305">
        <v>44287</v>
      </c>
      <c r="H9" s="305">
        <f>+G9+F9</f>
        <v>44335</v>
      </c>
      <c r="I9" s="29" t="s">
        <v>1022</v>
      </c>
      <c r="J9" s="305"/>
      <c r="K9" s="306">
        <v>0.1</v>
      </c>
    </row>
    <row r="10" spans="1:11">
      <c r="B10" s="38"/>
      <c r="C10" s="81" t="s">
        <v>334</v>
      </c>
      <c r="D10" s="303">
        <v>7</v>
      </c>
      <c r="E10" s="29" cm="1">
        <f t="array" ref="E10">INDEX(Variables!$M$6:$M$15,D10)</f>
        <v>20</v>
      </c>
      <c r="F10" s="29" cm="1">
        <f t="array" ref="F10">INDEX(Variables!$N$6:$N$15,D10)</f>
        <v>28</v>
      </c>
      <c r="G10" s="305">
        <v>44242</v>
      </c>
      <c r="H10" s="305">
        <f>+G10+F10</f>
        <v>44270</v>
      </c>
      <c r="I10" s="29" t="s">
        <v>1020</v>
      </c>
      <c r="J10" s="305">
        <v>44256</v>
      </c>
      <c r="K10" s="306">
        <v>1</v>
      </c>
    </row>
    <row r="11" spans="1:11">
      <c r="B11" s="38"/>
      <c r="C11" s="81" t="s">
        <v>333</v>
      </c>
      <c r="D11" s="303">
        <v>7</v>
      </c>
      <c r="E11" s="29" cm="1">
        <f t="array" ref="E11">INDEX(Variables!$M$6:$M$15,D11)</f>
        <v>20</v>
      </c>
      <c r="F11" s="29" cm="1">
        <f t="array" ref="F11">INDEX(Variables!$N$6:$N$15,D11)</f>
        <v>28</v>
      </c>
      <c r="G11" s="305">
        <v>44242</v>
      </c>
      <c r="H11" s="305">
        <f>+G11+F11</f>
        <v>44270</v>
      </c>
      <c r="I11" s="29" t="s">
        <v>1020</v>
      </c>
      <c r="J11" s="305">
        <v>44256</v>
      </c>
      <c r="K11" s="306">
        <v>1</v>
      </c>
    </row>
    <row r="12" spans="1:11">
      <c r="B12" s="38"/>
      <c r="C12" s="81" t="s">
        <v>332</v>
      </c>
      <c r="D12" s="303">
        <v>7</v>
      </c>
      <c r="E12" s="29" cm="1">
        <f t="array" ref="E12">INDEX(Variables!$M$6:$M$15,D12)</f>
        <v>20</v>
      </c>
      <c r="F12" s="29" cm="1">
        <f t="array" ref="F12">INDEX(Variables!$N$6:$N$15,D12)</f>
        <v>28</v>
      </c>
      <c r="G12" s="305">
        <v>44242</v>
      </c>
      <c r="H12" s="305">
        <f>+G12+F12</f>
        <v>44270</v>
      </c>
      <c r="I12" s="29" t="s">
        <v>1020</v>
      </c>
      <c r="J12" s="305">
        <v>44256</v>
      </c>
      <c r="K12" s="306">
        <v>1</v>
      </c>
    </row>
    <row r="13" spans="1:11">
      <c r="B13" s="38"/>
      <c r="C13" s="81" t="s">
        <v>331</v>
      </c>
      <c r="D13" s="303">
        <v>5</v>
      </c>
      <c r="E13" s="29" cm="1">
        <f t="array" ref="E13">INDEX(Variables!$M$6:$M$15,D13)</f>
        <v>9</v>
      </c>
      <c r="F13" s="29" cm="1">
        <f t="array" ref="F13">INDEX(Variables!$N$6:$N$15,D13)</f>
        <v>17</v>
      </c>
      <c r="G13" s="305"/>
      <c r="H13" s="305"/>
      <c r="I13" s="29" t="s">
        <v>1023</v>
      </c>
      <c r="J13" s="305"/>
      <c r="K13" s="306"/>
    </row>
    <row r="14" spans="1:11">
      <c r="B14" s="38"/>
      <c r="C14" s="81" t="s">
        <v>337</v>
      </c>
      <c r="D14" s="61">
        <v>10</v>
      </c>
      <c r="E14" s="47" cm="1">
        <f t="array" ref="E14">INDEX(Variables!$M$6:$M$15,D14)</f>
        <v>50</v>
      </c>
      <c r="F14" s="47" cm="1">
        <f t="array" ref="F14">INDEX(Variables!$N$6:$N$15,D14)</f>
        <v>58</v>
      </c>
      <c r="G14" s="305">
        <v>44270</v>
      </c>
      <c r="H14" s="305">
        <f>+G14+F14</f>
        <v>44328</v>
      </c>
      <c r="I14" s="29" t="s">
        <v>1019</v>
      </c>
      <c r="J14" s="305"/>
      <c r="K14" s="306">
        <v>0.9</v>
      </c>
    </row>
    <row r="15" spans="1:11">
      <c r="B15" s="84">
        <v>4</v>
      </c>
      <c r="C15" s="46" t="s">
        <v>327</v>
      </c>
      <c r="D15" s="86"/>
      <c r="E15" s="46"/>
      <c r="F15" s="46"/>
      <c r="G15" s="305"/>
      <c r="H15" s="305"/>
      <c r="I15" s="29"/>
      <c r="J15" s="305"/>
      <c r="K15" s="306"/>
    </row>
    <row r="16" spans="1:11">
      <c r="B16" s="82"/>
      <c r="C16" s="88" t="s">
        <v>328</v>
      </c>
      <c r="D16" s="83">
        <v>7</v>
      </c>
      <c r="E16" s="29" cm="1">
        <f t="array" ref="E16">INDEX(Variables!$M$6:$M$15,D16)</f>
        <v>20</v>
      </c>
      <c r="F16" s="29" cm="1">
        <f t="array" ref="F16">INDEX(Variables!$N$6:$N$15,D16)</f>
        <v>28</v>
      </c>
      <c r="G16" s="305"/>
      <c r="H16" s="305"/>
      <c r="I16" s="29" t="s">
        <v>1023</v>
      </c>
      <c r="J16" s="305"/>
      <c r="K16" s="306">
        <v>0</v>
      </c>
    </row>
    <row r="17" spans="2:11">
      <c r="B17" s="82"/>
      <c r="C17" s="88" t="s">
        <v>329</v>
      </c>
      <c r="D17" s="83">
        <v>7</v>
      </c>
      <c r="E17" s="29" cm="1">
        <f t="array" ref="E17">INDEX(Variables!$M$6:$M$15,D17)</f>
        <v>20</v>
      </c>
      <c r="F17" s="29" cm="1">
        <f t="array" ref="F17">INDEX(Variables!$N$6:$N$15,D17)</f>
        <v>28</v>
      </c>
      <c r="G17" s="305"/>
      <c r="H17" s="305"/>
      <c r="I17" s="29" t="s">
        <v>1023</v>
      </c>
      <c r="J17" s="305"/>
      <c r="K17" s="306">
        <v>0</v>
      </c>
    </row>
    <row r="18" spans="2:11">
      <c r="B18" s="85"/>
      <c r="C18" s="89" t="s">
        <v>330</v>
      </c>
      <c r="D18" s="87">
        <v>7</v>
      </c>
      <c r="E18" s="29" cm="1">
        <f t="array" ref="E18">INDEX(Variables!$M$6:$M$15,D18)</f>
        <v>20</v>
      </c>
      <c r="F18" s="29" cm="1">
        <f t="array" ref="F18">INDEX(Variables!$N$6:$N$15,D18)</f>
        <v>28</v>
      </c>
      <c r="G18" s="305"/>
      <c r="H18" s="305"/>
      <c r="I18" s="29" t="s">
        <v>1023</v>
      </c>
      <c r="J18" s="305"/>
      <c r="K18" s="306">
        <v>0</v>
      </c>
    </row>
    <row r="19" spans="2:11">
      <c r="B19" s="38">
        <v>5</v>
      </c>
      <c r="C19" s="78" t="s">
        <v>49</v>
      </c>
      <c r="D19" s="59">
        <v>3</v>
      </c>
      <c r="E19" s="29" cm="1">
        <f t="array" ref="E19">INDEX(Variables!$M$6:$M$15,D19)</f>
        <v>7</v>
      </c>
      <c r="F19" s="29" cm="1">
        <f t="array" ref="F19">INDEX(Variables!$N$6:$N$15,D19)</f>
        <v>8</v>
      </c>
      <c r="G19" s="305"/>
      <c r="H19" s="305"/>
      <c r="I19" s="29" t="s">
        <v>1023</v>
      </c>
      <c r="J19" s="305"/>
      <c r="K19" s="306">
        <v>0</v>
      </c>
    </row>
    <row r="20" spans="2:11">
      <c r="B20" s="39"/>
      <c r="C20" s="90" t="s">
        <v>53</v>
      </c>
      <c r="D20" s="60">
        <v>5</v>
      </c>
      <c r="E20" s="29" cm="1">
        <f t="array" ref="E20">INDEX(Variables!$M$6:$M$15,D20)</f>
        <v>9</v>
      </c>
      <c r="F20" s="29" cm="1">
        <f t="array" ref="F20">INDEX(Variables!$N$6:$N$15,D20)</f>
        <v>17</v>
      </c>
      <c r="G20" s="305"/>
      <c r="H20" s="305"/>
      <c r="I20" s="29" t="s">
        <v>1023</v>
      </c>
      <c r="J20" s="305"/>
      <c r="K20" s="306">
        <v>0</v>
      </c>
    </row>
    <row r="21" spans="2:11">
      <c r="E21" s="49">
        <f>SUM(E4:E20)</f>
        <v>264</v>
      </c>
      <c r="F21" s="79">
        <f>SUM(F4:F20)</f>
        <v>355</v>
      </c>
      <c r="G21" s="29"/>
      <c r="H21" s="29"/>
      <c r="I21" s="29"/>
      <c r="J21" s="29"/>
      <c r="K21" s="29"/>
    </row>
    <row r="22" spans="2:11">
      <c r="D22" s="52" t="s">
        <v>48</v>
      </c>
      <c r="E22" s="53">
        <f>+E21/30</f>
        <v>8.8000000000000007</v>
      </c>
      <c r="F22" s="53">
        <f>+F21/30</f>
        <v>11.833333333333334</v>
      </c>
      <c r="G22" s="304"/>
      <c r="H22" s="304"/>
      <c r="I22" s="304"/>
      <c r="J22" s="307" t="s">
        <v>1024</v>
      </c>
      <c r="K22" s="308">
        <f>SUM(K4:K20)/COUNT(K4:K20)</f>
        <v>0.4538461538461539</v>
      </c>
    </row>
    <row r="23" spans="2:11">
      <c r="C23" s="81"/>
    </row>
  </sheetData>
  <sheetProtection sheet="1" objects="1" scenarios="1"/>
  <conditionalFormatting sqref="D4:D19">
    <cfRule type="dataBar" priority="12">
      <dataBar>
        <cfvo type="min"/>
        <cfvo type="max"/>
        <color rgb="FFFF555A"/>
      </dataBar>
    </cfRule>
  </conditionalFormatting>
  <conditionalFormatting sqref="D20">
    <cfRule type="dataBar" priority="4">
      <dataBar>
        <cfvo type="min"/>
        <cfvo type="max"/>
        <color rgb="FFFF555A"/>
      </dataBar>
    </cfRule>
  </conditionalFormatting>
  <conditionalFormatting sqref="I5:K5">
    <cfRule type="expression" dxfId="1" priority="3">
      <formula>$I5="Done"</formula>
    </cfRule>
  </conditionalFormatting>
  <conditionalFormatting sqref="I8:K20">
    <cfRule type="expression" dxfId="0" priority="1">
      <formula>$I8="Done"</formula>
    </cfRule>
  </conditionalFormatting>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sheetPr>
  <dimension ref="A1:G9"/>
  <sheetViews>
    <sheetView showGridLines="0" workbookViewId="0"/>
  </sheetViews>
  <sheetFormatPr defaultRowHeight="15"/>
  <cols>
    <col min="1" max="1" width="4.7109375" customWidth="1"/>
    <col min="2" max="2" width="7.5703125" style="1" customWidth="1"/>
    <col min="3" max="3" width="27.140625" style="1" bestFit="1" customWidth="1"/>
    <col min="4" max="4" width="39.42578125" style="1" customWidth="1"/>
    <col min="5" max="5" width="11.42578125" style="1" bestFit="1" customWidth="1"/>
    <col min="6" max="6" width="9.42578125" style="1" customWidth="1"/>
    <col min="7" max="7" width="12.140625" style="1" bestFit="1" customWidth="1"/>
  </cols>
  <sheetData>
    <row r="1" spans="1:7">
      <c r="A1" s="232"/>
    </row>
    <row r="2" spans="1:7">
      <c r="A2" s="158"/>
    </row>
    <row r="3" spans="1:7">
      <c r="B3" s="56" t="s">
        <v>27</v>
      </c>
      <c r="C3" s="56" t="s">
        <v>42</v>
      </c>
      <c r="D3" s="57" t="s">
        <v>28</v>
      </c>
      <c r="E3" s="56" t="s">
        <v>29</v>
      </c>
      <c r="F3" s="56" t="s">
        <v>30</v>
      </c>
      <c r="G3" s="56" t="s">
        <v>51</v>
      </c>
    </row>
    <row r="4" spans="1:7">
      <c r="B4" s="32">
        <v>1</v>
      </c>
      <c r="C4" s="29" t="s">
        <v>43</v>
      </c>
      <c r="D4" s="29" t="s">
        <v>44</v>
      </c>
      <c r="E4" s="29">
        <v>1</v>
      </c>
      <c r="F4" s="29" cm="1">
        <f t="array" ref="F4">INDEX(Variables!$M$6:$M$15,E4)</f>
        <v>3</v>
      </c>
      <c r="G4" s="29" cm="1">
        <f t="array" ref="G4">INDEX(Variables!$N$6:$N$15,E4)</f>
        <v>5</v>
      </c>
    </row>
    <row r="5" spans="1:7">
      <c r="B5" s="32">
        <v>2</v>
      </c>
      <c r="C5" s="29" t="s">
        <v>50</v>
      </c>
      <c r="D5" s="29" t="s">
        <v>45</v>
      </c>
      <c r="E5" s="29"/>
      <c r="F5" s="29">
        <f>+Function!E21</f>
        <v>264</v>
      </c>
      <c r="G5" s="29">
        <f>+Function!F21</f>
        <v>355</v>
      </c>
    </row>
    <row r="6" spans="1:7">
      <c r="B6" s="32">
        <v>3</v>
      </c>
      <c r="C6" s="29" t="s">
        <v>49</v>
      </c>
      <c r="D6" s="29"/>
      <c r="E6" s="29">
        <v>2</v>
      </c>
      <c r="F6" s="29" cm="1">
        <f t="array" ref="F6">INDEX(Variables!$M$6:$M$15,E6)</f>
        <v>5</v>
      </c>
      <c r="G6" s="29" cm="1">
        <f t="array" ref="G6">INDEX(Variables!$N$6:$N$15,E6)</f>
        <v>8</v>
      </c>
    </row>
    <row r="7" spans="1:7">
      <c r="B7" s="32">
        <v>4</v>
      </c>
      <c r="C7" s="29" t="s">
        <v>53</v>
      </c>
      <c r="D7" s="29"/>
      <c r="E7" s="29">
        <v>2</v>
      </c>
      <c r="F7" s="29" cm="1">
        <f t="array" ref="F7">INDEX(Variables!$M$6:$M$15,E7)</f>
        <v>5</v>
      </c>
      <c r="G7" s="29" cm="1">
        <f t="array" ref="G7">INDEX(Variables!$N$6:$N$15,E7)</f>
        <v>8</v>
      </c>
    </row>
    <row r="8" spans="1:7">
      <c r="F8" s="54">
        <f>SUM(F4:F7)</f>
        <v>277</v>
      </c>
      <c r="G8" s="54">
        <f>SUM(G4:G7)</f>
        <v>376</v>
      </c>
    </row>
    <row r="9" spans="1:7">
      <c r="E9" s="52" t="s">
        <v>48</v>
      </c>
      <c r="F9" s="55">
        <f>+F8/30</f>
        <v>9.2333333333333325</v>
      </c>
      <c r="G9" s="55">
        <f>+G8/30</f>
        <v>12.533333333333333</v>
      </c>
    </row>
  </sheetData>
  <pageMargins left="0.7" right="0.7" top="0.75" bottom="0.75" header="0.3" footer="0.3"/>
  <ignoredErrors>
    <ignoredError sqref="F5:G5"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autoPageBreaks="0"/>
  </sheetPr>
  <dimension ref="A4:H29"/>
  <sheetViews>
    <sheetView showGridLines="0" workbookViewId="0">
      <pane ySplit="2" topLeftCell="A3" activePane="bottomLeft" state="frozen"/>
      <selection pane="bottomLeft"/>
    </sheetView>
  </sheetViews>
  <sheetFormatPr defaultColWidth="9" defaultRowHeight="15"/>
  <cols>
    <col min="1" max="1" width="7" customWidth="1"/>
    <col min="2" max="2" width="6.42578125" customWidth="1"/>
    <col min="3" max="3" width="5.28515625" customWidth="1"/>
    <col min="4" max="4" width="16.85546875" bestFit="1" customWidth="1"/>
    <col min="5" max="5" width="7" customWidth="1"/>
    <col min="6" max="6" width="16.85546875" bestFit="1" customWidth="1"/>
    <col min="7" max="7" width="8" customWidth="1"/>
    <col min="8" max="8" width="16.42578125" customWidth="1"/>
    <col min="9" max="9" width="7.7109375" customWidth="1"/>
    <col min="10" max="10" width="15.42578125" customWidth="1"/>
    <col min="11" max="11" width="5.7109375" customWidth="1"/>
    <col min="12" max="12" width="16.140625" customWidth="1"/>
    <col min="13" max="13" width="9" customWidth="1"/>
  </cols>
  <sheetData>
    <row r="4" spans="1:8">
      <c r="D4" s="425" t="s">
        <v>314</v>
      </c>
      <c r="E4" s="424"/>
    </row>
    <row r="5" spans="1:8">
      <c r="A5" s="232"/>
      <c r="B5" s="158"/>
    </row>
    <row r="6" spans="1:8">
      <c r="A6" s="158"/>
      <c r="B6" s="158"/>
    </row>
    <row r="9" spans="1:8">
      <c r="B9" s="158"/>
    </row>
    <row r="10" spans="1:8">
      <c r="B10" s="158"/>
    </row>
    <row r="11" spans="1:8">
      <c r="B11" s="158"/>
    </row>
    <row r="12" spans="1:8">
      <c r="B12" s="158"/>
      <c r="D12" s="98" t="s">
        <v>353</v>
      </c>
    </row>
    <row r="13" spans="1:8">
      <c r="B13" s="158"/>
      <c r="D13" s="38"/>
      <c r="F13" s="93" t="s">
        <v>314</v>
      </c>
      <c r="H13" s="94" t="s">
        <v>352</v>
      </c>
    </row>
    <row r="14" spans="1:8">
      <c r="B14" s="158"/>
      <c r="D14" s="39"/>
      <c r="F14" s="91"/>
      <c r="H14" s="91"/>
    </row>
    <row r="15" spans="1:8">
      <c r="F15" s="91"/>
      <c r="H15" s="38" t="s">
        <v>386</v>
      </c>
    </row>
    <row r="16" spans="1:8">
      <c r="D16" s="99" t="s">
        <v>347</v>
      </c>
      <c r="F16" s="91"/>
      <c r="H16" s="91"/>
    </row>
    <row r="17" spans="4:8">
      <c r="D17" s="38"/>
      <c r="F17" s="91"/>
      <c r="H17" s="91"/>
    </row>
    <row r="18" spans="4:8">
      <c r="D18" s="39"/>
      <c r="F18" s="91"/>
      <c r="H18" s="91"/>
    </row>
    <row r="19" spans="4:8">
      <c r="F19" s="91"/>
      <c r="H19" s="91"/>
    </row>
    <row r="20" spans="4:8">
      <c r="D20" s="95" t="s">
        <v>351</v>
      </c>
      <c r="F20" s="91"/>
      <c r="H20" s="92"/>
    </row>
    <row r="21" spans="4:8">
      <c r="D21" s="38"/>
      <c r="F21" s="91"/>
    </row>
    <row r="22" spans="4:8">
      <c r="D22" s="39"/>
      <c r="F22" s="91"/>
      <c r="H22" s="94" t="s">
        <v>355</v>
      </c>
    </row>
    <row r="23" spans="4:8">
      <c r="F23" s="91"/>
      <c r="H23" s="38"/>
    </row>
    <row r="24" spans="4:8">
      <c r="D24" s="97" t="s">
        <v>350</v>
      </c>
      <c r="F24" s="92"/>
      <c r="H24" s="39"/>
    </row>
    <row r="25" spans="4:8">
      <c r="D25" s="38"/>
    </row>
    <row r="26" spans="4:8">
      <c r="D26" s="39"/>
    </row>
    <row r="27" spans="4:8">
      <c r="F27" s="96" t="s">
        <v>354</v>
      </c>
    </row>
    <row r="28" spans="4:8">
      <c r="F28" s="38"/>
    </row>
    <row r="29" spans="4:8">
      <c r="F29" s="39"/>
    </row>
  </sheetData>
  <hyperlinks>
    <hyperlink ref="F13" location="Database!A1" display="QUOTATION" xr:uid="{00000000-0004-0000-0600-000001000000}"/>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17C8-11D9-48B5-A8F4-BA03B3B50A0C}">
  <sheetPr codeName="Sheet36">
    <tabColor theme="8" tint="-0.499984740745262"/>
  </sheetPr>
  <dimension ref="B1:T42"/>
  <sheetViews>
    <sheetView showGridLines="0" showRowColHeaders="0" workbookViewId="0">
      <pane ySplit="12" topLeftCell="A13" activePane="bottomLeft" state="frozen"/>
      <selection pane="bottomLeft" activeCell="E18" sqref="E18"/>
    </sheetView>
  </sheetViews>
  <sheetFormatPr defaultRowHeight="12.75"/>
  <cols>
    <col min="1" max="1" width="3" style="185" customWidth="1"/>
    <col min="2" max="2" width="4.5703125" style="185" hidden="1" customWidth="1"/>
    <col min="3" max="3" width="37" style="185" hidden="1" customWidth="1"/>
    <col min="4" max="4" width="4.5703125" style="185" hidden="1" customWidth="1"/>
    <col min="5" max="5" width="4.7109375" style="185" customWidth="1"/>
    <col min="6" max="6" width="19" style="185" bestFit="1" customWidth="1"/>
    <col min="7" max="7" width="40.140625" style="185" bestFit="1" customWidth="1"/>
    <col min="8" max="8" width="9.140625" style="185" customWidth="1"/>
    <col min="9" max="9" width="8.7109375" style="185" customWidth="1"/>
    <col min="10" max="10" width="12.140625" style="185" customWidth="1"/>
    <col min="11" max="11" width="26.140625" style="185" bestFit="1" customWidth="1"/>
    <col min="12" max="12" width="9" style="185" customWidth="1"/>
    <col min="13" max="13" width="11.42578125" style="185" customWidth="1"/>
    <col min="14" max="14" width="34.140625" style="185" customWidth="1"/>
    <col min="15" max="15" width="11.140625" style="185" customWidth="1"/>
    <col min="16" max="16" width="13.140625" style="185" customWidth="1"/>
    <col min="17" max="17" width="17.5703125" style="185" bestFit="1" customWidth="1"/>
    <col min="18" max="18" width="11.85546875" style="185" customWidth="1"/>
    <col min="19" max="19" width="9.140625" style="196"/>
    <col min="20" max="20" width="39.28515625" style="196" bestFit="1" customWidth="1"/>
    <col min="21" max="16384" width="9.140625" style="185"/>
  </cols>
  <sheetData>
    <row r="1" spans="3:20">
      <c r="E1" s="204"/>
    </row>
    <row r="2" spans="3:20">
      <c r="N2" s="454"/>
      <c r="O2" s="454"/>
      <c r="P2" s="454"/>
      <c r="T2" s="235" t="s">
        <v>117</v>
      </c>
    </row>
    <row r="3" spans="3:20" ht="15" customHeight="1">
      <c r="E3" s="488" t="s">
        <v>808</v>
      </c>
      <c r="F3" s="488"/>
      <c r="G3" s="471" t="s">
        <v>838</v>
      </c>
      <c r="I3" s="485" t="s">
        <v>839</v>
      </c>
      <c r="J3" s="485"/>
      <c r="K3" s="211" t="s">
        <v>842</v>
      </c>
      <c r="N3" s="454"/>
      <c r="O3" s="454"/>
      <c r="P3" s="454"/>
      <c r="T3" s="185"/>
    </row>
    <row r="4" spans="3:20">
      <c r="E4" s="485" t="s">
        <v>819</v>
      </c>
      <c r="F4" s="485"/>
      <c r="G4" s="471" t="s">
        <v>776</v>
      </c>
      <c r="I4" s="486" t="s">
        <v>840</v>
      </c>
      <c r="J4" s="486"/>
      <c r="K4" s="212" t="s">
        <v>844</v>
      </c>
      <c r="L4" s="213" t="str">
        <f>HYPERLINK("["&amp;K3&amp;"/"&amp;K4&amp;"]"," VIEW PAGE")</f>
        <v xml:space="preserve"> VIEW PAGE</v>
      </c>
      <c r="N4" s="454"/>
      <c r="O4" s="454"/>
      <c r="P4" s="454"/>
      <c r="T4" s="185"/>
    </row>
    <row r="5" spans="3:20">
      <c r="E5" s="485" t="s">
        <v>834</v>
      </c>
      <c r="F5" s="485"/>
      <c r="G5" s="471" t="s">
        <v>578</v>
      </c>
      <c r="N5" s="454"/>
      <c r="O5" s="454"/>
      <c r="P5" s="454"/>
      <c r="T5" s="185"/>
    </row>
    <row r="6" spans="3:20">
      <c r="E6" s="485" t="s">
        <v>680</v>
      </c>
      <c r="F6" s="485"/>
      <c r="G6" s="471" t="str" cm="1">
        <f t="array" ref="G6">INDEX(INDIRECT("Variables!"&amp;IF(MATCH(LEFT(E6,6),Variables!$B$54:$D$54,0)=1,"B55:B59","C55:C59")),IF(RIGHT(E6,1)="Q",1,2))&amp;IF(LEFT(E6,6)="APINEW",TRIM(G4),"")</f>
        <v>pythonLT</v>
      </c>
      <c r="N6" s="454"/>
      <c r="O6" s="454"/>
      <c r="P6" s="454"/>
    </row>
    <row r="7" spans="3:20">
      <c r="E7" s="487" t="s">
        <v>903</v>
      </c>
      <c r="F7" s="487"/>
      <c r="G7" s="471" t="s">
        <v>905</v>
      </c>
      <c r="N7" s="454"/>
      <c r="O7" s="454"/>
      <c r="P7" s="454"/>
    </row>
    <row r="8" spans="3:20">
      <c r="E8" s="487" t="s">
        <v>904</v>
      </c>
      <c r="F8" s="487"/>
      <c r="G8" s="471" t="str">
        <f>G4&amp;"ModelCtl.json"</f>
        <v>CBSModelCtl.json</v>
      </c>
      <c r="N8" s="454"/>
      <c r="O8" s="454"/>
      <c r="P8" s="454"/>
    </row>
    <row r="9" spans="3:20">
      <c r="E9" s="237"/>
      <c r="F9" s="237"/>
      <c r="G9" s="236"/>
      <c r="N9" s="454"/>
      <c r="O9" s="454"/>
      <c r="P9" s="454"/>
    </row>
    <row r="10" spans="3:20">
      <c r="N10" s="454"/>
      <c r="O10" s="454"/>
      <c r="P10" s="454"/>
      <c r="Q10" s="200"/>
    </row>
    <row r="11" spans="3:20" s="235" customFormat="1">
      <c r="E11" s="302">
        <f>MAX(E13:E42)+13</f>
        <v>24</v>
      </c>
      <c r="G11" s="235" t="s">
        <v>824</v>
      </c>
      <c r="H11" s="235" t="s">
        <v>845</v>
      </c>
      <c r="I11" s="235" t="s">
        <v>855</v>
      </c>
      <c r="J11" s="235" t="s">
        <v>856</v>
      </c>
      <c r="K11" s="235" t="s">
        <v>857</v>
      </c>
      <c r="L11" s="235" t="s">
        <v>858</v>
      </c>
      <c r="M11" s="235" t="s">
        <v>825</v>
      </c>
      <c r="N11" s="235" t="s">
        <v>859</v>
      </c>
      <c r="O11" s="235" t="s">
        <v>928</v>
      </c>
      <c r="P11" s="235" t="s">
        <v>929</v>
      </c>
      <c r="Q11" s="235" t="s">
        <v>880</v>
      </c>
      <c r="R11" s="235" t="s">
        <v>833</v>
      </c>
    </row>
    <row r="12" spans="3:20">
      <c r="C12" s="196" t="s">
        <v>828</v>
      </c>
      <c r="D12" s="196" t="s">
        <v>829</v>
      </c>
      <c r="E12" s="202" t="s">
        <v>13</v>
      </c>
      <c r="F12" s="201" t="s">
        <v>821</v>
      </c>
      <c r="G12" s="201" t="s">
        <v>818</v>
      </c>
      <c r="H12" s="201" t="s">
        <v>42</v>
      </c>
      <c r="I12" s="201" t="s">
        <v>822</v>
      </c>
      <c r="J12" s="201" t="s">
        <v>823</v>
      </c>
      <c r="K12" s="203" t="s">
        <v>830</v>
      </c>
      <c r="L12" s="201" t="s">
        <v>831</v>
      </c>
      <c r="M12" s="201" t="s">
        <v>820</v>
      </c>
      <c r="N12" s="201" t="s">
        <v>832</v>
      </c>
      <c r="O12" s="453" t="s">
        <v>312</v>
      </c>
      <c r="P12" s="453" t="s">
        <v>912</v>
      </c>
      <c r="Q12" s="453" t="s">
        <v>1323</v>
      </c>
      <c r="S12" s="185"/>
      <c r="T12" s="185"/>
    </row>
    <row r="13" spans="3:20">
      <c r="C13" s="198" t="str">
        <f>Variables!$C$12&amp;F13&amp;"!A1"</f>
        <v>[ProjectsGen.xlsm]MENU!A1</v>
      </c>
      <c r="D13" s="197">
        <v>1</v>
      </c>
      <c r="E13" s="207">
        <f t="shared" ref="E13:E42" si="0">HYPERLINK(C13,D13)</f>
        <v>1</v>
      </c>
      <c r="F13" s="210" t="s">
        <v>574</v>
      </c>
      <c r="G13" s="208" t="str" cm="1">
        <f t="array" ref="G13">INDIRECT($F13&amp;"!"&amp;G$11)</f>
        <v>MenuTable</v>
      </c>
      <c r="H13" s="209" t="str" cm="1">
        <f t="array" ref="H13">INDIRECT($F13&amp;"!"&amp;H$11)</f>
        <v>SETUP</v>
      </c>
      <c r="I13" s="209" cm="1">
        <f t="array" ref="I13">INDIRECT($F13&amp;"!"&amp;I$11)</f>
        <v>9001</v>
      </c>
      <c r="J13" s="208" t="str" cm="1">
        <f t="array" ref="J13">INDIRECT($F13&amp;"!"&amp;J$11)</f>
        <v>SQLITE</v>
      </c>
      <c r="K13" s="208" t="str" cm="1">
        <f t="array" ref="K13">HYPERLINK("["&amp;INDIRECT($F13&amp;"!"&amp;K$11)&amp;"]",G13 &amp; " - Web Page")</f>
        <v>MenuTable - Web Page</v>
      </c>
      <c r="L13" s="208" cm="1">
        <f t="array" ref="L13">INDIRECT($F13&amp;"!"&amp;L$11)</f>
        <v>0</v>
      </c>
      <c r="M13" s="208" cm="1">
        <f t="array" ref="M13">INDIRECT($F13&amp;"!"&amp;M$11)</f>
        <v>8</v>
      </c>
      <c r="N13" s="208" t="str" cm="1">
        <f t="array" ref="N13">INDIRECT($F13&amp;"!"&amp;N$11)</f>
        <v>ID,categoryid,name,icon,alabel,url,rightsgroup,PageID</v>
      </c>
      <c r="O13" s="301" t="str" cm="1">
        <f t="array" ref="O13">IFERROR(INDIRECT($F13&amp;"!"&amp;O$11),"")</f>
        <v>[98501]</v>
      </c>
      <c r="P13" s="301" t="str" cm="1">
        <f t="array" ref="P13">IFERROR(INDIRECT($F13&amp;"!"&amp;P$11),"")</f>
        <v>[98500]</v>
      </c>
      <c r="Q13" s="301" t="str" cm="1">
        <f t="array" ref="Q13">IFERROR(INDIRECT($F13&amp;"!"&amp;Q$11),"")</f>
        <v>UEM9001.html</v>
      </c>
      <c r="S13" s="185"/>
      <c r="T13" s="185"/>
    </row>
    <row r="14" spans="3:20">
      <c r="C14" s="198" t="str">
        <f>Variables!$C$12&amp;F14&amp;"!A1"</f>
        <v>[ProjectsGen.xlsm]MASTERPAGE!A1</v>
      </c>
      <c r="D14" s="199">
        <f t="shared" ref="D14:D19" si="1">IF(F14="","",+D13+1)</f>
        <v>2</v>
      </c>
      <c r="E14" s="207">
        <f t="shared" si="0"/>
        <v>2</v>
      </c>
      <c r="F14" s="210" t="s">
        <v>573</v>
      </c>
      <c r="G14" s="208" t="str" cm="1">
        <f t="array" ref="G14">INDIRECT($F14&amp;"!"&amp;G$11)</f>
        <v>MasterPageSetUp</v>
      </c>
      <c r="H14" s="209" t="str" cm="1">
        <f t="array" ref="H14">INDIRECT($F14&amp;"!"&amp;H$11)</f>
        <v>SETUP</v>
      </c>
      <c r="I14" s="209" cm="1">
        <f t="array" ref="I14">INDIRECT($F14&amp;"!"&amp;I$11)</f>
        <v>7311</v>
      </c>
      <c r="J14" s="208" t="str" cm="1">
        <f t="array" ref="J14">INDIRECT($F14&amp;"!"&amp;J$11)</f>
        <v>SQLITE</v>
      </c>
      <c r="K14" s="208" t="str" cm="1">
        <f t="array" ref="K14">HYPERLINK("["&amp;INDIRECT($F14&amp;"!"&amp;K$11)&amp;"]",G14 &amp; " - Web Page")</f>
        <v>MasterPageSetUp - Web Page</v>
      </c>
      <c r="L14" s="208" cm="1">
        <f t="array" ref="L14">INDIRECT($F14&amp;"!"&amp;L$11)</f>
        <v>0</v>
      </c>
      <c r="M14" s="208" cm="1">
        <f t="array" ref="M14">INDIRECT($F14&amp;"!"&amp;M$11)</f>
        <v>4</v>
      </c>
      <c r="N14" s="208" t="str" cm="1">
        <f t="array" ref="N14">INDIRECT($F14&amp;"!"&amp;N$11)</f>
        <v>pageID,TableName,PrimaryKey,TBKey</v>
      </c>
      <c r="O14" s="301" t="str" cm="1">
        <f t="array" ref="O14">IFERROR(INDIRECT($F14&amp;"!"&amp;O$11),"")</f>
        <v>[98502]</v>
      </c>
      <c r="P14" s="301" t="str" cm="1">
        <f t="array" ref="P14">IFERROR(INDIRECT($F14&amp;"!"&amp;P$11),"")</f>
        <v>[98500]</v>
      </c>
      <c r="Q14" s="301" t="str" cm="1">
        <f t="array" ref="Q14">IFERROR(INDIRECT($F14&amp;"!"&amp;Q$11),"")</f>
        <v>EAEM7311.html</v>
      </c>
      <c r="S14" s="185"/>
      <c r="T14" s="185"/>
    </row>
    <row r="15" spans="3:20">
      <c r="C15" s="198" t="str">
        <f>Variables!$C$12&amp;F15&amp;"!A1"</f>
        <v>[ProjectsGen.xlsm]USERS!A1</v>
      </c>
      <c r="D15" s="199">
        <f t="shared" si="1"/>
        <v>3</v>
      </c>
      <c r="E15" s="207">
        <f t="shared" si="0"/>
        <v>3</v>
      </c>
      <c r="F15" s="210" t="s">
        <v>515</v>
      </c>
      <c r="G15" s="208" t="str" cm="1">
        <f t="array" ref="G15">INDIRECT($F15&amp;"!"&amp;G$11)</f>
        <v>MainUsrs</v>
      </c>
      <c r="H15" s="209" t="str" cm="1">
        <f t="array" ref="H15">INDIRECT($F15&amp;"!"&amp;H$11)</f>
        <v>SETUP</v>
      </c>
      <c r="I15" s="209" cm="1">
        <f t="array" ref="I15">INDIRECT($F15&amp;"!"&amp;I$11)</f>
        <v>9019</v>
      </c>
      <c r="J15" s="208" t="str" cm="1">
        <f t="array" ref="J15">INDIRECT($F15&amp;"!"&amp;J$11)</f>
        <v>SQLITE</v>
      </c>
      <c r="K15" s="208" t="str" cm="1">
        <f t="array" ref="K15">HYPERLINK("["&amp;INDIRECT($F15&amp;"!"&amp;K$11)&amp;"]",G15 &amp; " - Web Page")</f>
        <v>MainUsrs - Web Page</v>
      </c>
      <c r="L15" s="208" cm="1">
        <f t="array" ref="L15">INDIRECT($F15&amp;"!"&amp;L$11)</f>
        <v>0</v>
      </c>
      <c r="M15" s="208" cm="1">
        <f t="array" ref="M15">INDIRECT($F15&amp;"!"&amp;M$11)</f>
        <v>16</v>
      </c>
      <c r="N15" s="208" t="str" cm="1">
        <f t="array" ref="N15">INDIRECT($F15&amp;"!"&amp;N$11)</f>
        <v>IDUsr,LGName,Pword,Description,Kright,Tkey,Active,Gright,Scopebase,Department,Division,Nickname,PictureLoc,email,telephone,otp</v>
      </c>
      <c r="O15" s="301" t="str" cm="1">
        <f t="array" ref="O15">IFERROR(INDIRECT($F15&amp;"!"&amp;O$11),"")</f>
        <v>[99010]</v>
      </c>
      <c r="P15" s="301" t="str" cm="1">
        <f t="array" ref="P15">IFERROR(INDIRECT($F15&amp;"!"&amp;P$11),"")</f>
        <v>[990]</v>
      </c>
      <c r="Q15" s="301" t="str" cm="1">
        <f t="array" ref="Q15">IFERROR(INDIRECT($F15&amp;"!"&amp;Q$11),"")</f>
        <v>SSSU9019.html</v>
      </c>
      <c r="S15" s="185"/>
      <c r="T15" s="185"/>
    </row>
    <row r="16" spans="3:20">
      <c r="C16" s="198" t="str">
        <f>Variables!$C$12&amp;F16&amp;"!A1"</f>
        <v>[ProjectsGen.xlsm]CLASSOFRISK!A1</v>
      </c>
      <c r="D16" s="199">
        <f t="shared" si="1"/>
        <v>4</v>
      </c>
      <c r="E16" s="207">
        <f t="shared" si="0"/>
        <v>4</v>
      </c>
      <c r="F16" s="210" t="s">
        <v>572</v>
      </c>
      <c r="G16" s="208" t="str" cm="1">
        <f t="array" ref="G16">INDIRECT($F16&amp;"!"&amp;G$11)</f>
        <v>ClassOfRisk</v>
      </c>
      <c r="H16" s="209" t="str" cm="1">
        <f t="array" ref="H16">INDIRECT($F16&amp;"!"&amp;H$11)</f>
        <v>MASTER</v>
      </c>
      <c r="I16" s="209" cm="1">
        <f t="array" ref="I16">INDIRECT($F16&amp;"!"&amp;I$11)</f>
        <v>9001</v>
      </c>
      <c r="J16" s="208" t="str" cm="1">
        <f t="array" ref="J16">INDIRECT($F16&amp;"!"&amp;J$11)</f>
        <v>MSSQL</v>
      </c>
      <c r="K16" s="208" t="str" cm="1">
        <f t="array" ref="K16">HYPERLINK("["&amp;INDIRECT($F16&amp;"!"&amp;K$11)&amp;"]",G16 &amp; " - Web Page")</f>
        <v>ClassOfRisk - Web Page</v>
      </c>
      <c r="L16" s="208" cm="1">
        <f t="array" aca="1" ref="L16" ca="1">INDIRECT($F16&amp;"!"&amp;L$11)</f>
        <v>0</v>
      </c>
      <c r="M16" s="208" cm="1">
        <f t="array" ref="M16">INDIRECT($F16&amp;"!"&amp;M$11)</f>
        <v>7</v>
      </c>
      <c r="N16" s="208" t="str" cm="1">
        <f t="array" ref="N16">INDIRECT($F16&amp;"!"&amp;N$11)</f>
        <v>Risk,Description,RiskGroupI,RiskGroupII,RiskShortDesc,RiskGovernment,Department</v>
      </c>
      <c r="O16" s="301" t="str" cm="1">
        <f t="array" ref="O16">IFERROR(INDIRECT($F16&amp;"!"&amp;O$11),"")</f>
        <v>[90112]</v>
      </c>
      <c r="P16" s="301" t="str" cm="1">
        <f t="array" ref="P16">IFERROR(INDIRECT($F16&amp;"!"&amp;P$11),"")</f>
        <v>[90100]</v>
      </c>
      <c r="Q16" s="301" t="str" cm="1">
        <f t="array" ref="Q16">IFERROR(INDIRECT($F16&amp;"!"&amp;Q$11),"")</f>
        <v>KLSC9001.html</v>
      </c>
      <c r="S16" s="185"/>
      <c r="T16" s="185"/>
    </row>
    <row r="17" spans="3:17">
      <c r="C17" s="198" t="str">
        <f>Variables!$C$12&amp;F17&amp;"!A1"</f>
        <v>[ProjectsGen.xlsm]UNDERWRITER!A1</v>
      </c>
      <c r="D17" s="199">
        <f t="shared" si="1"/>
        <v>5</v>
      </c>
      <c r="E17" s="207">
        <f t="shared" si="0"/>
        <v>5</v>
      </c>
      <c r="F17" s="210" t="s">
        <v>350</v>
      </c>
      <c r="G17" s="208" t="str" cm="1">
        <f t="array" ref="G17">INDIRECT($F17&amp;"!"&amp;G$11)</f>
        <v>Underwriter</v>
      </c>
      <c r="H17" s="209" t="str" cm="1">
        <f t="array" ref="H17">INDIRECT($F17&amp;"!"&amp;H$11)</f>
        <v>MASTER</v>
      </c>
      <c r="I17" s="209" cm="1">
        <f t="array" ref="I17">INDIRECT($F17&amp;"!"&amp;I$11)</f>
        <v>9019</v>
      </c>
      <c r="J17" s="208" t="str" cm="1">
        <f t="array" ref="J17">INDIRECT($F17&amp;"!"&amp;J$11)</f>
        <v>MSSQL</v>
      </c>
      <c r="K17" s="208" t="str" cm="1">
        <f t="array" ref="K17">HYPERLINK("["&amp;INDIRECT($F17&amp;"!"&amp;K$11)&amp;"]",G17 &amp; " - Web Page")</f>
        <v>Underwriter - Web Page</v>
      </c>
      <c r="L17" s="208" cm="1">
        <f t="array" ref="L17">INDIRECT($F17&amp;"!"&amp;L$11)</f>
        <v>0</v>
      </c>
      <c r="M17" s="208" cm="1">
        <f t="array" ref="M17">INDIRECT($F17&amp;"!"&amp;M$11)</f>
        <v>27</v>
      </c>
      <c r="N17" s="208" t="str" cm="1">
        <f t="array" ref="N17">INDIRECT($F17&amp;"!"&amp;N$11)</f>
        <v>Underwriter,CrossReference,Name,Address1,Address2,Address3,PostCode,City,PhoneBusiness,PhoneHome,Facsimile,AccountContact,Addressee,Salutation,DaysCredit,TrueUnderwriter,EntryBy,EntryDate,FinanceContact,GeneralClaimContact,Type,InsuranceLine,VATPayType,PhoneFinance,PhoneClaims,FaxFinance,FaxClaims</v>
      </c>
      <c r="O17" s="301" t="str" cm="1">
        <f t="array" ref="O17">IFERROR(INDIRECT($F17&amp;"!"&amp;O$11),"")</f>
        <v>[90111]</v>
      </c>
      <c r="P17" s="301" t="str" cm="1">
        <f t="array" ref="P17">IFERROR(INDIRECT($F17&amp;"!"&amp;P$11),"")</f>
        <v>[90100]</v>
      </c>
      <c r="Q17" s="301" t="str" cm="1">
        <f t="array" ref="Q17">IFERROR(INDIRECT($F17&amp;"!"&amp;Q$11),"")</f>
        <v>RXNXRU9019.html</v>
      </c>
    </row>
    <row r="18" spans="3:17">
      <c r="C18" s="198" t="str">
        <f>Variables!$C$12&amp;F18&amp;"!A1"</f>
        <v>[ProjectsGen.xlsm]CLIENTS!A1</v>
      </c>
      <c r="D18" s="199">
        <f t="shared" si="1"/>
        <v>6</v>
      </c>
      <c r="E18" s="207">
        <f t="shared" si="0"/>
        <v>6</v>
      </c>
      <c r="F18" s="210" t="s">
        <v>353</v>
      </c>
      <c r="G18" s="208" t="str" cm="1">
        <f t="array" ref="G18">IFERROR(INDIRECT($F18&amp;"!"&amp;G$11),"")</f>
        <v>Clients</v>
      </c>
      <c r="H18" s="208" t="str" cm="1">
        <f t="array" ref="H18">IFERROR(INDIRECT($F18&amp;"!"&amp;H$11),"")</f>
        <v>MASTER</v>
      </c>
      <c r="I18" s="209" cm="1">
        <f t="array" ref="I18">IFERROR(INDIRECT($F18&amp;"!"&amp;I$11),"")</f>
        <v>9019</v>
      </c>
      <c r="J18" s="208" t="str" cm="1">
        <f t="array" ref="J18">IFERROR(INDIRECT($F18&amp;"!"&amp;J$11),"")</f>
        <v>MSSQL</v>
      </c>
      <c r="K18" s="208" t="str" cm="1">
        <f t="array" ref="K18">IFERROR(HYPERLINK("["&amp;INDIRECT($F18&amp;"!"&amp;K$11)&amp;"]",G18 &amp; " - Web Page"),"")</f>
        <v>Clients - Web Page</v>
      </c>
      <c r="L18" s="208" cm="1">
        <f t="array" ref="L18">IFERROR(INDIRECT($F18&amp;"!"&amp;L$11),"")</f>
        <v>9000</v>
      </c>
      <c r="M18" s="208" cm="1">
        <f t="array" ref="M18">IFERROR(INDIRECT($F18&amp;"!"&amp;M$11),"")</f>
        <v>43</v>
      </c>
      <c r="N18" s="208" t="str" cm="1">
        <f t="array" ref="N18">IFERROR(INDIRECT($F18&amp;"!"&amp;N$11),"")</f>
        <v>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O18" s="301" t="str" cm="1">
        <f t="array" ref="O18">IFERROR(INDIRECT($F18&amp;"!"&amp;O$11),"")</f>
        <v>[90110]</v>
      </c>
      <c r="P18" s="301" t="str" cm="1">
        <f t="array" ref="P18">IFERROR(INDIRECT($F18&amp;"!"&amp;P$11),"")</f>
        <v>[90100]</v>
      </c>
      <c r="Q18" s="301" t="str" cm="1">
        <f t="array" ref="Q18">IFERROR(INDIRECT($F18&amp;"!"&amp;Q$11),"")</f>
        <v>SXLXNC9019.html</v>
      </c>
    </row>
    <row r="19" spans="3:17">
      <c r="C19" s="198" t="str">
        <f>Variables!$C$12&amp;F19&amp;"!A1"</f>
        <v>[ProjectsGen.xlsm]AGENT!A1</v>
      </c>
      <c r="D19" s="199">
        <f t="shared" si="1"/>
        <v>7</v>
      </c>
      <c r="E19" s="207">
        <f t="shared" si="0"/>
        <v>7</v>
      </c>
      <c r="F19" s="210" t="s">
        <v>860</v>
      </c>
      <c r="G19" s="208" t="str" cm="1">
        <f t="array" ref="G19">IFERROR(INDIRECT($F19&amp;"!"&amp;G$11),"")</f>
        <v>Agents</v>
      </c>
      <c r="H19" s="208" t="str" cm="1">
        <f t="array" ref="H19">IFERROR(INDIRECT($F19&amp;"!"&amp;H$11),"")</f>
        <v>MASTER</v>
      </c>
      <c r="I19" s="209" cm="1">
        <f t="array" ref="I19">IFERROR(INDIRECT($F19&amp;"!"&amp;I$11),"")</f>
        <v>2309</v>
      </c>
      <c r="J19" s="208" t="str" cm="1">
        <f t="array" ref="J19">IFERROR(INDIRECT($F19&amp;"!"&amp;J$11),"")</f>
        <v>MSSQL</v>
      </c>
      <c r="K19" s="208" t="str" cm="1">
        <f t="array" ref="K19">IFERROR(HYPERLINK("["&amp;INDIRECT($F19&amp;"!"&amp;K$11)&amp;"]",G19 &amp; " - Web Page"),"")</f>
        <v>Agents - Web Page</v>
      </c>
      <c r="L19" s="208" cm="1">
        <f t="array" ref="L19">IFERROR(INDIRECT($F19&amp;"!"&amp;L$11),"")</f>
        <v>0</v>
      </c>
      <c r="M19" s="208" cm="1">
        <f t="array" ref="M19">IFERROR(INDIRECT($F19&amp;"!"&amp;M$11),"")</f>
        <v>17</v>
      </c>
      <c r="N19" s="208" t="str" cm="1">
        <f t="array" ref="N19">IFERROR(INDIRECT($F19&amp;"!"&amp;N$11),"")</f>
        <v>Agent,Name,Address1,Address2,Address3,PostCode,City,PhoneBusiness,PhoneHome,ContactPerson,Addressee,Salutation,Occupation,EntryBy,EntryDate,IsSubAgent,InternetAddress</v>
      </c>
      <c r="O19" s="301" t="str" cm="1">
        <f t="array" ref="O19">IFERROR(INDIRECT($F19&amp;"!"&amp;O$11),"")</f>
        <v>[90115]</v>
      </c>
      <c r="P19" s="301" t="str" cm="1">
        <f t="array" ref="P19">IFERROR(INDIRECT($F19&amp;"!"&amp;P$11),"")</f>
        <v>[90100]</v>
      </c>
      <c r="Q19" s="301" t="str" cm="1">
        <f t="array" ref="Q19">IFERROR(INDIRECT($F19&amp;"!"&amp;Q$11),"")</f>
        <v>TXGXTA2309.html</v>
      </c>
    </row>
    <row r="20" spans="3:17">
      <c r="C20" s="198" t="str">
        <f>Variables!$C$12&amp;F20&amp;"!A1"</f>
        <v>[ProjectsGen.xlsm]AGENTFULL!A1</v>
      </c>
      <c r="D20" s="199">
        <f t="shared" ref="D20:D33" si="2">IF(F20="","",+D19+1)</f>
        <v>8</v>
      </c>
      <c r="E20" s="207">
        <f t="shared" si="0"/>
        <v>8</v>
      </c>
      <c r="F20" s="210" t="s">
        <v>938</v>
      </c>
      <c r="G20" s="208" t="str" cm="1">
        <f t="array" ref="G20">IFERROR(INDIRECT($F20&amp;"!"&amp;G$11),"")</f>
        <v>AgentInfo</v>
      </c>
      <c r="H20" s="208" t="str" cm="1">
        <f t="array" ref="H20">IFERROR(INDIRECT($F20&amp;"!"&amp;H$11),"")</f>
        <v>MASTER</v>
      </c>
      <c r="I20" s="209" cm="1">
        <f t="array" ref="I20">IFERROR(INDIRECT($F20&amp;"!"&amp;I$11),"")</f>
        <v>11</v>
      </c>
      <c r="J20" s="208" t="str" cm="1">
        <f t="array" ref="J20">IFERROR(INDIRECT($F20&amp;"!"&amp;J$11),"")</f>
        <v>MSSQL</v>
      </c>
      <c r="K20" s="208" t="str" cm="1">
        <f t="array" ref="K20">IFERROR(HYPERLINK("["&amp;INDIRECT($F20&amp;"!"&amp;K$11)&amp;"]",G20 &amp; " - Web Page"),"")</f>
        <v>AgentInfo - Web Page</v>
      </c>
      <c r="L20" s="208" cm="1">
        <f t="array" ref="L20">IFERROR(INDIRECT($F20&amp;"!"&amp;L$11),"")</f>
        <v>0</v>
      </c>
      <c r="M20" s="208" cm="1">
        <f t="array" ref="M20">IFERROR(INDIRECT($F20&amp;"!"&amp;M$11),"")</f>
        <v>39</v>
      </c>
      <c r="N20" s="208" t="str" cm="1">
        <f t="array" ref="N20">IFERROR(INDIRECT($F20&amp;"!"&amp;N$11),"")</f>
        <v>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O20" s="301" t="str" cm="1">
        <f t="array" ref="O20">IFERROR(INDIRECT($F20&amp;"!"&amp;O$11),"")</f>
        <v>[90117]</v>
      </c>
      <c r="P20" s="301" t="str" cm="1">
        <f t="array" ref="P20">IFERROR(INDIRECT($F20&amp;"!"&amp;P$11),"")</f>
        <v>[90100]</v>
      </c>
      <c r="Q20" s="301" t="str" cm="1">
        <f t="array" ref="Q20">IFERROR(INDIRECT($F20&amp;"!"&amp;Q$11),"")</f>
        <v>LGTA11.html</v>
      </c>
    </row>
    <row r="21" spans="3:17">
      <c r="C21" s="198" t="str">
        <f>Variables!$C$12&amp;F21&amp;"!A1"</f>
        <v>[ProjectsGen.xlsm]ACCOUNTEXECUTIVE!A1</v>
      </c>
      <c r="D21" s="199">
        <f t="shared" si="2"/>
        <v>9</v>
      </c>
      <c r="E21" s="207">
        <f t="shared" si="0"/>
        <v>9</v>
      </c>
      <c r="F21" s="210" t="s">
        <v>923</v>
      </c>
      <c r="G21" s="208" t="str" cm="1">
        <f t="array" ref="G21">IFERROR(INDIRECT($F21&amp;"!"&amp;G$11),"")</f>
        <v>AccountExecutive</v>
      </c>
      <c r="H21" s="208" t="str" cm="1">
        <f t="array" ref="H21">IFERROR(INDIRECT($F21&amp;"!"&amp;H$11),"")</f>
        <v>MASTER</v>
      </c>
      <c r="I21" s="209" cm="1">
        <f t="array" ref="I21">IFERROR(INDIRECT($F21&amp;"!"&amp;I$11),"")</f>
        <v>5749</v>
      </c>
      <c r="J21" s="208" t="str" cm="1">
        <f t="array" ref="J21">IFERROR(INDIRECT($F21&amp;"!"&amp;J$11),"")</f>
        <v>MSSQL</v>
      </c>
      <c r="K21" s="208" t="str" cm="1">
        <f t="array" ref="K21">IFERROR(HYPERLINK("["&amp;INDIRECT($F21&amp;"!"&amp;K$11)&amp;"]",G21 &amp; " - Web Page"),"")</f>
        <v>AccountExecutive - Web Page</v>
      </c>
      <c r="L21" s="208" cm="1">
        <f t="array" ref="L21">IFERROR(INDIRECT($F21&amp;"!"&amp;L$11),"")</f>
        <v>0</v>
      </c>
      <c r="M21" s="208" cm="1">
        <f t="array" ref="M21">IFERROR(INDIRECT($F21&amp;"!"&amp;M$11),"")</f>
        <v>14</v>
      </c>
      <c r="N21" s="208" t="str" cm="1">
        <f t="array" ref="N21">IFERROR(INDIRECT($F21&amp;"!"&amp;N$11),"")</f>
        <v>AccountExecutive,Name,Address1,Address2,Address3,PostCode,City,PhoneBusiness,PhoneHome,EntryBy,EntryDate,Unit,Title,Internet_Address</v>
      </c>
      <c r="O21" s="301" t="str" cm="1">
        <f t="array" ref="O21">IFERROR(INDIRECT($F21&amp;"!"&amp;O$11),"")</f>
        <v>[90114]</v>
      </c>
      <c r="P21" s="301" t="str" cm="1">
        <f t="array" ref="P21">IFERROR(INDIRECT($F21&amp;"!"&amp;P$11),"")</f>
        <v>[90100]</v>
      </c>
      <c r="Q21" s="301" t="str" cm="1">
        <f t="array" ref="Q21">IFERROR(INDIRECT($F21&amp;"!"&amp;Q$11),"")</f>
        <v>EXCXUA5749.html</v>
      </c>
    </row>
    <row r="22" spans="3:17">
      <c r="C22" s="198" t="str">
        <f>Variables!$C$12&amp;F22&amp;"!A1"</f>
        <v>[ProjectsGen.xlsm]CURRENCY!A1</v>
      </c>
      <c r="D22" s="199">
        <f t="shared" si="2"/>
        <v>10</v>
      </c>
      <c r="E22" s="207">
        <f t="shared" si="0"/>
        <v>10</v>
      </c>
      <c r="F22" s="210" t="s">
        <v>894</v>
      </c>
      <c r="G22" s="208" t="str" cm="1">
        <f t="array" ref="G22">IFERROR(INDIRECT($F22&amp;"!"&amp;G$11),"")</f>
        <v>Currency</v>
      </c>
      <c r="H22" s="208" t="str" cm="1">
        <f t="array" ref="H22">IFERROR(INDIRECT($F22&amp;"!"&amp;H$11),"")</f>
        <v>MASTER</v>
      </c>
      <c r="I22" s="209" cm="1">
        <f t="array" ref="I22">IFERROR(INDIRECT($F22&amp;"!"&amp;I$11),"")</f>
        <v>5842</v>
      </c>
      <c r="J22" s="208" t="str" cm="1">
        <f t="array" ref="J22">IFERROR(INDIRECT($F22&amp;"!"&amp;J$11),"")</f>
        <v>MSSQL</v>
      </c>
      <c r="K22" s="208" t="str" cm="1">
        <f t="array" ref="K22">IFERROR(HYPERLINK("["&amp;INDIRECT($F22&amp;"!"&amp;K$11)&amp;"]",G22 &amp; " - Web Page"),"")</f>
        <v>Currency - Web Page</v>
      </c>
      <c r="L22" s="208" cm="1">
        <f t="array" ref="L22">IFERROR(INDIRECT($F22&amp;"!"&amp;L$11),"")</f>
        <v>0</v>
      </c>
      <c r="M22" s="208" cm="1">
        <f t="array" ref="M22">IFERROR(INDIRECT($F22&amp;"!"&amp;M$11),"")</f>
        <v>3</v>
      </c>
      <c r="N22" s="208" t="str" cm="1">
        <f t="array" ref="N22">IFERROR(INDIRECT($F22&amp;"!"&amp;N$11),"")</f>
        <v>Code,ShortName,Name</v>
      </c>
      <c r="O22" s="301" t="str" cm="1">
        <f t="array" ref="O22">IFERROR(INDIRECT($F22&amp;"!"&amp;O$11),"")</f>
        <v>[90116]</v>
      </c>
      <c r="P22" s="301" t="str" cm="1">
        <f t="array" ref="P22">IFERROR(INDIRECT($F22&amp;"!"&amp;P$11),"")</f>
        <v>[90100]</v>
      </c>
      <c r="Q22" s="301" t="str" cm="1">
        <f t="array" ref="Q22">IFERROR(INDIRECT($F22&amp;"!"&amp;Q$11),"")</f>
        <v>YUEC5842.html</v>
      </c>
    </row>
    <row r="23" spans="3:17">
      <c r="C23" s="198" t="str">
        <f>Variables!$C$12&amp;F23&amp;"!A1"</f>
        <v>[ProjectsGen.xlsm]NEXTNUMBER!A1</v>
      </c>
      <c r="D23" s="199">
        <f t="shared" si="2"/>
        <v>11</v>
      </c>
      <c r="E23" s="207">
        <f t="shared" si="0"/>
        <v>11</v>
      </c>
      <c r="F23" s="210" t="s">
        <v>1401</v>
      </c>
      <c r="G23" s="208" t="str" cm="1">
        <f t="array" aca="1" ref="G23" ca="1">IFERROR(INDIRECT($F23&amp;"!"&amp;G$11),"")</f>
        <v>NextNumber</v>
      </c>
      <c r="H23" s="208" t="str" cm="1">
        <f t="array" aca="1" ref="H23" ca="1">IFERROR(INDIRECT($F23&amp;"!"&amp;H$11),"")</f>
        <v>MASTER</v>
      </c>
      <c r="I23" s="209" cm="1">
        <f t="array" aca="1" ref="I23" ca="1">IFERROR(INDIRECT($F23&amp;"!"&amp;I$11),"")</f>
        <v>1515</v>
      </c>
      <c r="J23" s="208" t="str" cm="1">
        <f t="array" aca="1" ref="J23" ca="1">IFERROR(INDIRECT($F23&amp;"!"&amp;J$11),"")</f>
        <v>MSSQL</v>
      </c>
      <c r="K23" s="208" t="str" cm="1">
        <f t="array" aca="1" ref="K23" ca="1">IFERROR(HYPERLINK("["&amp;INDIRECT($F23&amp;"!"&amp;K$11)&amp;"]",G23 &amp; " - Web Page"),"")</f>
        <v>NextNumber - Web Page</v>
      </c>
      <c r="L23" s="208" cm="1">
        <f t="array" aca="1" ref="L23" ca="1">IFERROR(INDIRECT($F23&amp;"!"&amp;L$11),"")</f>
        <v>0</v>
      </c>
      <c r="M23" s="208" cm="1">
        <f t="array" aca="1" ref="M23" ca="1">IFERROR(INDIRECT($F23&amp;"!"&amp;M$11),"")</f>
        <v>5</v>
      </c>
      <c r="N23" s="208" t="str" cm="1">
        <f t="array" aca="1" ref="N23" ca="1">IFERROR(INDIRECT($F23&amp;"!"&amp;N$11),"")</f>
        <v>Code,NextNo,ConstantValue,BooleanFlag,Remark</v>
      </c>
      <c r="O23" s="301" t="str" cm="1">
        <f t="array" aca="1" ref="O23" ca="1">IFERROR(INDIRECT($F23&amp;"!"&amp;O$11),"")</f>
        <v>[90201]</v>
      </c>
      <c r="P23" s="301" t="str" cm="1">
        <f t="array" aca="1" ref="P23" ca="1">IFERROR(INDIRECT($F23&amp;"!"&amp;P$11),"")</f>
        <v>[90200]</v>
      </c>
      <c r="Q23" s="301" t="str" cm="1">
        <f t="array" aca="1" ref="Q23" ca="1">IFERROR(INDIRECT($F23&amp;"!"&amp;Q$11),"")</f>
        <v>RENN1515.html</v>
      </c>
    </row>
    <row r="24" spans="3:17">
      <c r="C24" s="198" t="str">
        <f>Variables!$C$12&amp;F24&amp;"!A1"</f>
        <v>[ProjectsGen.xlsm]!A1</v>
      </c>
      <c r="D24" s="199" t="str">
        <f t="shared" si="2"/>
        <v/>
      </c>
      <c r="E24" s="207" t="str">
        <f t="shared" si="0"/>
        <v/>
      </c>
      <c r="F24" s="210"/>
      <c r="G24" s="208" t="str" cm="1">
        <f t="array" ref="G24">IFERROR(INDIRECT($F24&amp;"!"&amp;G$11),"")</f>
        <v/>
      </c>
      <c r="H24" s="208" t="str" cm="1">
        <f t="array" ref="H24">IFERROR(INDIRECT($F24&amp;"!"&amp;H$11),"")</f>
        <v/>
      </c>
      <c r="I24" s="209" t="str" cm="1">
        <f t="array" ref="I24">IFERROR(INDIRECT($F24&amp;"!"&amp;I$11),"")</f>
        <v/>
      </c>
      <c r="J24" s="208" t="str" cm="1">
        <f t="array" ref="J24">IFERROR(INDIRECT($F24&amp;"!"&amp;J$11),"")</f>
        <v/>
      </c>
      <c r="K24" s="208" t="str" cm="1">
        <f t="array" ref="K24">IFERROR(HYPERLINK("["&amp;INDIRECT($F24&amp;"!"&amp;K$11)&amp;"]",G24 &amp; " - Web Page"),"")</f>
        <v/>
      </c>
      <c r="L24" s="208" t="str" cm="1">
        <f t="array" ref="L24">IFERROR(INDIRECT($F24&amp;"!"&amp;L$11),"")</f>
        <v/>
      </c>
      <c r="M24" s="208" t="str" cm="1">
        <f t="array" ref="M24">IFERROR(INDIRECT($F24&amp;"!"&amp;M$11),"")</f>
        <v/>
      </c>
      <c r="N24" s="208" t="str" cm="1">
        <f t="array" ref="N24">IFERROR(INDIRECT($F24&amp;"!"&amp;N$11),"")</f>
        <v/>
      </c>
      <c r="O24" s="301" t="str" cm="1">
        <f t="array" ref="O24">IFERROR(INDIRECT($F24&amp;"!"&amp;O$11),"")</f>
        <v/>
      </c>
      <c r="P24" s="301" t="str" cm="1">
        <f t="array" ref="P24">IFERROR(INDIRECT($F24&amp;"!"&amp;P$11),"")</f>
        <v/>
      </c>
      <c r="Q24" s="301" t="str" cm="1">
        <f t="array" ref="Q24">IFERROR(INDIRECT($F24&amp;"!"&amp;Q$11),"")</f>
        <v/>
      </c>
    </row>
    <row r="25" spans="3:17">
      <c r="C25" s="198" t="str">
        <f>Variables!$C$12&amp;F25&amp;"!A1"</f>
        <v>[ProjectsGen.xlsm]!A1</v>
      </c>
      <c r="D25" s="199" t="str">
        <f t="shared" si="2"/>
        <v/>
      </c>
      <c r="E25" s="207" t="str">
        <f t="shared" si="0"/>
        <v/>
      </c>
      <c r="F25" s="210"/>
      <c r="G25" s="208" t="str" cm="1">
        <f t="array" ref="G25">IFERROR(INDIRECT($F25&amp;"!"&amp;G$11),"")</f>
        <v/>
      </c>
      <c r="H25" s="208" t="str" cm="1">
        <f t="array" ref="H25">IFERROR(INDIRECT($F25&amp;"!"&amp;H$11),"")</f>
        <v/>
      </c>
      <c r="I25" s="209" t="str" cm="1">
        <f t="array" ref="I25">IFERROR(INDIRECT($F25&amp;"!"&amp;I$11),"")</f>
        <v/>
      </c>
      <c r="J25" s="208" t="str" cm="1">
        <f t="array" ref="J25">IFERROR(INDIRECT($F25&amp;"!"&amp;J$11),"")</f>
        <v/>
      </c>
      <c r="K25" s="208" t="str" cm="1">
        <f t="array" ref="K25">IFERROR(HYPERLINK("["&amp;INDIRECT($F25&amp;"!"&amp;K$11)&amp;"]",G25 &amp; " - Web Page"),"")</f>
        <v/>
      </c>
      <c r="L25" s="208" t="str" cm="1">
        <f t="array" ref="L25">IFERROR(INDIRECT($F25&amp;"!"&amp;L$11),"")</f>
        <v/>
      </c>
      <c r="M25" s="208" t="str" cm="1">
        <f t="array" ref="M25">IFERROR(INDIRECT($F25&amp;"!"&amp;M$11),"")</f>
        <v/>
      </c>
      <c r="N25" s="208" t="str" cm="1">
        <f t="array" ref="N25">IFERROR(INDIRECT($F25&amp;"!"&amp;N$11),"")</f>
        <v/>
      </c>
      <c r="O25" s="301" t="str" cm="1">
        <f t="array" ref="O25">IFERROR(INDIRECT($F25&amp;"!"&amp;O$11),"")</f>
        <v/>
      </c>
      <c r="P25" s="301" t="str" cm="1">
        <f t="array" ref="P25">IFERROR(INDIRECT($F25&amp;"!"&amp;P$11),"")</f>
        <v/>
      </c>
      <c r="Q25" s="301" t="str" cm="1">
        <f t="array" ref="Q25">IFERROR(INDIRECT($F25&amp;"!"&amp;Q$11),"")</f>
        <v/>
      </c>
    </row>
    <row r="26" spans="3:17">
      <c r="C26" s="198" t="str">
        <f>Variables!$C$12&amp;F26&amp;"!A1"</f>
        <v>[ProjectsGen.xlsm]!A1</v>
      </c>
      <c r="D26" s="199" t="str">
        <f t="shared" si="2"/>
        <v/>
      </c>
      <c r="E26" s="207" t="str">
        <f t="shared" si="0"/>
        <v/>
      </c>
      <c r="F26" s="210"/>
      <c r="G26" s="208" t="str" cm="1">
        <f t="array" ref="G26">IFERROR(INDIRECT($F26&amp;"!"&amp;G$11),"")</f>
        <v/>
      </c>
      <c r="H26" s="208" t="str" cm="1">
        <f t="array" ref="H26">IFERROR(INDIRECT($F26&amp;"!"&amp;H$11),"")</f>
        <v/>
      </c>
      <c r="I26" s="209" t="str" cm="1">
        <f t="array" ref="I26">IFERROR(INDIRECT($F26&amp;"!"&amp;I$11),"")</f>
        <v/>
      </c>
      <c r="J26" s="208" t="str" cm="1">
        <f t="array" ref="J26">IFERROR(INDIRECT($F26&amp;"!"&amp;J$11),"")</f>
        <v/>
      </c>
      <c r="K26" s="208" t="str" cm="1">
        <f t="array" ref="K26">IFERROR(HYPERLINK("["&amp;INDIRECT($F26&amp;"!"&amp;K$11)&amp;"]",G26 &amp; " - Web Page"),"")</f>
        <v/>
      </c>
      <c r="L26" s="208" t="str" cm="1">
        <f t="array" ref="L26">IFERROR(INDIRECT($F26&amp;"!"&amp;L$11),"")</f>
        <v/>
      </c>
      <c r="M26" s="208" t="str" cm="1">
        <f t="array" ref="M26">IFERROR(INDIRECT($F26&amp;"!"&amp;M$11),"")</f>
        <v/>
      </c>
      <c r="N26" s="208" t="str" cm="1">
        <f t="array" ref="N26">IFERROR(INDIRECT($F26&amp;"!"&amp;N$11),"")</f>
        <v/>
      </c>
      <c r="O26" s="301" t="str" cm="1">
        <f t="array" ref="O26">IFERROR(INDIRECT($F26&amp;"!"&amp;O$11),"")</f>
        <v/>
      </c>
      <c r="P26" s="301" t="str" cm="1">
        <f t="array" ref="P26">IFERROR(INDIRECT($F26&amp;"!"&amp;P$11),"")</f>
        <v/>
      </c>
      <c r="Q26" s="301" t="str" cm="1">
        <f t="array" ref="Q26">IFERROR(INDIRECT($F26&amp;"!"&amp;Q$11),"")</f>
        <v/>
      </c>
    </row>
    <row r="27" spans="3:17">
      <c r="C27" s="198" t="str">
        <f>Variables!$C$12&amp;F27&amp;"!A1"</f>
        <v>[ProjectsGen.xlsm]!A1</v>
      </c>
      <c r="D27" s="199" t="str">
        <f t="shared" si="2"/>
        <v/>
      </c>
      <c r="E27" s="207" t="str">
        <f t="shared" si="0"/>
        <v/>
      </c>
      <c r="F27" s="210"/>
      <c r="G27" s="208" t="str" cm="1">
        <f t="array" ref="G27">IFERROR(INDIRECT($F27&amp;"!"&amp;G$11),"")</f>
        <v/>
      </c>
      <c r="H27" s="208" t="str" cm="1">
        <f t="array" ref="H27">IFERROR(INDIRECT($F27&amp;"!"&amp;H$11),"")</f>
        <v/>
      </c>
      <c r="I27" s="209" t="str" cm="1">
        <f t="array" ref="I27">IFERROR(INDIRECT($F27&amp;"!"&amp;I$11),"")</f>
        <v/>
      </c>
      <c r="J27" s="208" t="str" cm="1">
        <f t="array" ref="J27">IFERROR(INDIRECT($F27&amp;"!"&amp;J$11),"")</f>
        <v/>
      </c>
      <c r="K27" s="208" t="str" cm="1">
        <f t="array" ref="K27">IFERROR(HYPERLINK("["&amp;INDIRECT($F27&amp;"!"&amp;K$11)&amp;"]",G27 &amp; " - Web Page"),"")</f>
        <v/>
      </c>
      <c r="L27" s="208" t="str" cm="1">
        <f t="array" ref="L27">IFERROR(INDIRECT($F27&amp;"!"&amp;L$11),"")</f>
        <v/>
      </c>
      <c r="M27" s="208" t="str" cm="1">
        <f t="array" ref="M27">IFERROR(INDIRECT($F27&amp;"!"&amp;M$11),"")</f>
        <v/>
      </c>
      <c r="N27" s="208" t="str" cm="1">
        <f t="array" ref="N27">IFERROR(INDIRECT($F27&amp;"!"&amp;N$11),"")</f>
        <v/>
      </c>
      <c r="O27" s="301" t="str" cm="1">
        <f t="array" ref="O27">IFERROR(INDIRECT($F27&amp;"!"&amp;O$11),"")</f>
        <v/>
      </c>
      <c r="P27" s="301" t="str" cm="1">
        <f t="array" ref="P27">IFERROR(INDIRECT($F27&amp;"!"&amp;P$11),"")</f>
        <v/>
      </c>
      <c r="Q27" s="301" t="str" cm="1">
        <f t="array" ref="Q27">IFERROR(INDIRECT($F27&amp;"!"&amp;Q$11),"")</f>
        <v/>
      </c>
    </row>
    <row r="28" spans="3:17">
      <c r="C28" s="198" t="str">
        <f>Variables!$C$12&amp;F28&amp;"!A1"</f>
        <v>[ProjectsGen.xlsm]!A1</v>
      </c>
      <c r="D28" s="199" t="str">
        <f t="shared" si="2"/>
        <v/>
      </c>
      <c r="E28" s="207" t="str">
        <f t="shared" si="0"/>
        <v/>
      </c>
      <c r="F28" s="210"/>
      <c r="G28" s="208" t="str" cm="1">
        <f t="array" ref="G28">IFERROR(INDIRECT($F28&amp;"!"&amp;G$11),"")</f>
        <v/>
      </c>
      <c r="H28" s="208" t="str" cm="1">
        <f t="array" ref="H28">IFERROR(INDIRECT($F28&amp;"!"&amp;H$11),"")</f>
        <v/>
      </c>
      <c r="I28" s="209" t="str" cm="1">
        <f t="array" ref="I28">IFERROR(INDIRECT($F28&amp;"!"&amp;I$11),"")</f>
        <v/>
      </c>
      <c r="J28" s="208" t="str" cm="1">
        <f t="array" ref="J28">IFERROR(INDIRECT($F28&amp;"!"&amp;J$11),"")</f>
        <v/>
      </c>
      <c r="K28" s="208" t="str" cm="1">
        <f t="array" ref="K28">IFERROR(HYPERLINK("["&amp;INDIRECT($F28&amp;"!"&amp;K$11)&amp;"]",G28 &amp; " - Web Page"),"")</f>
        <v/>
      </c>
      <c r="L28" s="208" t="str" cm="1">
        <f t="array" ref="L28">IFERROR(INDIRECT($F28&amp;"!"&amp;L$11),"")</f>
        <v/>
      </c>
      <c r="M28" s="208" t="str" cm="1">
        <f t="array" ref="M28">IFERROR(INDIRECT($F28&amp;"!"&amp;M$11),"")</f>
        <v/>
      </c>
      <c r="N28" s="208" t="str" cm="1">
        <f t="array" ref="N28">IFERROR(INDIRECT($F28&amp;"!"&amp;N$11),"")</f>
        <v/>
      </c>
      <c r="O28" s="301" t="str" cm="1">
        <f t="array" ref="O28">IFERROR(INDIRECT($F28&amp;"!"&amp;O$11),"")</f>
        <v/>
      </c>
      <c r="P28" s="301" t="str" cm="1">
        <f t="array" ref="P28">IFERROR(INDIRECT($F28&amp;"!"&amp;P$11),"")</f>
        <v/>
      </c>
      <c r="Q28" s="301" t="str" cm="1">
        <f t="array" ref="Q28">IFERROR(INDIRECT($F28&amp;"!"&amp;Q$11),"")</f>
        <v/>
      </c>
    </row>
    <row r="29" spans="3:17">
      <c r="C29" s="198" t="str">
        <f>Variables!$C$12&amp;F29&amp;"!A1"</f>
        <v>[ProjectsGen.xlsm]!A1</v>
      </c>
      <c r="D29" s="199" t="str">
        <f t="shared" si="2"/>
        <v/>
      </c>
      <c r="E29" s="207" t="str">
        <f t="shared" si="0"/>
        <v/>
      </c>
      <c r="F29" s="210"/>
      <c r="G29" s="208" t="str" cm="1">
        <f t="array" ref="G29">IFERROR(INDIRECT($F29&amp;"!"&amp;G$11),"")</f>
        <v/>
      </c>
      <c r="H29" s="208" t="str" cm="1">
        <f t="array" ref="H29">IFERROR(INDIRECT($F29&amp;"!"&amp;H$11),"")</f>
        <v/>
      </c>
      <c r="I29" s="209" t="str" cm="1">
        <f t="array" ref="I29">IFERROR(INDIRECT($F29&amp;"!"&amp;I$11),"")</f>
        <v/>
      </c>
      <c r="J29" s="208" t="str" cm="1">
        <f t="array" ref="J29">IFERROR(INDIRECT($F29&amp;"!"&amp;J$11),"")</f>
        <v/>
      </c>
      <c r="K29" s="208" t="str" cm="1">
        <f t="array" ref="K29">IFERROR(HYPERLINK("["&amp;INDIRECT($F29&amp;"!"&amp;K$11)&amp;"]",G29 &amp; " - Web Page"),"")</f>
        <v/>
      </c>
      <c r="L29" s="208" t="str" cm="1">
        <f t="array" ref="L29">IFERROR(INDIRECT($F29&amp;"!"&amp;L$11),"")</f>
        <v/>
      </c>
      <c r="M29" s="208" t="str" cm="1">
        <f t="array" ref="M29">IFERROR(INDIRECT($F29&amp;"!"&amp;M$11),"")</f>
        <v/>
      </c>
      <c r="N29" s="208" t="str" cm="1">
        <f t="array" ref="N29">IFERROR(INDIRECT($F29&amp;"!"&amp;N$11),"")</f>
        <v/>
      </c>
      <c r="O29" s="301" t="str" cm="1">
        <f t="array" ref="O29">IFERROR(INDIRECT($F29&amp;"!"&amp;O$11),"")</f>
        <v/>
      </c>
      <c r="P29" s="301" t="str" cm="1">
        <f t="array" ref="P29">IFERROR(INDIRECT($F29&amp;"!"&amp;P$11),"")</f>
        <v/>
      </c>
      <c r="Q29" s="301" t="str" cm="1">
        <f t="array" ref="Q29">IFERROR(INDIRECT($F29&amp;"!"&amp;Q$11),"")</f>
        <v/>
      </c>
    </row>
    <row r="30" spans="3:17">
      <c r="C30" s="198" t="str">
        <f>Variables!$C$12&amp;F30&amp;"!A1"</f>
        <v>[ProjectsGen.xlsm]!A1</v>
      </c>
      <c r="D30" s="199" t="str">
        <f t="shared" si="2"/>
        <v/>
      </c>
      <c r="E30" s="207" t="str">
        <f t="shared" si="0"/>
        <v/>
      </c>
      <c r="F30" s="210"/>
      <c r="G30" s="208" t="str" cm="1">
        <f t="array" ref="G30">IFERROR(INDIRECT($F30&amp;"!"&amp;G$11),"")</f>
        <v/>
      </c>
      <c r="H30" s="208" t="str" cm="1">
        <f t="array" ref="H30">IFERROR(INDIRECT($F30&amp;"!"&amp;H$11),"")</f>
        <v/>
      </c>
      <c r="I30" s="209" t="str" cm="1">
        <f t="array" ref="I30">IFERROR(INDIRECT($F30&amp;"!"&amp;I$11),"")</f>
        <v/>
      </c>
      <c r="J30" s="208" t="str" cm="1">
        <f t="array" ref="J30">IFERROR(INDIRECT($F30&amp;"!"&amp;J$11),"")</f>
        <v/>
      </c>
      <c r="K30" s="208" t="str" cm="1">
        <f t="array" ref="K30">IFERROR(HYPERLINK("["&amp;INDIRECT($F30&amp;"!"&amp;K$11)&amp;"]",G30 &amp; " - Web Page"),"")</f>
        <v/>
      </c>
      <c r="L30" s="208" t="str" cm="1">
        <f t="array" ref="L30">IFERROR(INDIRECT($F30&amp;"!"&amp;L$11),"")</f>
        <v/>
      </c>
      <c r="M30" s="208" t="str" cm="1">
        <f t="array" ref="M30">IFERROR(INDIRECT($F30&amp;"!"&amp;M$11),"")</f>
        <v/>
      </c>
      <c r="N30" s="208" t="str" cm="1">
        <f t="array" ref="N30">IFERROR(INDIRECT($F30&amp;"!"&amp;N$11),"")</f>
        <v/>
      </c>
      <c r="O30" s="301" t="str" cm="1">
        <f t="array" ref="O30">IFERROR(INDIRECT($F30&amp;"!"&amp;O$11),"")</f>
        <v/>
      </c>
      <c r="P30" s="301" t="str" cm="1">
        <f t="array" ref="P30">IFERROR(INDIRECT($F30&amp;"!"&amp;P$11),"")</f>
        <v/>
      </c>
      <c r="Q30" s="301" t="str" cm="1">
        <f t="array" ref="Q30">IFERROR(INDIRECT($F30&amp;"!"&amp;Q$11),"")</f>
        <v/>
      </c>
    </row>
    <row r="31" spans="3:17">
      <c r="C31" s="198" t="str">
        <f>Variables!$C$12&amp;F31&amp;"!A1"</f>
        <v>[ProjectsGen.xlsm]!A1</v>
      </c>
      <c r="D31" s="199" t="str">
        <f t="shared" si="2"/>
        <v/>
      </c>
      <c r="E31" s="207" t="str">
        <f t="shared" si="0"/>
        <v/>
      </c>
      <c r="F31" s="210"/>
      <c r="G31" s="208" t="str" cm="1">
        <f t="array" ref="G31">IFERROR(INDIRECT($F31&amp;"!"&amp;G$11),"")</f>
        <v/>
      </c>
      <c r="H31" s="208" t="str" cm="1">
        <f t="array" ref="H31">IFERROR(INDIRECT($F31&amp;"!"&amp;H$11),"")</f>
        <v/>
      </c>
      <c r="I31" s="209" t="str" cm="1">
        <f t="array" ref="I31">IFERROR(INDIRECT($F31&amp;"!"&amp;I$11),"")</f>
        <v/>
      </c>
      <c r="J31" s="208" t="str" cm="1">
        <f t="array" ref="J31">IFERROR(INDIRECT($F31&amp;"!"&amp;J$11),"")</f>
        <v/>
      </c>
      <c r="K31" s="208" t="str" cm="1">
        <f t="array" ref="K31">IFERROR(HYPERLINK("["&amp;INDIRECT($F31&amp;"!"&amp;K$11)&amp;"]",G31 &amp; " - Web Page"),"")</f>
        <v/>
      </c>
      <c r="L31" s="208" t="str" cm="1">
        <f t="array" ref="L31">IFERROR(INDIRECT($F31&amp;"!"&amp;L$11),"")</f>
        <v/>
      </c>
      <c r="M31" s="208" t="str" cm="1">
        <f t="array" ref="M31">IFERROR(INDIRECT($F31&amp;"!"&amp;M$11),"")</f>
        <v/>
      </c>
      <c r="N31" s="208" t="str" cm="1">
        <f t="array" ref="N31">IFERROR(INDIRECT($F31&amp;"!"&amp;N$11),"")</f>
        <v/>
      </c>
      <c r="O31" s="301" t="str" cm="1">
        <f t="array" ref="O31">IFERROR(INDIRECT($F31&amp;"!"&amp;O$11),"")</f>
        <v/>
      </c>
      <c r="P31" s="301" t="str" cm="1">
        <f t="array" ref="P31">IFERROR(INDIRECT($F31&amp;"!"&amp;P$11),"")</f>
        <v/>
      </c>
      <c r="Q31" s="301" t="str" cm="1">
        <f t="array" ref="Q31">IFERROR(INDIRECT($F31&amp;"!"&amp;Q$11),"")</f>
        <v/>
      </c>
    </row>
    <row r="32" spans="3:17">
      <c r="C32" s="198" t="str">
        <f>Variables!$C$12&amp;F32&amp;"!A1"</f>
        <v>[ProjectsGen.xlsm]!A1</v>
      </c>
      <c r="D32" s="199" t="str">
        <f t="shared" si="2"/>
        <v/>
      </c>
      <c r="E32" s="207" t="str">
        <f t="shared" si="0"/>
        <v/>
      </c>
      <c r="F32" s="210"/>
      <c r="G32" s="208" t="str" cm="1">
        <f t="array" ref="G32">IFERROR(INDIRECT($F32&amp;"!"&amp;G$11),"")</f>
        <v/>
      </c>
      <c r="H32" s="208" t="str" cm="1">
        <f t="array" ref="H32">IFERROR(INDIRECT($F32&amp;"!"&amp;H$11),"")</f>
        <v/>
      </c>
      <c r="I32" s="209" t="str" cm="1">
        <f t="array" ref="I32">IFERROR(INDIRECT($F32&amp;"!"&amp;I$11),"")</f>
        <v/>
      </c>
      <c r="J32" s="208" t="str" cm="1">
        <f t="array" ref="J32">IFERROR(INDIRECT($F32&amp;"!"&amp;J$11),"")</f>
        <v/>
      </c>
      <c r="K32" s="208" t="str" cm="1">
        <f t="array" ref="K32">IFERROR(HYPERLINK("["&amp;INDIRECT($F32&amp;"!"&amp;K$11)&amp;"]",G32 &amp; " - Web Page"),"")</f>
        <v/>
      </c>
      <c r="L32" s="208" t="str" cm="1">
        <f t="array" ref="L32">IFERROR(INDIRECT($F32&amp;"!"&amp;L$11),"")</f>
        <v/>
      </c>
      <c r="M32" s="208" t="str" cm="1">
        <f t="array" ref="M32">IFERROR(INDIRECT($F32&amp;"!"&amp;M$11),"")</f>
        <v/>
      </c>
      <c r="N32" s="208" t="str" cm="1">
        <f t="array" ref="N32">IFERROR(INDIRECT($F32&amp;"!"&amp;N$11),"")</f>
        <v/>
      </c>
      <c r="O32" s="301" t="str" cm="1">
        <f t="array" ref="O32">IFERROR(INDIRECT($F32&amp;"!"&amp;O$11),"")</f>
        <v/>
      </c>
      <c r="P32" s="301" t="str" cm="1">
        <f t="array" ref="P32">IFERROR(INDIRECT($F32&amp;"!"&amp;P$11),"")</f>
        <v/>
      </c>
      <c r="Q32" s="301" t="str" cm="1">
        <f t="array" ref="Q32">IFERROR(INDIRECT($F32&amp;"!"&amp;Q$11),"")</f>
        <v/>
      </c>
    </row>
    <row r="33" spans="3:17">
      <c r="C33" s="198" t="str">
        <f>Variables!$C$12&amp;F33&amp;"!A1"</f>
        <v>[ProjectsGen.xlsm]!A1</v>
      </c>
      <c r="D33" s="199" t="str">
        <f t="shared" si="2"/>
        <v/>
      </c>
      <c r="E33" s="207" t="str">
        <f t="shared" si="0"/>
        <v/>
      </c>
      <c r="F33" s="210"/>
      <c r="G33" s="208" t="str" cm="1">
        <f t="array" ref="G33">IFERROR(INDIRECT($F33&amp;"!"&amp;G$11),"")</f>
        <v/>
      </c>
      <c r="H33" s="208" t="str" cm="1">
        <f t="array" ref="H33">IFERROR(INDIRECT($F33&amp;"!"&amp;H$11),"")</f>
        <v/>
      </c>
      <c r="I33" s="209" t="str" cm="1">
        <f t="array" ref="I33">IFERROR(INDIRECT($F33&amp;"!"&amp;I$11),"")</f>
        <v/>
      </c>
      <c r="J33" s="208" t="str" cm="1">
        <f t="array" ref="J33">IFERROR(INDIRECT($F33&amp;"!"&amp;J$11),"")</f>
        <v/>
      </c>
      <c r="K33" s="208" t="str" cm="1">
        <f t="array" ref="K33">IFERROR(HYPERLINK("["&amp;INDIRECT($F33&amp;"!"&amp;K$11)&amp;"]",G33 &amp; " - Web Page"),"")</f>
        <v/>
      </c>
      <c r="L33" s="208" t="str" cm="1">
        <f t="array" ref="L33">IFERROR(INDIRECT($F33&amp;"!"&amp;L$11),"")</f>
        <v/>
      </c>
      <c r="M33" s="208" t="str" cm="1">
        <f t="array" ref="M33">IFERROR(INDIRECT($F33&amp;"!"&amp;M$11),"")</f>
        <v/>
      </c>
      <c r="N33" s="208" t="str" cm="1">
        <f t="array" ref="N33">IFERROR(INDIRECT($F33&amp;"!"&amp;N$11),"")</f>
        <v/>
      </c>
      <c r="O33" s="301" t="str" cm="1">
        <f t="array" ref="O33">IFERROR(INDIRECT($F33&amp;"!"&amp;O$11),"")</f>
        <v/>
      </c>
      <c r="P33" s="301" t="str" cm="1">
        <f t="array" ref="P33">IFERROR(INDIRECT($F33&amp;"!"&amp;P$11),"")</f>
        <v/>
      </c>
      <c r="Q33" s="301" t="str" cm="1">
        <f t="array" ref="Q33">IFERROR(INDIRECT($F33&amp;"!"&amp;Q$11),"")</f>
        <v/>
      </c>
    </row>
    <row r="34" spans="3:17">
      <c r="C34" s="198" t="str">
        <f>Variables!$C$12&amp;F34&amp;"!A1"</f>
        <v>[ProjectsGen.xlsm]!A1</v>
      </c>
      <c r="D34" s="199" t="str">
        <f t="shared" ref="D34:D42" si="3">IF(F34="","",+D33+1)</f>
        <v/>
      </c>
      <c r="E34" s="207" t="str">
        <f t="shared" si="0"/>
        <v/>
      </c>
      <c r="F34" s="210"/>
      <c r="G34" s="208" t="str" cm="1">
        <f t="array" ref="G34">IFERROR(INDIRECT($F34&amp;"!"&amp;G$11),"")</f>
        <v/>
      </c>
      <c r="H34" s="208" t="str" cm="1">
        <f t="array" ref="H34">IFERROR(INDIRECT($F34&amp;"!"&amp;H$11),"")</f>
        <v/>
      </c>
      <c r="I34" s="209" t="str" cm="1">
        <f t="array" ref="I34">IFERROR(INDIRECT($F34&amp;"!"&amp;I$11),"")</f>
        <v/>
      </c>
      <c r="J34" s="208" t="str" cm="1">
        <f t="array" ref="J34">IFERROR(INDIRECT($F34&amp;"!"&amp;J$11),"")</f>
        <v/>
      </c>
      <c r="K34" s="208" t="str" cm="1">
        <f t="array" ref="K34">IFERROR(HYPERLINK("["&amp;INDIRECT($F34&amp;"!"&amp;K$11)&amp;"]",G34 &amp; " - Web Page"),"")</f>
        <v/>
      </c>
      <c r="L34" s="208" t="str" cm="1">
        <f t="array" ref="L34">IFERROR(INDIRECT($F34&amp;"!"&amp;L$11),"")</f>
        <v/>
      </c>
      <c r="M34" s="208" t="str" cm="1">
        <f t="array" ref="M34">IFERROR(INDIRECT($F34&amp;"!"&amp;M$11),"")</f>
        <v/>
      </c>
      <c r="N34" s="208" t="str" cm="1">
        <f t="array" ref="N34">IFERROR(INDIRECT($F34&amp;"!"&amp;N$11),"")</f>
        <v/>
      </c>
      <c r="O34" s="301" t="str" cm="1">
        <f t="array" ref="O34">IFERROR(INDIRECT($F34&amp;"!"&amp;O$11),"")</f>
        <v/>
      </c>
      <c r="P34" s="301" t="str" cm="1">
        <f t="array" ref="P34">IFERROR(INDIRECT($F34&amp;"!"&amp;P$11),"")</f>
        <v/>
      </c>
      <c r="Q34" s="301" t="str" cm="1">
        <f t="array" ref="Q34">IFERROR(INDIRECT($F34&amp;"!"&amp;Q$11),"")</f>
        <v/>
      </c>
    </row>
    <row r="35" spans="3:17">
      <c r="C35" s="198" t="str">
        <f>Variables!$C$12&amp;F35&amp;"!A1"</f>
        <v>[ProjectsGen.xlsm]!A1</v>
      </c>
      <c r="D35" s="199" t="str">
        <f t="shared" si="3"/>
        <v/>
      </c>
      <c r="E35" s="207" t="str">
        <f t="shared" si="0"/>
        <v/>
      </c>
      <c r="F35" s="210"/>
      <c r="G35" s="208" t="str" cm="1">
        <f t="array" ref="G35">IFERROR(INDIRECT($F35&amp;"!"&amp;G$11),"")</f>
        <v/>
      </c>
      <c r="H35" s="208" t="str" cm="1">
        <f t="array" ref="H35">IFERROR(INDIRECT($F35&amp;"!"&amp;H$11),"")</f>
        <v/>
      </c>
      <c r="I35" s="209" t="str" cm="1">
        <f t="array" ref="I35">IFERROR(INDIRECT($F35&amp;"!"&amp;I$11),"")</f>
        <v/>
      </c>
      <c r="J35" s="208" t="str" cm="1">
        <f t="array" ref="J35">IFERROR(INDIRECT($F35&amp;"!"&amp;J$11),"")</f>
        <v/>
      </c>
      <c r="K35" s="208" t="str" cm="1">
        <f t="array" ref="K35">IFERROR(HYPERLINK("["&amp;INDIRECT($F35&amp;"!"&amp;K$11)&amp;"]",G35 &amp; " - Web Page"),"")</f>
        <v/>
      </c>
      <c r="L35" s="208" t="str" cm="1">
        <f t="array" ref="L35">IFERROR(INDIRECT($F35&amp;"!"&amp;L$11),"")</f>
        <v/>
      </c>
      <c r="M35" s="208" t="str" cm="1">
        <f t="array" ref="M35">IFERROR(INDIRECT($F35&amp;"!"&amp;M$11),"")</f>
        <v/>
      </c>
      <c r="N35" s="208" t="str" cm="1">
        <f t="array" ref="N35">IFERROR(INDIRECT($F35&amp;"!"&amp;N$11),"")</f>
        <v/>
      </c>
      <c r="O35" s="301" t="str" cm="1">
        <f t="array" ref="O35">IFERROR(INDIRECT($F35&amp;"!"&amp;O$11),"")</f>
        <v/>
      </c>
      <c r="P35" s="301" t="str" cm="1">
        <f t="array" ref="P35">IFERROR(INDIRECT($F35&amp;"!"&amp;P$11),"")</f>
        <v/>
      </c>
      <c r="Q35" s="301" t="str" cm="1">
        <f t="array" ref="Q35">IFERROR(INDIRECT($F35&amp;"!"&amp;Q$11),"")</f>
        <v/>
      </c>
    </row>
    <row r="36" spans="3:17">
      <c r="C36" s="198" t="str">
        <f>Variables!$C$12&amp;F36&amp;"!A1"</f>
        <v>[ProjectsGen.xlsm]!A1</v>
      </c>
      <c r="D36" s="199" t="str">
        <f t="shared" si="3"/>
        <v/>
      </c>
      <c r="E36" s="207" t="str">
        <f t="shared" si="0"/>
        <v/>
      </c>
      <c r="F36" s="210"/>
      <c r="G36" s="208" t="str" cm="1">
        <f t="array" ref="G36">IFERROR(INDIRECT($F36&amp;"!"&amp;G$11),"")</f>
        <v/>
      </c>
      <c r="H36" s="208" t="str" cm="1">
        <f t="array" ref="H36">IFERROR(INDIRECT($F36&amp;"!"&amp;H$11),"")</f>
        <v/>
      </c>
      <c r="I36" s="209" t="str" cm="1">
        <f t="array" ref="I36">IFERROR(INDIRECT($F36&amp;"!"&amp;I$11),"")</f>
        <v/>
      </c>
      <c r="J36" s="208" t="str" cm="1">
        <f t="array" ref="J36">IFERROR(INDIRECT($F36&amp;"!"&amp;J$11),"")</f>
        <v/>
      </c>
      <c r="K36" s="208" t="str" cm="1">
        <f t="array" ref="K36">IFERROR(HYPERLINK("["&amp;INDIRECT($F36&amp;"!"&amp;K$11)&amp;"]",G36 &amp; " - Web Page"),"")</f>
        <v/>
      </c>
      <c r="L36" s="208" t="str" cm="1">
        <f t="array" ref="L36">IFERROR(INDIRECT($F36&amp;"!"&amp;L$11),"")</f>
        <v/>
      </c>
      <c r="M36" s="208" t="str" cm="1">
        <f t="array" ref="M36">IFERROR(INDIRECT($F36&amp;"!"&amp;M$11),"")</f>
        <v/>
      </c>
      <c r="N36" s="208" t="str" cm="1">
        <f t="array" ref="N36">IFERROR(INDIRECT($F36&amp;"!"&amp;N$11),"")</f>
        <v/>
      </c>
      <c r="O36" s="301" t="str" cm="1">
        <f t="array" ref="O36">IFERROR(INDIRECT($F36&amp;"!"&amp;O$11),"")</f>
        <v/>
      </c>
      <c r="P36" s="301" t="str" cm="1">
        <f t="array" ref="P36">IFERROR(INDIRECT($F36&amp;"!"&amp;P$11),"")</f>
        <v/>
      </c>
      <c r="Q36" s="301" t="str" cm="1">
        <f t="array" ref="Q36">IFERROR(INDIRECT($F36&amp;"!"&amp;Q$11),"")</f>
        <v/>
      </c>
    </row>
    <row r="37" spans="3:17">
      <c r="C37" s="198" t="str">
        <f>Variables!$C$12&amp;F37&amp;"!A1"</f>
        <v>[ProjectsGen.xlsm]!A1</v>
      </c>
      <c r="D37" s="199" t="str">
        <f t="shared" si="3"/>
        <v/>
      </c>
      <c r="E37" s="207" t="str">
        <f t="shared" si="0"/>
        <v/>
      </c>
      <c r="F37" s="210"/>
      <c r="G37" s="208" t="str" cm="1">
        <f t="array" ref="G37">IFERROR(INDIRECT($F37&amp;"!"&amp;G$11),"")</f>
        <v/>
      </c>
      <c r="H37" s="208" t="str" cm="1">
        <f t="array" ref="H37">IFERROR(INDIRECT($F37&amp;"!"&amp;H$11),"")</f>
        <v/>
      </c>
      <c r="I37" s="209" t="str" cm="1">
        <f t="array" ref="I37">IFERROR(INDIRECT($F37&amp;"!"&amp;I$11),"")</f>
        <v/>
      </c>
      <c r="J37" s="208" t="str" cm="1">
        <f t="array" ref="J37">IFERROR(INDIRECT($F37&amp;"!"&amp;J$11),"")</f>
        <v/>
      </c>
      <c r="K37" s="208" t="str" cm="1">
        <f t="array" ref="K37">IFERROR(HYPERLINK("["&amp;INDIRECT($F37&amp;"!"&amp;K$11)&amp;"]",G37 &amp; " - Web Page"),"")</f>
        <v/>
      </c>
      <c r="L37" s="208" t="str" cm="1">
        <f t="array" ref="L37">IFERROR(INDIRECT($F37&amp;"!"&amp;L$11),"")</f>
        <v/>
      </c>
      <c r="M37" s="208" t="str" cm="1">
        <f t="array" ref="M37">IFERROR(INDIRECT($F37&amp;"!"&amp;M$11),"")</f>
        <v/>
      </c>
      <c r="N37" s="208" t="str" cm="1">
        <f t="array" ref="N37">IFERROR(INDIRECT($F37&amp;"!"&amp;N$11),"")</f>
        <v/>
      </c>
      <c r="O37" s="301" t="str" cm="1">
        <f t="array" ref="O37">IFERROR(INDIRECT($F37&amp;"!"&amp;O$11),"")</f>
        <v/>
      </c>
      <c r="P37" s="301" t="str" cm="1">
        <f t="array" ref="P37">IFERROR(INDIRECT($F37&amp;"!"&amp;P$11),"")</f>
        <v/>
      </c>
      <c r="Q37" s="301" t="str" cm="1">
        <f t="array" ref="Q37">IFERROR(INDIRECT($F37&amp;"!"&amp;Q$11),"")</f>
        <v/>
      </c>
    </row>
    <row r="38" spans="3:17">
      <c r="C38" s="198" t="str">
        <f>Variables!$C$12&amp;F38&amp;"!A1"</f>
        <v>[ProjectsGen.xlsm]!A1</v>
      </c>
      <c r="D38" s="199" t="str">
        <f t="shared" si="3"/>
        <v/>
      </c>
      <c r="E38" s="207" t="str">
        <f t="shared" si="0"/>
        <v/>
      </c>
      <c r="F38" s="210"/>
      <c r="G38" s="208" t="str" cm="1">
        <f t="array" ref="G38">IFERROR(INDIRECT($F38&amp;"!"&amp;G$11),"")</f>
        <v/>
      </c>
      <c r="H38" s="208" t="str" cm="1">
        <f t="array" ref="H38">IFERROR(INDIRECT($F38&amp;"!"&amp;H$11),"")</f>
        <v/>
      </c>
      <c r="I38" s="209" t="str" cm="1">
        <f t="array" ref="I38">IFERROR(INDIRECT($F38&amp;"!"&amp;I$11),"")</f>
        <v/>
      </c>
      <c r="J38" s="208" t="str" cm="1">
        <f t="array" ref="J38">IFERROR(INDIRECT($F38&amp;"!"&amp;J$11),"")</f>
        <v/>
      </c>
      <c r="K38" s="208" t="str" cm="1">
        <f t="array" ref="K38">IFERROR(HYPERLINK("["&amp;INDIRECT($F38&amp;"!"&amp;K$11)&amp;"]",G38 &amp; " - Web Page"),"")</f>
        <v/>
      </c>
      <c r="L38" s="208" t="str" cm="1">
        <f t="array" ref="L38">IFERROR(INDIRECT($F38&amp;"!"&amp;L$11),"")</f>
        <v/>
      </c>
      <c r="M38" s="208" t="str" cm="1">
        <f t="array" ref="M38">IFERROR(INDIRECT($F38&amp;"!"&amp;M$11),"")</f>
        <v/>
      </c>
      <c r="N38" s="208" t="str" cm="1">
        <f t="array" ref="N38">IFERROR(INDIRECT($F38&amp;"!"&amp;N$11),"")</f>
        <v/>
      </c>
      <c r="O38" s="301" t="str" cm="1">
        <f t="array" ref="O38">IFERROR(INDIRECT($F38&amp;"!"&amp;O$11),"")</f>
        <v/>
      </c>
      <c r="P38" s="301" t="str" cm="1">
        <f t="array" ref="P38">IFERROR(INDIRECT($F38&amp;"!"&amp;P$11),"")</f>
        <v/>
      </c>
      <c r="Q38" s="301" t="str" cm="1">
        <f t="array" ref="Q38">IFERROR(INDIRECT($F38&amp;"!"&amp;Q$11),"")</f>
        <v/>
      </c>
    </row>
    <row r="39" spans="3:17">
      <c r="C39" s="198" t="str">
        <f>Variables!$C$12&amp;F39&amp;"!A1"</f>
        <v>[ProjectsGen.xlsm]!A1</v>
      </c>
      <c r="D39" s="199" t="str">
        <f t="shared" si="3"/>
        <v/>
      </c>
      <c r="E39" s="207" t="str">
        <f t="shared" si="0"/>
        <v/>
      </c>
      <c r="F39" s="210"/>
      <c r="G39" s="208" t="str" cm="1">
        <f t="array" ref="G39">IFERROR(INDIRECT($F39&amp;"!"&amp;G$11),"")</f>
        <v/>
      </c>
      <c r="H39" s="208" t="str" cm="1">
        <f t="array" ref="H39">IFERROR(INDIRECT($F39&amp;"!"&amp;H$11),"")</f>
        <v/>
      </c>
      <c r="I39" s="209" t="str" cm="1">
        <f t="array" ref="I39">IFERROR(INDIRECT($F39&amp;"!"&amp;I$11),"")</f>
        <v/>
      </c>
      <c r="J39" s="208" t="str" cm="1">
        <f t="array" ref="J39">IFERROR(INDIRECT($F39&amp;"!"&amp;J$11),"")</f>
        <v/>
      </c>
      <c r="K39" s="208" t="str" cm="1">
        <f t="array" ref="K39">IFERROR(HYPERLINK("["&amp;INDIRECT($F39&amp;"!"&amp;K$11)&amp;"]",G39 &amp; " - Web Page"),"")</f>
        <v/>
      </c>
      <c r="L39" s="208" t="str" cm="1">
        <f t="array" ref="L39">IFERROR(INDIRECT($F39&amp;"!"&amp;L$11),"")</f>
        <v/>
      </c>
      <c r="M39" s="208" t="str" cm="1">
        <f t="array" ref="M39">IFERROR(INDIRECT($F39&amp;"!"&amp;M$11),"")</f>
        <v/>
      </c>
      <c r="N39" s="208" t="str" cm="1">
        <f t="array" ref="N39">IFERROR(INDIRECT($F39&amp;"!"&amp;N$11),"")</f>
        <v/>
      </c>
      <c r="O39" s="301" t="str" cm="1">
        <f t="array" ref="O39">IFERROR(INDIRECT($F39&amp;"!"&amp;O$11),"")</f>
        <v/>
      </c>
      <c r="P39" s="301" t="str" cm="1">
        <f t="array" ref="P39">IFERROR(INDIRECT($F39&amp;"!"&amp;P$11),"")</f>
        <v/>
      </c>
      <c r="Q39" s="301" t="str" cm="1">
        <f t="array" ref="Q39">IFERROR(INDIRECT($F39&amp;"!"&amp;Q$11),"")</f>
        <v/>
      </c>
    </row>
    <row r="40" spans="3:17">
      <c r="C40" s="198" t="str">
        <f>Variables!$C$12&amp;F40&amp;"!A1"</f>
        <v>[ProjectsGen.xlsm]!A1</v>
      </c>
      <c r="D40" s="199" t="str">
        <f t="shared" si="3"/>
        <v/>
      </c>
      <c r="E40" s="207" t="str">
        <f t="shared" si="0"/>
        <v/>
      </c>
      <c r="F40" s="210"/>
      <c r="G40" s="208" t="str" cm="1">
        <f t="array" ref="G40">IFERROR(INDIRECT($F40&amp;"!"&amp;G$11),"")</f>
        <v/>
      </c>
      <c r="H40" s="208" t="str" cm="1">
        <f t="array" ref="H40">IFERROR(INDIRECT($F40&amp;"!"&amp;H$11),"")</f>
        <v/>
      </c>
      <c r="I40" s="209" t="str" cm="1">
        <f t="array" ref="I40">IFERROR(INDIRECT($F40&amp;"!"&amp;I$11),"")</f>
        <v/>
      </c>
      <c r="J40" s="208" t="str" cm="1">
        <f t="array" ref="J40">IFERROR(INDIRECT($F40&amp;"!"&amp;J$11),"")</f>
        <v/>
      </c>
      <c r="K40" s="208" t="str" cm="1">
        <f t="array" ref="K40">IFERROR(HYPERLINK("["&amp;INDIRECT($F40&amp;"!"&amp;K$11)&amp;"]",G40 &amp; " - Web Page"),"")</f>
        <v/>
      </c>
      <c r="L40" s="208" t="str" cm="1">
        <f t="array" ref="L40">IFERROR(INDIRECT($F40&amp;"!"&amp;L$11),"")</f>
        <v/>
      </c>
      <c r="M40" s="208" t="str" cm="1">
        <f t="array" ref="M40">IFERROR(INDIRECT($F40&amp;"!"&amp;M$11),"")</f>
        <v/>
      </c>
      <c r="N40" s="208" t="str" cm="1">
        <f t="array" ref="N40">IFERROR(INDIRECT($F40&amp;"!"&amp;N$11),"")</f>
        <v/>
      </c>
      <c r="O40" s="301" t="str" cm="1">
        <f t="array" ref="O40">IFERROR(INDIRECT($F40&amp;"!"&amp;O$11),"")</f>
        <v/>
      </c>
      <c r="P40" s="301" t="str" cm="1">
        <f t="array" ref="P40">IFERROR(INDIRECT($F40&amp;"!"&amp;P$11),"")</f>
        <v/>
      </c>
      <c r="Q40" s="301" t="str" cm="1">
        <f t="array" ref="Q40">IFERROR(INDIRECT($F40&amp;"!"&amp;Q$11),"")</f>
        <v/>
      </c>
    </row>
    <row r="41" spans="3:17">
      <c r="C41" s="198" t="str">
        <f>Variables!$C$12&amp;F41&amp;"!A1"</f>
        <v>[ProjectsGen.xlsm]!A1</v>
      </c>
      <c r="D41" s="199" t="str">
        <f t="shared" si="3"/>
        <v/>
      </c>
      <c r="E41" s="207" t="str">
        <f t="shared" si="0"/>
        <v/>
      </c>
      <c r="F41" s="210"/>
      <c r="G41" s="208" t="str" cm="1">
        <f t="array" ref="G41">IFERROR(INDIRECT($F41&amp;"!"&amp;G$11),"")</f>
        <v/>
      </c>
      <c r="H41" s="208" t="str" cm="1">
        <f t="array" ref="H41">IFERROR(INDIRECT($F41&amp;"!"&amp;H$11),"")</f>
        <v/>
      </c>
      <c r="I41" s="209" t="str" cm="1">
        <f t="array" ref="I41">IFERROR(INDIRECT($F41&amp;"!"&amp;I$11),"")</f>
        <v/>
      </c>
      <c r="J41" s="208" t="str" cm="1">
        <f t="array" ref="J41">IFERROR(INDIRECT($F41&amp;"!"&amp;J$11),"")</f>
        <v/>
      </c>
      <c r="K41" s="208" t="str" cm="1">
        <f t="array" ref="K41">IFERROR(HYPERLINK("["&amp;INDIRECT($F41&amp;"!"&amp;K$11)&amp;"]",G41 &amp; " - Web Page"),"")</f>
        <v/>
      </c>
      <c r="L41" s="208" t="str" cm="1">
        <f t="array" ref="L41">IFERROR(INDIRECT($F41&amp;"!"&amp;L$11),"")</f>
        <v/>
      </c>
      <c r="M41" s="208" t="str" cm="1">
        <f t="array" ref="M41">IFERROR(INDIRECT($F41&amp;"!"&amp;M$11),"")</f>
        <v/>
      </c>
      <c r="N41" s="208" t="str" cm="1">
        <f t="array" ref="N41">IFERROR(INDIRECT($F41&amp;"!"&amp;N$11),"")</f>
        <v/>
      </c>
      <c r="O41" s="301" t="str" cm="1">
        <f t="array" ref="O41">IFERROR(INDIRECT($F41&amp;"!"&amp;O$11),"")</f>
        <v/>
      </c>
      <c r="P41" s="301" t="str" cm="1">
        <f t="array" ref="P41">IFERROR(INDIRECT($F41&amp;"!"&amp;P$11),"")</f>
        <v/>
      </c>
      <c r="Q41" s="301" t="str" cm="1">
        <f t="array" ref="Q41">IFERROR(INDIRECT($F41&amp;"!"&amp;Q$11),"")</f>
        <v/>
      </c>
    </row>
    <row r="42" spans="3:17">
      <c r="C42" s="198" t="str">
        <f>Variables!$C$12&amp;F42&amp;"!A1"</f>
        <v>[ProjectsGen.xlsm]!A1</v>
      </c>
      <c r="D42" s="199" t="str">
        <f t="shared" si="3"/>
        <v/>
      </c>
      <c r="E42" s="207" t="str">
        <f t="shared" si="0"/>
        <v/>
      </c>
      <c r="F42" s="210"/>
      <c r="G42" s="208" t="str" cm="1">
        <f t="array" ref="G42">IFERROR(INDIRECT($F42&amp;"!"&amp;G$11),"")</f>
        <v/>
      </c>
      <c r="H42" s="208" t="str" cm="1">
        <f t="array" ref="H42">IFERROR(INDIRECT($F42&amp;"!"&amp;H$11),"")</f>
        <v/>
      </c>
      <c r="I42" s="209" t="str" cm="1">
        <f t="array" ref="I42">IFERROR(INDIRECT($F42&amp;"!"&amp;I$11),"")</f>
        <v/>
      </c>
      <c r="J42" s="208" t="str" cm="1">
        <f t="array" ref="J42">IFERROR(INDIRECT($F42&amp;"!"&amp;J$11),"")</f>
        <v/>
      </c>
      <c r="K42" s="208" t="str" cm="1">
        <f t="array" ref="K42">IFERROR(HYPERLINK("["&amp;INDIRECT($F42&amp;"!"&amp;K$11)&amp;"]",G42 &amp; " - Web Page"),"")</f>
        <v/>
      </c>
      <c r="L42" s="208" t="str" cm="1">
        <f t="array" ref="L42">IFERROR(INDIRECT($F42&amp;"!"&amp;L$11),"")</f>
        <v/>
      </c>
      <c r="M42" s="208" t="str" cm="1">
        <f t="array" ref="M42">IFERROR(INDIRECT($F42&amp;"!"&amp;M$11),"")</f>
        <v/>
      </c>
      <c r="N42" s="208" t="str" cm="1">
        <f t="array" ref="N42">IFERROR(INDIRECT($F42&amp;"!"&amp;N$11),"")</f>
        <v/>
      </c>
      <c r="O42" s="301" t="str" cm="1">
        <f t="array" ref="O42">IFERROR(INDIRECT($F42&amp;"!"&amp;O$11),"")</f>
        <v/>
      </c>
      <c r="P42" s="301" t="str" cm="1">
        <f t="array" ref="P42">IFERROR(INDIRECT($F42&amp;"!"&amp;P$11),"")</f>
        <v/>
      </c>
      <c r="Q42" s="301" t="str" cm="1">
        <f t="array" ref="Q42">IFERROR(INDIRECT($F42&amp;"!"&amp;Q$11),"")</f>
        <v/>
      </c>
    </row>
  </sheetData>
  <mergeCells count="8">
    <mergeCell ref="I3:J3"/>
    <mergeCell ref="I4:J4"/>
    <mergeCell ref="E7:F7"/>
    <mergeCell ref="E8:F8"/>
    <mergeCell ref="E6:F6"/>
    <mergeCell ref="E3:F3"/>
    <mergeCell ref="E4:F4"/>
    <mergeCell ref="E5:F5"/>
  </mergeCells>
  <dataValidations disablePrompts="1" count="2">
    <dataValidation type="list" allowBlank="1" showInputMessage="1" showErrorMessage="1" sqref="K3" xr:uid="{9C9E4F56-1518-4DD4-B2ED-D0D3205657B4}">
      <formula1>aPageDomainList</formula1>
    </dataValidation>
    <dataValidation type="list" allowBlank="1" showInputMessage="1" showErrorMessage="1" sqref="E9" xr:uid="{8EBF5CE5-7157-45B2-9F28-EAB9BEBD44D9}">
      <formula1>APITYPE</formula1>
    </dataValidation>
  </dataValidations>
  <pageMargins left="0.7" right="0.7" top="0.75" bottom="0.75" header="0.3" footer="0.3"/>
  <pageSetup paperSize="9" orientation="portrait" r:id="rId1"/>
  <ignoredErrors>
    <ignoredError sqref="K13:K22 K24:K42" formula="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BC314D3-B16E-4AD8-B4BF-7B46F7E4F3C5}">
          <x14:formula1>
            <xm:f>Variables!$C$75:$C$82</xm:f>
          </x14:formula1>
          <xm:sqref>G5</xm:sqref>
        </x14:dataValidation>
        <x14:dataValidation type="list" allowBlank="1" showInputMessage="1" showErrorMessage="1" xr:uid="{EC7DE5BA-2ED5-44C6-8FE8-731E5E2AF3F8}">
          <x14:formula1>
            <xm:f>Variables!$B$64:$B$67</xm:f>
          </x14:formula1>
          <xm:sqref>E6:F6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67847-CD58-4A89-86F9-C85C3B2A0AC3}">
  <sheetPr codeName="Sheet32" filterMode="1">
    <tabColor rgb="FFCCFF99"/>
  </sheetPr>
  <dimension ref="A1:BA1865"/>
  <sheetViews>
    <sheetView showGridLines="0" workbookViewId="0">
      <selection activeCell="F17" sqref="F17"/>
    </sheetView>
  </sheetViews>
  <sheetFormatPr defaultRowHeight="15"/>
  <cols>
    <col min="1" max="1" width="53" style="125" customWidth="1"/>
    <col min="2" max="2" width="21.85546875" style="125" customWidth="1"/>
    <col min="3" max="3" width="2.85546875" style="350" customWidth="1"/>
    <col min="4" max="4" width="4" style="351" bestFit="1" customWidth="1"/>
    <col min="5" max="5" width="3.140625" style="352" customWidth="1"/>
    <col min="6" max="6" width="91.5703125" style="172" customWidth="1"/>
    <col min="7" max="7" width="3.5703125" style="127" customWidth="1"/>
    <col min="8" max="8" width="17.7109375" style="127" customWidth="1"/>
    <col min="9" max="9" width="15" style="127" customWidth="1"/>
    <col min="10" max="12" width="2.7109375" style="127" customWidth="1"/>
    <col min="13" max="13" width="3.7109375" style="127" customWidth="1"/>
    <col min="14" max="14" width="14.42578125" style="125" bestFit="1" customWidth="1"/>
    <col min="15" max="15" width="12.28515625" style="125" bestFit="1" customWidth="1"/>
    <col min="16" max="16" width="16.85546875" style="125" bestFit="1" customWidth="1"/>
    <col min="17" max="17" width="11.85546875" style="125" bestFit="1" customWidth="1"/>
    <col min="18" max="18" width="36.85546875" style="125" customWidth="1"/>
    <col min="19" max="19" width="3.140625" style="127" customWidth="1"/>
    <col min="20" max="20" width="3.42578125" style="125" customWidth="1"/>
    <col min="21" max="21" width="9" style="125" bestFit="1" customWidth="1"/>
    <col min="22" max="22" width="9.140625" style="125"/>
    <col min="23" max="23" width="10.28515625" style="125" bestFit="1" customWidth="1"/>
    <col min="24" max="24" width="16.85546875" style="125" bestFit="1" customWidth="1"/>
    <col min="25" max="25" width="9.140625" style="125"/>
    <col min="26" max="26" width="15.42578125" style="125" customWidth="1"/>
    <col min="27" max="27" width="20.5703125" style="125" customWidth="1"/>
    <col min="28" max="28" width="14.42578125" style="125" customWidth="1"/>
    <col min="29" max="29" width="12.28515625" style="125" bestFit="1" customWidth="1"/>
    <col min="30" max="52" width="9.140625" style="125"/>
    <col min="53" max="53" width="9.140625" style="127"/>
    <col min="54" max="16384" width="9.140625" style="125"/>
  </cols>
  <sheetData>
    <row r="1" spans="1:53" ht="26.25" customHeight="1">
      <c r="A1" s="268" t="s">
        <v>881</v>
      </c>
      <c r="F1" s="322" t="s">
        <v>1067</v>
      </c>
      <c r="G1" s="144"/>
      <c r="H1" s="144"/>
      <c r="I1" s="144"/>
      <c r="J1" s="144"/>
      <c r="K1" s="144"/>
      <c r="L1" s="144"/>
      <c r="M1" s="144"/>
      <c r="N1" s="320"/>
      <c r="O1" s="373" t="s">
        <v>881</v>
      </c>
      <c r="P1" s="158"/>
      <c r="Q1" s="158"/>
      <c r="R1" s="158"/>
      <c r="S1" s="158"/>
      <c r="T1" s="320"/>
      <c r="U1" s="320"/>
      <c r="V1" s="321"/>
      <c r="W1" s="321"/>
      <c r="X1" s="158"/>
      <c r="Y1" s="158"/>
      <c r="Z1" s="158"/>
      <c r="AA1" s="158"/>
      <c r="AB1" s="158"/>
      <c r="AC1" s="158"/>
    </row>
    <row r="2" spans="1:53">
      <c r="A2" s="269" t="s">
        <v>575</v>
      </c>
      <c r="B2" s="270" t="s">
        <v>1401</v>
      </c>
      <c r="C2" s="353" t="str">
        <f ca="1">SUBSTITUTE(LEFT(IFERROR(VLOOKUP("EntryBy",INDIRECT(B2&amp;"!$C$16:$C$115"),1,FALSE),""),1),"E","X")</f>
        <v/>
      </c>
      <c r="F2" s="170" t="s">
        <v>505</v>
      </c>
      <c r="G2" s="129"/>
      <c r="H2" s="269" t="s">
        <v>1071</v>
      </c>
      <c r="I2" s="271" t="str" cm="1">
        <f t="array" aca="1" ref="I2" ca="1">INDIRECT(aMSheetName&amp;"!"&amp;J2)</f>
        <v>true</v>
      </c>
      <c r="J2" s="129" t="s">
        <v>1072</v>
      </c>
      <c r="K2" s="129"/>
      <c r="L2" s="129"/>
      <c r="M2" s="129"/>
      <c r="N2" s="474" t="s">
        <v>1430</v>
      </c>
      <c r="O2" s="473" cm="1">
        <f t="array" aca="1" ref="O2" ca="1">INDIRECT($B$2&amp;"!E14")</f>
        <v>20</v>
      </c>
      <c r="P2" s="320"/>
      <c r="Q2" s="320"/>
      <c r="R2" s="319"/>
      <c r="S2" s="319"/>
      <c r="T2" s="320"/>
      <c r="U2" s="320"/>
      <c r="V2" s="320"/>
      <c r="W2" s="320"/>
      <c r="X2" s="320"/>
      <c r="Y2" s="320"/>
      <c r="Z2" s="320"/>
      <c r="AA2" s="320"/>
      <c r="AB2" s="320"/>
      <c r="AC2" s="320"/>
    </row>
    <row r="3" spans="1:53">
      <c r="A3" s="269" t="s">
        <v>576</v>
      </c>
      <c r="B3" s="270" t="s">
        <v>569</v>
      </c>
      <c r="C3" s="353" t="s">
        <v>882</v>
      </c>
      <c r="F3" s="170" t="s">
        <v>505</v>
      </c>
      <c r="G3" s="129"/>
      <c r="H3" s="269" t="s">
        <v>1073</v>
      </c>
      <c r="I3" s="477" t="str">
        <f ca="1">IF($I$2,"collapse","expand")</f>
        <v>collapse</v>
      </c>
      <c r="J3" s="129"/>
      <c r="K3" s="129"/>
      <c r="L3" s="129"/>
      <c r="M3" s="129"/>
      <c r="N3" s="374"/>
      <c r="O3" s="320"/>
      <c r="P3" s="320"/>
      <c r="Q3" s="320"/>
      <c r="R3" s="319"/>
      <c r="S3" s="319"/>
      <c r="T3" s="320"/>
      <c r="U3" s="320"/>
      <c r="V3" s="320"/>
      <c r="W3" s="320"/>
      <c r="X3" s="320"/>
      <c r="Y3" s="320"/>
      <c r="Z3" s="320"/>
      <c r="AA3" s="320"/>
      <c r="AB3" s="320"/>
      <c r="AC3" s="320"/>
    </row>
    <row r="4" spans="1:53">
      <c r="A4" s="269" t="s">
        <v>780</v>
      </c>
      <c r="B4" s="271" t="str" cm="1">
        <f t="array" aca="1" ref="B4" ca="1">INDIRECT(aMSheetName&amp;"!"&amp;C4)</f>
        <v>RENN1515.html</v>
      </c>
      <c r="C4" s="353" t="s">
        <v>880</v>
      </c>
      <c r="F4" s="170" t="s">
        <v>505</v>
      </c>
      <c r="G4" s="129"/>
      <c r="H4" s="269" t="s">
        <v>1074</v>
      </c>
      <c r="I4" s="477" t="str">
        <f ca="1">IF($I$2,"Collapse All","Expand All")</f>
        <v>Collapse All</v>
      </c>
      <c r="J4" s="129"/>
      <c r="K4" s="129"/>
      <c r="L4" s="129"/>
      <c r="M4" s="129"/>
      <c r="R4" s="132"/>
      <c r="S4" s="159"/>
      <c r="BA4" s="129"/>
    </row>
    <row r="5" spans="1:53">
      <c r="A5" s="269" t="s">
        <v>772</v>
      </c>
      <c r="B5" s="271" t="str" cm="1">
        <f t="array" aca="1" ref="B5" ca="1">INDIRECT(aMSheetName&amp;"!"&amp;C5)</f>
        <v>NextNumber</v>
      </c>
      <c r="C5" s="350" t="s">
        <v>824</v>
      </c>
      <c r="E5" s="354"/>
      <c r="F5" s="170" t="s">
        <v>505</v>
      </c>
      <c r="G5" s="129"/>
      <c r="H5" s="129"/>
      <c r="I5" s="129"/>
      <c r="J5" s="129"/>
      <c r="K5" s="129"/>
      <c r="L5" s="129"/>
      <c r="M5" s="129"/>
      <c r="R5" s="132"/>
      <c r="S5" s="159"/>
      <c r="BA5" s="129"/>
    </row>
    <row r="6" spans="1:53">
      <c r="A6" s="269" t="s">
        <v>773</v>
      </c>
      <c r="B6" s="271" t="str" cm="1">
        <f t="array" aca="1" ref="B6" ca="1">INDIRECT(aMSheetName&amp;"!"&amp;C6)</f>
        <v>Code</v>
      </c>
      <c r="C6" s="350" t="s">
        <v>1066</v>
      </c>
      <c r="D6" s="350"/>
      <c r="F6" s="170" t="s">
        <v>626</v>
      </c>
      <c r="G6" s="129"/>
      <c r="H6" s="129"/>
      <c r="I6" s="129"/>
      <c r="J6" s="129"/>
      <c r="K6" s="129"/>
      <c r="L6" s="129"/>
      <c r="M6" s="129"/>
      <c r="R6" s="132"/>
      <c r="S6" s="159"/>
      <c r="BA6" s="129"/>
    </row>
    <row r="7" spans="1:53">
      <c r="F7" s="170" t="str">
        <f>IF($B$3="With","editing: {","")</f>
        <v>editing: {</v>
      </c>
      <c r="G7" s="129"/>
      <c r="H7" s="129"/>
      <c r="I7" s="129"/>
      <c r="J7" s="129"/>
      <c r="K7" s="129"/>
      <c r="L7" s="129"/>
      <c r="M7" s="129"/>
      <c r="R7" s="132"/>
      <c r="S7" s="159"/>
      <c r="BA7" s="129"/>
    </row>
    <row r="8" spans="1:53">
      <c r="A8" s="150" t="s">
        <v>514</v>
      </c>
      <c r="B8" s="130" t="str" cm="1">
        <f t="array" aca="1" ref="B8" ca="1">INDIRECT(aMSheetName&amp;"!"&amp;C8)</f>
        <v>popup</v>
      </c>
      <c r="C8" s="350" t="s">
        <v>883</v>
      </c>
      <c r="D8" s="355"/>
      <c r="E8" s="356"/>
      <c r="F8" s="170" t="str">
        <f ca="1">IF($B$3="WithOut","","       mode: "&amp;CHAR(34)&amp;B8&amp;CHAR(34)&amp;",")</f>
        <v xml:space="preserve">       mode: "popup",</v>
      </c>
      <c r="G8" s="129"/>
      <c r="H8" s="129"/>
      <c r="I8" s="129"/>
      <c r="J8" s="129"/>
      <c r="K8" s="129"/>
      <c r="L8" s="129"/>
      <c r="M8" s="129"/>
      <c r="R8" s="132"/>
      <c r="S8" s="159"/>
      <c r="BA8" s="129"/>
    </row>
    <row r="9" spans="1:53">
      <c r="A9" s="150" t="s">
        <v>508</v>
      </c>
      <c r="B9" s="130" t="str" cm="1">
        <f t="array" aca="1" ref="B9" ca="1">INDIRECT(aMSheetName&amp;"!"&amp;C9)</f>
        <v>true</v>
      </c>
      <c r="C9" s="357" t="s">
        <v>884</v>
      </c>
      <c r="D9" s="358"/>
      <c r="E9" s="359"/>
      <c r="F9" s="170" t="str">
        <f ca="1">IF($B$3="WithOut","","       "&amp;A9&amp;": "&amp;B9&amp;",")</f>
        <v xml:space="preserve">       useIcons: true,</v>
      </c>
      <c r="G9" s="129"/>
      <c r="H9" s="129"/>
      <c r="I9" s="129"/>
      <c r="J9" s="129"/>
      <c r="K9" s="129"/>
      <c r="L9" s="129"/>
      <c r="M9" s="129"/>
      <c r="R9" s="132"/>
      <c r="S9" s="159"/>
      <c r="BA9" s="129"/>
    </row>
    <row r="10" spans="1:53">
      <c r="A10" s="150" t="s">
        <v>509</v>
      </c>
      <c r="B10" s="130" t="str" cm="1">
        <f t="array" aca="1" ref="B10" ca="1">INDIRECT(aMSheetName&amp;"!"&amp;C10)</f>
        <v>true</v>
      </c>
      <c r="C10" s="357" t="s">
        <v>885</v>
      </c>
      <c r="D10" s="358"/>
      <c r="E10" s="359"/>
      <c r="F10" s="170" t="str">
        <f ca="1">IF($B$3="WithOut","","       "&amp;A10&amp;": "&amp;B10&amp;",")</f>
        <v xml:space="preserve">       allowUpdating: true,</v>
      </c>
      <c r="G10" s="129"/>
      <c r="H10" s="129"/>
      <c r="I10" s="129"/>
      <c r="J10" s="129"/>
      <c r="K10" s="129"/>
      <c r="L10" s="129"/>
      <c r="M10" s="129"/>
      <c r="R10" s="132"/>
      <c r="S10" s="159"/>
      <c r="BA10" s="129"/>
    </row>
    <row r="11" spans="1:53">
      <c r="A11" s="150" t="s">
        <v>510</v>
      </c>
      <c r="B11" s="130" t="str" cm="1">
        <f t="array" aca="1" ref="B11" ca="1">INDIRECT(aMSheetName&amp;"!"&amp;C11)</f>
        <v>arDataD</v>
      </c>
      <c r="C11" s="357" t="s">
        <v>886</v>
      </c>
      <c r="D11" s="358"/>
      <c r="E11" s="359"/>
      <c r="F11" s="170" t="str">
        <f ca="1">IF($B$3="WithOut","","       "&amp;A11&amp;": "&amp;B11&amp;",")</f>
        <v xml:space="preserve">       allowDeleting: arDataD,</v>
      </c>
      <c r="G11" s="129"/>
      <c r="H11" s="129"/>
      <c r="J11" s="129"/>
      <c r="K11" s="129"/>
      <c r="L11" s="129"/>
      <c r="M11" s="129"/>
      <c r="R11" s="132"/>
      <c r="S11" s="159"/>
      <c r="BA11" s="129"/>
    </row>
    <row r="12" spans="1:53">
      <c r="A12" s="150" t="s">
        <v>511</v>
      </c>
      <c r="B12" s="130" t="str" cm="1">
        <f t="array" aca="1" ref="B12" ca="1">INDIRECT(aMSheetName&amp;"!"&amp;C12)</f>
        <v>arDataC</v>
      </c>
      <c r="C12" s="357" t="s">
        <v>887</v>
      </c>
      <c r="D12" s="358"/>
      <c r="E12" s="359"/>
      <c r="F12" s="170" t="str">
        <f ca="1">IF($B$3="WithOut","","       "&amp;A12&amp;": "&amp;B12&amp;",")</f>
        <v xml:space="preserve">       allowAdding: arDataC,</v>
      </c>
      <c r="G12" s="129"/>
      <c r="H12" s="129"/>
      <c r="J12" s="129"/>
      <c r="K12" s="129"/>
      <c r="L12" s="129"/>
      <c r="M12" s="129"/>
      <c r="R12" s="132"/>
      <c r="S12" s="159"/>
      <c r="BA12" s="129"/>
    </row>
    <row r="13" spans="1:53" hidden="1">
      <c r="A13" s="150"/>
      <c r="B13" s="130"/>
      <c r="C13" s="357"/>
      <c r="D13" s="358"/>
      <c r="E13" s="359"/>
      <c r="F13" s="170"/>
      <c r="G13" s="129"/>
      <c r="H13" s="129"/>
      <c r="J13" s="129"/>
      <c r="K13" s="129"/>
      <c r="L13" s="129"/>
      <c r="M13" s="129"/>
      <c r="R13" s="132"/>
      <c r="S13" s="159"/>
      <c r="BA13" s="129"/>
    </row>
    <row r="14" spans="1:53">
      <c r="A14" s="150"/>
      <c r="B14" s="130"/>
      <c r="C14" s="357"/>
      <c r="D14" s="358"/>
      <c r="E14" s="359"/>
      <c r="F14" s="170" t="str">
        <f ca="1">IF(SUM($B$15:$B$17)=0,"","       form: {")</f>
        <v xml:space="preserve">       form: {</v>
      </c>
      <c r="G14" s="129"/>
      <c r="H14" s="129"/>
      <c r="I14" s="129"/>
      <c r="J14" s="129"/>
      <c r="K14" s="129"/>
      <c r="L14" s="129"/>
      <c r="M14" s="129"/>
      <c r="R14" s="132"/>
      <c r="S14" s="159"/>
      <c r="BA14" s="129"/>
    </row>
    <row r="15" spans="1:53">
      <c r="A15" s="150" t="s">
        <v>1436</v>
      </c>
      <c r="B15" s="130" t="str" cm="1">
        <f t="array" aca="1" ref="B15" ca="1">INDIRECT(aMSheetName&amp;"!"&amp;C15)</f>
        <v>top</v>
      </c>
      <c r="C15" s="357" t="s">
        <v>1440</v>
      </c>
      <c r="D15" s="358"/>
      <c r="E15" s="359"/>
      <c r="F15" s="170" t="str">
        <f ca="1">IF(SUM($B$15:$B$17)=0,"","       labelLocation: '"&amp;B15&amp;"',")</f>
        <v xml:space="preserve">       labelLocation: 'top',</v>
      </c>
      <c r="G15" s="129"/>
      <c r="H15" s="129"/>
      <c r="I15" s="129"/>
      <c r="J15" s="129"/>
      <c r="K15" s="129"/>
      <c r="L15" s="129"/>
      <c r="M15" s="129"/>
      <c r="R15" s="132"/>
      <c r="S15" s="159"/>
      <c r="BA15" s="129"/>
    </row>
    <row r="16" spans="1:53">
      <c r="A16" s="150" t="s">
        <v>1434</v>
      </c>
      <c r="B16" s="130" t="str" cm="1">
        <f t="array" aca="1" ref="B16" ca="1">INDIRECT(aMSheetName&amp;"!"&amp;C16)</f>
        <v>false</v>
      </c>
      <c r="C16" s="357" t="s">
        <v>1441</v>
      </c>
      <c r="D16" s="358"/>
      <c r="E16" s="359"/>
      <c r="F16" s="170" t="str">
        <f ca="1">IF(SUM($B$15:$B$17)=0,"","       showColonAfterLabel: "&amp;B16&amp;",")</f>
        <v xml:space="preserve">       showColonAfterLabel: false,</v>
      </c>
      <c r="G16" s="129"/>
      <c r="H16" s="129"/>
      <c r="I16" s="129"/>
      <c r="J16" s="129"/>
      <c r="K16" s="129"/>
      <c r="L16" s="129"/>
      <c r="M16" s="129"/>
      <c r="R16" s="132"/>
      <c r="S16" s="159"/>
      <c r="BA16" s="129"/>
    </row>
    <row r="17" spans="1:53">
      <c r="A17" s="150" t="s">
        <v>1442</v>
      </c>
      <c r="B17" s="130" cm="1">
        <f t="array" aca="1" ref="B17" ca="1">INDIRECT(aMSheetName&amp;"!"&amp;C17)</f>
        <v>2</v>
      </c>
      <c r="C17" s="357" t="s">
        <v>1443</v>
      </c>
      <c r="D17" s="358"/>
      <c r="E17" s="359"/>
      <c r="F17" s="170" t="str">
        <f ca="1">IF(SUM($B$15:$B$17)=0,"","       colCount:"&amp;B17&amp;",")</f>
        <v xml:space="preserve">       colCount:2,</v>
      </c>
      <c r="G17" s="129"/>
      <c r="H17" s="129"/>
      <c r="I17" s="129"/>
      <c r="J17" s="129"/>
      <c r="K17" s="129"/>
      <c r="L17" s="129"/>
      <c r="M17" s="129"/>
      <c r="R17" s="132"/>
      <c r="S17" s="159"/>
      <c r="BA17" s="129"/>
    </row>
    <row r="18" spans="1:53">
      <c r="A18" s="150"/>
      <c r="B18" s="130"/>
      <c r="C18" s="357"/>
      <c r="D18" s="358"/>
      <c r="E18" s="359"/>
      <c r="F18" s="170" t="str">
        <f ca="1">IF(SUM($B$15:$B$17)=0,"","       },")</f>
        <v xml:space="preserve">       },</v>
      </c>
      <c r="G18" s="129"/>
      <c r="H18" s="129"/>
      <c r="I18" s="129"/>
      <c r="J18" s="129"/>
      <c r="K18" s="129"/>
      <c r="L18" s="129"/>
      <c r="M18" s="129"/>
      <c r="R18" s="132"/>
      <c r="S18" s="159"/>
      <c r="BA18" s="129"/>
    </row>
    <row r="19" spans="1:53">
      <c r="A19" s="128"/>
      <c r="B19" s="128"/>
      <c r="D19" s="355"/>
      <c r="E19" s="356"/>
      <c r="F19" s="170" t="str">
        <f ca="1">IF($B$3="WithOut","",IF($B$8="row","},","       popup: {"))</f>
        <v xml:space="preserve">       popup: {</v>
      </c>
      <c r="G19" s="129"/>
      <c r="H19" s="129"/>
      <c r="I19" s="129"/>
      <c r="J19" s="129"/>
      <c r="K19" s="129"/>
      <c r="L19" s="129"/>
      <c r="M19" s="129"/>
      <c r="R19" s="132"/>
      <c r="S19" s="159"/>
      <c r="BA19" s="129"/>
    </row>
    <row r="20" spans="1:53">
      <c r="A20" s="150" t="s">
        <v>377</v>
      </c>
      <c r="B20" s="130" t="str" cm="1">
        <f t="array" aca="1" ref="B20" ca="1">INDIRECT(aMSheetName&amp;"!"&amp;C20)</f>
        <v>"Next Number Info"</v>
      </c>
      <c r="C20" s="350" t="s">
        <v>888</v>
      </c>
      <c r="D20" s="355"/>
      <c r="E20" s="356"/>
      <c r="F20" s="170" t="str">
        <f ca="1">IF($B$3="WithOut","",IF($B$8="row","","           "&amp;A20&amp;": "&amp;B20&amp;" ,"))</f>
        <v xml:space="preserve">           title: "Next Number Info" ,</v>
      </c>
      <c r="G20" s="129"/>
      <c r="H20" s="129"/>
      <c r="I20" s="129"/>
      <c r="J20" s="129"/>
      <c r="K20" s="129"/>
      <c r="L20" s="129"/>
      <c r="M20" s="129"/>
      <c r="R20" s="132"/>
      <c r="S20" s="159"/>
      <c r="BA20" s="129"/>
    </row>
    <row r="21" spans="1:53">
      <c r="A21" s="150" t="s">
        <v>507</v>
      </c>
      <c r="B21" s="130" t="str" cm="1">
        <f t="array" aca="1" ref="B21" ca="1">INDIRECT(aMSheetName&amp;"!"&amp;C21)</f>
        <v>false</v>
      </c>
      <c r="C21" s="357" t="s">
        <v>889</v>
      </c>
      <c r="D21" s="358"/>
      <c r="E21" s="359"/>
      <c r="F21" s="170" t="str">
        <f ca="1">IF($B$3="WithOut","",IF($B$8="row","","           "&amp;A21&amp;": "&amp;B21&amp;","))</f>
        <v xml:space="preserve">           fullScreen: false,</v>
      </c>
      <c r="G21" s="129"/>
      <c r="H21" s="129"/>
      <c r="I21" s="129"/>
      <c r="J21" s="129"/>
      <c r="K21" s="129"/>
      <c r="L21" s="129"/>
      <c r="M21" s="129"/>
      <c r="R21" s="132"/>
      <c r="S21" s="159"/>
      <c r="BA21" s="129"/>
    </row>
    <row r="22" spans="1:53">
      <c r="A22" s="150" t="s">
        <v>385</v>
      </c>
      <c r="B22" s="130" t="str" cm="1">
        <f t="array" aca="1" ref="B22" ca="1">INDIRECT(aMSheetName&amp;"!"&amp;C22)</f>
        <v>true</v>
      </c>
      <c r="C22" s="357" t="s">
        <v>890</v>
      </c>
      <c r="D22" s="358"/>
      <c r="E22" s="359"/>
      <c r="F22" s="170" t="str">
        <f ca="1">IF($B$3="WithOut","",IF($B$8="row","","           "&amp;A22&amp;": "&amp;B22&amp;","))</f>
        <v xml:space="preserve">           showTitle: true,</v>
      </c>
      <c r="G22" s="129"/>
      <c r="H22" s="129"/>
      <c r="I22" s="129"/>
      <c r="J22" s="129"/>
      <c r="K22" s="129"/>
      <c r="L22" s="129"/>
      <c r="M22" s="129"/>
      <c r="R22" s="132"/>
      <c r="S22" s="159"/>
      <c r="BA22" s="129"/>
    </row>
    <row r="23" spans="1:53">
      <c r="A23" s="150" t="s">
        <v>380</v>
      </c>
      <c r="B23" s="141" cm="1">
        <f t="array" aca="1" ref="B23" ca="1">INDIRECT(aMSheetName&amp;"!"&amp;C23)</f>
        <v>1000</v>
      </c>
      <c r="C23" s="350" t="s">
        <v>891</v>
      </c>
      <c r="D23" s="350"/>
      <c r="E23" s="354"/>
      <c r="F23" s="170" t="str">
        <f ca="1">IF($B$3="WithOut","",IF($B$8="row","","           "&amp;A23&amp;": "&amp;B23&amp;","))</f>
        <v xml:space="preserve">           width: 1000,</v>
      </c>
      <c r="G23" s="129"/>
      <c r="H23" s="129"/>
      <c r="I23" s="129"/>
      <c r="J23" s="129"/>
      <c r="K23" s="129"/>
      <c r="L23" s="129"/>
      <c r="M23" s="129"/>
      <c r="R23" s="132"/>
      <c r="S23" s="159"/>
      <c r="BA23" s="129"/>
    </row>
    <row r="24" spans="1:53">
      <c r="A24" s="150" t="s">
        <v>378</v>
      </c>
      <c r="B24" s="141" cm="1">
        <f t="array" aca="1" ref="B24" ca="1">INDIRECT(aMSheetName&amp;"!"&amp;C24)</f>
        <v>525</v>
      </c>
      <c r="C24" s="350" t="s">
        <v>892</v>
      </c>
      <c r="D24" s="350"/>
      <c r="E24" s="354"/>
      <c r="F24" s="170" t="str">
        <f ca="1">IF($B$3="WithOut","",IF($B$8="row","","           "&amp;A24&amp;": "&amp;B24&amp;","))</f>
        <v xml:space="preserve">           height: 525,</v>
      </c>
      <c r="G24" s="129"/>
      <c r="H24" s="129"/>
      <c r="I24" s="129"/>
      <c r="J24" s="129"/>
      <c r="K24" s="129"/>
      <c r="L24" s="129"/>
      <c r="M24" s="129"/>
      <c r="R24" s="132"/>
      <c r="S24" s="159"/>
      <c r="BA24" s="129"/>
    </row>
    <row r="25" spans="1:53">
      <c r="A25" s="150" t="s">
        <v>384</v>
      </c>
      <c r="B25" s="130"/>
      <c r="D25" s="355"/>
      <c r="E25" s="356"/>
      <c r="F25" s="451" t="str">
        <f ca="1">IF($B$3="WithOut","",IF($B$8="row","","                    position: {"))</f>
        <v xml:space="preserve">                    position: {</v>
      </c>
      <c r="G25" s="129"/>
      <c r="H25" s="129"/>
      <c r="I25" s="129"/>
      <c r="J25" s="129"/>
      <c r="K25" s="129"/>
      <c r="L25" s="129"/>
      <c r="M25" s="129"/>
      <c r="R25" s="132"/>
      <c r="S25" s="159"/>
      <c r="BA25" s="129"/>
    </row>
    <row r="26" spans="1:53">
      <c r="A26" s="150" t="s">
        <v>381</v>
      </c>
      <c r="B26" s="130" t="str">
        <f>CHAR(34)&amp;"top"&amp;CHAR(34)</f>
        <v>"top"</v>
      </c>
      <c r="D26" s="355"/>
      <c r="E26" s="356"/>
      <c r="F26" s="170" t="str">
        <f ca="1">IF($B$3="WithOut","",IF($B$8="row","","                   "&amp;A26&amp;": "&amp;B26&amp;","))</f>
        <v xml:space="preserve">                   my: "top",</v>
      </c>
      <c r="G26" s="129"/>
      <c r="H26" s="129"/>
      <c r="I26" s="129"/>
      <c r="J26" s="129"/>
      <c r="K26" s="129"/>
      <c r="L26" s="129"/>
      <c r="M26" s="129"/>
      <c r="R26" s="132"/>
      <c r="S26" s="159"/>
      <c r="BA26" s="129"/>
    </row>
    <row r="27" spans="1:53">
      <c r="A27" s="150" t="s">
        <v>382</v>
      </c>
      <c r="B27" s="130" t="str">
        <f>CHAR(34)&amp;"top"&amp;CHAR(34)</f>
        <v>"top"</v>
      </c>
      <c r="D27" s="355"/>
      <c r="E27" s="356"/>
      <c r="F27" s="170" t="str">
        <f ca="1">IF($B$3="WithOut","",IF($B$8="row","","                   "&amp;A27&amp;": "&amp;B27&amp;","))</f>
        <v xml:space="preserve">                   at: "top",</v>
      </c>
      <c r="G27" s="129"/>
      <c r="H27" s="129"/>
      <c r="I27" s="129"/>
      <c r="J27" s="129"/>
      <c r="K27" s="129"/>
      <c r="L27" s="129"/>
      <c r="M27" s="129"/>
      <c r="R27" s="132"/>
      <c r="S27" s="159"/>
      <c r="BA27" s="145"/>
    </row>
    <row r="28" spans="1:53">
      <c r="A28" s="150" t="s">
        <v>383</v>
      </c>
      <c r="B28" s="130" t="str">
        <f>CHAR(34)&amp;"window"&amp;CHAR(34)</f>
        <v>"window"</v>
      </c>
      <c r="D28" s="355"/>
      <c r="E28" s="356"/>
      <c r="F28" s="170" t="str">
        <f ca="1">IF($B$3="WithOut","",IF($B$8="row","","                   "&amp;A28&amp;": "&amp;B28))</f>
        <v xml:space="preserve">                   of: "window"</v>
      </c>
      <c r="G28" s="145"/>
      <c r="H28" s="145"/>
      <c r="I28" s="145"/>
      <c r="J28" s="145"/>
      <c r="K28" s="145"/>
      <c r="L28" s="145"/>
      <c r="M28" s="145"/>
      <c r="BA28" s="128"/>
    </row>
    <row r="29" spans="1:53" hidden="1">
      <c r="A29" s="128"/>
      <c r="B29" s="128"/>
      <c r="D29" s="355"/>
      <c r="E29" s="356"/>
      <c r="F29" s="170" t="str">
        <f t="shared" ref="F29:F30" ca="1" si="0">IF($B$3="WithOut","",IF($B$8="row","","          "&amp;A29))</f>
        <v xml:space="preserve">          </v>
      </c>
      <c r="G29" s="128"/>
      <c r="H29" s="128"/>
      <c r="I29" s="128"/>
      <c r="J29" s="128"/>
      <c r="K29" s="128"/>
      <c r="L29" s="128"/>
      <c r="M29" s="128"/>
      <c r="BA29" s="128"/>
    </row>
    <row r="30" spans="1:53">
      <c r="A30" s="150" t="s">
        <v>343</v>
      </c>
      <c r="B30" s="130"/>
      <c r="D30" s="355"/>
      <c r="E30" s="356"/>
      <c r="F30" s="170" t="str">
        <f t="shared" ca="1" si="0"/>
        <v xml:space="preserve">          },</v>
      </c>
      <c r="G30" s="128"/>
      <c r="H30" s="128"/>
      <c r="I30" s="128"/>
      <c r="J30" s="128"/>
      <c r="K30" s="128"/>
      <c r="L30" s="128"/>
      <c r="M30" s="128"/>
      <c r="BA30" s="128"/>
    </row>
    <row r="31" spans="1:53">
      <c r="A31" s="150" t="s">
        <v>1270</v>
      </c>
      <c r="B31" s="130"/>
      <c r="D31" s="355"/>
      <c r="E31" s="356"/>
      <c r="F31" s="170" t="str">
        <f ca="1">IF($B$3="WithOut","",IF($B$8="row","","          "&amp;A31))</f>
        <v xml:space="preserve">          onContentReady:function(e){</v>
      </c>
      <c r="G31" s="128"/>
      <c r="H31" s="128"/>
      <c r="I31" s="128"/>
      <c r="J31" s="128"/>
      <c r="K31" s="128"/>
      <c r="L31" s="128"/>
      <c r="M31" s="128"/>
      <c r="BA31" s="128"/>
    </row>
    <row r="32" spans="1:53">
      <c r="A32" s="150" t="s">
        <v>1275</v>
      </c>
      <c r="B32" s="130"/>
      <c r="D32" s="355"/>
      <c r="E32" s="356"/>
      <c r="F32" s="170" t="str">
        <f ca="1">IF($B$3="WithOut","",IF($B$8="row","","                    "&amp;A32))</f>
        <v xml:space="preserve">                    e.component.option('toolbarItems[0].visible', aSaveVisible);</v>
      </c>
      <c r="G32" s="128"/>
      <c r="H32" s="128"/>
      <c r="I32" s="128"/>
      <c r="J32" s="128"/>
      <c r="K32" s="128"/>
      <c r="L32" s="128"/>
      <c r="M32" s="128"/>
      <c r="BA32" s="128"/>
    </row>
    <row r="33" spans="1:53">
      <c r="A33" s="150" t="s">
        <v>1285</v>
      </c>
      <c r="B33" s="130"/>
      <c r="D33" s="355"/>
      <c r="E33" s="356"/>
      <c r="F33" s="170" t="str">
        <f t="shared" ref="F33:F35" ca="1" si="1">IF($B$3="WithOut","",IF($B$8="row","","                    "&amp;A33))</f>
        <v xml:space="preserve">                    e.component.option('toolbarItems[0].options.icon', 'save');</v>
      </c>
      <c r="G33" s="128"/>
      <c r="H33" s="128"/>
      <c r="I33" s="128"/>
      <c r="J33" s="128"/>
      <c r="K33" s="128"/>
      <c r="L33" s="128"/>
      <c r="M33" s="128"/>
      <c r="BA33" s="128"/>
    </row>
    <row r="34" spans="1:53">
      <c r="A34" s="150" t="s">
        <v>1315</v>
      </c>
      <c r="B34" s="130"/>
      <c r="D34" s="355"/>
      <c r="E34" s="356"/>
      <c r="F34" s="170" t="str">
        <f t="shared" ca="1" si="1"/>
        <v xml:space="preserve">                    e.component.option('toolbarItems[0].options.type', 'success');</v>
      </c>
      <c r="G34" s="128"/>
      <c r="H34" s="128"/>
      <c r="I34" s="128"/>
      <c r="J34" s="128"/>
      <c r="K34" s="128"/>
      <c r="L34" s="128"/>
      <c r="M34" s="128"/>
      <c r="BA34" s="128"/>
    </row>
    <row r="35" spans="1:53">
      <c r="A35" s="150" t="s">
        <v>1276</v>
      </c>
      <c r="B35" s="130"/>
      <c r="D35" s="355"/>
      <c r="E35" s="356"/>
      <c r="F35" s="170" t="str">
        <f t="shared" ca="1" si="1"/>
        <v xml:space="preserve">                    e.component.option('toolbarItems[1].options.text', aCancelText);</v>
      </c>
      <c r="G35" s="128"/>
      <c r="H35" s="128"/>
      <c r="I35" s="128"/>
      <c r="J35" s="128"/>
      <c r="K35" s="128"/>
      <c r="L35" s="128"/>
      <c r="BA35" s="128"/>
    </row>
    <row r="36" spans="1:53">
      <c r="A36" s="150" t="s">
        <v>1286</v>
      </c>
      <c r="B36" s="130"/>
      <c r="D36" s="355"/>
      <c r="E36" s="356"/>
      <c r="F36" s="170" t="str">
        <f ca="1">IF($B$3="WithOut","",IF($B$8="row","","                    "&amp;A36))</f>
        <v xml:space="preserve">                    e.component.option('toolbarItems[1].options.icon', aCancelicon);</v>
      </c>
      <c r="G36" s="128"/>
      <c r="H36" s="128"/>
      <c r="I36" s="128"/>
      <c r="J36" s="128"/>
      <c r="K36" s="128"/>
      <c r="L36" s="128"/>
      <c r="M36" s="125"/>
      <c r="BA36" s="128"/>
    </row>
    <row r="37" spans="1:53">
      <c r="A37" s="150" t="s">
        <v>1313</v>
      </c>
      <c r="B37" s="130"/>
      <c r="D37" s="355"/>
      <c r="E37" s="356"/>
      <c r="F37" s="452" t="str">
        <f ca="1">IF($B$3="WithOut","",IF($B$8="row","","           "&amp;A37))</f>
        <v xml:space="preserve">           e.component.option('toolbarItems[1].options.type', aCancelType);</v>
      </c>
      <c r="G37" s="128"/>
      <c r="H37" s="128"/>
      <c r="I37" s="128"/>
      <c r="J37" s="128"/>
      <c r="K37" s="128"/>
      <c r="L37" s="128"/>
      <c r="BA37" s="128"/>
    </row>
    <row r="38" spans="1:53" hidden="1">
      <c r="A38" s="150"/>
      <c r="B38" s="130"/>
      <c r="D38" s="355"/>
      <c r="E38" s="356"/>
      <c r="F38" s="170" t="str">
        <f t="shared" ref="F38" ca="1" si="2">IF($B$3="WithOut","",IF($B$8="row","","          "&amp;A38))</f>
        <v xml:space="preserve">          </v>
      </c>
      <c r="G38" s="128"/>
      <c r="H38" s="128"/>
      <c r="I38" s="128"/>
      <c r="J38" s="128"/>
      <c r="K38" s="128"/>
      <c r="L38" s="128"/>
      <c r="M38" s="125"/>
      <c r="BA38" s="128"/>
    </row>
    <row r="39" spans="1:53" hidden="1">
      <c r="A39" s="150"/>
      <c r="B39" s="130"/>
      <c r="D39" s="355"/>
      <c r="E39" s="356"/>
      <c r="F39" s="170" t="str">
        <f ca="1">IF($B$3="WithOut","",IF($B$8="row","","       "&amp;A39))</f>
        <v xml:space="preserve">       </v>
      </c>
      <c r="G39" s="128"/>
      <c r="H39" s="128"/>
      <c r="I39" s="128"/>
      <c r="J39" s="128"/>
      <c r="K39" s="128"/>
      <c r="L39" s="128"/>
      <c r="M39" s="125"/>
      <c r="BA39" s="128"/>
    </row>
    <row r="40" spans="1:53" hidden="1">
      <c r="A40" s="150"/>
      <c r="B40" s="130"/>
      <c r="D40" s="355"/>
      <c r="E40" s="356"/>
      <c r="F40" s="170" t="str">
        <f ca="1">IF($B$3="WithOut","",IF($B$8="row","","       "&amp;A40))</f>
        <v xml:space="preserve">       </v>
      </c>
      <c r="G40" s="128"/>
      <c r="H40" s="128"/>
      <c r="I40" s="128"/>
      <c r="J40" s="128"/>
      <c r="K40" s="128"/>
      <c r="L40" s="128"/>
      <c r="M40" s="125"/>
      <c r="BA40" s="128"/>
    </row>
    <row r="41" spans="1:53" hidden="1">
      <c r="A41" s="150"/>
      <c r="B41" s="130"/>
      <c r="D41" s="355"/>
      <c r="E41" s="356"/>
      <c r="F41" s="170" t="str">
        <f ca="1">IF($B$3="WithOut","",IF($B$8="row","","       "&amp;A41))</f>
        <v xml:space="preserve">       </v>
      </c>
      <c r="G41" s="128"/>
      <c r="H41" s="128"/>
      <c r="I41" s="128"/>
      <c r="J41" s="128"/>
      <c r="K41" s="128"/>
      <c r="L41" s="128"/>
      <c r="M41" s="125"/>
      <c r="BA41" s="128"/>
    </row>
    <row r="42" spans="1:53">
      <c r="A42" s="150" t="s">
        <v>342</v>
      </c>
      <c r="B42" s="130"/>
      <c r="D42" s="355"/>
      <c r="E42" s="356"/>
      <c r="F42" s="170" t="str">
        <f t="shared" ref="F42" ca="1" si="3">IF($B$3="WithOut","",IF($B$8="row","","          "&amp;A42))</f>
        <v xml:space="preserve">          }</v>
      </c>
      <c r="G42" s="128"/>
      <c r="H42" s="128"/>
      <c r="I42" s="128"/>
      <c r="J42" s="128"/>
      <c r="K42" s="128"/>
      <c r="L42" s="128"/>
      <c r="M42" s="125"/>
      <c r="BA42" s="128"/>
    </row>
    <row r="43" spans="1:53">
      <c r="A43" s="150" t="s">
        <v>342</v>
      </c>
      <c r="B43" s="130"/>
      <c r="D43" s="355"/>
      <c r="E43" s="356"/>
      <c r="F43" s="170" t="str">
        <f ca="1">IF($B$3="WithOut","",IF($B$8="row","","       "&amp;A43))</f>
        <v xml:space="preserve">       }</v>
      </c>
      <c r="G43" s="128"/>
      <c r="H43" s="128"/>
      <c r="I43" s="128"/>
      <c r="J43" s="128"/>
      <c r="K43" s="128"/>
      <c r="L43" s="128"/>
      <c r="M43" s="125"/>
      <c r="BA43" s="128"/>
    </row>
    <row r="44" spans="1:53">
      <c r="A44" s="150" t="s">
        <v>343</v>
      </c>
      <c r="B44" s="130"/>
      <c r="D44" s="355"/>
      <c r="E44" s="356"/>
      <c r="F44" s="170" t="str">
        <f ca="1">IF($B$3="WithOut","",IF($B$8="row","","  "&amp;A44))</f>
        <v xml:space="preserve">  },</v>
      </c>
      <c r="G44" s="128"/>
      <c r="H44" s="128"/>
      <c r="I44" s="128"/>
      <c r="J44" s="128"/>
      <c r="K44" s="128"/>
      <c r="L44" s="128"/>
      <c r="M44" s="125"/>
      <c r="BA44" s="128"/>
    </row>
    <row r="45" spans="1:53">
      <c r="A45" s="133"/>
      <c r="B45" s="163"/>
      <c r="C45" s="353"/>
      <c r="F45" s="171" t="s">
        <v>489</v>
      </c>
      <c r="G45" s="128"/>
      <c r="H45" s="128"/>
      <c r="I45" s="128"/>
      <c r="J45" s="128"/>
      <c r="K45" s="128"/>
      <c r="L45" s="128"/>
      <c r="M45" s="125"/>
      <c r="BA45" s="128"/>
    </row>
    <row r="46" spans="1:53">
      <c r="D46" s="351">
        <v>16</v>
      </c>
      <c r="F46" s="169" t="s">
        <v>627</v>
      </c>
      <c r="G46" s="128"/>
      <c r="H46" s="128"/>
      <c r="I46" s="128"/>
      <c r="J46" s="128"/>
      <c r="K46" s="128"/>
      <c r="L46" s="128"/>
      <c r="M46" s="125"/>
      <c r="BA46" s="128"/>
    </row>
    <row r="47" spans="1:53">
      <c r="A47" s="475" t="s">
        <v>1400</v>
      </c>
      <c r="B47" s="130" t="str" cm="1">
        <f t="array" aca="1" ref="B47" ca="1">IFERROR(INDIRECT($B$2&amp;"!"&amp;C47&amp;D47),"")</f>
        <v>Code</v>
      </c>
      <c r="C47" s="350" t="s">
        <v>97</v>
      </c>
      <c r="D47" s="351">
        <f ca="1">IF(D46&gt;$O$2,0,IF(A47="eNd",1,0))+D46</f>
        <v>16</v>
      </c>
      <c r="F47" s="169" t="str">
        <f ca="1">IF(OR(B47="",B47=0),"","{  "&amp;A47&amp;": "&amp;CHAR(34)&amp;$B47&amp;CHAR(34)&amp;",")</f>
        <v>{  dataField: "Code",</v>
      </c>
      <c r="G47" s="128"/>
      <c r="H47" s="128"/>
      <c r="I47" s="128"/>
      <c r="J47" s="128"/>
      <c r="K47" s="128"/>
      <c r="L47" s="128"/>
      <c r="M47" s="128"/>
      <c r="BA47" s="128"/>
    </row>
    <row r="48" spans="1:53">
      <c r="A48" s="150" t="str" cm="1">
        <f t="array" aca="1" ref="A48" ca="1">INDIRECT($B$2&amp;"!"&amp;C48&amp;"15")</f>
        <v>caption</v>
      </c>
      <c r="B48" s="130" t="str" cm="1">
        <f t="array" aca="1" ref="B48" ca="1">IFERROR(INDIRECT($B$2&amp;"!"&amp;C48&amp;D48),"")</f>
        <v>Code</v>
      </c>
      <c r="C48" s="350" t="s">
        <v>112</v>
      </c>
      <c r="D48" s="351">
        <f t="shared" ref="D48:D57" ca="1" si="4">IF(D47&gt;$O$2,0,IF(A48="eNd",1,0))+D47</f>
        <v>16</v>
      </c>
      <c r="F48" s="169" t="str">
        <f ca="1">IF(OR(B48="",B48=0),"","   "&amp;A48&amp;":"&amp;CHAR(34)&amp;B48&amp;CHAR(34)&amp;",")</f>
        <v xml:space="preserve">   caption:"Code",</v>
      </c>
      <c r="G48" s="128"/>
      <c r="H48" s="128"/>
      <c r="I48" s="128"/>
      <c r="J48" s="128"/>
      <c r="K48" s="128"/>
      <c r="L48" s="128"/>
      <c r="M48" s="128"/>
      <c r="BA48" s="128"/>
    </row>
    <row r="49" spans="1:53">
      <c r="A49" s="150" t="str" cm="1">
        <f t="array" aca="1" ref="A49" ca="1">INDIRECT($B$2&amp;"!"&amp;C49&amp;"15")</f>
        <v>sortOrder</v>
      </c>
      <c r="B49" s="130" t="str" cm="1">
        <f t="array" aca="1" ref="B49" ca="1">IFERROR(INDIRECT($B$2&amp;"!"&amp;C49&amp;D49),"")</f>
        <v>asc</v>
      </c>
      <c r="C49" s="350" t="s">
        <v>119</v>
      </c>
      <c r="D49" s="351">
        <f t="shared" ca="1" si="4"/>
        <v>16</v>
      </c>
      <c r="F49" s="169" t="str">
        <f ca="1">IF(OR(B49="",B49=0),"","   "&amp;A49&amp;":"&amp;CHAR(34)&amp;B49&amp;CHAR(34)&amp;",")</f>
        <v xml:space="preserve">   sortOrder:"asc",</v>
      </c>
      <c r="G49" s="128"/>
      <c r="H49" s="128"/>
      <c r="I49" s="128"/>
      <c r="J49" s="128"/>
      <c r="K49" s="128"/>
      <c r="L49" s="128"/>
      <c r="M49" s="128"/>
      <c r="BA49" s="128"/>
    </row>
    <row r="50" spans="1:53" hidden="1">
      <c r="A50" s="150" t="str" cm="1">
        <f t="array" aca="1" ref="A50" ca="1">INDIRECT($B$2&amp;"!"&amp;C50&amp;"15")</f>
        <v>groupIndex</v>
      </c>
      <c r="B50" s="130" cm="1">
        <f t="array" aca="1" ref="B50" ca="1">IFERROR(INDIRECT($B$2&amp;"!"&amp;C50&amp;D50),"")</f>
        <v>0</v>
      </c>
      <c r="C50" s="355" t="s">
        <v>113</v>
      </c>
      <c r="D50" s="351">
        <f t="shared" ca="1" si="4"/>
        <v>16</v>
      </c>
      <c r="F50" s="126" t="str">
        <f ca="1">IF(OR(B50="",B50=0),"","            "&amp;A50&amp;": "&amp;B50-1&amp;",")</f>
        <v/>
      </c>
      <c r="G50" s="128"/>
      <c r="H50" s="128"/>
      <c r="I50" s="128"/>
      <c r="J50" s="128"/>
      <c r="K50" s="128"/>
      <c r="L50" s="128"/>
      <c r="M50" s="128"/>
      <c r="BA50" s="128"/>
    </row>
    <row r="51" spans="1:53" hidden="1">
      <c r="A51" s="150" t="str" cm="1">
        <f t="array" aca="1" ref="A51" ca="1">INDIRECT($B$2&amp;"!"&amp;C51&amp;"15")</f>
        <v>dataType</v>
      </c>
      <c r="B51" s="130" cm="1">
        <f t="array" aca="1" ref="B51" ca="1">IFERROR(INDIRECT($B$2&amp;"!"&amp;C51&amp;D51),"")</f>
        <v>0</v>
      </c>
      <c r="C51" s="355" t="s">
        <v>114</v>
      </c>
      <c r="D51" s="351">
        <f t="shared" ca="1" si="4"/>
        <v>16</v>
      </c>
      <c r="F51" s="169" t="str">
        <f ca="1">IF(OR(B51="",B51=0),"","   "&amp;A51&amp;":"&amp;CHAR(34)&amp;B51&amp;CHAR(34)&amp;",")</f>
        <v/>
      </c>
      <c r="G51" s="128"/>
      <c r="H51" s="128"/>
      <c r="I51" s="128"/>
      <c r="J51" s="128"/>
      <c r="K51" s="128"/>
      <c r="L51" s="128"/>
      <c r="M51" s="128"/>
      <c r="BA51" s="128"/>
    </row>
    <row r="52" spans="1:53" hidden="1">
      <c r="A52" s="150" t="str" cm="1">
        <f t="array" aca="1" ref="A52" ca="1">INDIRECT($B$2&amp;"!"&amp;C52&amp;"15")</f>
        <v>format</v>
      </c>
      <c r="B52" s="130" cm="1">
        <f t="array" aca="1" ref="B52" ca="1">IFERROR(INDIRECT($B$2&amp;"!"&amp;C52&amp;D52),"")</f>
        <v>0</v>
      </c>
      <c r="C52" s="355" t="s">
        <v>115</v>
      </c>
      <c r="D52" s="351">
        <f t="shared" ca="1" si="4"/>
        <v>16</v>
      </c>
      <c r="F52" s="169" t="str">
        <f ca="1">IF(OR(B52="",B52=0),"","   "&amp;A52&amp;":"&amp;IF(B52="fixedPoint",D51,CHAR(34)&amp;B52&amp;CHAR(34)&amp;","))</f>
        <v/>
      </c>
      <c r="G52" s="128"/>
      <c r="H52" s="128"/>
      <c r="I52" s="128"/>
      <c r="J52" s="128"/>
      <c r="K52" s="128"/>
      <c r="L52" s="128"/>
      <c r="M52" s="128"/>
      <c r="BA52" s="128"/>
    </row>
    <row r="53" spans="1:53">
      <c r="A53" s="150" t="str" cm="1">
        <f t="array" aca="1" ref="A53" ca="1">INDIRECT($B$2&amp;"!"&amp;C53&amp;"15")</f>
        <v>validationRules</v>
      </c>
      <c r="B53" s="130" t="str" cm="1">
        <f t="array" aca="1" ref="B53" ca="1">IFERROR(INDIRECT($B$2&amp;"!"&amp;C53&amp;D53),"")</f>
        <v>true</v>
      </c>
      <c r="C53" s="350" t="s">
        <v>116</v>
      </c>
      <c r="D53" s="351">
        <f t="shared" ca="1" si="4"/>
        <v>16</v>
      </c>
      <c r="F53" s="169" t="str">
        <f ca="1">IF(B53,"   "&amp;A53&amp;": [{type: 'required',message: '"&amp;B48&amp;" is required' }],","")</f>
        <v xml:space="preserve">   validationRules: [{type: 'required',message: 'Code is required' }],</v>
      </c>
      <c r="G53" s="128"/>
      <c r="H53" s="128"/>
      <c r="I53" s="128"/>
      <c r="J53" s="128"/>
      <c r="K53" s="128"/>
      <c r="L53" s="128"/>
      <c r="M53" s="128"/>
      <c r="BA53" s="128"/>
    </row>
    <row r="54" spans="1:53">
      <c r="A54" s="150" t="str" cm="1">
        <f t="array" aca="1" ref="A54" ca="1">INDIRECT($B$2&amp;"!"&amp;C54&amp;"15")</f>
        <v>allowHiding</v>
      </c>
      <c r="B54" s="130" t="str" cm="1">
        <f t="array" aca="1" ref="B54" ca="1">IFERROR(INDIRECT($B$2&amp;"!"&amp;C54&amp;D54),"")</f>
        <v>false</v>
      </c>
      <c r="C54" s="360" t="s">
        <v>117</v>
      </c>
      <c r="D54" s="351">
        <f t="shared" ca="1" si="4"/>
        <v>16</v>
      </c>
      <c r="F54" s="169" t="str">
        <f ca="1">IF(OR(B54="",B54=0),"","   "&amp;A54&amp;": "&amp;B54&amp;",")</f>
        <v xml:space="preserve">   allowHiding: false,</v>
      </c>
      <c r="G54" s="128"/>
      <c r="H54" s="128"/>
      <c r="I54" s="128"/>
      <c r="J54" s="128"/>
      <c r="K54" s="128"/>
      <c r="L54" s="128"/>
      <c r="M54" s="128"/>
      <c r="BA54" s="128"/>
    </row>
    <row r="55" spans="1:53" hidden="1">
      <c r="A55" s="150" t="str" cm="1">
        <f t="array" aca="1" ref="A55" ca="1">INDIRECT($B$2&amp;"!"&amp;C55&amp;"15")</f>
        <v>width</v>
      </c>
      <c r="B55" s="130" cm="1">
        <f t="array" aca="1" ref="B55" ca="1">IFERROR(INDIRECT($B$2&amp;"!"&amp;C55&amp;D55),"")</f>
        <v>0</v>
      </c>
      <c r="C55" s="360" t="s">
        <v>61</v>
      </c>
      <c r="D55" s="351">
        <f t="shared" ca="1" si="4"/>
        <v>16</v>
      </c>
      <c r="F55" s="169" t="str">
        <f ca="1">IF(OR(B55="",B55=0),"","   "&amp;A55&amp;": "&amp;B55&amp;",")</f>
        <v/>
      </c>
      <c r="G55" s="128"/>
      <c r="H55" s="128"/>
      <c r="I55" s="128"/>
      <c r="J55" s="128"/>
      <c r="K55" s="128"/>
      <c r="L55" s="128"/>
      <c r="M55" s="128"/>
      <c r="BA55" s="128"/>
    </row>
    <row r="56" spans="1:53" hidden="1">
      <c r="A56" s="150" t="str" cm="1">
        <f t="array" aca="1" ref="A56" ca="1">INDIRECT($B$2&amp;"!"&amp;C56&amp;"15")</f>
        <v>visible</v>
      </c>
      <c r="B56" s="323" t="str" cm="1">
        <f t="array" aca="1" ref="B56" ca="1">IFERROR(INDIRECT($B$2&amp;"!"&amp;C56&amp;D56),"")</f>
        <v/>
      </c>
      <c r="C56" s="360" t="s">
        <v>118</v>
      </c>
      <c r="D56" s="351">
        <f t="shared" ca="1" si="4"/>
        <v>16</v>
      </c>
      <c r="F56" s="126" t="str">
        <f ca="1">IF(OR(B56="",B56,B56=0),"","          "&amp;A56&amp;": "&amp;B56&amp;",")</f>
        <v/>
      </c>
      <c r="G56" s="128"/>
      <c r="H56" s="128"/>
      <c r="I56" s="128"/>
      <c r="J56" s="128"/>
      <c r="K56" s="128"/>
      <c r="L56" s="128"/>
      <c r="M56" s="128"/>
      <c r="BA56" s="128"/>
    </row>
    <row r="57" spans="1:53">
      <c r="A57" s="156" t="s">
        <v>1399</v>
      </c>
      <c r="B57" s="156"/>
      <c r="D57" s="351">
        <f t="shared" ca="1" si="4"/>
        <v>17</v>
      </c>
      <c r="F57" s="169" t="str">
        <f ca="1">IF(D56&gt;$O$2,"","},")</f>
        <v>},</v>
      </c>
      <c r="G57" s="128"/>
      <c r="H57" s="128"/>
      <c r="I57" s="128"/>
      <c r="J57" s="128"/>
      <c r="K57" s="128"/>
      <c r="L57" s="128"/>
      <c r="M57" s="128"/>
      <c r="BA57" s="128"/>
    </row>
    <row r="58" spans="1:53">
      <c r="A58" s="475" t="s">
        <v>1400</v>
      </c>
      <c r="B58" s="130" t="str" cm="1">
        <f t="array" aca="1" ref="B58" ca="1">IFERROR(INDIRECT($B$2&amp;"!"&amp;C58&amp;D58),"")</f>
        <v>NextNo</v>
      </c>
      <c r="C58" s="350" t="s">
        <v>97</v>
      </c>
      <c r="D58" s="351">
        <f ca="1">IF(D57&gt;$O$2,0,IF(A58="eNd",1,0))+D57</f>
        <v>17</v>
      </c>
      <c r="F58" s="169" t="str">
        <f ca="1">IF(OR(B58="",B58=0),"","{  "&amp;A58&amp;": "&amp;CHAR(34)&amp;$B58&amp;CHAR(34)&amp;",")</f>
        <v>{  dataField: "NextNo",</v>
      </c>
      <c r="G58" s="128"/>
      <c r="H58" s="128"/>
      <c r="I58" s="128"/>
      <c r="J58" s="128"/>
      <c r="K58" s="128"/>
      <c r="L58" s="128"/>
      <c r="M58" s="128"/>
      <c r="BA58" s="128"/>
    </row>
    <row r="59" spans="1:53">
      <c r="A59" s="150" t="str" cm="1">
        <f t="array" aca="1" ref="A59" ca="1">INDIRECT($B$2&amp;"!"&amp;C59&amp;"15")</f>
        <v>caption</v>
      </c>
      <c r="B59" s="130" t="str" cm="1">
        <f t="array" aca="1" ref="B59" ca="1">IFERROR(INDIRECT($B$2&amp;"!"&amp;C59&amp;D59),"")</f>
        <v>Next No</v>
      </c>
      <c r="C59" s="350" t="s">
        <v>112</v>
      </c>
      <c r="D59" s="351">
        <f t="shared" ref="D59:D68" ca="1" si="5">IF(D58&gt;$O$2,0,IF(A59="eNd",1,0))+D58</f>
        <v>17</v>
      </c>
      <c r="F59" s="169" t="str">
        <f ca="1">IF(OR(B59="",B59=0),"","   "&amp;A59&amp;":"&amp;CHAR(34)&amp;B59&amp;CHAR(34)&amp;",")</f>
        <v xml:space="preserve">   caption:"Next No",</v>
      </c>
      <c r="G59" s="128"/>
      <c r="H59" s="128"/>
      <c r="I59" s="128"/>
      <c r="J59" s="128"/>
      <c r="K59" s="128"/>
      <c r="L59" s="128"/>
      <c r="M59" s="128"/>
      <c r="BA59" s="128"/>
    </row>
    <row r="60" spans="1:53" hidden="1">
      <c r="A60" s="150" t="str" cm="1">
        <f t="array" aca="1" ref="A60" ca="1">INDIRECT($B$2&amp;"!"&amp;C60&amp;"15")</f>
        <v>sortOrder</v>
      </c>
      <c r="B60" s="130" t="str" cm="1">
        <f t="array" aca="1" ref="B60" ca="1">IFERROR(INDIRECT($B$2&amp;"!"&amp;C60&amp;D60),"")</f>
        <v/>
      </c>
      <c r="C60" s="350" t="s">
        <v>119</v>
      </c>
      <c r="D60" s="351">
        <f t="shared" ca="1" si="5"/>
        <v>17</v>
      </c>
      <c r="F60" s="169" t="str">
        <f ca="1">IF(OR(B60="",B60=0),"","   "&amp;A60&amp;":"&amp;CHAR(34)&amp;B60&amp;CHAR(34)&amp;",")</f>
        <v/>
      </c>
      <c r="G60" s="128"/>
      <c r="H60" s="128"/>
      <c r="I60" s="128"/>
      <c r="J60" s="128"/>
      <c r="K60" s="128"/>
      <c r="L60" s="128"/>
      <c r="M60" s="128"/>
      <c r="BA60" s="128"/>
    </row>
    <row r="61" spans="1:53" hidden="1">
      <c r="A61" s="150" t="str" cm="1">
        <f t="array" aca="1" ref="A61" ca="1">INDIRECT($B$2&amp;"!"&amp;C61&amp;"15")</f>
        <v>groupIndex</v>
      </c>
      <c r="B61" s="130" cm="1">
        <f t="array" aca="1" ref="B61" ca="1">IFERROR(INDIRECT($B$2&amp;"!"&amp;C61&amp;D61),"")</f>
        <v>0</v>
      </c>
      <c r="C61" s="355" t="s">
        <v>113</v>
      </c>
      <c r="D61" s="351">
        <f t="shared" ca="1" si="5"/>
        <v>17</v>
      </c>
      <c r="F61" s="126" t="str">
        <f ca="1">IF(OR(B61="",B61=0),"","            "&amp;A61&amp;": "&amp;B61-1&amp;",")</f>
        <v/>
      </c>
      <c r="G61" s="128"/>
      <c r="H61" s="128"/>
      <c r="I61" s="128"/>
      <c r="J61" s="128"/>
      <c r="K61" s="128"/>
      <c r="L61" s="128"/>
      <c r="M61" s="128"/>
      <c r="BA61" s="128"/>
    </row>
    <row r="62" spans="1:53" hidden="1">
      <c r="A62" s="150" t="str" cm="1">
        <f t="array" aca="1" ref="A62" ca="1">INDIRECT($B$2&amp;"!"&amp;C62&amp;"15")</f>
        <v>dataType</v>
      </c>
      <c r="B62" s="130" cm="1">
        <f t="array" aca="1" ref="B62" ca="1">IFERROR(INDIRECT($B$2&amp;"!"&amp;C62&amp;D62),"")</f>
        <v>0</v>
      </c>
      <c r="C62" s="355" t="s">
        <v>114</v>
      </c>
      <c r="D62" s="351">
        <f t="shared" ca="1" si="5"/>
        <v>17</v>
      </c>
      <c r="F62" s="169" t="str">
        <f ca="1">IF(OR(B62="",B62=0),"","   "&amp;A62&amp;":"&amp;CHAR(34)&amp;B62&amp;CHAR(34)&amp;",")</f>
        <v/>
      </c>
      <c r="G62" s="128"/>
      <c r="H62" s="128"/>
      <c r="I62" s="128"/>
      <c r="J62" s="128"/>
      <c r="K62" s="128"/>
      <c r="L62" s="128"/>
      <c r="M62" s="128"/>
      <c r="BA62" s="128"/>
    </row>
    <row r="63" spans="1:53" hidden="1">
      <c r="A63" s="150" t="str" cm="1">
        <f t="array" aca="1" ref="A63" ca="1">INDIRECT($B$2&amp;"!"&amp;C63&amp;"15")</f>
        <v>format</v>
      </c>
      <c r="B63" s="130" cm="1">
        <f t="array" aca="1" ref="B63" ca="1">IFERROR(INDIRECT($B$2&amp;"!"&amp;C63&amp;D63),"")</f>
        <v>0</v>
      </c>
      <c r="C63" s="355" t="s">
        <v>115</v>
      </c>
      <c r="D63" s="351">
        <f t="shared" ca="1" si="5"/>
        <v>17</v>
      </c>
      <c r="F63" s="169" t="str">
        <f ca="1">IF(OR(B63="",B63=0),"","   "&amp;A63&amp;":"&amp;IF(B63="fixedPoint",D62,CHAR(34)&amp;B63&amp;CHAR(34)&amp;","))</f>
        <v/>
      </c>
      <c r="G63" s="128"/>
      <c r="H63" s="128"/>
      <c r="I63" s="128"/>
      <c r="J63" s="128"/>
      <c r="K63" s="128"/>
      <c r="L63" s="128"/>
      <c r="M63" s="128"/>
      <c r="BA63" s="128"/>
    </row>
    <row r="64" spans="1:53">
      <c r="A64" s="150" t="str" cm="1">
        <f t="array" aca="1" ref="A64" ca="1">INDIRECT($B$2&amp;"!"&amp;C64&amp;"15")</f>
        <v>validationRules</v>
      </c>
      <c r="B64" s="130" t="str" cm="1">
        <f t="array" aca="1" ref="B64" ca="1">IFERROR(INDIRECT($B$2&amp;"!"&amp;C64&amp;D64),"")</f>
        <v>true</v>
      </c>
      <c r="C64" s="350" t="s">
        <v>116</v>
      </c>
      <c r="D64" s="351">
        <f t="shared" ca="1" si="5"/>
        <v>17</v>
      </c>
      <c r="F64" s="169" t="str">
        <f ca="1">IF(B64,"   "&amp;A64&amp;": [{type: 'required',message: '"&amp;B59&amp;" is required' }],","")</f>
        <v xml:space="preserve">   validationRules: [{type: 'required',message: 'Next No is required' }],</v>
      </c>
      <c r="G64" s="128"/>
      <c r="H64" s="128"/>
      <c r="I64" s="128"/>
      <c r="J64" s="128"/>
      <c r="K64" s="128"/>
      <c r="L64" s="128"/>
      <c r="M64" s="128"/>
      <c r="BA64" s="128"/>
    </row>
    <row r="65" spans="1:53" hidden="1">
      <c r="A65" s="150" t="str" cm="1">
        <f t="array" aca="1" ref="A65" ca="1">INDIRECT($B$2&amp;"!"&amp;C65&amp;"15")</f>
        <v>allowHiding</v>
      </c>
      <c r="B65" s="130" cm="1">
        <f t="array" aca="1" ref="B65" ca="1">IFERROR(INDIRECT($B$2&amp;"!"&amp;C65&amp;D65),"")</f>
        <v>0</v>
      </c>
      <c r="C65" s="360" t="s">
        <v>117</v>
      </c>
      <c r="D65" s="351">
        <f t="shared" ca="1" si="5"/>
        <v>17</v>
      </c>
      <c r="F65" s="169" t="str">
        <f ca="1">IF(OR(B65="",B65=0),"","   "&amp;A65&amp;": "&amp;B65&amp;",")</f>
        <v/>
      </c>
      <c r="G65" s="128"/>
      <c r="H65" s="128"/>
      <c r="I65" s="128"/>
      <c r="J65" s="128"/>
      <c r="K65" s="128"/>
      <c r="L65" s="128"/>
      <c r="M65" s="128"/>
      <c r="BA65" s="128"/>
    </row>
    <row r="66" spans="1:53" hidden="1">
      <c r="A66" s="150" t="str" cm="1">
        <f t="array" aca="1" ref="A66" ca="1">INDIRECT($B$2&amp;"!"&amp;C66&amp;"15")</f>
        <v>width</v>
      </c>
      <c r="B66" s="130" cm="1">
        <f t="array" aca="1" ref="B66" ca="1">IFERROR(INDIRECT($B$2&amp;"!"&amp;C66&amp;D66),"")</f>
        <v>0</v>
      </c>
      <c r="C66" s="360" t="s">
        <v>61</v>
      </c>
      <c r="D66" s="351">
        <f t="shared" ca="1" si="5"/>
        <v>17</v>
      </c>
      <c r="F66" s="169" t="str">
        <f ca="1">IF(OR(B66="",B66=0),"","   "&amp;A66&amp;": "&amp;B66&amp;",")</f>
        <v/>
      </c>
      <c r="G66" s="128"/>
      <c r="H66" s="128"/>
      <c r="I66" s="128"/>
      <c r="J66" s="128"/>
      <c r="K66" s="128"/>
      <c r="L66" s="128"/>
      <c r="M66" s="128"/>
      <c r="BA66" s="128"/>
    </row>
    <row r="67" spans="1:53" hidden="1">
      <c r="A67" s="150" t="str" cm="1">
        <f t="array" aca="1" ref="A67" ca="1">INDIRECT($B$2&amp;"!"&amp;C67&amp;"15")</f>
        <v>visible</v>
      </c>
      <c r="B67" s="323" t="str" cm="1">
        <f t="array" aca="1" ref="B67" ca="1">IFERROR(INDIRECT($B$2&amp;"!"&amp;C67&amp;D67),"")</f>
        <v/>
      </c>
      <c r="C67" s="360" t="s">
        <v>118</v>
      </c>
      <c r="D67" s="351">
        <f t="shared" ca="1" si="5"/>
        <v>17</v>
      </c>
      <c r="F67" s="126" t="str">
        <f ca="1">IF(OR(B67="",B67,B67=0),"","          "&amp;A67&amp;": "&amp;B67&amp;",")</f>
        <v/>
      </c>
      <c r="G67" s="128"/>
      <c r="H67" s="128"/>
      <c r="I67" s="128"/>
      <c r="J67" s="128"/>
      <c r="K67" s="128"/>
      <c r="L67" s="128"/>
      <c r="M67" s="128"/>
      <c r="BA67" s="128"/>
    </row>
    <row r="68" spans="1:53">
      <c r="A68" s="156" t="s">
        <v>1399</v>
      </c>
      <c r="B68" s="156"/>
      <c r="D68" s="351">
        <f t="shared" ca="1" si="5"/>
        <v>18</v>
      </c>
      <c r="F68" s="169" t="str">
        <f ca="1">IF(D67&gt;$O$2,"","},")</f>
        <v>},</v>
      </c>
      <c r="G68" s="128"/>
      <c r="H68" s="128"/>
      <c r="I68" s="128"/>
      <c r="J68" s="128"/>
      <c r="K68" s="128"/>
      <c r="L68" s="128"/>
      <c r="M68" s="128"/>
      <c r="BA68" s="128"/>
    </row>
    <row r="69" spans="1:53">
      <c r="A69" s="475" t="s">
        <v>1400</v>
      </c>
      <c r="B69" s="130" t="str" cm="1">
        <f t="array" aca="1" ref="B69" ca="1">IFERROR(INDIRECT($B$2&amp;"!"&amp;C69&amp;D69),"")</f>
        <v>ConstantValue</v>
      </c>
      <c r="C69" s="350" t="s">
        <v>97</v>
      </c>
      <c r="D69" s="351">
        <f ca="1">IF(D68&gt;$O$2,0,IF(A69="eNd",1,0))+D68</f>
        <v>18</v>
      </c>
      <c r="F69" s="169" t="str">
        <f ca="1">IF(OR(B69="",B69=0),"","{  "&amp;A69&amp;": "&amp;CHAR(34)&amp;$B69&amp;CHAR(34)&amp;",")</f>
        <v>{  dataField: "ConstantValue",</v>
      </c>
      <c r="G69" s="128"/>
      <c r="H69" s="128"/>
      <c r="I69" s="128"/>
      <c r="J69" s="128"/>
      <c r="K69" s="128"/>
      <c r="L69" s="128"/>
      <c r="M69" s="128"/>
      <c r="BA69" s="128"/>
    </row>
    <row r="70" spans="1:53">
      <c r="A70" s="150" t="str" cm="1">
        <f t="array" aca="1" ref="A70" ca="1">INDIRECT($B$2&amp;"!"&amp;C70&amp;"15")</f>
        <v>caption</v>
      </c>
      <c r="B70" s="130" t="str" cm="1">
        <f t="array" aca="1" ref="B70" ca="1">IFERROR(INDIRECT($B$2&amp;"!"&amp;C70&amp;D70),"")</f>
        <v>Constant Value</v>
      </c>
      <c r="C70" s="350" t="s">
        <v>112</v>
      </c>
      <c r="D70" s="351">
        <f t="shared" ref="D70:D79" ca="1" si="6">IF(D69&gt;$O$2,0,IF(A70="eNd",1,0))+D69</f>
        <v>18</v>
      </c>
      <c r="F70" s="169" t="str">
        <f ca="1">IF(OR(B70="",B70=0),"","   "&amp;A70&amp;":"&amp;CHAR(34)&amp;B70&amp;CHAR(34)&amp;",")</f>
        <v xml:space="preserve">   caption:"Constant Value",</v>
      </c>
      <c r="G70" s="128"/>
      <c r="H70" s="128"/>
      <c r="I70" s="128"/>
      <c r="J70" s="128"/>
      <c r="K70" s="128"/>
      <c r="L70" s="128"/>
      <c r="M70" s="128"/>
      <c r="BA70" s="128"/>
    </row>
    <row r="71" spans="1:53" hidden="1">
      <c r="A71" s="150" t="str" cm="1">
        <f t="array" aca="1" ref="A71" ca="1">INDIRECT($B$2&amp;"!"&amp;C71&amp;"15")</f>
        <v>sortOrder</v>
      </c>
      <c r="B71" s="130" t="str" cm="1">
        <f t="array" aca="1" ref="B71" ca="1">IFERROR(INDIRECT($B$2&amp;"!"&amp;C71&amp;D71),"")</f>
        <v/>
      </c>
      <c r="C71" s="350" t="s">
        <v>119</v>
      </c>
      <c r="D71" s="351">
        <f t="shared" ca="1" si="6"/>
        <v>18</v>
      </c>
      <c r="F71" s="169" t="str">
        <f ca="1">IF(OR(B71="",B71=0),"","   "&amp;A71&amp;":"&amp;CHAR(34)&amp;B71&amp;CHAR(34)&amp;",")</f>
        <v/>
      </c>
      <c r="G71" s="128"/>
      <c r="H71" s="128"/>
      <c r="I71" s="128"/>
      <c r="J71" s="128"/>
      <c r="K71" s="128"/>
      <c r="L71" s="128"/>
      <c r="M71" s="128"/>
      <c r="BA71" s="128"/>
    </row>
    <row r="72" spans="1:53" hidden="1">
      <c r="A72" s="150" t="str" cm="1">
        <f t="array" aca="1" ref="A72" ca="1">INDIRECT($B$2&amp;"!"&amp;C72&amp;"15")</f>
        <v>groupIndex</v>
      </c>
      <c r="B72" s="130" cm="1">
        <f t="array" aca="1" ref="B72" ca="1">IFERROR(INDIRECT($B$2&amp;"!"&amp;C72&amp;D72),"")</f>
        <v>0</v>
      </c>
      <c r="C72" s="355" t="s">
        <v>113</v>
      </c>
      <c r="D72" s="351">
        <f t="shared" ca="1" si="6"/>
        <v>18</v>
      </c>
      <c r="F72" s="126" t="str">
        <f ca="1">IF(OR(B72="",B72=0),"","            "&amp;A72&amp;": "&amp;B72-1&amp;",")</f>
        <v/>
      </c>
      <c r="G72" s="128"/>
      <c r="H72" s="128"/>
      <c r="I72" s="128"/>
      <c r="J72" s="128"/>
      <c r="K72" s="128"/>
      <c r="L72" s="128"/>
      <c r="M72" s="128"/>
      <c r="BA72" s="128"/>
    </row>
    <row r="73" spans="1:53">
      <c r="A73" s="150" t="str" cm="1">
        <f t="array" aca="1" ref="A73" ca="1">INDIRECT($B$2&amp;"!"&amp;C73&amp;"15")</f>
        <v>dataType</v>
      </c>
      <c r="B73" s="130" t="str" cm="1">
        <f t="array" aca="1" ref="B73" ca="1">IFERROR(INDIRECT($B$2&amp;"!"&amp;C73&amp;D73),"")</f>
        <v>number</v>
      </c>
      <c r="C73" s="355" t="s">
        <v>114</v>
      </c>
      <c r="D73" s="351">
        <f t="shared" ca="1" si="6"/>
        <v>18</v>
      </c>
      <c r="F73" s="169" t="str">
        <f ca="1">IF(OR(B73="",B73=0),"","   "&amp;A73&amp;":"&amp;CHAR(34)&amp;B73&amp;CHAR(34)&amp;",")</f>
        <v xml:space="preserve">   dataType:"number",</v>
      </c>
      <c r="G73" s="128"/>
      <c r="H73" s="128"/>
      <c r="I73" s="128"/>
      <c r="J73" s="128"/>
      <c r="K73" s="128"/>
      <c r="L73" s="128"/>
      <c r="M73" s="128"/>
      <c r="BA73" s="128"/>
    </row>
    <row r="74" spans="1:53">
      <c r="A74" s="150" t="str" cm="1">
        <f t="array" aca="1" ref="A74" ca="1">INDIRECT($B$2&amp;"!"&amp;C74&amp;"15")</f>
        <v>format</v>
      </c>
      <c r="B74" s="130" t="str" cm="1">
        <f t="array" aca="1" ref="B74" ca="1">IFERROR(INDIRECT($B$2&amp;"!"&amp;C74&amp;D74),"")</f>
        <v>fixedPoint</v>
      </c>
      <c r="C74" s="355" t="s">
        <v>115</v>
      </c>
      <c r="D74" s="351">
        <f t="shared" ca="1" si="6"/>
        <v>18</v>
      </c>
      <c r="F74" s="169" t="str">
        <f ca="1">IF(OR(B74="",B74=0),"","   "&amp;A74&amp;":"&amp;IF(B74="fixedPoint",D73,CHAR(34)&amp;B74&amp;CHAR(34)&amp;","))</f>
        <v xml:space="preserve">   format:18</v>
      </c>
      <c r="G74" s="128"/>
      <c r="H74" s="128"/>
      <c r="I74" s="128"/>
      <c r="J74" s="128"/>
      <c r="K74" s="128"/>
      <c r="L74" s="128"/>
      <c r="M74" s="128"/>
      <c r="BA74" s="128"/>
    </row>
    <row r="75" spans="1:53" hidden="1">
      <c r="A75" s="150" t="str" cm="1">
        <f t="array" aca="1" ref="A75" ca="1">INDIRECT($B$2&amp;"!"&amp;C75&amp;"15")</f>
        <v>validationRules</v>
      </c>
      <c r="B75" s="130" cm="1">
        <f t="array" aca="1" ref="B75" ca="1">IFERROR(INDIRECT($B$2&amp;"!"&amp;C75&amp;D75),"")</f>
        <v>0</v>
      </c>
      <c r="C75" s="350" t="s">
        <v>116</v>
      </c>
      <c r="D75" s="351">
        <f t="shared" ca="1" si="6"/>
        <v>18</v>
      </c>
      <c r="F75" s="169" t="str">
        <f ca="1">IF(B75,"   "&amp;A75&amp;": [{type: 'required',message: '"&amp;B70&amp;" is required' }],","")</f>
        <v/>
      </c>
      <c r="G75" s="128"/>
      <c r="H75" s="128"/>
      <c r="I75" s="128"/>
      <c r="J75" s="128"/>
      <c r="K75" s="128"/>
      <c r="L75" s="128"/>
      <c r="M75" s="128"/>
      <c r="BA75" s="128"/>
    </row>
    <row r="76" spans="1:53" hidden="1">
      <c r="A76" s="150" t="str" cm="1">
        <f t="array" aca="1" ref="A76" ca="1">INDIRECT($B$2&amp;"!"&amp;C76&amp;"15")</f>
        <v>allowHiding</v>
      </c>
      <c r="B76" s="130" cm="1">
        <f t="array" aca="1" ref="B76" ca="1">IFERROR(INDIRECT($B$2&amp;"!"&amp;C76&amp;D76),"")</f>
        <v>0</v>
      </c>
      <c r="C76" s="360" t="s">
        <v>117</v>
      </c>
      <c r="D76" s="351">
        <f t="shared" ca="1" si="6"/>
        <v>18</v>
      </c>
      <c r="F76" s="169" t="str">
        <f ca="1">IF(OR(B76="",B76=0),"","   "&amp;A76&amp;": "&amp;B76&amp;",")</f>
        <v/>
      </c>
      <c r="G76" s="128"/>
      <c r="H76" s="128"/>
      <c r="I76" s="128"/>
      <c r="J76" s="128"/>
      <c r="K76" s="128"/>
      <c r="L76" s="128"/>
      <c r="M76" s="128"/>
      <c r="BA76" s="128"/>
    </row>
    <row r="77" spans="1:53" hidden="1">
      <c r="A77" s="150" t="str" cm="1">
        <f t="array" aca="1" ref="A77" ca="1">INDIRECT($B$2&amp;"!"&amp;C77&amp;"15")</f>
        <v>width</v>
      </c>
      <c r="B77" s="130" cm="1">
        <f t="array" aca="1" ref="B77" ca="1">IFERROR(INDIRECT($B$2&amp;"!"&amp;C77&amp;D77),"")</f>
        <v>0</v>
      </c>
      <c r="C77" s="360" t="s">
        <v>61</v>
      </c>
      <c r="D77" s="351">
        <f t="shared" ca="1" si="6"/>
        <v>18</v>
      </c>
      <c r="F77" s="169" t="str">
        <f ca="1">IF(OR(B77="",B77=0),"","   "&amp;A77&amp;": "&amp;B77&amp;",")</f>
        <v/>
      </c>
      <c r="G77" s="128"/>
      <c r="H77" s="128"/>
      <c r="I77" s="128"/>
      <c r="J77" s="128"/>
      <c r="K77" s="128"/>
      <c r="L77" s="128"/>
      <c r="M77" s="128"/>
      <c r="BA77" s="128"/>
    </row>
    <row r="78" spans="1:53" hidden="1">
      <c r="A78" s="150" t="str" cm="1">
        <f t="array" aca="1" ref="A78" ca="1">INDIRECT($B$2&amp;"!"&amp;C78&amp;"15")</f>
        <v>visible</v>
      </c>
      <c r="B78" s="323" t="str" cm="1">
        <f t="array" aca="1" ref="B78" ca="1">IFERROR(INDIRECT($B$2&amp;"!"&amp;C78&amp;D78),"")</f>
        <v/>
      </c>
      <c r="C78" s="360" t="s">
        <v>118</v>
      </c>
      <c r="D78" s="351">
        <f t="shared" ca="1" si="6"/>
        <v>18</v>
      </c>
      <c r="F78" s="126" t="str">
        <f ca="1">IF(OR(B78="",B78,B78=0),"","          "&amp;A78&amp;": "&amp;B78&amp;",")</f>
        <v/>
      </c>
      <c r="G78" s="128"/>
      <c r="H78" s="128"/>
      <c r="I78" s="128"/>
      <c r="J78" s="128"/>
      <c r="K78" s="128"/>
      <c r="L78" s="128"/>
      <c r="M78" s="128"/>
      <c r="BA78" s="128"/>
    </row>
    <row r="79" spans="1:53">
      <c r="A79" s="156" t="s">
        <v>1399</v>
      </c>
      <c r="B79" s="156"/>
      <c r="D79" s="351">
        <f t="shared" ca="1" si="6"/>
        <v>19</v>
      </c>
      <c r="F79" s="169" t="str">
        <f ca="1">IF(D78&gt;$O$2,"","},")</f>
        <v>},</v>
      </c>
      <c r="G79" s="128"/>
      <c r="H79" s="128"/>
      <c r="I79" s="128"/>
      <c r="J79" s="128"/>
      <c r="K79" s="128"/>
      <c r="L79" s="128"/>
      <c r="M79" s="128"/>
      <c r="BA79" s="128"/>
    </row>
    <row r="80" spans="1:53">
      <c r="A80" s="475" t="s">
        <v>1400</v>
      </c>
      <c r="B80" s="130" t="str" cm="1">
        <f t="array" aca="1" ref="B80" ca="1">IFERROR(INDIRECT($B$2&amp;"!"&amp;C80&amp;D80),"")</f>
        <v>BooleanFlag</v>
      </c>
      <c r="C80" s="350" t="s">
        <v>97</v>
      </c>
      <c r="D80" s="351">
        <f ca="1">IF(D79&gt;$O$2,0,IF(A80="eNd",1,0))+D79</f>
        <v>19</v>
      </c>
      <c r="F80" s="169" t="str">
        <f ca="1">IF(OR(B80="",B80=0),"","{  "&amp;A80&amp;": "&amp;CHAR(34)&amp;$B80&amp;CHAR(34)&amp;",")</f>
        <v>{  dataField: "BooleanFlag",</v>
      </c>
      <c r="G80" s="128"/>
      <c r="H80" s="128"/>
      <c r="I80" s="128"/>
      <c r="J80" s="128"/>
      <c r="K80" s="128"/>
      <c r="L80" s="128"/>
      <c r="M80" s="128"/>
      <c r="BA80" s="128"/>
    </row>
    <row r="81" spans="1:53">
      <c r="A81" s="150" t="str" cm="1">
        <f t="array" aca="1" ref="A81" ca="1">INDIRECT($B$2&amp;"!"&amp;C81&amp;"15")</f>
        <v>caption</v>
      </c>
      <c r="B81" s="130" t="str" cm="1">
        <f t="array" aca="1" ref="B81" ca="1">IFERROR(INDIRECT($B$2&amp;"!"&amp;C81&amp;D81),"")</f>
        <v>Boolean Flag</v>
      </c>
      <c r="C81" s="350" t="s">
        <v>112</v>
      </c>
      <c r="D81" s="351">
        <f t="shared" ref="D81:D90" ca="1" si="7">IF(D80&gt;$O$2,0,IF(A81="eNd",1,0))+D80</f>
        <v>19</v>
      </c>
      <c r="F81" s="169" t="str">
        <f ca="1">IF(OR(B81="",B81=0),"","   "&amp;A81&amp;":"&amp;CHAR(34)&amp;B81&amp;CHAR(34)&amp;",")</f>
        <v xml:space="preserve">   caption:"Boolean Flag",</v>
      </c>
      <c r="G81" s="128"/>
      <c r="H81" s="128"/>
      <c r="I81" s="128"/>
      <c r="J81" s="128"/>
      <c r="K81" s="128"/>
      <c r="L81" s="128"/>
      <c r="M81" s="128"/>
      <c r="BA81" s="128"/>
    </row>
    <row r="82" spans="1:53" hidden="1">
      <c r="A82" s="150" t="str" cm="1">
        <f t="array" aca="1" ref="A82" ca="1">INDIRECT($B$2&amp;"!"&amp;C82&amp;"15")</f>
        <v>sortOrder</v>
      </c>
      <c r="B82" s="130" t="str" cm="1">
        <f t="array" aca="1" ref="B82" ca="1">IFERROR(INDIRECT($B$2&amp;"!"&amp;C82&amp;D82),"")</f>
        <v/>
      </c>
      <c r="C82" s="350" t="s">
        <v>119</v>
      </c>
      <c r="D82" s="351">
        <f t="shared" ca="1" si="7"/>
        <v>19</v>
      </c>
      <c r="F82" s="169" t="str">
        <f ca="1">IF(OR(B82="",B82=0),"","   "&amp;A82&amp;":"&amp;CHAR(34)&amp;B82&amp;CHAR(34)&amp;",")</f>
        <v/>
      </c>
      <c r="G82" s="128"/>
      <c r="H82" s="128"/>
      <c r="I82" s="128"/>
      <c r="J82" s="128"/>
      <c r="K82" s="128"/>
      <c r="L82" s="128"/>
      <c r="M82" s="128"/>
      <c r="BA82" s="128"/>
    </row>
    <row r="83" spans="1:53" hidden="1">
      <c r="A83" s="150" t="str" cm="1">
        <f t="array" aca="1" ref="A83" ca="1">INDIRECT($B$2&amp;"!"&amp;C83&amp;"15")</f>
        <v>groupIndex</v>
      </c>
      <c r="B83" s="130" cm="1">
        <f t="array" aca="1" ref="B83" ca="1">IFERROR(INDIRECT($B$2&amp;"!"&amp;C83&amp;D83),"")</f>
        <v>0</v>
      </c>
      <c r="C83" s="355" t="s">
        <v>113</v>
      </c>
      <c r="D83" s="351">
        <f t="shared" ca="1" si="7"/>
        <v>19</v>
      </c>
      <c r="F83" s="126" t="str">
        <f ca="1">IF(OR(B83="",B83=0),"","            "&amp;A83&amp;": "&amp;B83-1&amp;",")</f>
        <v/>
      </c>
      <c r="G83" s="128"/>
      <c r="H83" s="128"/>
      <c r="I83" s="128"/>
      <c r="J83" s="128"/>
      <c r="K83" s="128"/>
      <c r="L83" s="128"/>
      <c r="M83" s="128"/>
      <c r="BA83" s="128"/>
    </row>
    <row r="84" spans="1:53" hidden="1">
      <c r="A84" s="150" t="str" cm="1">
        <f t="array" aca="1" ref="A84" ca="1">INDIRECT($B$2&amp;"!"&amp;C84&amp;"15")</f>
        <v>dataType</v>
      </c>
      <c r="B84" s="130" cm="1">
        <f t="array" aca="1" ref="B84" ca="1">IFERROR(INDIRECT($B$2&amp;"!"&amp;C84&amp;D84),"")</f>
        <v>0</v>
      </c>
      <c r="C84" s="355" t="s">
        <v>114</v>
      </c>
      <c r="D84" s="351">
        <f t="shared" ca="1" si="7"/>
        <v>19</v>
      </c>
      <c r="F84" s="169" t="str">
        <f ca="1">IF(OR(B84="",B84=0),"","   "&amp;A84&amp;":"&amp;CHAR(34)&amp;B84&amp;CHAR(34)&amp;",")</f>
        <v/>
      </c>
      <c r="G84" s="128"/>
      <c r="H84" s="128"/>
      <c r="I84" s="128"/>
      <c r="J84" s="128"/>
      <c r="K84" s="128"/>
      <c r="L84" s="128"/>
      <c r="M84" s="128"/>
      <c r="BA84" s="128"/>
    </row>
    <row r="85" spans="1:53" hidden="1">
      <c r="A85" s="150" t="str" cm="1">
        <f t="array" aca="1" ref="A85" ca="1">INDIRECT($B$2&amp;"!"&amp;C85&amp;"15")</f>
        <v>format</v>
      </c>
      <c r="B85" s="130" cm="1">
        <f t="array" aca="1" ref="B85" ca="1">IFERROR(INDIRECT($B$2&amp;"!"&amp;C85&amp;D85),"")</f>
        <v>0</v>
      </c>
      <c r="C85" s="355" t="s">
        <v>115</v>
      </c>
      <c r="D85" s="351">
        <f t="shared" ca="1" si="7"/>
        <v>19</v>
      </c>
      <c r="F85" s="169" t="str">
        <f ca="1">IF(OR(B85="",B85=0),"","   "&amp;A85&amp;":"&amp;IF(B85="fixedPoint",D84,CHAR(34)&amp;B85&amp;CHAR(34)&amp;","))</f>
        <v/>
      </c>
      <c r="G85" s="128"/>
      <c r="H85" s="128"/>
      <c r="I85" s="128"/>
      <c r="J85" s="128"/>
      <c r="K85" s="128"/>
      <c r="L85" s="128"/>
      <c r="M85" s="128"/>
      <c r="BA85" s="128"/>
    </row>
    <row r="86" spans="1:53" hidden="1">
      <c r="A86" s="150" t="str" cm="1">
        <f t="array" aca="1" ref="A86" ca="1">INDIRECT($B$2&amp;"!"&amp;C86&amp;"15")</f>
        <v>validationRules</v>
      </c>
      <c r="B86" s="130" cm="1">
        <f t="array" aca="1" ref="B86" ca="1">IFERROR(INDIRECT($B$2&amp;"!"&amp;C86&amp;D86),"")</f>
        <v>0</v>
      </c>
      <c r="C86" s="350" t="s">
        <v>116</v>
      </c>
      <c r="D86" s="351">
        <f t="shared" ca="1" si="7"/>
        <v>19</v>
      </c>
      <c r="F86" s="169" t="str">
        <f ca="1">IF(B86,"   "&amp;A86&amp;": [{type: 'required',message: '"&amp;B81&amp;" is required' }],","")</f>
        <v/>
      </c>
      <c r="G86" s="128"/>
      <c r="H86" s="128"/>
      <c r="I86" s="128"/>
      <c r="J86" s="128"/>
      <c r="K86" s="128"/>
      <c r="L86" s="128"/>
      <c r="M86" s="128"/>
      <c r="BA86" s="128"/>
    </row>
    <row r="87" spans="1:53" hidden="1">
      <c r="A87" s="150" t="str" cm="1">
        <f t="array" aca="1" ref="A87" ca="1">INDIRECT($B$2&amp;"!"&amp;C87&amp;"15")</f>
        <v>allowHiding</v>
      </c>
      <c r="B87" s="130" cm="1">
        <f t="array" aca="1" ref="B87" ca="1">IFERROR(INDIRECT($B$2&amp;"!"&amp;C87&amp;D87),"")</f>
        <v>0</v>
      </c>
      <c r="C87" s="360" t="s">
        <v>117</v>
      </c>
      <c r="D87" s="351">
        <f t="shared" ca="1" si="7"/>
        <v>19</v>
      </c>
      <c r="F87" s="169" t="str">
        <f ca="1">IF(OR(B87="",B87=0),"","   "&amp;A87&amp;": "&amp;B87&amp;",")</f>
        <v/>
      </c>
      <c r="G87" s="128"/>
      <c r="H87" s="128"/>
      <c r="I87" s="128"/>
      <c r="J87" s="128"/>
      <c r="K87" s="128"/>
      <c r="L87" s="128"/>
      <c r="M87" s="128"/>
      <c r="BA87" s="128"/>
    </row>
    <row r="88" spans="1:53" hidden="1">
      <c r="A88" s="150" t="str" cm="1">
        <f t="array" aca="1" ref="A88" ca="1">INDIRECT($B$2&amp;"!"&amp;C88&amp;"15")</f>
        <v>width</v>
      </c>
      <c r="B88" s="130" cm="1">
        <f t="array" aca="1" ref="B88" ca="1">IFERROR(INDIRECT($B$2&amp;"!"&amp;C88&amp;D88),"")</f>
        <v>0</v>
      </c>
      <c r="C88" s="360" t="s">
        <v>61</v>
      </c>
      <c r="D88" s="351">
        <f t="shared" ca="1" si="7"/>
        <v>19</v>
      </c>
      <c r="F88" s="169" t="str">
        <f ca="1">IF(OR(B88="",B88=0),"","   "&amp;A88&amp;": "&amp;B88&amp;",")</f>
        <v/>
      </c>
      <c r="G88" s="128"/>
      <c r="H88" s="128"/>
      <c r="I88" s="128"/>
      <c r="J88" s="128"/>
      <c r="K88" s="128"/>
      <c r="L88" s="128"/>
      <c r="M88" s="128"/>
      <c r="BA88" s="128"/>
    </row>
    <row r="89" spans="1:53">
      <c r="A89" s="150" t="str" cm="1">
        <f t="array" aca="1" ref="A89" ca="1">INDIRECT($B$2&amp;"!"&amp;C89&amp;"15")</f>
        <v>visible</v>
      </c>
      <c r="B89" s="323" t="str" cm="1">
        <f t="array" aca="1" ref="B89" ca="1">IFERROR(INDIRECT($B$2&amp;"!"&amp;C89&amp;D89),"")</f>
        <v>false</v>
      </c>
      <c r="C89" s="360" t="s">
        <v>118</v>
      </c>
      <c r="D89" s="351">
        <f t="shared" ca="1" si="7"/>
        <v>19</v>
      </c>
      <c r="F89" s="126" t="str">
        <f ca="1">IF(OR(B89="",B89,B89=0),"","          "&amp;A89&amp;": "&amp;B89&amp;",")</f>
        <v xml:space="preserve">          visible: false,</v>
      </c>
      <c r="G89" s="128"/>
      <c r="H89" s="128"/>
      <c r="I89" s="128"/>
      <c r="J89" s="128"/>
      <c r="K89" s="128"/>
      <c r="L89" s="128"/>
      <c r="M89" s="128"/>
      <c r="BA89" s="128"/>
    </row>
    <row r="90" spans="1:53">
      <c r="A90" s="156" t="s">
        <v>1399</v>
      </c>
      <c r="B90" s="156"/>
      <c r="D90" s="351">
        <f t="shared" ca="1" si="7"/>
        <v>20</v>
      </c>
      <c r="F90" s="169" t="str">
        <f ca="1">IF(D89&gt;$O$2,"","},")</f>
        <v>},</v>
      </c>
      <c r="G90" s="128"/>
      <c r="H90" s="128"/>
      <c r="I90" s="128"/>
      <c r="J90" s="128"/>
      <c r="K90" s="128"/>
      <c r="L90" s="128"/>
      <c r="M90" s="128"/>
      <c r="BA90" s="128"/>
    </row>
    <row r="91" spans="1:53">
      <c r="A91" s="475" t="s">
        <v>1400</v>
      </c>
      <c r="B91" s="130" t="str" cm="1">
        <f t="array" aca="1" ref="B91" ca="1">IFERROR(INDIRECT($B$2&amp;"!"&amp;C91&amp;D91),"")</f>
        <v>Remark</v>
      </c>
      <c r="C91" s="350" t="s">
        <v>97</v>
      </c>
      <c r="D91" s="351">
        <f ca="1">IF(D90&gt;$O$2,0,IF(A91="eNd",1,0))+D90</f>
        <v>20</v>
      </c>
      <c r="F91" s="169" t="str">
        <f ca="1">IF(OR(B91="",B91=0),"","{  "&amp;A91&amp;": "&amp;CHAR(34)&amp;$B91&amp;CHAR(34)&amp;",")</f>
        <v>{  dataField: "Remark",</v>
      </c>
      <c r="G91" s="128"/>
      <c r="H91" s="128"/>
      <c r="I91" s="128"/>
      <c r="J91" s="128"/>
      <c r="K91" s="128"/>
      <c r="L91" s="128"/>
      <c r="M91" s="128"/>
    </row>
    <row r="92" spans="1:53">
      <c r="A92" s="150" t="str" cm="1">
        <f t="array" aca="1" ref="A92" ca="1">INDIRECT($B$2&amp;"!"&amp;C92&amp;"15")</f>
        <v>caption</v>
      </c>
      <c r="B92" s="130" t="str" cm="1">
        <f t="array" aca="1" ref="B92" ca="1">IFERROR(INDIRECT($B$2&amp;"!"&amp;C92&amp;D92),"")</f>
        <v>Remark</v>
      </c>
      <c r="C92" s="350" t="s">
        <v>112</v>
      </c>
      <c r="D92" s="351">
        <f t="shared" ref="D92:D101" ca="1" si="8">IF(D91&gt;$O$2,0,IF(A92="eNd",1,0))+D91</f>
        <v>20</v>
      </c>
      <c r="F92" s="169" t="str">
        <f ca="1">IF(OR(B92="",B92=0),"","   "&amp;A92&amp;":"&amp;CHAR(34)&amp;B92&amp;CHAR(34)&amp;",")</f>
        <v xml:space="preserve">   caption:"Remark",</v>
      </c>
      <c r="G92" s="128"/>
      <c r="H92" s="128"/>
      <c r="I92" s="128"/>
      <c r="J92" s="128"/>
      <c r="K92" s="128"/>
      <c r="L92" s="128"/>
      <c r="M92" s="128"/>
    </row>
    <row r="93" spans="1:53" hidden="1">
      <c r="A93" s="150" t="str" cm="1">
        <f t="array" aca="1" ref="A93" ca="1">INDIRECT($B$2&amp;"!"&amp;C93&amp;"15")</f>
        <v>sortOrder</v>
      </c>
      <c r="B93" s="130" t="str" cm="1">
        <f t="array" aca="1" ref="B93" ca="1">IFERROR(INDIRECT($B$2&amp;"!"&amp;C93&amp;D93),"")</f>
        <v/>
      </c>
      <c r="C93" s="350" t="s">
        <v>119</v>
      </c>
      <c r="D93" s="351">
        <f t="shared" ca="1" si="8"/>
        <v>20</v>
      </c>
      <c r="F93" s="169" t="str">
        <f ca="1">IF(OR(B93="",B93=0),"","   "&amp;A93&amp;":"&amp;CHAR(34)&amp;B93&amp;CHAR(34)&amp;",")</f>
        <v/>
      </c>
      <c r="G93" s="128"/>
      <c r="H93" s="128"/>
      <c r="I93" s="128"/>
      <c r="J93" s="128"/>
      <c r="K93" s="128"/>
      <c r="L93" s="128"/>
      <c r="M93" s="128"/>
    </row>
    <row r="94" spans="1:53" hidden="1">
      <c r="A94" s="150" t="str" cm="1">
        <f t="array" aca="1" ref="A94" ca="1">INDIRECT($B$2&amp;"!"&amp;C94&amp;"15")</f>
        <v>groupIndex</v>
      </c>
      <c r="B94" s="130" cm="1">
        <f t="array" aca="1" ref="B94" ca="1">IFERROR(INDIRECT($B$2&amp;"!"&amp;C94&amp;D94),"")</f>
        <v>0</v>
      </c>
      <c r="C94" s="355" t="s">
        <v>113</v>
      </c>
      <c r="D94" s="351">
        <f t="shared" ca="1" si="8"/>
        <v>20</v>
      </c>
      <c r="F94" s="126" t="str">
        <f ca="1">IF(OR(B94="",B94=0),"","            "&amp;A94&amp;": "&amp;B94-1&amp;",")</f>
        <v/>
      </c>
      <c r="G94" s="128"/>
      <c r="H94" s="128"/>
      <c r="I94" s="128"/>
      <c r="J94" s="128"/>
      <c r="K94" s="128"/>
      <c r="L94" s="128"/>
      <c r="M94" s="128"/>
    </row>
    <row r="95" spans="1:53" hidden="1">
      <c r="A95" s="150" t="str" cm="1">
        <f t="array" aca="1" ref="A95" ca="1">INDIRECT($B$2&amp;"!"&amp;C95&amp;"15")</f>
        <v>dataType</v>
      </c>
      <c r="B95" s="130" cm="1">
        <f t="array" aca="1" ref="B95" ca="1">IFERROR(INDIRECT($B$2&amp;"!"&amp;C95&amp;D95),"")</f>
        <v>0</v>
      </c>
      <c r="C95" s="355" t="s">
        <v>114</v>
      </c>
      <c r="D95" s="351">
        <f t="shared" ca="1" si="8"/>
        <v>20</v>
      </c>
      <c r="F95" s="169" t="str">
        <f ca="1">IF(OR(B95="",B95=0),"","   "&amp;A95&amp;":"&amp;CHAR(34)&amp;B95&amp;CHAR(34)&amp;",")</f>
        <v/>
      </c>
      <c r="G95" s="128"/>
      <c r="H95" s="128"/>
      <c r="I95" s="128"/>
      <c r="J95" s="128"/>
      <c r="K95" s="128"/>
      <c r="L95" s="128"/>
      <c r="M95" s="128"/>
    </row>
    <row r="96" spans="1:53" hidden="1">
      <c r="A96" s="150" t="str" cm="1">
        <f t="array" aca="1" ref="A96" ca="1">INDIRECT($B$2&amp;"!"&amp;C96&amp;"15")</f>
        <v>format</v>
      </c>
      <c r="B96" s="130" cm="1">
        <f t="array" aca="1" ref="B96" ca="1">IFERROR(INDIRECT($B$2&amp;"!"&amp;C96&amp;D96),"")</f>
        <v>0</v>
      </c>
      <c r="C96" s="355" t="s">
        <v>115</v>
      </c>
      <c r="D96" s="351">
        <f t="shared" ca="1" si="8"/>
        <v>20</v>
      </c>
      <c r="F96" s="169" t="str">
        <f ca="1">IF(OR(B96="",B96=0),"","   "&amp;A96&amp;":"&amp;IF(B96="fixedPoint",D95,CHAR(34)&amp;B96&amp;CHAR(34)&amp;","))</f>
        <v/>
      </c>
      <c r="G96" s="128"/>
      <c r="H96" s="128"/>
      <c r="I96" s="128"/>
      <c r="J96" s="128"/>
      <c r="K96" s="128"/>
      <c r="L96" s="128"/>
      <c r="M96" s="128"/>
    </row>
    <row r="97" spans="1:13" hidden="1">
      <c r="A97" s="150" t="str" cm="1">
        <f t="array" aca="1" ref="A97" ca="1">INDIRECT($B$2&amp;"!"&amp;C97&amp;"15")</f>
        <v>validationRules</v>
      </c>
      <c r="B97" s="130" cm="1">
        <f t="array" aca="1" ref="B97" ca="1">IFERROR(INDIRECT($B$2&amp;"!"&amp;C97&amp;D97),"")</f>
        <v>0</v>
      </c>
      <c r="C97" s="350" t="s">
        <v>116</v>
      </c>
      <c r="D97" s="351">
        <f t="shared" ca="1" si="8"/>
        <v>20</v>
      </c>
      <c r="F97" s="169" t="str">
        <f ca="1">IF(B97,"   "&amp;A97&amp;": [{type: 'required',message: '"&amp;B92&amp;" is required' }],","")</f>
        <v/>
      </c>
      <c r="G97" s="128"/>
      <c r="H97" s="128"/>
      <c r="I97" s="128"/>
      <c r="J97" s="128"/>
      <c r="K97" s="128"/>
      <c r="L97" s="128"/>
      <c r="M97" s="128"/>
    </row>
    <row r="98" spans="1:13" hidden="1">
      <c r="A98" s="150" t="str" cm="1">
        <f t="array" aca="1" ref="A98" ca="1">INDIRECT($B$2&amp;"!"&amp;C98&amp;"15")</f>
        <v>allowHiding</v>
      </c>
      <c r="B98" s="130" cm="1">
        <f t="array" aca="1" ref="B98" ca="1">IFERROR(INDIRECT($B$2&amp;"!"&amp;C98&amp;D98),"")</f>
        <v>0</v>
      </c>
      <c r="C98" s="360" t="s">
        <v>117</v>
      </c>
      <c r="D98" s="351">
        <f t="shared" ca="1" si="8"/>
        <v>20</v>
      </c>
      <c r="F98" s="169" t="str">
        <f ca="1">IF(OR(B98="",B98=0),"","   "&amp;A98&amp;": "&amp;B98&amp;",")</f>
        <v/>
      </c>
      <c r="G98" s="128"/>
      <c r="H98" s="128"/>
      <c r="I98" s="128"/>
      <c r="J98" s="128"/>
      <c r="K98" s="128"/>
      <c r="L98" s="128"/>
      <c r="M98" s="128"/>
    </row>
    <row r="99" spans="1:13" hidden="1">
      <c r="A99" s="150" t="str" cm="1">
        <f t="array" aca="1" ref="A99" ca="1">INDIRECT($B$2&amp;"!"&amp;C99&amp;"15")</f>
        <v>width</v>
      </c>
      <c r="B99" s="130" cm="1">
        <f t="array" aca="1" ref="B99" ca="1">IFERROR(INDIRECT($B$2&amp;"!"&amp;C99&amp;D99),"")</f>
        <v>0</v>
      </c>
      <c r="C99" s="360" t="s">
        <v>61</v>
      </c>
      <c r="D99" s="351">
        <f t="shared" ca="1" si="8"/>
        <v>20</v>
      </c>
      <c r="F99" s="169" t="str">
        <f ca="1">IF(OR(B99="",B99=0),"","   "&amp;A99&amp;": "&amp;B99&amp;",")</f>
        <v/>
      </c>
      <c r="G99" s="128"/>
      <c r="H99" s="128"/>
      <c r="I99" s="128"/>
      <c r="J99" s="128"/>
      <c r="K99" s="128"/>
      <c r="L99" s="128"/>
      <c r="M99" s="128"/>
    </row>
    <row r="100" spans="1:13" hidden="1">
      <c r="A100" s="150" t="str" cm="1">
        <f t="array" aca="1" ref="A100" ca="1">INDIRECT($B$2&amp;"!"&amp;C100&amp;"15")</f>
        <v>visible</v>
      </c>
      <c r="B100" s="323" t="str" cm="1">
        <f t="array" aca="1" ref="B100" ca="1">IFERROR(INDIRECT($B$2&amp;"!"&amp;C100&amp;D100),"")</f>
        <v/>
      </c>
      <c r="C100" s="360" t="s">
        <v>118</v>
      </c>
      <c r="D100" s="351">
        <f t="shared" ca="1" si="8"/>
        <v>20</v>
      </c>
      <c r="F100" s="126" t="str">
        <f ca="1">IF(OR(B100="",B100,B100=0),"","          "&amp;A100&amp;": "&amp;B100&amp;",")</f>
        <v/>
      </c>
      <c r="G100" s="128"/>
      <c r="H100" s="128"/>
      <c r="I100" s="128"/>
      <c r="J100" s="128"/>
      <c r="K100" s="128"/>
      <c r="L100" s="128"/>
      <c r="M100" s="128"/>
    </row>
    <row r="101" spans="1:13">
      <c r="A101" s="156" t="s">
        <v>1399</v>
      </c>
      <c r="B101" s="156"/>
      <c r="D101" s="351">
        <f t="shared" ca="1" si="8"/>
        <v>21</v>
      </c>
      <c r="F101" s="169" t="str">
        <f ca="1">IF(D100&gt;$O$2,"","},")</f>
        <v>},</v>
      </c>
      <c r="G101" s="128"/>
      <c r="H101" s="128"/>
      <c r="I101" s="128"/>
      <c r="J101" s="128"/>
      <c r="K101" s="128"/>
      <c r="L101" s="128"/>
      <c r="M101" s="128"/>
    </row>
    <row r="102" spans="1:13" hidden="1">
      <c r="A102" s="475" t="s">
        <v>1400</v>
      </c>
      <c r="B102" s="130" cm="1">
        <f t="array" aca="1" ref="B102" ca="1">IFERROR(INDIRECT($B$2&amp;"!"&amp;C102&amp;D102),"")</f>
        <v>0</v>
      </c>
      <c r="C102" s="350" t="s">
        <v>97</v>
      </c>
      <c r="D102" s="351">
        <f ca="1">IF(D101&gt;$O$2,0,IF(A102="eNd",1,0))+D101</f>
        <v>21</v>
      </c>
      <c r="F102" s="169" t="str">
        <f ca="1">IF(OR(B102="",B102=0),"","{  "&amp;A102&amp;": "&amp;CHAR(34)&amp;$B102&amp;CHAR(34)&amp;",")</f>
        <v/>
      </c>
      <c r="G102" s="128"/>
      <c r="H102" s="128"/>
      <c r="I102" s="128"/>
      <c r="J102" s="128"/>
      <c r="K102" s="128"/>
      <c r="L102" s="128"/>
      <c r="M102" s="128"/>
    </row>
    <row r="103" spans="1:13" hidden="1">
      <c r="A103" s="150" t="str" cm="1">
        <f t="array" aca="1" ref="A103" ca="1">INDIRECT($B$2&amp;"!"&amp;C103&amp;"15")</f>
        <v>caption</v>
      </c>
      <c r="B103" s="130" t="str" cm="1">
        <f t="array" aca="1" ref="B103" ca="1">IFERROR(INDIRECT($B$2&amp;"!"&amp;C103&amp;D103),"")</f>
        <v/>
      </c>
      <c r="C103" s="350" t="s">
        <v>112</v>
      </c>
      <c r="D103" s="351">
        <f t="shared" ref="D103:D112" ca="1" si="9">IF(D102&gt;$O$2,0,IF(A103="eNd",1,0))+D102</f>
        <v>21</v>
      </c>
      <c r="F103" s="169" t="str">
        <f ca="1">IF(OR(B103="",B103=0),"","   "&amp;A103&amp;":"&amp;CHAR(34)&amp;B103&amp;CHAR(34)&amp;",")</f>
        <v/>
      </c>
      <c r="G103" s="128"/>
      <c r="H103" s="128"/>
      <c r="I103" s="128"/>
      <c r="J103" s="128"/>
      <c r="K103" s="128"/>
      <c r="L103" s="128"/>
      <c r="M103" s="128"/>
    </row>
    <row r="104" spans="1:13" hidden="1">
      <c r="A104" s="150" t="str" cm="1">
        <f t="array" aca="1" ref="A104" ca="1">INDIRECT($B$2&amp;"!"&amp;C104&amp;"15")</f>
        <v>sortOrder</v>
      </c>
      <c r="B104" s="130" t="str" cm="1">
        <f t="array" aca="1" ref="B104" ca="1">IFERROR(INDIRECT($B$2&amp;"!"&amp;C104&amp;D104),"")</f>
        <v/>
      </c>
      <c r="C104" s="350" t="s">
        <v>119</v>
      </c>
      <c r="D104" s="351">
        <f t="shared" ca="1" si="9"/>
        <v>21</v>
      </c>
      <c r="F104" s="169" t="str">
        <f ca="1">IF(OR(B104="",B104=0),"","   "&amp;A104&amp;":"&amp;CHAR(34)&amp;B104&amp;CHAR(34)&amp;",")</f>
        <v/>
      </c>
      <c r="G104" s="128"/>
      <c r="H104" s="128"/>
      <c r="I104" s="128"/>
      <c r="J104" s="128"/>
      <c r="K104" s="128"/>
      <c r="L104" s="128"/>
      <c r="M104" s="128"/>
    </row>
    <row r="105" spans="1:13" hidden="1">
      <c r="A105" s="150" t="str" cm="1">
        <f t="array" aca="1" ref="A105" ca="1">INDIRECT($B$2&amp;"!"&amp;C105&amp;"15")</f>
        <v>groupIndex</v>
      </c>
      <c r="B105" s="130" cm="1">
        <f t="array" aca="1" ref="B105" ca="1">IFERROR(INDIRECT($B$2&amp;"!"&amp;C105&amp;D105),"")</f>
        <v>0</v>
      </c>
      <c r="C105" s="355" t="s">
        <v>113</v>
      </c>
      <c r="D105" s="351">
        <f t="shared" ca="1" si="9"/>
        <v>21</v>
      </c>
      <c r="F105" s="126" t="str">
        <f ca="1">IF(OR(B105="",B105=0),"","            "&amp;A105&amp;": "&amp;B105-1&amp;",")</f>
        <v/>
      </c>
      <c r="G105" s="128"/>
      <c r="H105" s="128"/>
      <c r="I105" s="128"/>
      <c r="J105" s="128"/>
      <c r="K105" s="128"/>
      <c r="L105" s="128"/>
      <c r="M105" s="128"/>
    </row>
    <row r="106" spans="1:13" hidden="1">
      <c r="A106" s="150" t="str" cm="1">
        <f t="array" aca="1" ref="A106" ca="1">INDIRECT($B$2&amp;"!"&amp;C106&amp;"15")</f>
        <v>dataType</v>
      </c>
      <c r="B106" s="130" cm="1">
        <f t="array" aca="1" ref="B106" ca="1">IFERROR(INDIRECT($B$2&amp;"!"&amp;C106&amp;D106),"")</f>
        <v>0</v>
      </c>
      <c r="C106" s="355" t="s">
        <v>114</v>
      </c>
      <c r="D106" s="351">
        <f t="shared" ca="1" si="9"/>
        <v>21</v>
      </c>
      <c r="F106" s="169" t="str">
        <f ca="1">IF(OR(B106="",B106=0),"","   "&amp;A106&amp;":"&amp;CHAR(34)&amp;B106&amp;CHAR(34)&amp;",")</f>
        <v/>
      </c>
      <c r="G106" s="128"/>
      <c r="H106" s="128"/>
      <c r="I106" s="128"/>
      <c r="J106" s="128"/>
      <c r="K106" s="128"/>
      <c r="L106" s="128"/>
      <c r="M106" s="128"/>
    </row>
    <row r="107" spans="1:13" hidden="1">
      <c r="A107" s="150" t="str" cm="1">
        <f t="array" aca="1" ref="A107" ca="1">INDIRECT($B$2&amp;"!"&amp;C107&amp;"15")</f>
        <v>format</v>
      </c>
      <c r="B107" s="130" cm="1">
        <f t="array" aca="1" ref="B107" ca="1">IFERROR(INDIRECT($B$2&amp;"!"&amp;C107&amp;D107),"")</f>
        <v>0</v>
      </c>
      <c r="C107" s="355" t="s">
        <v>115</v>
      </c>
      <c r="D107" s="351">
        <f t="shared" ca="1" si="9"/>
        <v>21</v>
      </c>
      <c r="F107" s="169" t="str">
        <f ca="1">IF(OR(B107="",B107=0),"","   "&amp;A107&amp;":"&amp;IF(B107="fixedPoint",D106,CHAR(34)&amp;B107&amp;CHAR(34)&amp;","))</f>
        <v/>
      </c>
      <c r="G107" s="128"/>
      <c r="H107" s="128"/>
      <c r="I107" s="128"/>
      <c r="J107" s="128"/>
      <c r="K107" s="128"/>
      <c r="L107" s="128"/>
      <c r="M107" s="128"/>
    </row>
    <row r="108" spans="1:13" hidden="1">
      <c r="A108" s="150" t="str" cm="1">
        <f t="array" aca="1" ref="A108" ca="1">INDIRECT($B$2&amp;"!"&amp;C108&amp;"15")</f>
        <v>validationRules</v>
      </c>
      <c r="B108" s="130" cm="1">
        <f t="array" aca="1" ref="B108" ca="1">IFERROR(INDIRECT($B$2&amp;"!"&amp;C108&amp;D108),"")</f>
        <v>0</v>
      </c>
      <c r="C108" s="350" t="s">
        <v>116</v>
      </c>
      <c r="D108" s="351">
        <f t="shared" ca="1" si="9"/>
        <v>21</v>
      </c>
      <c r="F108" s="169" t="str">
        <f ca="1">IF(B108,"   "&amp;A108&amp;": [{type: 'required',message: '"&amp;B103&amp;" is required' }],","")</f>
        <v/>
      </c>
      <c r="G108" s="128"/>
      <c r="H108" s="128"/>
      <c r="I108" s="128"/>
      <c r="J108" s="128"/>
      <c r="K108" s="128"/>
      <c r="L108" s="128"/>
      <c r="M108" s="128"/>
    </row>
    <row r="109" spans="1:13" hidden="1">
      <c r="A109" s="150" t="str" cm="1">
        <f t="array" aca="1" ref="A109" ca="1">INDIRECT($B$2&amp;"!"&amp;C109&amp;"15")</f>
        <v>allowHiding</v>
      </c>
      <c r="B109" s="130" cm="1">
        <f t="array" aca="1" ref="B109" ca="1">IFERROR(INDIRECT($B$2&amp;"!"&amp;C109&amp;D109),"")</f>
        <v>0</v>
      </c>
      <c r="C109" s="360" t="s">
        <v>117</v>
      </c>
      <c r="D109" s="351">
        <f t="shared" ca="1" si="9"/>
        <v>21</v>
      </c>
      <c r="F109" s="169" t="str">
        <f ca="1">IF(OR(B109="",B109=0),"","   "&amp;A109&amp;": "&amp;B109&amp;",")</f>
        <v/>
      </c>
      <c r="G109" s="128"/>
      <c r="H109" s="128"/>
      <c r="I109" s="128"/>
      <c r="J109" s="128"/>
      <c r="K109" s="128"/>
      <c r="L109" s="128"/>
      <c r="M109" s="128"/>
    </row>
    <row r="110" spans="1:13" hidden="1">
      <c r="A110" s="150" t="str" cm="1">
        <f t="array" aca="1" ref="A110" ca="1">INDIRECT($B$2&amp;"!"&amp;C110&amp;"15")</f>
        <v>width</v>
      </c>
      <c r="B110" s="130" cm="1">
        <f t="array" aca="1" ref="B110" ca="1">IFERROR(INDIRECT($B$2&amp;"!"&amp;C110&amp;D110),"")</f>
        <v>0</v>
      </c>
      <c r="C110" s="360" t="s">
        <v>61</v>
      </c>
      <c r="D110" s="351">
        <f t="shared" ca="1" si="9"/>
        <v>21</v>
      </c>
      <c r="F110" s="169" t="str">
        <f ca="1">IF(OR(B110="",B110=0),"","   "&amp;A110&amp;": "&amp;B110&amp;",")</f>
        <v/>
      </c>
      <c r="G110" s="128"/>
      <c r="H110" s="128"/>
      <c r="I110" s="128"/>
      <c r="J110" s="128"/>
      <c r="K110" s="128"/>
      <c r="L110" s="128"/>
      <c r="M110" s="128"/>
    </row>
    <row r="111" spans="1:13" hidden="1">
      <c r="A111" s="150" t="str" cm="1">
        <f t="array" aca="1" ref="A111" ca="1">INDIRECT($B$2&amp;"!"&amp;C111&amp;"15")</f>
        <v>visible</v>
      </c>
      <c r="B111" s="323" t="str" cm="1">
        <f t="array" aca="1" ref="B111" ca="1">IFERROR(INDIRECT($B$2&amp;"!"&amp;C111&amp;D111),"")</f>
        <v/>
      </c>
      <c r="C111" s="360" t="s">
        <v>118</v>
      </c>
      <c r="D111" s="351">
        <f t="shared" ca="1" si="9"/>
        <v>21</v>
      </c>
      <c r="F111" s="126" t="str">
        <f ca="1">IF(OR(B111="",B111,B111=0),"","          "&amp;A111&amp;": "&amp;B111&amp;",")</f>
        <v/>
      </c>
      <c r="G111" s="128"/>
      <c r="H111" s="128"/>
      <c r="I111" s="128"/>
      <c r="J111" s="128"/>
      <c r="K111" s="128"/>
      <c r="L111" s="128"/>
      <c r="M111" s="128"/>
    </row>
    <row r="112" spans="1:13" hidden="1">
      <c r="A112" s="156" t="s">
        <v>1399</v>
      </c>
      <c r="B112" s="156"/>
      <c r="D112" s="351">
        <f t="shared" ca="1" si="9"/>
        <v>21</v>
      </c>
      <c r="F112" s="169" t="str">
        <f ca="1">IF(D111&gt;$O$2,"","},")</f>
        <v/>
      </c>
      <c r="G112" s="128"/>
      <c r="H112" s="128"/>
      <c r="I112" s="128"/>
      <c r="J112" s="128"/>
      <c r="K112" s="128"/>
      <c r="L112" s="128"/>
      <c r="M112" s="128"/>
    </row>
    <row r="113" spans="1:13" hidden="1">
      <c r="A113" s="475" t="s">
        <v>1400</v>
      </c>
      <c r="B113" s="130" cm="1">
        <f t="array" aca="1" ref="B113" ca="1">IFERROR(INDIRECT($B$2&amp;"!"&amp;C113&amp;D113),"")</f>
        <v>0</v>
      </c>
      <c r="C113" s="350" t="s">
        <v>97</v>
      </c>
      <c r="D113" s="351">
        <f ca="1">IF(D112&gt;$O$2,0,IF(A113="eNd",1,0))+D112</f>
        <v>21</v>
      </c>
      <c r="F113" s="169" t="str">
        <f ca="1">IF(OR(B113="",B113=0),"","{  "&amp;A113&amp;": "&amp;CHAR(34)&amp;$B113&amp;CHAR(34)&amp;",")</f>
        <v/>
      </c>
      <c r="G113" s="128"/>
      <c r="H113" s="128"/>
      <c r="I113" s="128"/>
      <c r="J113" s="128"/>
      <c r="K113" s="128"/>
      <c r="L113" s="128"/>
      <c r="M113" s="128"/>
    </row>
    <row r="114" spans="1:13" hidden="1">
      <c r="A114" s="150" t="str" cm="1">
        <f t="array" aca="1" ref="A114" ca="1">INDIRECT($B$2&amp;"!"&amp;C114&amp;"15")</f>
        <v>caption</v>
      </c>
      <c r="B114" s="130" t="str" cm="1">
        <f t="array" aca="1" ref="B114" ca="1">IFERROR(INDIRECT($B$2&amp;"!"&amp;C114&amp;D114),"")</f>
        <v/>
      </c>
      <c r="C114" s="350" t="s">
        <v>112</v>
      </c>
      <c r="D114" s="351">
        <f t="shared" ref="D114:D123" ca="1" si="10">IF(D113&gt;$O$2,0,IF(A114="eNd",1,0))+D113</f>
        <v>21</v>
      </c>
      <c r="F114" s="169" t="str">
        <f ca="1">IF(OR(B114="",B114=0),"","   "&amp;A114&amp;":"&amp;CHAR(34)&amp;B114&amp;CHAR(34)&amp;",")</f>
        <v/>
      </c>
      <c r="G114" s="128"/>
      <c r="H114" s="128"/>
      <c r="I114" s="128"/>
      <c r="J114" s="128"/>
      <c r="K114" s="128"/>
      <c r="L114" s="128"/>
      <c r="M114" s="128"/>
    </row>
    <row r="115" spans="1:13" hidden="1">
      <c r="A115" s="150" t="str" cm="1">
        <f t="array" aca="1" ref="A115" ca="1">INDIRECT($B$2&amp;"!"&amp;C115&amp;"15")</f>
        <v>sortOrder</v>
      </c>
      <c r="B115" s="130" t="str" cm="1">
        <f t="array" aca="1" ref="B115" ca="1">IFERROR(INDIRECT($B$2&amp;"!"&amp;C115&amp;D115),"")</f>
        <v/>
      </c>
      <c r="C115" s="350" t="s">
        <v>119</v>
      </c>
      <c r="D115" s="351">
        <f t="shared" ca="1" si="10"/>
        <v>21</v>
      </c>
      <c r="F115" s="169" t="str">
        <f ca="1">IF(OR(B115="",B115=0),"","   "&amp;A115&amp;":"&amp;CHAR(34)&amp;B115&amp;CHAR(34)&amp;",")</f>
        <v/>
      </c>
      <c r="G115" s="128"/>
      <c r="H115" s="128"/>
      <c r="I115" s="128"/>
      <c r="J115" s="128"/>
      <c r="K115" s="128"/>
      <c r="L115" s="128"/>
      <c r="M115" s="128"/>
    </row>
    <row r="116" spans="1:13" hidden="1">
      <c r="A116" s="150" t="str" cm="1">
        <f t="array" aca="1" ref="A116" ca="1">INDIRECT($B$2&amp;"!"&amp;C116&amp;"15")</f>
        <v>groupIndex</v>
      </c>
      <c r="B116" s="130" cm="1">
        <f t="array" aca="1" ref="B116" ca="1">IFERROR(INDIRECT($B$2&amp;"!"&amp;C116&amp;D116),"")</f>
        <v>0</v>
      </c>
      <c r="C116" s="355" t="s">
        <v>113</v>
      </c>
      <c r="D116" s="351">
        <f t="shared" ca="1" si="10"/>
        <v>21</v>
      </c>
      <c r="F116" s="126" t="str">
        <f ca="1">IF(OR(B116="",B116=0),"","            "&amp;A116&amp;": "&amp;B116-1&amp;",")</f>
        <v/>
      </c>
      <c r="G116" s="128"/>
      <c r="H116" s="128"/>
      <c r="I116" s="128"/>
      <c r="J116" s="128"/>
      <c r="K116" s="128"/>
      <c r="L116" s="128"/>
      <c r="M116" s="128"/>
    </row>
    <row r="117" spans="1:13" hidden="1">
      <c r="A117" s="150" t="str" cm="1">
        <f t="array" aca="1" ref="A117" ca="1">INDIRECT($B$2&amp;"!"&amp;C117&amp;"15")</f>
        <v>dataType</v>
      </c>
      <c r="B117" s="130" cm="1">
        <f t="array" aca="1" ref="B117" ca="1">IFERROR(INDIRECT($B$2&amp;"!"&amp;C117&amp;D117),"")</f>
        <v>0</v>
      </c>
      <c r="C117" s="355" t="s">
        <v>114</v>
      </c>
      <c r="D117" s="351">
        <f t="shared" ca="1" si="10"/>
        <v>21</v>
      </c>
      <c r="F117" s="169" t="str">
        <f ca="1">IF(OR(B117="",B117=0),"","   "&amp;A117&amp;":"&amp;CHAR(34)&amp;B117&amp;CHAR(34)&amp;",")</f>
        <v/>
      </c>
      <c r="G117" s="128"/>
      <c r="H117" s="128"/>
      <c r="I117" s="128"/>
      <c r="J117" s="128"/>
      <c r="K117" s="128"/>
      <c r="L117" s="128"/>
      <c r="M117" s="128"/>
    </row>
    <row r="118" spans="1:13" hidden="1">
      <c r="A118" s="150" t="str" cm="1">
        <f t="array" aca="1" ref="A118" ca="1">INDIRECT($B$2&amp;"!"&amp;C118&amp;"15")</f>
        <v>format</v>
      </c>
      <c r="B118" s="130" cm="1">
        <f t="array" aca="1" ref="B118" ca="1">IFERROR(INDIRECT($B$2&amp;"!"&amp;C118&amp;D118),"")</f>
        <v>0</v>
      </c>
      <c r="C118" s="355" t="s">
        <v>115</v>
      </c>
      <c r="D118" s="351">
        <f t="shared" ca="1" si="10"/>
        <v>21</v>
      </c>
      <c r="F118" s="169" t="str">
        <f ca="1">IF(OR(B118="",B118=0),"","   "&amp;A118&amp;":"&amp;IF(B118="fixedPoint",D117,CHAR(34)&amp;B118&amp;CHAR(34)&amp;","))</f>
        <v/>
      </c>
      <c r="G118" s="128"/>
      <c r="H118" s="128"/>
      <c r="I118" s="128"/>
      <c r="J118" s="128"/>
      <c r="K118" s="128"/>
      <c r="L118" s="128"/>
      <c r="M118" s="128"/>
    </row>
    <row r="119" spans="1:13" hidden="1">
      <c r="A119" s="150" t="str" cm="1">
        <f t="array" aca="1" ref="A119" ca="1">INDIRECT($B$2&amp;"!"&amp;C119&amp;"15")</f>
        <v>validationRules</v>
      </c>
      <c r="B119" s="130" cm="1">
        <f t="array" aca="1" ref="B119" ca="1">IFERROR(INDIRECT($B$2&amp;"!"&amp;C119&amp;D119),"")</f>
        <v>0</v>
      </c>
      <c r="C119" s="350" t="s">
        <v>116</v>
      </c>
      <c r="D119" s="351">
        <f t="shared" ca="1" si="10"/>
        <v>21</v>
      </c>
      <c r="F119" s="169" t="str">
        <f ca="1">IF(B119,"   "&amp;A119&amp;": [{type: 'required',message: '"&amp;B114&amp;" is required' }],","")</f>
        <v/>
      </c>
      <c r="G119" s="128"/>
      <c r="H119" s="128"/>
      <c r="I119" s="128"/>
      <c r="J119" s="128"/>
      <c r="K119" s="128"/>
      <c r="L119" s="128"/>
      <c r="M119" s="128"/>
    </row>
    <row r="120" spans="1:13" hidden="1">
      <c r="A120" s="150" t="str" cm="1">
        <f t="array" aca="1" ref="A120" ca="1">INDIRECT($B$2&amp;"!"&amp;C120&amp;"15")</f>
        <v>allowHiding</v>
      </c>
      <c r="B120" s="130" cm="1">
        <f t="array" aca="1" ref="B120" ca="1">IFERROR(INDIRECT($B$2&amp;"!"&amp;C120&amp;D120),"")</f>
        <v>0</v>
      </c>
      <c r="C120" s="360" t="s">
        <v>117</v>
      </c>
      <c r="D120" s="351">
        <f t="shared" ca="1" si="10"/>
        <v>21</v>
      </c>
      <c r="F120" s="169" t="str">
        <f ca="1">IF(OR(B120="",B120=0),"","   "&amp;A120&amp;": "&amp;B120&amp;",")</f>
        <v/>
      </c>
      <c r="G120" s="128"/>
      <c r="H120" s="128"/>
      <c r="I120" s="128"/>
      <c r="J120" s="128"/>
      <c r="K120" s="128"/>
      <c r="L120" s="128"/>
      <c r="M120" s="128"/>
    </row>
    <row r="121" spans="1:13" hidden="1">
      <c r="A121" s="150" t="str" cm="1">
        <f t="array" aca="1" ref="A121" ca="1">INDIRECT($B$2&amp;"!"&amp;C121&amp;"15")</f>
        <v>width</v>
      </c>
      <c r="B121" s="130" cm="1">
        <f t="array" aca="1" ref="B121" ca="1">IFERROR(INDIRECT($B$2&amp;"!"&amp;C121&amp;D121),"")</f>
        <v>0</v>
      </c>
      <c r="C121" s="360" t="s">
        <v>61</v>
      </c>
      <c r="D121" s="351">
        <f t="shared" ca="1" si="10"/>
        <v>21</v>
      </c>
      <c r="F121" s="169" t="str">
        <f ca="1">IF(OR(B121="",B121=0),"","   "&amp;A121&amp;": "&amp;B121&amp;",")</f>
        <v/>
      </c>
      <c r="G121" s="128"/>
      <c r="H121" s="128"/>
      <c r="I121" s="128"/>
      <c r="J121" s="128"/>
      <c r="K121" s="128"/>
      <c r="L121" s="128"/>
      <c r="M121" s="128"/>
    </row>
    <row r="122" spans="1:13" hidden="1">
      <c r="A122" s="150" t="str" cm="1">
        <f t="array" aca="1" ref="A122" ca="1">INDIRECT($B$2&amp;"!"&amp;C122&amp;"15")</f>
        <v>visible</v>
      </c>
      <c r="B122" s="323" t="str" cm="1">
        <f t="array" aca="1" ref="B122" ca="1">IFERROR(INDIRECT($B$2&amp;"!"&amp;C122&amp;D122),"")</f>
        <v/>
      </c>
      <c r="C122" s="360" t="s">
        <v>118</v>
      </c>
      <c r="D122" s="351">
        <f t="shared" ca="1" si="10"/>
        <v>21</v>
      </c>
      <c r="F122" s="126" t="str">
        <f ca="1">IF(OR(B122="",B122,B122=0),"","          "&amp;A122&amp;": "&amp;B122&amp;",")</f>
        <v/>
      </c>
      <c r="G122" s="128"/>
      <c r="H122" s="128"/>
      <c r="I122" s="128"/>
      <c r="J122" s="128"/>
      <c r="K122" s="128"/>
      <c r="L122" s="128"/>
      <c r="M122" s="128"/>
    </row>
    <row r="123" spans="1:13" hidden="1">
      <c r="A123" s="156" t="s">
        <v>1399</v>
      </c>
      <c r="B123" s="156"/>
      <c r="D123" s="351">
        <f t="shared" ca="1" si="10"/>
        <v>21</v>
      </c>
      <c r="F123" s="169" t="str">
        <f ca="1">IF(D122&gt;$O$2,"","},")</f>
        <v/>
      </c>
      <c r="G123" s="128"/>
      <c r="H123" s="128"/>
      <c r="I123" s="128"/>
      <c r="J123" s="128"/>
      <c r="K123" s="128"/>
      <c r="L123" s="128"/>
      <c r="M123" s="128"/>
    </row>
    <row r="124" spans="1:13" hidden="1">
      <c r="A124" s="475" t="s">
        <v>1400</v>
      </c>
      <c r="B124" s="130" cm="1">
        <f t="array" aca="1" ref="B124" ca="1">IFERROR(INDIRECT($B$2&amp;"!"&amp;C124&amp;D124),"")</f>
        <v>0</v>
      </c>
      <c r="C124" s="350" t="s">
        <v>97</v>
      </c>
      <c r="D124" s="351">
        <f ca="1">IF(D123&gt;$O$2,0,IF(A124="eNd",1,0))+D123</f>
        <v>21</v>
      </c>
      <c r="F124" s="169" t="str">
        <f ca="1">IF(OR(B124="",B124=0),"","{  "&amp;A124&amp;": "&amp;CHAR(34)&amp;$B124&amp;CHAR(34)&amp;",")</f>
        <v/>
      </c>
      <c r="G124" s="128"/>
      <c r="H124" s="128"/>
      <c r="I124" s="128"/>
      <c r="J124" s="128"/>
      <c r="K124" s="128"/>
      <c r="L124" s="128"/>
      <c r="M124" s="128"/>
    </row>
    <row r="125" spans="1:13" hidden="1">
      <c r="A125" s="150" t="str" cm="1">
        <f t="array" aca="1" ref="A125" ca="1">INDIRECT($B$2&amp;"!"&amp;C125&amp;"15")</f>
        <v>caption</v>
      </c>
      <c r="B125" s="130" t="str" cm="1">
        <f t="array" aca="1" ref="B125" ca="1">IFERROR(INDIRECT($B$2&amp;"!"&amp;C125&amp;D125),"")</f>
        <v/>
      </c>
      <c r="C125" s="350" t="s">
        <v>112</v>
      </c>
      <c r="D125" s="351">
        <f t="shared" ref="D125:D134" ca="1" si="11">IF(D124&gt;$O$2,0,IF(A125="eNd",1,0))+D124</f>
        <v>21</v>
      </c>
      <c r="F125" s="169" t="str">
        <f ca="1">IF(OR(B125="",B125=0),"","   "&amp;A125&amp;":"&amp;CHAR(34)&amp;B125&amp;CHAR(34)&amp;",")</f>
        <v/>
      </c>
      <c r="G125" s="128"/>
      <c r="H125" s="128"/>
      <c r="I125" s="128"/>
      <c r="J125" s="128"/>
      <c r="K125" s="128"/>
      <c r="L125" s="128"/>
      <c r="M125" s="128"/>
    </row>
    <row r="126" spans="1:13" hidden="1">
      <c r="A126" s="150" t="str" cm="1">
        <f t="array" aca="1" ref="A126" ca="1">INDIRECT($B$2&amp;"!"&amp;C126&amp;"15")</f>
        <v>sortOrder</v>
      </c>
      <c r="B126" s="130" t="str" cm="1">
        <f t="array" aca="1" ref="B126" ca="1">IFERROR(INDIRECT($B$2&amp;"!"&amp;C126&amp;D126),"")</f>
        <v/>
      </c>
      <c r="C126" s="350" t="s">
        <v>119</v>
      </c>
      <c r="D126" s="351">
        <f t="shared" ca="1" si="11"/>
        <v>21</v>
      </c>
      <c r="F126" s="169" t="str">
        <f ca="1">IF(OR(B126="",B126=0),"","   "&amp;A126&amp;":"&amp;CHAR(34)&amp;B126&amp;CHAR(34)&amp;",")</f>
        <v/>
      </c>
      <c r="G126" s="128"/>
      <c r="H126" s="128"/>
      <c r="I126" s="128"/>
      <c r="J126" s="128"/>
      <c r="K126" s="128"/>
      <c r="L126" s="128"/>
      <c r="M126" s="128"/>
    </row>
    <row r="127" spans="1:13" hidden="1">
      <c r="A127" s="150" t="str" cm="1">
        <f t="array" aca="1" ref="A127" ca="1">INDIRECT($B$2&amp;"!"&amp;C127&amp;"15")</f>
        <v>groupIndex</v>
      </c>
      <c r="B127" s="130" cm="1">
        <f t="array" aca="1" ref="B127" ca="1">IFERROR(INDIRECT($B$2&amp;"!"&amp;C127&amp;D127),"")</f>
        <v>0</v>
      </c>
      <c r="C127" s="355" t="s">
        <v>113</v>
      </c>
      <c r="D127" s="351">
        <f t="shared" ca="1" si="11"/>
        <v>21</v>
      </c>
      <c r="F127" s="126" t="str">
        <f ca="1">IF(OR(B127="",B127=0),"","            "&amp;A127&amp;": "&amp;B127-1&amp;",")</f>
        <v/>
      </c>
      <c r="G127" s="128"/>
      <c r="H127" s="128"/>
      <c r="I127" s="128"/>
      <c r="J127" s="128"/>
      <c r="K127" s="128"/>
      <c r="L127" s="128"/>
      <c r="M127" s="128"/>
    </row>
    <row r="128" spans="1:13" hidden="1">
      <c r="A128" s="150" t="str" cm="1">
        <f t="array" aca="1" ref="A128" ca="1">INDIRECT($B$2&amp;"!"&amp;C128&amp;"15")</f>
        <v>dataType</v>
      </c>
      <c r="B128" s="130" cm="1">
        <f t="array" aca="1" ref="B128" ca="1">IFERROR(INDIRECT($B$2&amp;"!"&amp;C128&amp;D128),"")</f>
        <v>0</v>
      </c>
      <c r="C128" s="355" t="s">
        <v>114</v>
      </c>
      <c r="D128" s="351">
        <f t="shared" ca="1" si="11"/>
        <v>21</v>
      </c>
      <c r="F128" s="169" t="str">
        <f ca="1">IF(OR(B128="",B128=0),"","   "&amp;A128&amp;":"&amp;CHAR(34)&amp;B128&amp;CHAR(34)&amp;",")</f>
        <v/>
      </c>
      <c r="G128" s="128"/>
      <c r="H128" s="128"/>
      <c r="I128" s="128"/>
      <c r="J128" s="128"/>
      <c r="K128" s="128"/>
      <c r="L128" s="128"/>
      <c r="M128" s="128"/>
    </row>
    <row r="129" spans="1:13" hidden="1">
      <c r="A129" s="150" t="str" cm="1">
        <f t="array" aca="1" ref="A129" ca="1">INDIRECT($B$2&amp;"!"&amp;C129&amp;"15")</f>
        <v>format</v>
      </c>
      <c r="B129" s="130" cm="1">
        <f t="array" aca="1" ref="B129" ca="1">IFERROR(INDIRECT($B$2&amp;"!"&amp;C129&amp;D129),"")</f>
        <v>0</v>
      </c>
      <c r="C129" s="355" t="s">
        <v>115</v>
      </c>
      <c r="D129" s="351">
        <f t="shared" ca="1" si="11"/>
        <v>21</v>
      </c>
      <c r="F129" s="169" t="str">
        <f ca="1">IF(OR(B129="",B129=0),"","   "&amp;A129&amp;":"&amp;IF(B129="fixedPoint",D128,CHAR(34)&amp;B129&amp;CHAR(34)&amp;","))</f>
        <v/>
      </c>
      <c r="G129" s="128"/>
      <c r="H129" s="128"/>
      <c r="I129" s="128"/>
      <c r="J129" s="128"/>
      <c r="K129" s="128"/>
      <c r="L129" s="128"/>
      <c r="M129" s="128"/>
    </row>
    <row r="130" spans="1:13" hidden="1">
      <c r="A130" s="150" t="str" cm="1">
        <f t="array" aca="1" ref="A130" ca="1">INDIRECT($B$2&amp;"!"&amp;C130&amp;"15")</f>
        <v>validationRules</v>
      </c>
      <c r="B130" s="130" cm="1">
        <f t="array" aca="1" ref="B130" ca="1">IFERROR(INDIRECT($B$2&amp;"!"&amp;C130&amp;D130),"")</f>
        <v>0</v>
      </c>
      <c r="C130" s="350" t="s">
        <v>116</v>
      </c>
      <c r="D130" s="351">
        <f t="shared" ca="1" si="11"/>
        <v>21</v>
      </c>
      <c r="F130" s="169" t="str">
        <f ca="1">IF(B130,"   "&amp;A130&amp;": [{type: 'required',message: '"&amp;B125&amp;" is required' }],","")</f>
        <v/>
      </c>
      <c r="G130" s="128"/>
      <c r="H130" s="128"/>
      <c r="I130" s="128"/>
      <c r="J130" s="128"/>
      <c r="K130" s="128"/>
      <c r="L130" s="128"/>
      <c r="M130" s="128"/>
    </row>
    <row r="131" spans="1:13" hidden="1">
      <c r="A131" s="150" t="str" cm="1">
        <f t="array" aca="1" ref="A131" ca="1">INDIRECT($B$2&amp;"!"&amp;C131&amp;"15")</f>
        <v>allowHiding</v>
      </c>
      <c r="B131" s="130" cm="1">
        <f t="array" aca="1" ref="B131" ca="1">IFERROR(INDIRECT($B$2&amp;"!"&amp;C131&amp;D131),"")</f>
        <v>0</v>
      </c>
      <c r="C131" s="360" t="s">
        <v>117</v>
      </c>
      <c r="D131" s="351">
        <f t="shared" ca="1" si="11"/>
        <v>21</v>
      </c>
      <c r="F131" s="169" t="str">
        <f ca="1">IF(OR(B131="",B131=0),"","   "&amp;A131&amp;": "&amp;B131&amp;",")</f>
        <v/>
      </c>
      <c r="G131" s="128"/>
      <c r="H131" s="128"/>
      <c r="I131" s="128"/>
      <c r="J131" s="128"/>
      <c r="K131" s="128"/>
      <c r="L131" s="128"/>
      <c r="M131" s="128"/>
    </row>
    <row r="132" spans="1:13" hidden="1">
      <c r="A132" s="150" t="str" cm="1">
        <f t="array" aca="1" ref="A132" ca="1">INDIRECT($B$2&amp;"!"&amp;C132&amp;"15")</f>
        <v>width</v>
      </c>
      <c r="B132" s="130" cm="1">
        <f t="array" aca="1" ref="B132" ca="1">IFERROR(INDIRECT($B$2&amp;"!"&amp;C132&amp;D132),"")</f>
        <v>0</v>
      </c>
      <c r="C132" s="360" t="s">
        <v>61</v>
      </c>
      <c r="D132" s="351">
        <f t="shared" ca="1" si="11"/>
        <v>21</v>
      </c>
      <c r="F132" s="169" t="str">
        <f ca="1">IF(OR(B132="",B132=0),"","   "&amp;A132&amp;": "&amp;B132&amp;",")</f>
        <v/>
      </c>
      <c r="G132" s="128"/>
      <c r="H132" s="128"/>
      <c r="I132" s="128"/>
      <c r="J132" s="128"/>
      <c r="K132" s="128"/>
      <c r="L132" s="128"/>
      <c r="M132" s="128"/>
    </row>
    <row r="133" spans="1:13" hidden="1">
      <c r="A133" s="150" t="str" cm="1">
        <f t="array" aca="1" ref="A133" ca="1">INDIRECT($B$2&amp;"!"&amp;C133&amp;"15")</f>
        <v>visible</v>
      </c>
      <c r="B133" s="323" t="str" cm="1">
        <f t="array" aca="1" ref="B133" ca="1">IFERROR(INDIRECT($B$2&amp;"!"&amp;C133&amp;D133),"")</f>
        <v/>
      </c>
      <c r="C133" s="360" t="s">
        <v>118</v>
      </c>
      <c r="D133" s="351">
        <f t="shared" ca="1" si="11"/>
        <v>21</v>
      </c>
      <c r="F133" s="126" t="str">
        <f ca="1">IF(OR(B133="",B133,B133=0),"","          "&amp;A133&amp;": "&amp;B133&amp;",")</f>
        <v/>
      </c>
      <c r="G133" s="128"/>
      <c r="H133" s="128"/>
      <c r="I133" s="128"/>
      <c r="J133" s="128"/>
      <c r="K133" s="128"/>
      <c r="L133" s="128"/>
      <c r="M133" s="128"/>
    </row>
    <row r="134" spans="1:13" hidden="1">
      <c r="A134" s="156" t="s">
        <v>1399</v>
      </c>
      <c r="B134" s="156"/>
      <c r="D134" s="351">
        <f t="shared" ca="1" si="11"/>
        <v>21</v>
      </c>
      <c r="F134" s="169" t="str">
        <f ca="1">IF(D133&gt;$O$2,"","},")</f>
        <v/>
      </c>
      <c r="G134" s="128"/>
      <c r="H134" s="128"/>
      <c r="I134" s="128"/>
      <c r="J134" s="128"/>
      <c r="K134" s="128"/>
      <c r="L134" s="128"/>
      <c r="M134" s="128"/>
    </row>
    <row r="135" spans="1:13" hidden="1">
      <c r="A135" s="475" t="s">
        <v>1400</v>
      </c>
      <c r="B135" s="130" cm="1">
        <f t="array" aca="1" ref="B135" ca="1">IFERROR(INDIRECT($B$2&amp;"!"&amp;C135&amp;D135),"")</f>
        <v>0</v>
      </c>
      <c r="C135" s="350" t="s">
        <v>97</v>
      </c>
      <c r="D135" s="351">
        <f ca="1">IF(D134&gt;$O$2,0,IF(A135="eNd",1,0))+D134</f>
        <v>21</v>
      </c>
      <c r="F135" s="169" t="str">
        <f ca="1">IF(OR(B135="",B135=0),"","{  "&amp;A135&amp;": "&amp;CHAR(34)&amp;$B135&amp;CHAR(34)&amp;",")</f>
        <v/>
      </c>
      <c r="G135" s="128"/>
      <c r="H135" s="128"/>
      <c r="I135" s="128"/>
      <c r="J135" s="128"/>
      <c r="K135" s="128"/>
      <c r="L135" s="128"/>
      <c r="M135" s="128"/>
    </row>
    <row r="136" spans="1:13" hidden="1">
      <c r="A136" s="150" t="str" cm="1">
        <f t="array" aca="1" ref="A136" ca="1">INDIRECT($B$2&amp;"!"&amp;C136&amp;"15")</f>
        <v>caption</v>
      </c>
      <c r="B136" s="130" t="str" cm="1">
        <f t="array" aca="1" ref="B136" ca="1">IFERROR(INDIRECT($B$2&amp;"!"&amp;C136&amp;D136),"")</f>
        <v/>
      </c>
      <c r="C136" s="350" t="s">
        <v>112</v>
      </c>
      <c r="D136" s="351">
        <f t="shared" ref="D136:D145" ca="1" si="12">IF(D135&gt;$O$2,0,IF(A136="eNd",1,0))+D135</f>
        <v>21</v>
      </c>
      <c r="F136" s="169" t="str">
        <f ca="1">IF(OR(B136="",B136=0),"","   "&amp;A136&amp;":"&amp;CHAR(34)&amp;B136&amp;CHAR(34)&amp;",")</f>
        <v/>
      </c>
      <c r="G136" s="128"/>
      <c r="H136" s="128"/>
      <c r="I136" s="128"/>
      <c r="J136" s="128"/>
      <c r="K136" s="128"/>
      <c r="L136" s="128"/>
      <c r="M136" s="128"/>
    </row>
    <row r="137" spans="1:13" hidden="1">
      <c r="A137" s="150" t="str" cm="1">
        <f t="array" aca="1" ref="A137" ca="1">INDIRECT($B$2&amp;"!"&amp;C137&amp;"15")</f>
        <v>sortOrder</v>
      </c>
      <c r="B137" s="130" t="str" cm="1">
        <f t="array" aca="1" ref="B137" ca="1">IFERROR(INDIRECT($B$2&amp;"!"&amp;C137&amp;D137),"")</f>
        <v/>
      </c>
      <c r="C137" s="350" t="s">
        <v>119</v>
      </c>
      <c r="D137" s="351">
        <f t="shared" ca="1" si="12"/>
        <v>21</v>
      </c>
      <c r="F137" s="169" t="str">
        <f ca="1">IF(OR(B137="",B137=0),"","   "&amp;A137&amp;":"&amp;CHAR(34)&amp;B137&amp;CHAR(34)&amp;",")</f>
        <v/>
      </c>
      <c r="G137" s="128"/>
      <c r="H137" s="128"/>
      <c r="I137" s="128"/>
      <c r="J137" s="128"/>
      <c r="K137" s="128"/>
      <c r="L137" s="128"/>
      <c r="M137" s="128"/>
    </row>
    <row r="138" spans="1:13" hidden="1">
      <c r="A138" s="150" t="str" cm="1">
        <f t="array" aca="1" ref="A138" ca="1">INDIRECT($B$2&amp;"!"&amp;C138&amp;"15")</f>
        <v>groupIndex</v>
      </c>
      <c r="B138" s="130" cm="1">
        <f t="array" aca="1" ref="B138" ca="1">IFERROR(INDIRECT($B$2&amp;"!"&amp;C138&amp;D138),"")</f>
        <v>0</v>
      </c>
      <c r="C138" s="355" t="s">
        <v>113</v>
      </c>
      <c r="D138" s="351">
        <f t="shared" ca="1" si="12"/>
        <v>21</v>
      </c>
      <c r="F138" s="126" t="str">
        <f ca="1">IF(OR(B138="",B138=0),"","            "&amp;A138&amp;": "&amp;B138-1&amp;",")</f>
        <v/>
      </c>
      <c r="G138" s="128"/>
      <c r="H138" s="128"/>
      <c r="I138" s="128"/>
      <c r="J138" s="128"/>
      <c r="K138" s="128"/>
      <c r="L138" s="128"/>
      <c r="M138" s="128"/>
    </row>
    <row r="139" spans="1:13" hidden="1">
      <c r="A139" s="150" t="str" cm="1">
        <f t="array" aca="1" ref="A139" ca="1">INDIRECT($B$2&amp;"!"&amp;C139&amp;"15")</f>
        <v>dataType</v>
      </c>
      <c r="B139" s="130" cm="1">
        <f t="array" aca="1" ref="B139" ca="1">IFERROR(INDIRECT($B$2&amp;"!"&amp;C139&amp;D139),"")</f>
        <v>0</v>
      </c>
      <c r="C139" s="355" t="s">
        <v>114</v>
      </c>
      <c r="D139" s="351">
        <f t="shared" ca="1" si="12"/>
        <v>21</v>
      </c>
      <c r="F139" s="169" t="str">
        <f ca="1">IF(OR(B139="",B139=0),"","   "&amp;A139&amp;":"&amp;CHAR(34)&amp;B139&amp;CHAR(34)&amp;",")</f>
        <v/>
      </c>
      <c r="G139" s="128"/>
      <c r="H139" s="128"/>
      <c r="I139" s="128"/>
      <c r="J139" s="128"/>
      <c r="K139" s="128"/>
      <c r="L139" s="128"/>
      <c r="M139" s="128"/>
    </row>
    <row r="140" spans="1:13" hidden="1">
      <c r="A140" s="150" t="str" cm="1">
        <f t="array" aca="1" ref="A140" ca="1">INDIRECT($B$2&amp;"!"&amp;C140&amp;"15")</f>
        <v>format</v>
      </c>
      <c r="B140" s="130" cm="1">
        <f t="array" aca="1" ref="B140" ca="1">IFERROR(INDIRECT($B$2&amp;"!"&amp;C140&amp;D140),"")</f>
        <v>0</v>
      </c>
      <c r="C140" s="355" t="s">
        <v>115</v>
      </c>
      <c r="D140" s="351">
        <f t="shared" ca="1" si="12"/>
        <v>21</v>
      </c>
      <c r="F140" s="169" t="str">
        <f ca="1">IF(OR(B140="",B140=0),"","   "&amp;A140&amp;":"&amp;IF(B140="fixedPoint",D139,CHAR(34)&amp;B140&amp;CHAR(34)&amp;","))</f>
        <v/>
      </c>
      <c r="G140" s="128"/>
      <c r="H140" s="128"/>
      <c r="I140" s="128"/>
      <c r="J140" s="128"/>
      <c r="K140" s="128"/>
      <c r="L140" s="128"/>
      <c r="M140" s="128"/>
    </row>
    <row r="141" spans="1:13" hidden="1">
      <c r="A141" s="150" t="str" cm="1">
        <f t="array" aca="1" ref="A141" ca="1">INDIRECT($B$2&amp;"!"&amp;C141&amp;"15")</f>
        <v>validationRules</v>
      </c>
      <c r="B141" s="130" cm="1">
        <f t="array" aca="1" ref="B141" ca="1">IFERROR(INDIRECT($B$2&amp;"!"&amp;C141&amp;D141),"")</f>
        <v>0</v>
      </c>
      <c r="C141" s="350" t="s">
        <v>116</v>
      </c>
      <c r="D141" s="351">
        <f t="shared" ca="1" si="12"/>
        <v>21</v>
      </c>
      <c r="F141" s="169" t="str">
        <f ca="1">IF(B141,"   "&amp;A141&amp;": [{type: 'required',message: '"&amp;B136&amp;" is required' }],","")</f>
        <v/>
      </c>
      <c r="G141" s="128"/>
      <c r="H141" s="128"/>
      <c r="I141" s="128"/>
      <c r="J141" s="128"/>
      <c r="K141" s="128"/>
      <c r="L141" s="128"/>
      <c r="M141" s="128"/>
    </row>
    <row r="142" spans="1:13" hidden="1">
      <c r="A142" s="150" t="str" cm="1">
        <f t="array" aca="1" ref="A142" ca="1">INDIRECT($B$2&amp;"!"&amp;C142&amp;"15")</f>
        <v>allowHiding</v>
      </c>
      <c r="B142" s="130" cm="1">
        <f t="array" aca="1" ref="B142" ca="1">IFERROR(INDIRECT($B$2&amp;"!"&amp;C142&amp;D142),"")</f>
        <v>0</v>
      </c>
      <c r="C142" s="360" t="s">
        <v>117</v>
      </c>
      <c r="D142" s="351">
        <f t="shared" ca="1" si="12"/>
        <v>21</v>
      </c>
      <c r="F142" s="169" t="str">
        <f ca="1">IF(OR(B142="",B142=0),"","   "&amp;A142&amp;": "&amp;B142&amp;",")</f>
        <v/>
      </c>
      <c r="G142" s="128"/>
      <c r="H142" s="128"/>
      <c r="I142" s="128"/>
      <c r="J142" s="128"/>
      <c r="K142" s="128"/>
      <c r="L142" s="128"/>
      <c r="M142" s="128"/>
    </row>
    <row r="143" spans="1:13" hidden="1">
      <c r="A143" s="150" t="str" cm="1">
        <f t="array" aca="1" ref="A143" ca="1">INDIRECT($B$2&amp;"!"&amp;C143&amp;"15")</f>
        <v>width</v>
      </c>
      <c r="B143" s="130" cm="1">
        <f t="array" aca="1" ref="B143" ca="1">IFERROR(INDIRECT($B$2&amp;"!"&amp;C143&amp;D143),"")</f>
        <v>0</v>
      </c>
      <c r="C143" s="360" t="s">
        <v>61</v>
      </c>
      <c r="D143" s="351">
        <f t="shared" ca="1" si="12"/>
        <v>21</v>
      </c>
      <c r="F143" s="169" t="str">
        <f ca="1">IF(OR(B143="",B143=0),"","   "&amp;A143&amp;": "&amp;B143&amp;",")</f>
        <v/>
      </c>
      <c r="G143" s="128"/>
      <c r="H143" s="128"/>
      <c r="I143" s="128"/>
      <c r="J143" s="128"/>
      <c r="K143" s="128"/>
      <c r="L143" s="128"/>
      <c r="M143" s="128"/>
    </row>
    <row r="144" spans="1:13" hidden="1">
      <c r="A144" s="150" t="str" cm="1">
        <f t="array" aca="1" ref="A144" ca="1">INDIRECT($B$2&amp;"!"&amp;C144&amp;"15")</f>
        <v>visible</v>
      </c>
      <c r="B144" s="323" t="str" cm="1">
        <f t="array" aca="1" ref="B144" ca="1">IFERROR(INDIRECT($B$2&amp;"!"&amp;C144&amp;D144),"")</f>
        <v/>
      </c>
      <c r="C144" s="360" t="s">
        <v>118</v>
      </c>
      <c r="D144" s="351">
        <f t="shared" ca="1" si="12"/>
        <v>21</v>
      </c>
      <c r="F144" s="126" t="str">
        <f ca="1">IF(OR(B144="",B144,B144=0),"","          "&amp;A144&amp;": "&amp;B144&amp;",")</f>
        <v/>
      </c>
      <c r="G144" s="128"/>
      <c r="H144" s="128"/>
      <c r="I144" s="128"/>
      <c r="J144" s="128"/>
      <c r="K144" s="128"/>
      <c r="L144" s="128"/>
      <c r="M144" s="128"/>
    </row>
    <row r="145" spans="1:13" hidden="1">
      <c r="A145" s="156" t="s">
        <v>1399</v>
      </c>
      <c r="B145" s="156"/>
      <c r="D145" s="351">
        <f t="shared" ca="1" si="12"/>
        <v>21</v>
      </c>
      <c r="F145" s="169" t="str">
        <f ca="1">IF(D144&gt;$O$2,"","},")</f>
        <v/>
      </c>
      <c r="G145" s="128"/>
      <c r="H145" s="128"/>
      <c r="I145" s="128"/>
      <c r="J145" s="128"/>
      <c r="K145" s="128"/>
      <c r="L145" s="128"/>
      <c r="M145" s="128"/>
    </row>
    <row r="146" spans="1:13" hidden="1">
      <c r="A146" s="475" t="s">
        <v>1400</v>
      </c>
      <c r="B146" s="130" cm="1">
        <f t="array" aca="1" ref="B146" ca="1">IFERROR(INDIRECT($B$2&amp;"!"&amp;C146&amp;D146),"")</f>
        <v>0</v>
      </c>
      <c r="C146" s="350" t="s">
        <v>97</v>
      </c>
      <c r="D146" s="351">
        <f ca="1">IF(D145&gt;$O$2,0,IF(A146="eNd",1,0))+D145</f>
        <v>21</v>
      </c>
      <c r="F146" s="169" t="str">
        <f ca="1">IF(OR(B146="",B146=0),"","{  "&amp;A146&amp;": "&amp;CHAR(34)&amp;$B146&amp;CHAR(34)&amp;",")</f>
        <v/>
      </c>
      <c r="G146" s="128"/>
      <c r="H146" s="128"/>
      <c r="I146" s="128"/>
      <c r="J146" s="128"/>
      <c r="K146" s="128"/>
      <c r="L146" s="128"/>
      <c r="M146" s="128"/>
    </row>
    <row r="147" spans="1:13" hidden="1">
      <c r="A147" s="150" t="str" cm="1">
        <f t="array" aca="1" ref="A147" ca="1">INDIRECT($B$2&amp;"!"&amp;C147&amp;"15")</f>
        <v>caption</v>
      </c>
      <c r="B147" s="130" t="str" cm="1">
        <f t="array" aca="1" ref="B147" ca="1">IFERROR(INDIRECT($B$2&amp;"!"&amp;C147&amp;D147),"")</f>
        <v/>
      </c>
      <c r="C147" s="350" t="s">
        <v>112</v>
      </c>
      <c r="D147" s="351">
        <f t="shared" ref="D147:D156" ca="1" si="13">IF(D146&gt;$O$2,0,IF(A147="eNd",1,0))+D146</f>
        <v>21</v>
      </c>
      <c r="F147" s="169" t="str">
        <f ca="1">IF(OR(B147="",B147=0),"","   "&amp;A147&amp;":"&amp;CHAR(34)&amp;B147&amp;CHAR(34)&amp;",")</f>
        <v/>
      </c>
      <c r="G147" s="128"/>
      <c r="H147" s="128"/>
      <c r="I147" s="128"/>
      <c r="J147" s="128"/>
      <c r="K147" s="128"/>
      <c r="L147" s="128"/>
      <c r="M147" s="128"/>
    </row>
    <row r="148" spans="1:13" hidden="1">
      <c r="A148" s="150" t="str" cm="1">
        <f t="array" aca="1" ref="A148" ca="1">INDIRECT($B$2&amp;"!"&amp;C148&amp;"15")</f>
        <v>sortOrder</v>
      </c>
      <c r="B148" s="130" t="str" cm="1">
        <f t="array" aca="1" ref="B148" ca="1">IFERROR(INDIRECT($B$2&amp;"!"&amp;C148&amp;D148),"")</f>
        <v/>
      </c>
      <c r="C148" s="350" t="s">
        <v>119</v>
      </c>
      <c r="D148" s="351">
        <f t="shared" ca="1" si="13"/>
        <v>21</v>
      </c>
      <c r="F148" s="169" t="str">
        <f ca="1">IF(OR(B148="",B148=0),"","   "&amp;A148&amp;":"&amp;CHAR(34)&amp;B148&amp;CHAR(34)&amp;",")</f>
        <v/>
      </c>
      <c r="G148" s="128"/>
      <c r="H148" s="128"/>
      <c r="I148" s="128"/>
      <c r="J148" s="128"/>
      <c r="K148" s="128"/>
      <c r="L148" s="128"/>
      <c r="M148" s="128"/>
    </row>
    <row r="149" spans="1:13" hidden="1">
      <c r="A149" s="150" t="str" cm="1">
        <f t="array" aca="1" ref="A149" ca="1">INDIRECT($B$2&amp;"!"&amp;C149&amp;"15")</f>
        <v>groupIndex</v>
      </c>
      <c r="B149" s="130" cm="1">
        <f t="array" aca="1" ref="B149" ca="1">IFERROR(INDIRECT($B$2&amp;"!"&amp;C149&amp;D149),"")</f>
        <v>0</v>
      </c>
      <c r="C149" s="355" t="s">
        <v>113</v>
      </c>
      <c r="D149" s="351">
        <f t="shared" ca="1" si="13"/>
        <v>21</v>
      </c>
      <c r="F149" s="126" t="str">
        <f ca="1">IF(OR(B149="",B149=0),"","            "&amp;A149&amp;": "&amp;B149-1&amp;",")</f>
        <v/>
      </c>
      <c r="G149" s="128"/>
      <c r="H149" s="128"/>
      <c r="I149" s="128"/>
      <c r="J149" s="128"/>
      <c r="K149" s="128"/>
      <c r="L149" s="128"/>
      <c r="M149" s="128"/>
    </row>
    <row r="150" spans="1:13" hidden="1">
      <c r="A150" s="150" t="str" cm="1">
        <f t="array" aca="1" ref="A150" ca="1">INDIRECT($B$2&amp;"!"&amp;C150&amp;"15")</f>
        <v>dataType</v>
      </c>
      <c r="B150" s="130" cm="1">
        <f t="array" aca="1" ref="B150" ca="1">IFERROR(INDIRECT($B$2&amp;"!"&amp;C150&amp;D150),"")</f>
        <v>0</v>
      </c>
      <c r="C150" s="355" t="s">
        <v>114</v>
      </c>
      <c r="D150" s="351">
        <f t="shared" ca="1" si="13"/>
        <v>21</v>
      </c>
      <c r="F150" s="169" t="str">
        <f ca="1">IF(OR(B150="",B150=0),"","   "&amp;A150&amp;":"&amp;CHAR(34)&amp;B150&amp;CHAR(34)&amp;",")</f>
        <v/>
      </c>
      <c r="G150" s="128"/>
      <c r="H150" s="128"/>
      <c r="I150" s="128"/>
      <c r="J150" s="128"/>
      <c r="K150" s="128"/>
      <c r="L150" s="128"/>
      <c r="M150" s="128"/>
    </row>
    <row r="151" spans="1:13" hidden="1">
      <c r="A151" s="150" t="str" cm="1">
        <f t="array" aca="1" ref="A151" ca="1">INDIRECT($B$2&amp;"!"&amp;C151&amp;"15")</f>
        <v>format</v>
      </c>
      <c r="B151" s="130" cm="1">
        <f t="array" aca="1" ref="B151" ca="1">IFERROR(INDIRECT($B$2&amp;"!"&amp;C151&amp;D151),"")</f>
        <v>0</v>
      </c>
      <c r="C151" s="355" t="s">
        <v>115</v>
      </c>
      <c r="D151" s="351">
        <f t="shared" ca="1" si="13"/>
        <v>21</v>
      </c>
      <c r="F151" s="169" t="str">
        <f ca="1">IF(OR(B151="",B151=0),"","   "&amp;A151&amp;":"&amp;IF(B151="fixedPoint",D150,CHAR(34)&amp;B151&amp;CHAR(34)&amp;","))</f>
        <v/>
      </c>
      <c r="G151" s="128"/>
      <c r="H151" s="128"/>
      <c r="I151" s="128"/>
      <c r="J151" s="128"/>
      <c r="K151" s="128"/>
      <c r="L151" s="128"/>
      <c r="M151" s="128"/>
    </row>
    <row r="152" spans="1:13" hidden="1">
      <c r="A152" s="150" t="str" cm="1">
        <f t="array" aca="1" ref="A152" ca="1">INDIRECT($B$2&amp;"!"&amp;C152&amp;"15")</f>
        <v>validationRules</v>
      </c>
      <c r="B152" s="130" cm="1">
        <f t="array" aca="1" ref="B152" ca="1">IFERROR(INDIRECT($B$2&amp;"!"&amp;C152&amp;D152),"")</f>
        <v>0</v>
      </c>
      <c r="C152" s="350" t="s">
        <v>116</v>
      </c>
      <c r="D152" s="351">
        <f t="shared" ca="1" si="13"/>
        <v>21</v>
      </c>
      <c r="F152" s="169" t="str">
        <f ca="1">IF(B152,"   "&amp;A152&amp;": [{type: 'required',message: '"&amp;B147&amp;" is required' }],","")</f>
        <v/>
      </c>
      <c r="G152" s="128"/>
      <c r="H152" s="128"/>
      <c r="I152" s="128"/>
      <c r="J152" s="128"/>
      <c r="K152" s="128"/>
      <c r="L152" s="128"/>
      <c r="M152" s="128"/>
    </row>
    <row r="153" spans="1:13" hidden="1">
      <c r="A153" s="150" t="str" cm="1">
        <f t="array" aca="1" ref="A153" ca="1">INDIRECT($B$2&amp;"!"&amp;C153&amp;"15")</f>
        <v>allowHiding</v>
      </c>
      <c r="B153" s="130" cm="1">
        <f t="array" aca="1" ref="B153" ca="1">IFERROR(INDIRECT($B$2&amp;"!"&amp;C153&amp;D153),"")</f>
        <v>0</v>
      </c>
      <c r="C153" s="360" t="s">
        <v>117</v>
      </c>
      <c r="D153" s="351">
        <f t="shared" ca="1" si="13"/>
        <v>21</v>
      </c>
      <c r="F153" s="169" t="str">
        <f ca="1">IF(OR(B153="",B153=0),"","   "&amp;A153&amp;": "&amp;B153&amp;",")</f>
        <v/>
      </c>
      <c r="G153" s="128"/>
      <c r="H153" s="128"/>
      <c r="I153" s="128"/>
      <c r="J153" s="128"/>
      <c r="K153" s="128"/>
      <c r="L153" s="128"/>
      <c r="M153" s="128"/>
    </row>
    <row r="154" spans="1:13" hidden="1">
      <c r="A154" s="150" t="str" cm="1">
        <f t="array" aca="1" ref="A154" ca="1">INDIRECT($B$2&amp;"!"&amp;C154&amp;"15")</f>
        <v>width</v>
      </c>
      <c r="B154" s="130" cm="1">
        <f t="array" aca="1" ref="B154" ca="1">IFERROR(INDIRECT($B$2&amp;"!"&amp;C154&amp;D154),"")</f>
        <v>0</v>
      </c>
      <c r="C154" s="360" t="s">
        <v>61</v>
      </c>
      <c r="D154" s="351">
        <f t="shared" ca="1" si="13"/>
        <v>21</v>
      </c>
      <c r="F154" s="169" t="str">
        <f ca="1">IF(OR(B154="",B154=0),"","   "&amp;A154&amp;": "&amp;B154&amp;",")</f>
        <v/>
      </c>
      <c r="G154" s="128"/>
      <c r="H154" s="128"/>
      <c r="I154" s="128"/>
      <c r="J154" s="128"/>
      <c r="K154" s="128"/>
      <c r="L154" s="128"/>
      <c r="M154" s="128"/>
    </row>
    <row r="155" spans="1:13" hidden="1">
      <c r="A155" s="150" t="str" cm="1">
        <f t="array" aca="1" ref="A155" ca="1">INDIRECT($B$2&amp;"!"&amp;C155&amp;"15")</f>
        <v>visible</v>
      </c>
      <c r="B155" s="323" t="str" cm="1">
        <f t="array" aca="1" ref="B155" ca="1">IFERROR(INDIRECT($B$2&amp;"!"&amp;C155&amp;D155),"")</f>
        <v/>
      </c>
      <c r="C155" s="360" t="s">
        <v>118</v>
      </c>
      <c r="D155" s="351">
        <f t="shared" ca="1" si="13"/>
        <v>21</v>
      </c>
      <c r="F155" s="126" t="str">
        <f ca="1">IF(OR(B155="",B155,B155=0),"","          "&amp;A155&amp;": "&amp;B155&amp;",")</f>
        <v/>
      </c>
      <c r="G155" s="128"/>
      <c r="H155" s="128"/>
      <c r="I155" s="128"/>
      <c r="J155" s="128"/>
      <c r="K155" s="128"/>
      <c r="L155" s="128"/>
      <c r="M155" s="128"/>
    </row>
    <row r="156" spans="1:13" hidden="1">
      <c r="A156" s="156" t="s">
        <v>1399</v>
      </c>
      <c r="B156" s="156"/>
      <c r="D156" s="351">
        <f t="shared" ca="1" si="13"/>
        <v>21</v>
      </c>
      <c r="F156" s="169" t="str">
        <f ca="1">IF(D155&gt;$O$2,"","},")</f>
        <v/>
      </c>
      <c r="G156" s="128"/>
      <c r="H156" s="128"/>
      <c r="I156" s="128"/>
      <c r="J156" s="128"/>
      <c r="K156" s="128"/>
      <c r="L156" s="128"/>
      <c r="M156" s="128"/>
    </row>
    <row r="157" spans="1:13" hidden="1">
      <c r="A157" s="475" t="s">
        <v>1400</v>
      </c>
      <c r="B157" s="130" cm="1">
        <f t="array" aca="1" ref="B157" ca="1">IFERROR(INDIRECT($B$2&amp;"!"&amp;C157&amp;D157),"")</f>
        <v>0</v>
      </c>
      <c r="C157" s="350" t="s">
        <v>97</v>
      </c>
      <c r="D157" s="351">
        <f ca="1">IF(D156&gt;$O$2,0,IF(A157="eNd",1,0))+D156</f>
        <v>21</v>
      </c>
      <c r="F157" s="169" t="str">
        <f ca="1">IF(OR(B157="",B157=0),"","{  "&amp;A157&amp;": "&amp;CHAR(34)&amp;$B157&amp;CHAR(34)&amp;",")</f>
        <v/>
      </c>
      <c r="G157" s="128"/>
      <c r="H157" s="128"/>
      <c r="I157" s="128"/>
      <c r="J157" s="128"/>
      <c r="K157" s="128"/>
      <c r="L157" s="128"/>
      <c r="M157" s="128"/>
    </row>
    <row r="158" spans="1:13" hidden="1">
      <c r="A158" s="150" t="str" cm="1">
        <f t="array" aca="1" ref="A158" ca="1">INDIRECT($B$2&amp;"!"&amp;C158&amp;"15")</f>
        <v>caption</v>
      </c>
      <c r="B158" s="130" t="str" cm="1">
        <f t="array" aca="1" ref="B158" ca="1">IFERROR(INDIRECT($B$2&amp;"!"&amp;C158&amp;D158),"")</f>
        <v/>
      </c>
      <c r="C158" s="350" t="s">
        <v>112</v>
      </c>
      <c r="D158" s="351">
        <f t="shared" ref="D158:D167" ca="1" si="14">IF(D157&gt;$O$2,0,IF(A158="eNd",1,0))+D157</f>
        <v>21</v>
      </c>
      <c r="F158" s="169" t="str">
        <f ca="1">IF(OR(B158="",B158=0),"","   "&amp;A158&amp;":"&amp;CHAR(34)&amp;B158&amp;CHAR(34)&amp;",")</f>
        <v/>
      </c>
      <c r="G158" s="128"/>
      <c r="H158" s="128"/>
      <c r="I158" s="128"/>
      <c r="J158" s="128"/>
      <c r="K158" s="128"/>
      <c r="L158" s="128"/>
      <c r="M158" s="128"/>
    </row>
    <row r="159" spans="1:13" hidden="1">
      <c r="A159" s="150" t="str" cm="1">
        <f t="array" aca="1" ref="A159" ca="1">INDIRECT($B$2&amp;"!"&amp;C159&amp;"15")</f>
        <v>sortOrder</v>
      </c>
      <c r="B159" s="130" t="str" cm="1">
        <f t="array" aca="1" ref="B159" ca="1">IFERROR(INDIRECT($B$2&amp;"!"&amp;C159&amp;D159),"")</f>
        <v/>
      </c>
      <c r="C159" s="350" t="s">
        <v>119</v>
      </c>
      <c r="D159" s="351">
        <f t="shared" ca="1" si="14"/>
        <v>21</v>
      </c>
      <c r="F159" s="169" t="str">
        <f ca="1">IF(OR(B159="",B159=0),"","   "&amp;A159&amp;":"&amp;CHAR(34)&amp;B159&amp;CHAR(34)&amp;",")</f>
        <v/>
      </c>
      <c r="G159" s="128"/>
      <c r="H159" s="128"/>
      <c r="I159" s="128"/>
      <c r="J159" s="128"/>
      <c r="K159" s="128"/>
      <c r="L159" s="128"/>
      <c r="M159" s="128"/>
    </row>
    <row r="160" spans="1:13" hidden="1">
      <c r="A160" s="150" t="str" cm="1">
        <f t="array" aca="1" ref="A160" ca="1">INDIRECT($B$2&amp;"!"&amp;C160&amp;"15")</f>
        <v>groupIndex</v>
      </c>
      <c r="B160" s="130" cm="1">
        <f t="array" aca="1" ref="B160" ca="1">IFERROR(INDIRECT($B$2&amp;"!"&amp;C160&amp;D160),"")</f>
        <v>0</v>
      </c>
      <c r="C160" s="355" t="s">
        <v>113</v>
      </c>
      <c r="D160" s="351">
        <f t="shared" ca="1" si="14"/>
        <v>21</v>
      </c>
      <c r="F160" s="126" t="str">
        <f ca="1">IF(OR(B160="",B160=0),"","            "&amp;A160&amp;": "&amp;B160-1&amp;",")</f>
        <v/>
      </c>
      <c r="G160" s="128"/>
      <c r="H160" s="128"/>
      <c r="I160" s="128"/>
      <c r="J160" s="128"/>
      <c r="K160" s="128"/>
      <c r="L160" s="128"/>
      <c r="M160" s="128"/>
    </row>
    <row r="161" spans="1:13" hidden="1">
      <c r="A161" s="150" t="str" cm="1">
        <f t="array" aca="1" ref="A161" ca="1">INDIRECT($B$2&amp;"!"&amp;C161&amp;"15")</f>
        <v>dataType</v>
      </c>
      <c r="B161" s="130" cm="1">
        <f t="array" aca="1" ref="B161" ca="1">IFERROR(INDIRECT($B$2&amp;"!"&amp;C161&amp;D161),"")</f>
        <v>0</v>
      </c>
      <c r="C161" s="355" t="s">
        <v>114</v>
      </c>
      <c r="D161" s="351">
        <f t="shared" ca="1" si="14"/>
        <v>21</v>
      </c>
      <c r="F161" s="169" t="str">
        <f ca="1">IF(OR(B161="",B161=0),"","   "&amp;A161&amp;":"&amp;CHAR(34)&amp;B161&amp;CHAR(34)&amp;",")</f>
        <v/>
      </c>
      <c r="G161" s="128"/>
      <c r="H161" s="128"/>
      <c r="I161" s="128"/>
      <c r="J161" s="128"/>
      <c r="K161" s="128"/>
      <c r="L161" s="128"/>
      <c r="M161" s="128"/>
    </row>
    <row r="162" spans="1:13" hidden="1">
      <c r="A162" s="150" t="str" cm="1">
        <f t="array" aca="1" ref="A162" ca="1">INDIRECT($B$2&amp;"!"&amp;C162&amp;"15")</f>
        <v>format</v>
      </c>
      <c r="B162" s="130" cm="1">
        <f t="array" aca="1" ref="B162" ca="1">IFERROR(INDIRECT($B$2&amp;"!"&amp;C162&amp;D162),"")</f>
        <v>0</v>
      </c>
      <c r="C162" s="355" t="s">
        <v>115</v>
      </c>
      <c r="D162" s="351">
        <f t="shared" ca="1" si="14"/>
        <v>21</v>
      </c>
      <c r="F162" s="169" t="str">
        <f ca="1">IF(OR(B162="",B162=0),"","   "&amp;A162&amp;":"&amp;IF(B162="fixedPoint",D161,CHAR(34)&amp;B162&amp;CHAR(34)&amp;","))</f>
        <v/>
      </c>
      <c r="G162" s="128"/>
      <c r="H162" s="128"/>
      <c r="I162" s="128"/>
      <c r="J162" s="128"/>
      <c r="K162" s="128"/>
      <c r="L162" s="128"/>
      <c r="M162" s="128"/>
    </row>
    <row r="163" spans="1:13" hidden="1">
      <c r="A163" s="150" t="str" cm="1">
        <f t="array" aca="1" ref="A163" ca="1">INDIRECT($B$2&amp;"!"&amp;C163&amp;"15")</f>
        <v>validationRules</v>
      </c>
      <c r="B163" s="130" cm="1">
        <f t="array" aca="1" ref="B163" ca="1">IFERROR(INDIRECT($B$2&amp;"!"&amp;C163&amp;D163),"")</f>
        <v>0</v>
      </c>
      <c r="C163" s="350" t="s">
        <v>116</v>
      </c>
      <c r="D163" s="351">
        <f t="shared" ca="1" si="14"/>
        <v>21</v>
      </c>
      <c r="F163" s="169" t="str">
        <f ca="1">IF(B163,"   "&amp;A163&amp;": [{type: 'required',message: '"&amp;B158&amp;" is required' }],","")</f>
        <v/>
      </c>
      <c r="G163" s="128"/>
      <c r="H163" s="128"/>
      <c r="I163" s="128"/>
      <c r="J163" s="128"/>
      <c r="K163" s="128"/>
      <c r="L163" s="128"/>
      <c r="M163" s="128"/>
    </row>
    <row r="164" spans="1:13" hidden="1">
      <c r="A164" s="150" t="str" cm="1">
        <f t="array" aca="1" ref="A164" ca="1">INDIRECT($B$2&amp;"!"&amp;C164&amp;"15")</f>
        <v>allowHiding</v>
      </c>
      <c r="B164" s="130" cm="1">
        <f t="array" aca="1" ref="B164" ca="1">IFERROR(INDIRECT($B$2&amp;"!"&amp;C164&amp;D164),"")</f>
        <v>0</v>
      </c>
      <c r="C164" s="360" t="s">
        <v>117</v>
      </c>
      <c r="D164" s="351">
        <f t="shared" ca="1" si="14"/>
        <v>21</v>
      </c>
      <c r="F164" s="169" t="str">
        <f ca="1">IF(OR(B164="",B164=0),"","   "&amp;A164&amp;": "&amp;B164&amp;",")</f>
        <v/>
      </c>
      <c r="G164" s="128"/>
      <c r="H164" s="128"/>
      <c r="I164" s="128"/>
      <c r="J164" s="128"/>
      <c r="K164" s="128"/>
      <c r="L164" s="128"/>
      <c r="M164" s="128"/>
    </row>
    <row r="165" spans="1:13" hidden="1">
      <c r="A165" s="150" t="str" cm="1">
        <f t="array" aca="1" ref="A165" ca="1">INDIRECT($B$2&amp;"!"&amp;C165&amp;"15")</f>
        <v>width</v>
      </c>
      <c r="B165" s="130" cm="1">
        <f t="array" aca="1" ref="B165" ca="1">IFERROR(INDIRECT($B$2&amp;"!"&amp;C165&amp;D165),"")</f>
        <v>0</v>
      </c>
      <c r="C165" s="360" t="s">
        <v>61</v>
      </c>
      <c r="D165" s="351">
        <f t="shared" ca="1" si="14"/>
        <v>21</v>
      </c>
      <c r="F165" s="169" t="str">
        <f ca="1">IF(OR(B165="",B165=0),"","   "&amp;A165&amp;": "&amp;B165&amp;",")</f>
        <v/>
      </c>
      <c r="G165" s="128"/>
      <c r="H165" s="128"/>
      <c r="I165" s="128"/>
      <c r="J165" s="128"/>
      <c r="K165" s="128"/>
      <c r="L165" s="128"/>
      <c r="M165" s="128"/>
    </row>
    <row r="166" spans="1:13" hidden="1">
      <c r="A166" s="150" t="str" cm="1">
        <f t="array" aca="1" ref="A166" ca="1">INDIRECT($B$2&amp;"!"&amp;C166&amp;"15")</f>
        <v>visible</v>
      </c>
      <c r="B166" s="323" t="str" cm="1">
        <f t="array" aca="1" ref="B166" ca="1">IFERROR(INDIRECT($B$2&amp;"!"&amp;C166&amp;D166),"")</f>
        <v/>
      </c>
      <c r="C166" s="360" t="s">
        <v>118</v>
      </c>
      <c r="D166" s="351">
        <f t="shared" ca="1" si="14"/>
        <v>21</v>
      </c>
      <c r="F166" s="126" t="str">
        <f ca="1">IF(OR(B166="",B166,B166=0),"","          "&amp;A166&amp;": "&amp;B166&amp;",")</f>
        <v/>
      </c>
      <c r="G166" s="128"/>
      <c r="H166" s="128"/>
      <c r="I166" s="128"/>
      <c r="J166" s="128"/>
      <c r="K166" s="128"/>
      <c r="L166" s="128"/>
      <c r="M166" s="128"/>
    </row>
    <row r="167" spans="1:13" hidden="1">
      <c r="A167" s="156" t="s">
        <v>1399</v>
      </c>
      <c r="B167" s="156"/>
      <c r="D167" s="351">
        <f t="shared" ca="1" si="14"/>
        <v>21</v>
      </c>
      <c r="F167" s="169" t="str">
        <f ca="1">IF(D166&gt;$O$2,"","},")</f>
        <v/>
      </c>
      <c r="G167" s="128"/>
      <c r="H167" s="128"/>
      <c r="I167" s="128"/>
      <c r="J167" s="128"/>
      <c r="K167" s="128"/>
      <c r="L167" s="128"/>
      <c r="M167" s="128"/>
    </row>
    <row r="168" spans="1:13" hidden="1">
      <c r="A168" s="475" t="s">
        <v>1400</v>
      </c>
      <c r="B168" s="130" cm="1">
        <f t="array" aca="1" ref="B168" ca="1">IFERROR(INDIRECT($B$2&amp;"!"&amp;C168&amp;D168),"")</f>
        <v>0</v>
      </c>
      <c r="C168" s="350" t="s">
        <v>97</v>
      </c>
      <c r="D168" s="351">
        <f ca="1">IF(D167&gt;$O$2,0,IF(A168="eNd",1,0))+D167</f>
        <v>21</v>
      </c>
      <c r="F168" s="169" t="str">
        <f ca="1">IF(OR(B168="",B168=0),"","{  "&amp;A168&amp;": "&amp;CHAR(34)&amp;$B168&amp;CHAR(34)&amp;",")</f>
        <v/>
      </c>
      <c r="G168" s="128"/>
      <c r="H168" s="128"/>
      <c r="I168" s="128"/>
      <c r="J168" s="128"/>
      <c r="K168" s="128"/>
      <c r="L168" s="128"/>
      <c r="M168" s="128"/>
    </row>
    <row r="169" spans="1:13" hidden="1">
      <c r="A169" s="150" t="str" cm="1">
        <f t="array" aca="1" ref="A169" ca="1">INDIRECT($B$2&amp;"!"&amp;C169&amp;"15")</f>
        <v>caption</v>
      </c>
      <c r="B169" s="130" t="str" cm="1">
        <f t="array" aca="1" ref="B169" ca="1">IFERROR(INDIRECT($B$2&amp;"!"&amp;C169&amp;D169),"")</f>
        <v/>
      </c>
      <c r="C169" s="350" t="s">
        <v>112</v>
      </c>
      <c r="D169" s="351">
        <f t="shared" ref="D169:D178" ca="1" si="15">IF(D168&gt;$O$2,0,IF(A169="eNd",1,0))+D168</f>
        <v>21</v>
      </c>
      <c r="F169" s="169" t="str">
        <f ca="1">IF(OR(B169="",B169=0),"","   "&amp;A169&amp;":"&amp;CHAR(34)&amp;B169&amp;CHAR(34)&amp;",")</f>
        <v/>
      </c>
      <c r="G169" s="128"/>
      <c r="H169" s="128"/>
      <c r="I169" s="128"/>
      <c r="J169" s="128"/>
      <c r="K169" s="128"/>
      <c r="L169" s="128"/>
      <c r="M169" s="128"/>
    </row>
    <row r="170" spans="1:13" hidden="1">
      <c r="A170" s="150" t="str" cm="1">
        <f t="array" aca="1" ref="A170" ca="1">INDIRECT($B$2&amp;"!"&amp;C170&amp;"15")</f>
        <v>sortOrder</v>
      </c>
      <c r="B170" s="130" t="str" cm="1">
        <f t="array" aca="1" ref="B170" ca="1">IFERROR(INDIRECT($B$2&amp;"!"&amp;C170&amp;D170),"")</f>
        <v/>
      </c>
      <c r="C170" s="350" t="s">
        <v>119</v>
      </c>
      <c r="D170" s="351">
        <f t="shared" ca="1" si="15"/>
        <v>21</v>
      </c>
      <c r="F170" s="169" t="str">
        <f ca="1">IF(OR(B170="",B170=0),"","   "&amp;A170&amp;":"&amp;CHAR(34)&amp;B170&amp;CHAR(34)&amp;",")</f>
        <v/>
      </c>
      <c r="G170" s="128"/>
      <c r="H170" s="128"/>
      <c r="I170" s="128"/>
      <c r="J170" s="128"/>
      <c r="K170" s="128"/>
      <c r="L170" s="128"/>
      <c r="M170" s="128"/>
    </row>
    <row r="171" spans="1:13" hidden="1">
      <c r="A171" s="150" t="str" cm="1">
        <f t="array" aca="1" ref="A171" ca="1">INDIRECT($B$2&amp;"!"&amp;C171&amp;"15")</f>
        <v>groupIndex</v>
      </c>
      <c r="B171" s="130" cm="1">
        <f t="array" aca="1" ref="B171" ca="1">IFERROR(INDIRECT($B$2&amp;"!"&amp;C171&amp;D171),"")</f>
        <v>0</v>
      </c>
      <c r="C171" s="355" t="s">
        <v>113</v>
      </c>
      <c r="D171" s="351">
        <f t="shared" ca="1" si="15"/>
        <v>21</v>
      </c>
      <c r="F171" s="126" t="str">
        <f ca="1">IF(OR(B171="",B171=0),"","            "&amp;A171&amp;": "&amp;B171-1&amp;",")</f>
        <v/>
      </c>
      <c r="G171" s="128"/>
      <c r="H171" s="128"/>
      <c r="I171" s="128"/>
      <c r="J171" s="128"/>
      <c r="K171" s="128"/>
      <c r="L171" s="128"/>
      <c r="M171" s="128"/>
    </row>
    <row r="172" spans="1:13" hidden="1">
      <c r="A172" s="150" t="str" cm="1">
        <f t="array" aca="1" ref="A172" ca="1">INDIRECT($B$2&amp;"!"&amp;C172&amp;"15")</f>
        <v>dataType</v>
      </c>
      <c r="B172" s="130" cm="1">
        <f t="array" aca="1" ref="B172" ca="1">IFERROR(INDIRECT($B$2&amp;"!"&amp;C172&amp;D172),"")</f>
        <v>0</v>
      </c>
      <c r="C172" s="355" t="s">
        <v>114</v>
      </c>
      <c r="D172" s="351">
        <f t="shared" ca="1" si="15"/>
        <v>21</v>
      </c>
      <c r="F172" s="169" t="str">
        <f ca="1">IF(OR(B172="",B172=0),"","   "&amp;A172&amp;":"&amp;CHAR(34)&amp;B172&amp;CHAR(34)&amp;",")</f>
        <v/>
      </c>
      <c r="G172" s="128"/>
      <c r="H172" s="128"/>
      <c r="I172" s="128"/>
      <c r="J172" s="128"/>
      <c r="K172" s="128"/>
      <c r="L172" s="128"/>
      <c r="M172" s="128"/>
    </row>
    <row r="173" spans="1:13" hidden="1">
      <c r="A173" s="150" t="str" cm="1">
        <f t="array" aca="1" ref="A173" ca="1">INDIRECT($B$2&amp;"!"&amp;C173&amp;"15")</f>
        <v>format</v>
      </c>
      <c r="B173" s="130" cm="1">
        <f t="array" aca="1" ref="B173" ca="1">IFERROR(INDIRECT($B$2&amp;"!"&amp;C173&amp;D173),"")</f>
        <v>0</v>
      </c>
      <c r="C173" s="355" t="s">
        <v>115</v>
      </c>
      <c r="D173" s="351">
        <f t="shared" ca="1" si="15"/>
        <v>21</v>
      </c>
      <c r="F173" s="169" t="str">
        <f ca="1">IF(OR(B173="",B173=0),"","   "&amp;A173&amp;":"&amp;IF(B173="fixedPoint",D172,CHAR(34)&amp;B173&amp;CHAR(34)&amp;","))</f>
        <v/>
      </c>
      <c r="G173" s="128"/>
      <c r="H173" s="128"/>
      <c r="I173" s="128"/>
      <c r="J173" s="128"/>
      <c r="K173" s="128"/>
      <c r="L173" s="128"/>
      <c r="M173" s="128"/>
    </row>
    <row r="174" spans="1:13" hidden="1">
      <c r="A174" s="150" t="str" cm="1">
        <f t="array" aca="1" ref="A174" ca="1">INDIRECT($B$2&amp;"!"&amp;C174&amp;"15")</f>
        <v>validationRules</v>
      </c>
      <c r="B174" s="130" cm="1">
        <f t="array" aca="1" ref="B174" ca="1">IFERROR(INDIRECT($B$2&amp;"!"&amp;C174&amp;D174),"")</f>
        <v>0</v>
      </c>
      <c r="C174" s="350" t="s">
        <v>116</v>
      </c>
      <c r="D174" s="351">
        <f t="shared" ca="1" si="15"/>
        <v>21</v>
      </c>
      <c r="F174" s="169" t="str">
        <f ca="1">IF(B174,"   "&amp;A174&amp;": [{type: 'required',message: '"&amp;B169&amp;" is required' }],","")</f>
        <v/>
      </c>
      <c r="G174" s="128"/>
      <c r="H174" s="128"/>
      <c r="I174" s="128"/>
      <c r="J174" s="128"/>
      <c r="K174" s="128"/>
      <c r="L174" s="128"/>
      <c r="M174" s="128"/>
    </row>
    <row r="175" spans="1:13" hidden="1">
      <c r="A175" s="150" t="str" cm="1">
        <f t="array" aca="1" ref="A175" ca="1">INDIRECT($B$2&amp;"!"&amp;C175&amp;"15")</f>
        <v>allowHiding</v>
      </c>
      <c r="B175" s="130" cm="1">
        <f t="array" aca="1" ref="B175" ca="1">IFERROR(INDIRECT($B$2&amp;"!"&amp;C175&amp;D175),"")</f>
        <v>0</v>
      </c>
      <c r="C175" s="360" t="s">
        <v>117</v>
      </c>
      <c r="D175" s="351">
        <f t="shared" ca="1" si="15"/>
        <v>21</v>
      </c>
      <c r="F175" s="169" t="str">
        <f ca="1">IF(OR(B175="",B175=0),"","   "&amp;A175&amp;": "&amp;B175&amp;",")</f>
        <v/>
      </c>
      <c r="G175" s="128"/>
      <c r="H175" s="128"/>
      <c r="I175" s="128"/>
      <c r="J175" s="128"/>
      <c r="K175" s="128"/>
      <c r="L175" s="128"/>
      <c r="M175" s="128"/>
    </row>
    <row r="176" spans="1:13" hidden="1">
      <c r="A176" s="150" t="str" cm="1">
        <f t="array" aca="1" ref="A176" ca="1">INDIRECT($B$2&amp;"!"&amp;C176&amp;"15")</f>
        <v>width</v>
      </c>
      <c r="B176" s="130" cm="1">
        <f t="array" aca="1" ref="B176" ca="1">IFERROR(INDIRECT($B$2&amp;"!"&amp;C176&amp;D176),"")</f>
        <v>0</v>
      </c>
      <c r="C176" s="360" t="s">
        <v>61</v>
      </c>
      <c r="D176" s="351">
        <f t="shared" ca="1" si="15"/>
        <v>21</v>
      </c>
      <c r="F176" s="169" t="str">
        <f ca="1">IF(OR(B176="",B176=0),"","   "&amp;A176&amp;": "&amp;B176&amp;",")</f>
        <v/>
      </c>
      <c r="G176" s="128"/>
      <c r="H176" s="128"/>
      <c r="I176" s="128"/>
      <c r="J176" s="128"/>
      <c r="K176" s="128"/>
      <c r="L176" s="128"/>
      <c r="M176" s="128"/>
    </row>
    <row r="177" spans="1:13" hidden="1">
      <c r="A177" s="150" t="str" cm="1">
        <f t="array" aca="1" ref="A177" ca="1">INDIRECT($B$2&amp;"!"&amp;C177&amp;"15")</f>
        <v>visible</v>
      </c>
      <c r="B177" s="323" t="str" cm="1">
        <f t="array" aca="1" ref="B177" ca="1">IFERROR(INDIRECT($B$2&amp;"!"&amp;C177&amp;D177),"")</f>
        <v/>
      </c>
      <c r="C177" s="360" t="s">
        <v>118</v>
      </c>
      <c r="D177" s="351">
        <f t="shared" ca="1" si="15"/>
        <v>21</v>
      </c>
      <c r="F177" s="126" t="str">
        <f ca="1">IF(OR(B177="",B177,B177=0),"","          "&amp;A177&amp;": "&amp;B177&amp;",")</f>
        <v/>
      </c>
      <c r="G177" s="128"/>
      <c r="H177" s="128"/>
      <c r="I177" s="128"/>
      <c r="J177" s="128"/>
      <c r="K177" s="128"/>
      <c r="L177" s="128"/>
      <c r="M177" s="128"/>
    </row>
    <row r="178" spans="1:13" hidden="1">
      <c r="A178" s="156" t="s">
        <v>1399</v>
      </c>
      <c r="B178" s="156"/>
      <c r="D178" s="351">
        <f t="shared" ca="1" si="15"/>
        <v>21</v>
      </c>
      <c r="F178" s="169" t="str">
        <f ca="1">IF(D177&gt;$O$2,"","},")</f>
        <v/>
      </c>
      <c r="G178" s="128"/>
      <c r="H178" s="128"/>
      <c r="I178" s="128"/>
      <c r="J178" s="128"/>
      <c r="K178" s="128"/>
      <c r="L178" s="128"/>
      <c r="M178" s="128"/>
    </row>
    <row r="179" spans="1:13" hidden="1">
      <c r="A179" s="475" t="s">
        <v>1400</v>
      </c>
      <c r="B179" s="130" cm="1">
        <f t="array" aca="1" ref="B179" ca="1">IFERROR(INDIRECT($B$2&amp;"!"&amp;C179&amp;D179),"")</f>
        <v>0</v>
      </c>
      <c r="C179" s="350" t="s">
        <v>97</v>
      </c>
      <c r="D179" s="351">
        <f ca="1">IF(D178&gt;$O$2,0,IF(A179="eNd",1,0))+D178</f>
        <v>21</v>
      </c>
      <c r="F179" s="169" t="str">
        <f ca="1">IF(OR(B179="",B179=0),"","{  "&amp;A179&amp;": "&amp;CHAR(34)&amp;$B179&amp;CHAR(34)&amp;",")</f>
        <v/>
      </c>
      <c r="G179" s="128"/>
      <c r="H179" s="128"/>
      <c r="I179" s="128"/>
      <c r="J179" s="128"/>
      <c r="K179" s="128"/>
      <c r="L179" s="128"/>
      <c r="M179" s="128"/>
    </row>
    <row r="180" spans="1:13" hidden="1">
      <c r="A180" s="150" t="str" cm="1">
        <f t="array" aca="1" ref="A180" ca="1">INDIRECT($B$2&amp;"!"&amp;C180&amp;"15")</f>
        <v>caption</v>
      </c>
      <c r="B180" s="130" t="str" cm="1">
        <f t="array" aca="1" ref="B180" ca="1">IFERROR(INDIRECT($B$2&amp;"!"&amp;C180&amp;D180),"")</f>
        <v/>
      </c>
      <c r="C180" s="350" t="s">
        <v>112</v>
      </c>
      <c r="D180" s="351">
        <f t="shared" ref="D180:D189" ca="1" si="16">IF(D179&gt;$O$2,0,IF(A180="eNd",1,0))+D179</f>
        <v>21</v>
      </c>
      <c r="F180" s="169" t="str">
        <f ca="1">IF(OR(B180="",B180=0),"","   "&amp;A180&amp;":"&amp;CHAR(34)&amp;B180&amp;CHAR(34)&amp;",")</f>
        <v/>
      </c>
      <c r="G180" s="128"/>
      <c r="H180" s="128"/>
      <c r="I180" s="128"/>
      <c r="J180" s="128"/>
      <c r="K180" s="128"/>
      <c r="L180" s="128"/>
      <c r="M180" s="128"/>
    </row>
    <row r="181" spans="1:13" hidden="1">
      <c r="A181" s="150" t="str" cm="1">
        <f t="array" aca="1" ref="A181" ca="1">INDIRECT($B$2&amp;"!"&amp;C181&amp;"15")</f>
        <v>sortOrder</v>
      </c>
      <c r="B181" s="130" t="str" cm="1">
        <f t="array" aca="1" ref="B181" ca="1">IFERROR(INDIRECT($B$2&amp;"!"&amp;C181&amp;D181),"")</f>
        <v/>
      </c>
      <c r="C181" s="350" t="s">
        <v>119</v>
      </c>
      <c r="D181" s="351">
        <f t="shared" ca="1" si="16"/>
        <v>21</v>
      </c>
      <c r="F181" s="169" t="str">
        <f ca="1">IF(OR(B181="",B181=0),"","   "&amp;A181&amp;":"&amp;CHAR(34)&amp;B181&amp;CHAR(34)&amp;",")</f>
        <v/>
      </c>
      <c r="G181" s="128"/>
      <c r="H181" s="128"/>
      <c r="I181" s="128"/>
      <c r="J181" s="128"/>
      <c r="K181" s="128"/>
      <c r="L181" s="128"/>
      <c r="M181" s="128"/>
    </row>
    <row r="182" spans="1:13" hidden="1">
      <c r="A182" s="150" t="str" cm="1">
        <f t="array" aca="1" ref="A182" ca="1">INDIRECT($B$2&amp;"!"&amp;C182&amp;"15")</f>
        <v>groupIndex</v>
      </c>
      <c r="B182" s="130" cm="1">
        <f t="array" aca="1" ref="B182" ca="1">IFERROR(INDIRECT($B$2&amp;"!"&amp;C182&amp;D182),"")</f>
        <v>0</v>
      </c>
      <c r="C182" s="355" t="s">
        <v>113</v>
      </c>
      <c r="D182" s="351">
        <f t="shared" ca="1" si="16"/>
        <v>21</v>
      </c>
      <c r="F182" s="126" t="str">
        <f ca="1">IF(OR(B182="",B182=0),"","            "&amp;A182&amp;": "&amp;B182-1&amp;",")</f>
        <v/>
      </c>
      <c r="G182" s="128"/>
      <c r="H182" s="128"/>
      <c r="I182" s="128"/>
      <c r="J182" s="128"/>
      <c r="K182" s="128"/>
      <c r="L182" s="128"/>
      <c r="M182" s="128"/>
    </row>
    <row r="183" spans="1:13" hidden="1">
      <c r="A183" s="150" t="str" cm="1">
        <f t="array" aca="1" ref="A183" ca="1">INDIRECT($B$2&amp;"!"&amp;C183&amp;"15")</f>
        <v>dataType</v>
      </c>
      <c r="B183" s="130" cm="1">
        <f t="array" aca="1" ref="B183" ca="1">IFERROR(INDIRECT($B$2&amp;"!"&amp;C183&amp;D183),"")</f>
        <v>0</v>
      </c>
      <c r="C183" s="355" t="s">
        <v>114</v>
      </c>
      <c r="D183" s="351">
        <f t="shared" ca="1" si="16"/>
        <v>21</v>
      </c>
      <c r="F183" s="169" t="str">
        <f ca="1">IF(OR(B183="",B183=0),"","   "&amp;A183&amp;":"&amp;CHAR(34)&amp;B183&amp;CHAR(34)&amp;",")</f>
        <v/>
      </c>
      <c r="G183" s="128"/>
      <c r="H183" s="128"/>
      <c r="I183" s="128"/>
      <c r="J183" s="128"/>
      <c r="K183" s="128"/>
      <c r="L183" s="128"/>
      <c r="M183" s="128"/>
    </row>
    <row r="184" spans="1:13" hidden="1">
      <c r="A184" s="150" t="str" cm="1">
        <f t="array" aca="1" ref="A184" ca="1">INDIRECT($B$2&amp;"!"&amp;C184&amp;"15")</f>
        <v>format</v>
      </c>
      <c r="B184" s="130" cm="1">
        <f t="array" aca="1" ref="B184" ca="1">IFERROR(INDIRECT($B$2&amp;"!"&amp;C184&amp;D184),"")</f>
        <v>0</v>
      </c>
      <c r="C184" s="355" t="s">
        <v>115</v>
      </c>
      <c r="D184" s="351">
        <f t="shared" ca="1" si="16"/>
        <v>21</v>
      </c>
      <c r="F184" s="169" t="str">
        <f ca="1">IF(OR(B184="",B184=0),"","   "&amp;A184&amp;":"&amp;IF(B184="fixedPoint",D183,CHAR(34)&amp;B184&amp;CHAR(34)&amp;","))</f>
        <v/>
      </c>
      <c r="G184" s="128"/>
      <c r="H184" s="128"/>
      <c r="I184" s="128"/>
      <c r="J184" s="128"/>
      <c r="K184" s="128"/>
      <c r="L184" s="128"/>
      <c r="M184" s="128"/>
    </row>
    <row r="185" spans="1:13" hidden="1">
      <c r="A185" s="150" t="str" cm="1">
        <f t="array" aca="1" ref="A185" ca="1">INDIRECT($B$2&amp;"!"&amp;C185&amp;"15")</f>
        <v>validationRules</v>
      </c>
      <c r="B185" s="130" cm="1">
        <f t="array" aca="1" ref="B185" ca="1">IFERROR(INDIRECT($B$2&amp;"!"&amp;C185&amp;D185),"")</f>
        <v>0</v>
      </c>
      <c r="C185" s="350" t="s">
        <v>116</v>
      </c>
      <c r="D185" s="351">
        <f t="shared" ca="1" si="16"/>
        <v>21</v>
      </c>
      <c r="F185" s="169" t="str">
        <f ca="1">IF(B185,"   "&amp;A185&amp;": [{type: 'required',message: '"&amp;B180&amp;" is required' }],","")</f>
        <v/>
      </c>
      <c r="G185" s="128"/>
      <c r="H185" s="128"/>
      <c r="I185" s="128"/>
      <c r="J185" s="128"/>
      <c r="K185" s="128"/>
      <c r="L185" s="128"/>
      <c r="M185" s="128"/>
    </row>
    <row r="186" spans="1:13" hidden="1">
      <c r="A186" s="150" t="str" cm="1">
        <f t="array" aca="1" ref="A186" ca="1">INDIRECT($B$2&amp;"!"&amp;C186&amp;"15")</f>
        <v>allowHiding</v>
      </c>
      <c r="B186" s="130" cm="1">
        <f t="array" aca="1" ref="B186" ca="1">IFERROR(INDIRECT($B$2&amp;"!"&amp;C186&amp;D186),"")</f>
        <v>0</v>
      </c>
      <c r="C186" s="360" t="s">
        <v>117</v>
      </c>
      <c r="D186" s="351">
        <f t="shared" ca="1" si="16"/>
        <v>21</v>
      </c>
      <c r="F186" s="169" t="str">
        <f ca="1">IF(OR(B186="",B186=0),"","   "&amp;A186&amp;": "&amp;B186&amp;",")</f>
        <v/>
      </c>
      <c r="G186" s="128"/>
      <c r="H186" s="128"/>
      <c r="I186" s="128"/>
      <c r="J186" s="128"/>
      <c r="K186" s="128"/>
      <c r="L186" s="128"/>
      <c r="M186" s="128"/>
    </row>
    <row r="187" spans="1:13" hidden="1">
      <c r="A187" s="150" t="str" cm="1">
        <f t="array" aca="1" ref="A187" ca="1">INDIRECT($B$2&amp;"!"&amp;C187&amp;"15")</f>
        <v>width</v>
      </c>
      <c r="B187" s="130" cm="1">
        <f t="array" aca="1" ref="B187" ca="1">IFERROR(INDIRECT($B$2&amp;"!"&amp;C187&amp;D187),"")</f>
        <v>0</v>
      </c>
      <c r="C187" s="360" t="s">
        <v>61</v>
      </c>
      <c r="D187" s="351">
        <f t="shared" ca="1" si="16"/>
        <v>21</v>
      </c>
      <c r="F187" s="169" t="str">
        <f ca="1">IF(OR(B187="",B187=0),"","   "&amp;A187&amp;": "&amp;B187&amp;",")</f>
        <v/>
      </c>
      <c r="G187" s="128"/>
      <c r="H187" s="128"/>
      <c r="I187" s="128"/>
      <c r="J187" s="128"/>
      <c r="K187" s="128"/>
      <c r="L187" s="128"/>
      <c r="M187" s="128"/>
    </row>
    <row r="188" spans="1:13" hidden="1">
      <c r="A188" s="150" t="str" cm="1">
        <f t="array" aca="1" ref="A188" ca="1">INDIRECT($B$2&amp;"!"&amp;C188&amp;"15")</f>
        <v>visible</v>
      </c>
      <c r="B188" s="323" t="str" cm="1">
        <f t="array" aca="1" ref="B188" ca="1">IFERROR(INDIRECT($B$2&amp;"!"&amp;C188&amp;D188),"")</f>
        <v/>
      </c>
      <c r="C188" s="360" t="s">
        <v>118</v>
      </c>
      <c r="D188" s="351">
        <f t="shared" ca="1" si="16"/>
        <v>21</v>
      </c>
      <c r="F188" s="126" t="str">
        <f ca="1">IF(OR(B188="",B188,B188=0),"","          "&amp;A188&amp;": "&amp;B188&amp;",")</f>
        <v/>
      </c>
      <c r="G188" s="128"/>
      <c r="H188" s="128"/>
      <c r="I188" s="128"/>
      <c r="J188" s="128"/>
      <c r="K188" s="128"/>
      <c r="L188" s="128"/>
      <c r="M188" s="128"/>
    </row>
    <row r="189" spans="1:13" hidden="1">
      <c r="A189" s="156" t="s">
        <v>1399</v>
      </c>
      <c r="B189" s="156"/>
      <c r="D189" s="351">
        <f t="shared" ca="1" si="16"/>
        <v>21</v>
      </c>
      <c r="F189" s="169" t="str">
        <f ca="1">IF(D188&gt;$O$2,"","},")</f>
        <v/>
      </c>
      <c r="G189" s="128"/>
      <c r="H189" s="128"/>
      <c r="I189" s="128"/>
      <c r="J189" s="128"/>
      <c r="K189" s="128"/>
      <c r="L189" s="128"/>
      <c r="M189" s="128"/>
    </row>
    <row r="190" spans="1:13" hidden="1">
      <c r="A190" s="475" t="s">
        <v>1400</v>
      </c>
      <c r="B190" s="130" cm="1">
        <f t="array" aca="1" ref="B190" ca="1">IFERROR(INDIRECT($B$2&amp;"!"&amp;C190&amp;D190),"")</f>
        <v>0</v>
      </c>
      <c r="C190" s="350" t="s">
        <v>97</v>
      </c>
      <c r="D190" s="351">
        <f ca="1">IF(D189&gt;$O$2,0,IF(A190="eNd",1,0))+D189</f>
        <v>21</v>
      </c>
      <c r="F190" s="169" t="str">
        <f ca="1">IF(OR(B190="",B190=0),"","{  "&amp;A190&amp;": "&amp;CHAR(34)&amp;$B190&amp;CHAR(34)&amp;",")</f>
        <v/>
      </c>
      <c r="G190" s="128"/>
      <c r="H190" s="128"/>
      <c r="I190" s="128"/>
      <c r="J190" s="128"/>
      <c r="K190" s="128"/>
      <c r="L190" s="128"/>
      <c r="M190" s="128"/>
    </row>
    <row r="191" spans="1:13" hidden="1">
      <c r="A191" s="150" t="str" cm="1">
        <f t="array" aca="1" ref="A191" ca="1">INDIRECT($B$2&amp;"!"&amp;C191&amp;"15")</f>
        <v>caption</v>
      </c>
      <c r="B191" s="130" t="str" cm="1">
        <f t="array" aca="1" ref="B191" ca="1">IFERROR(INDIRECT($B$2&amp;"!"&amp;C191&amp;D191),"")</f>
        <v/>
      </c>
      <c r="C191" s="350" t="s">
        <v>112</v>
      </c>
      <c r="D191" s="351">
        <f t="shared" ref="D191:D200" ca="1" si="17">IF(D190&gt;$O$2,0,IF(A191="eNd",1,0))+D190</f>
        <v>21</v>
      </c>
      <c r="F191" s="169" t="str">
        <f ca="1">IF(OR(B191="",B191=0),"","   "&amp;A191&amp;":"&amp;CHAR(34)&amp;B191&amp;CHAR(34)&amp;",")</f>
        <v/>
      </c>
      <c r="G191" s="128"/>
      <c r="H191" s="128"/>
      <c r="I191" s="128"/>
      <c r="J191" s="128"/>
      <c r="K191" s="128"/>
      <c r="L191" s="128"/>
      <c r="M191" s="128"/>
    </row>
    <row r="192" spans="1:13" hidden="1">
      <c r="A192" s="150" t="str" cm="1">
        <f t="array" aca="1" ref="A192" ca="1">INDIRECT($B$2&amp;"!"&amp;C192&amp;"15")</f>
        <v>sortOrder</v>
      </c>
      <c r="B192" s="130" t="str" cm="1">
        <f t="array" aca="1" ref="B192" ca="1">IFERROR(INDIRECT($B$2&amp;"!"&amp;C192&amp;D192),"")</f>
        <v/>
      </c>
      <c r="C192" s="350" t="s">
        <v>119</v>
      </c>
      <c r="D192" s="351">
        <f t="shared" ca="1" si="17"/>
        <v>21</v>
      </c>
      <c r="F192" s="169" t="str">
        <f ca="1">IF(OR(B192="",B192=0),"","   "&amp;A192&amp;":"&amp;CHAR(34)&amp;B192&amp;CHAR(34)&amp;",")</f>
        <v/>
      </c>
      <c r="G192" s="128"/>
      <c r="H192" s="128"/>
      <c r="I192" s="128"/>
      <c r="J192" s="128"/>
      <c r="K192" s="128"/>
      <c r="L192" s="128"/>
      <c r="M192" s="128"/>
    </row>
    <row r="193" spans="1:13" hidden="1">
      <c r="A193" s="150" t="str" cm="1">
        <f t="array" aca="1" ref="A193" ca="1">INDIRECT($B$2&amp;"!"&amp;C193&amp;"15")</f>
        <v>groupIndex</v>
      </c>
      <c r="B193" s="130" cm="1">
        <f t="array" aca="1" ref="B193" ca="1">IFERROR(INDIRECT($B$2&amp;"!"&amp;C193&amp;D193),"")</f>
        <v>0</v>
      </c>
      <c r="C193" s="355" t="s">
        <v>113</v>
      </c>
      <c r="D193" s="351">
        <f t="shared" ca="1" si="17"/>
        <v>21</v>
      </c>
      <c r="F193" s="126" t="str">
        <f ca="1">IF(OR(B193="",B193=0),"","            "&amp;A193&amp;": "&amp;B193-1&amp;",")</f>
        <v/>
      </c>
      <c r="G193" s="128"/>
      <c r="H193" s="128"/>
      <c r="I193" s="128"/>
      <c r="J193" s="128"/>
      <c r="K193" s="128"/>
      <c r="L193" s="128"/>
      <c r="M193" s="128"/>
    </row>
    <row r="194" spans="1:13" hidden="1">
      <c r="A194" s="150" t="str" cm="1">
        <f t="array" aca="1" ref="A194" ca="1">INDIRECT($B$2&amp;"!"&amp;C194&amp;"15")</f>
        <v>dataType</v>
      </c>
      <c r="B194" s="130" cm="1">
        <f t="array" aca="1" ref="B194" ca="1">IFERROR(INDIRECT($B$2&amp;"!"&amp;C194&amp;D194),"")</f>
        <v>0</v>
      </c>
      <c r="C194" s="355" t="s">
        <v>114</v>
      </c>
      <c r="D194" s="351">
        <f t="shared" ca="1" si="17"/>
        <v>21</v>
      </c>
      <c r="F194" s="169" t="str">
        <f ca="1">IF(OR(B194="",B194=0),"","   "&amp;A194&amp;":"&amp;CHAR(34)&amp;B194&amp;CHAR(34)&amp;",")</f>
        <v/>
      </c>
      <c r="G194" s="128"/>
      <c r="H194" s="128"/>
      <c r="I194" s="128"/>
      <c r="J194" s="128"/>
      <c r="K194" s="128"/>
      <c r="L194" s="128"/>
      <c r="M194" s="128"/>
    </row>
    <row r="195" spans="1:13" hidden="1">
      <c r="A195" s="150" t="str" cm="1">
        <f t="array" aca="1" ref="A195" ca="1">INDIRECT($B$2&amp;"!"&amp;C195&amp;"15")</f>
        <v>format</v>
      </c>
      <c r="B195" s="130" cm="1">
        <f t="array" aca="1" ref="B195" ca="1">IFERROR(INDIRECT($B$2&amp;"!"&amp;C195&amp;D195),"")</f>
        <v>0</v>
      </c>
      <c r="C195" s="355" t="s">
        <v>115</v>
      </c>
      <c r="D195" s="351">
        <f t="shared" ca="1" si="17"/>
        <v>21</v>
      </c>
      <c r="F195" s="169" t="str">
        <f ca="1">IF(OR(B195="",B195=0),"","   "&amp;A195&amp;":"&amp;IF(B195="fixedPoint",D194,CHAR(34)&amp;B195&amp;CHAR(34)&amp;","))</f>
        <v/>
      </c>
      <c r="G195" s="128"/>
      <c r="H195" s="128"/>
      <c r="I195" s="128"/>
      <c r="J195" s="128"/>
      <c r="K195" s="128"/>
      <c r="L195" s="128"/>
      <c r="M195" s="128"/>
    </row>
    <row r="196" spans="1:13" hidden="1">
      <c r="A196" s="150" t="str" cm="1">
        <f t="array" aca="1" ref="A196" ca="1">INDIRECT($B$2&amp;"!"&amp;C196&amp;"15")</f>
        <v>validationRules</v>
      </c>
      <c r="B196" s="130" cm="1">
        <f t="array" aca="1" ref="B196" ca="1">IFERROR(INDIRECT($B$2&amp;"!"&amp;C196&amp;D196),"")</f>
        <v>0</v>
      </c>
      <c r="C196" s="350" t="s">
        <v>116</v>
      </c>
      <c r="D196" s="351">
        <f t="shared" ca="1" si="17"/>
        <v>21</v>
      </c>
      <c r="F196" s="169" t="str">
        <f ca="1">IF(B196,"   "&amp;A196&amp;": [{type: 'required',message: '"&amp;B191&amp;" is required' }],","")</f>
        <v/>
      </c>
      <c r="G196" s="128"/>
      <c r="H196" s="128"/>
      <c r="I196" s="128"/>
      <c r="J196" s="128"/>
      <c r="K196" s="128"/>
      <c r="L196" s="128"/>
      <c r="M196" s="128"/>
    </row>
    <row r="197" spans="1:13" hidden="1">
      <c r="A197" s="150" t="str" cm="1">
        <f t="array" aca="1" ref="A197" ca="1">INDIRECT($B$2&amp;"!"&amp;C197&amp;"15")</f>
        <v>allowHiding</v>
      </c>
      <c r="B197" s="130" cm="1">
        <f t="array" aca="1" ref="B197" ca="1">IFERROR(INDIRECT($B$2&amp;"!"&amp;C197&amp;D197),"")</f>
        <v>0</v>
      </c>
      <c r="C197" s="360" t="s">
        <v>117</v>
      </c>
      <c r="D197" s="351">
        <f t="shared" ca="1" si="17"/>
        <v>21</v>
      </c>
      <c r="F197" s="169" t="str">
        <f ca="1">IF(OR(B197="",B197=0),"","   "&amp;A197&amp;": "&amp;B197&amp;",")</f>
        <v/>
      </c>
      <c r="G197" s="128"/>
      <c r="H197" s="128"/>
      <c r="I197" s="128"/>
      <c r="J197" s="128"/>
      <c r="K197" s="128"/>
      <c r="L197" s="128"/>
      <c r="M197" s="128"/>
    </row>
    <row r="198" spans="1:13" hidden="1">
      <c r="A198" s="150" t="str" cm="1">
        <f t="array" aca="1" ref="A198" ca="1">INDIRECT($B$2&amp;"!"&amp;C198&amp;"15")</f>
        <v>width</v>
      </c>
      <c r="B198" s="130" cm="1">
        <f t="array" aca="1" ref="B198" ca="1">IFERROR(INDIRECT($B$2&amp;"!"&amp;C198&amp;D198),"")</f>
        <v>0</v>
      </c>
      <c r="C198" s="360" t="s">
        <v>61</v>
      </c>
      <c r="D198" s="351">
        <f t="shared" ca="1" si="17"/>
        <v>21</v>
      </c>
      <c r="F198" s="169" t="str">
        <f ca="1">IF(OR(B198="",B198=0),"","   "&amp;A198&amp;": "&amp;B198&amp;",")</f>
        <v/>
      </c>
      <c r="G198" s="128"/>
      <c r="H198" s="128"/>
      <c r="I198" s="128"/>
      <c r="J198" s="128"/>
      <c r="K198" s="128"/>
      <c r="L198" s="128"/>
      <c r="M198" s="128"/>
    </row>
    <row r="199" spans="1:13" hidden="1">
      <c r="A199" s="150" t="str" cm="1">
        <f t="array" aca="1" ref="A199" ca="1">INDIRECT($B$2&amp;"!"&amp;C199&amp;"15")</f>
        <v>visible</v>
      </c>
      <c r="B199" s="323" t="str" cm="1">
        <f t="array" aca="1" ref="B199" ca="1">IFERROR(INDIRECT($B$2&amp;"!"&amp;C199&amp;D199),"")</f>
        <v/>
      </c>
      <c r="C199" s="360" t="s">
        <v>118</v>
      </c>
      <c r="D199" s="351">
        <f t="shared" ca="1" si="17"/>
        <v>21</v>
      </c>
      <c r="F199" s="126" t="str">
        <f ca="1">IF(OR(B199="",B199,B199=0),"","          "&amp;A199&amp;": "&amp;B199&amp;",")</f>
        <v/>
      </c>
      <c r="G199" s="128"/>
      <c r="H199" s="128"/>
      <c r="I199" s="128"/>
      <c r="J199" s="128"/>
      <c r="K199" s="128"/>
      <c r="L199" s="128"/>
      <c r="M199" s="128"/>
    </row>
    <row r="200" spans="1:13" hidden="1">
      <c r="A200" s="156" t="s">
        <v>1399</v>
      </c>
      <c r="B200" s="156"/>
      <c r="D200" s="351">
        <f t="shared" ca="1" si="17"/>
        <v>21</v>
      </c>
      <c r="F200" s="169" t="str">
        <f ca="1">IF(D199&gt;$O$2,"","},")</f>
        <v/>
      </c>
      <c r="G200" s="128"/>
      <c r="H200" s="128"/>
      <c r="I200" s="128"/>
      <c r="J200" s="128"/>
      <c r="K200" s="128"/>
      <c r="L200" s="128"/>
      <c r="M200" s="128"/>
    </row>
    <row r="201" spans="1:13" hidden="1">
      <c r="A201" s="475" t="s">
        <v>1400</v>
      </c>
      <c r="B201" s="130" cm="1">
        <f t="array" aca="1" ref="B201" ca="1">IFERROR(INDIRECT($B$2&amp;"!"&amp;C201&amp;D201),"")</f>
        <v>0</v>
      </c>
      <c r="C201" s="350" t="s">
        <v>97</v>
      </c>
      <c r="D201" s="351">
        <f ca="1">IF(D200&gt;$O$2,0,IF(A201="eNd",1,0))+D200</f>
        <v>21</v>
      </c>
      <c r="F201" s="169" t="str">
        <f ca="1">IF(OR(B201="",B201=0),"","{  "&amp;A201&amp;": "&amp;CHAR(34)&amp;$B201&amp;CHAR(34)&amp;",")</f>
        <v/>
      </c>
      <c r="G201" s="128"/>
      <c r="H201" s="128"/>
      <c r="I201" s="128"/>
      <c r="J201" s="128"/>
      <c r="K201" s="128"/>
      <c r="L201" s="128"/>
      <c r="M201" s="128"/>
    </row>
    <row r="202" spans="1:13" hidden="1">
      <c r="A202" s="150" t="str" cm="1">
        <f t="array" aca="1" ref="A202" ca="1">INDIRECT($B$2&amp;"!"&amp;C202&amp;"15")</f>
        <v>caption</v>
      </c>
      <c r="B202" s="130" t="str" cm="1">
        <f t="array" aca="1" ref="B202" ca="1">IFERROR(INDIRECT($B$2&amp;"!"&amp;C202&amp;D202),"")</f>
        <v/>
      </c>
      <c r="C202" s="350" t="s">
        <v>112</v>
      </c>
      <c r="D202" s="351">
        <f t="shared" ref="D202:D211" ca="1" si="18">IF(D201&gt;$O$2,0,IF(A202="eNd",1,0))+D201</f>
        <v>21</v>
      </c>
      <c r="F202" s="169" t="str">
        <f ca="1">IF(OR(B202="",B202=0),"","   "&amp;A202&amp;":"&amp;CHAR(34)&amp;B202&amp;CHAR(34)&amp;",")</f>
        <v/>
      </c>
      <c r="G202" s="128"/>
      <c r="H202" s="128"/>
      <c r="I202" s="128"/>
      <c r="J202" s="128"/>
      <c r="K202" s="128"/>
      <c r="L202" s="128"/>
      <c r="M202" s="128"/>
    </row>
    <row r="203" spans="1:13" hidden="1">
      <c r="A203" s="150" t="str" cm="1">
        <f t="array" aca="1" ref="A203" ca="1">INDIRECT($B$2&amp;"!"&amp;C203&amp;"15")</f>
        <v>sortOrder</v>
      </c>
      <c r="B203" s="130" t="str" cm="1">
        <f t="array" aca="1" ref="B203" ca="1">IFERROR(INDIRECT($B$2&amp;"!"&amp;C203&amp;D203),"")</f>
        <v/>
      </c>
      <c r="C203" s="350" t="s">
        <v>119</v>
      </c>
      <c r="D203" s="351">
        <f t="shared" ca="1" si="18"/>
        <v>21</v>
      </c>
      <c r="F203" s="169" t="str">
        <f ca="1">IF(OR(B203="",B203=0),"","   "&amp;A203&amp;":"&amp;CHAR(34)&amp;B203&amp;CHAR(34)&amp;",")</f>
        <v/>
      </c>
      <c r="G203" s="128"/>
      <c r="H203" s="128"/>
      <c r="I203" s="128"/>
      <c r="J203" s="128"/>
      <c r="K203" s="128"/>
      <c r="L203" s="128"/>
      <c r="M203" s="128"/>
    </row>
    <row r="204" spans="1:13" hidden="1">
      <c r="A204" s="150" t="str" cm="1">
        <f t="array" aca="1" ref="A204" ca="1">INDIRECT($B$2&amp;"!"&amp;C204&amp;"15")</f>
        <v>groupIndex</v>
      </c>
      <c r="B204" s="130" cm="1">
        <f t="array" aca="1" ref="B204" ca="1">IFERROR(INDIRECT($B$2&amp;"!"&amp;C204&amp;D204),"")</f>
        <v>0</v>
      </c>
      <c r="C204" s="355" t="s">
        <v>113</v>
      </c>
      <c r="D204" s="351">
        <f t="shared" ca="1" si="18"/>
        <v>21</v>
      </c>
      <c r="F204" s="126" t="str">
        <f ca="1">IF(OR(B204="",B204=0),"","            "&amp;A204&amp;": "&amp;B204-1&amp;",")</f>
        <v/>
      </c>
      <c r="G204" s="128"/>
      <c r="H204" s="128"/>
      <c r="I204" s="128"/>
      <c r="J204" s="128"/>
      <c r="K204" s="128"/>
      <c r="L204" s="128"/>
      <c r="M204" s="128"/>
    </row>
    <row r="205" spans="1:13" hidden="1">
      <c r="A205" s="150" t="str" cm="1">
        <f t="array" aca="1" ref="A205" ca="1">INDIRECT($B$2&amp;"!"&amp;C205&amp;"15")</f>
        <v>dataType</v>
      </c>
      <c r="B205" s="130" cm="1">
        <f t="array" aca="1" ref="B205" ca="1">IFERROR(INDIRECT($B$2&amp;"!"&amp;C205&amp;D205),"")</f>
        <v>0</v>
      </c>
      <c r="C205" s="355" t="s">
        <v>114</v>
      </c>
      <c r="D205" s="351">
        <f t="shared" ca="1" si="18"/>
        <v>21</v>
      </c>
      <c r="F205" s="169" t="str">
        <f ca="1">IF(OR(B205="",B205=0),"","   "&amp;A205&amp;":"&amp;CHAR(34)&amp;B205&amp;CHAR(34)&amp;",")</f>
        <v/>
      </c>
      <c r="G205" s="128"/>
      <c r="H205" s="128"/>
      <c r="I205" s="128"/>
      <c r="J205" s="128"/>
      <c r="K205" s="128"/>
      <c r="L205" s="128"/>
      <c r="M205" s="128"/>
    </row>
    <row r="206" spans="1:13" hidden="1">
      <c r="A206" s="150" t="str" cm="1">
        <f t="array" aca="1" ref="A206" ca="1">INDIRECT($B$2&amp;"!"&amp;C206&amp;"15")</f>
        <v>format</v>
      </c>
      <c r="B206" s="130" cm="1">
        <f t="array" aca="1" ref="B206" ca="1">IFERROR(INDIRECT($B$2&amp;"!"&amp;C206&amp;D206),"")</f>
        <v>0</v>
      </c>
      <c r="C206" s="355" t="s">
        <v>115</v>
      </c>
      <c r="D206" s="351">
        <f t="shared" ca="1" si="18"/>
        <v>21</v>
      </c>
      <c r="F206" s="169" t="str">
        <f ca="1">IF(OR(B206="",B206=0),"","   "&amp;A206&amp;":"&amp;IF(B206="fixedPoint",D205,CHAR(34)&amp;B206&amp;CHAR(34)&amp;","))</f>
        <v/>
      </c>
      <c r="G206" s="128"/>
      <c r="H206" s="128"/>
      <c r="I206" s="128"/>
      <c r="J206" s="128"/>
      <c r="K206" s="128"/>
      <c r="L206" s="128"/>
      <c r="M206" s="128"/>
    </row>
    <row r="207" spans="1:13" hidden="1">
      <c r="A207" s="150" t="str" cm="1">
        <f t="array" aca="1" ref="A207" ca="1">INDIRECT($B$2&amp;"!"&amp;C207&amp;"15")</f>
        <v>validationRules</v>
      </c>
      <c r="B207" s="130" cm="1">
        <f t="array" aca="1" ref="B207" ca="1">IFERROR(INDIRECT($B$2&amp;"!"&amp;C207&amp;D207),"")</f>
        <v>0</v>
      </c>
      <c r="C207" s="350" t="s">
        <v>116</v>
      </c>
      <c r="D207" s="351">
        <f t="shared" ca="1" si="18"/>
        <v>21</v>
      </c>
      <c r="F207" s="169" t="str">
        <f ca="1">IF(B207,"   "&amp;A207&amp;": [{type: 'required',message: '"&amp;B202&amp;" is required' }],","")</f>
        <v/>
      </c>
      <c r="G207" s="128"/>
      <c r="H207" s="128"/>
      <c r="I207" s="128"/>
      <c r="J207" s="128"/>
      <c r="K207" s="128"/>
      <c r="L207" s="128"/>
      <c r="M207" s="128"/>
    </row>
    <row r="208" spans="1:13" hidden="1">
      <c r="A208" s="150" t="str" cm="1">
        <f t="array" aca="1" ref="A208" ca="1">INDIRECT($B$2&amp;"!"&amp;C208&amp;"15")</f>
        <v>allowHiding</v>
      </c>
      <c r="B208" s="130" cm="1">
        <f t="array" aca="1" ref="B208" ca="1">IFERROR(INDIRECT($B$2&amp;"!"&amp;C208&amp;D208),"")</f>
        <v>0</v>
      </c>
      <c r="C208" s="360" t="s">
        <v>117</v>
      </c>
      <c r="D208" s="351">
        <f t="shared" ca="1" si="18"/>
        <v>21</v>
      </c>
      <c r="F208" s="169" t="str">
        <f ca="1">IF(OR(B208="",B208=0),"","   "&amp;A208&amp;": "&amp;B208&amp;",")</f>
        <v/>
      </c>
      <c r="G208" s="128"/>
      <c r="H208" s="128"/>
      <c r="I208" s="128"/>
      <c r="J208" s="128"/>
      <c r="K208" s="128"/>
      <c r="L208" s="128"/>
      <c r="M208" s="128"/>
    </row>
    <row r="209" spans="1:13" hidden="1">
      <c r="A209" s="150" t="str" cm="1">
        <f t="array" aca="1" ref="A209" ca="1">INDIRECT($B$2&amp;"!"&amp;C209&amp;"15")</f>
        <v>width</v>
      </c>
      <c r="B209" s="130" cm="1">
        <f t="array" aca="1" ref="B209" ca="1">IFERROR(INDIRECT($B$2&amp;"!"&amp;C209&amp;D209),"")</f>
        <v>0</v>
      </c>
      <c r="C209" s="360" t="s">
        <v>61</v>
      </c>
      <c r="D209" s="351">
        <f t="shared" ca="1" si="18"/>
        <v>21</v>
      </c>
      <c r="F209" s="169" t="str">
        <f ca="1">IF(OR(B209="",B209=0),"","   "&amp;A209&amp;": "&amp;B209&amp;",")</f>
        <v/>
      </c>
      <c r="G209" s="128"/>
      <c r="H209" s="128"/>
      <c r="I209" s="128"/>
      <c r="J209" s="128"/>
      <c r="K209" s="128"/>
      <c r="L209" s="128"/>
      <c r="M209" s="128"/>
    </row>
    <row r="210" spans="1:13" hidden="1">
      <c r="A210" s="150" t="str" cm="1">
        <f t="array" aca="1" ref="A210" ca="1">INDIRECT($B$2&amp;"!"&amp;C210&amp;"15")</f>
        <v>visible</v>
      </c>
      <c r="B210" s="323" t="str" cm="1">
        <f t="array" aca="1" ref="B210" ca="1">IFERROR(INDIRECT($B$2&amp;"!"&amp;C210&amp;D210),"")</f>
        <v/>
      </c>
      <c r="C210" s="360" t="s">
        <v>118</v>
      </c>
      <c r="D210" s="351">
        <f t="shared" ca="1" si="18"/>
        <v>21</v>
      </c>
      <c r="F210" s="126" t="str">
        <f ca="1">IF(OR(B210="",B210,B210=0),"","          "&amp;A210&amp;": "&amp;B210&amp;",")</f>
        <v/>
      </c>
      <c r="G210" s="128"/>
      <c r="H210" s="128"/>
      <c r="I210" s="128"/>
      <c r="J210" s="128"/>
      <c r="K210" s="128"/>
      <c r="L210" s="128"/>
      <c r="M210" s="128"/>
    </row>
    <row r="211" spans="1:13" hidden="1">
      <c r="A211" s="156" t="s">
        <v>1399</v>
      </c>
      <c r="B211" s="156"/>
      <c r="D211" s="351">
        <f t="shared" ca="1" si="18"/>
        <v>21</v>
      </c>
      <c r="F211" s="169" t="str">
        <f ca="1">IF(D210&gt;$O$2,"","},")</f>
        <v/>
      </c>
      <c r="G211" s="128"/>
      <c r="H211" s="128"/>
      <c r="I211" s="128"/>
      <c r="J211" s="128"/>
      <c r="K211" s="128"/>
      <c r="L211" s="128"/>
      <c r="M211" s="128"/>
    </row>
    <row r="212" spans="1:13" hidden="1">
      <c r="A212" s="475" t="s">
        <v>1400</v>
      </c>
      <c r="B212" s="130" cm="1">
        <f t="array" aca="1" ref="B212" ca="1">IFERROR(INDIRECT($B$2&amp;"!"&amp;C212&amp;D212),"")</f>
        <v>0</v>
      </c>
      <c r="C212" s="350" t="s">
        <v>97</v>
      </c>
      <c r="D212" s="351">
        <f ca="1">IF(D211&gt;$O$2,0,IF(A212="eNd",1,0))+D211</f>
        <v>21</v>
      </c>
      <c r="F212" s="169" t="str">
        <f ca="1">IF(OR(B212="",B212=0),"","{  "&amp;A212&amp;": "&amp;CHAR(34)&amp;$B212&amp;CHAR(34)&amp;",")</f>
        <v/>
      </c>
      <c r="G212" s="128"/>
      <c r="H212" s="128"/>
      <c r="I212" s="128"/>
      <c r="J212" s="128"/>
      <c r="K212" s="128"/>
      <c r="L212" s="128"/>
      <c r="M212" s="128"/>
    </row>
    <row r="213" spans="1:13" hidden="1">
      <c r="A213" s="150" t="str" cm="1">
        <f t="array" aca="1" ref="A213" ca="1">INDIRECT($B$2&amp;"!"&amp;C213&amp;"15")</f>
        <v>caption</v>
      </c>
      <c r="B213" s="130" t="str" cm="1">
        <f t="array" aca="1" ref="B213" ca="1">IFERROR(INDIRECT($B$2&amp;"!"&amp;C213&amp;D213),"")</f>
        <v/>
      </c>
      <c r="C213" s="350" t="s">
        <v>112</v>
      </c>
      <c r="D213" s="351">
        <f t="shared" ref="D213:D222" ca="1" si="19">IF(D212&gt;$O$2,0,IF(A213="eNd",1,0))+D212</f>
        <v>21</v>
      </c>
      <c r="F213" s="169" t="str">
        <f ca="1">IF(OR(B213="",B213=0),"","   "&amp;A213&amp;":"&amp;CHAR(34)&amp;B213&amp;CHAR(34)&amp;",")</f>
        <v/>
      </c>
      <c r="G213" s="128"/>
      <c r="H213" s="128"/>
      <c r="I213" s="128"/>
      <c r="J213" s="128"/>
      <c r="K213" s="128"/>
      <c r="L213" s="128"/>
      <c r="M213" s="128"/>
    </row>
    <row r="214" spans="1:13" hidden="1">
      <c r="A214" s="150" t="str" cm="1">
        <f t="array" aca="1" ref="A214" ca="1">INDIRECT($B$2&amp;"!"&amp;C214&amp;"15")</f>
        <v>sortOrder</v>
      </c>
      <c r="B214" s="130" t="str" cm="1">
        <f t="array" aca="1" ref="B214" ca="1">IFERROR(INDIRECT($B$2&amp;"!"&amp;C214&amp;D214),"")</f>
        <v/>
      </c>
      <c r="C214" s="350" t="s">
        <v>119</v>
      </c>
      <c r="D214" s="351">
        <f t="shared" ca="1" si="19"/>
        <v>21</v>
      </c>
      <c r="F214" s="169" t="str">
        <f ca="1">IF(OR(B214="",B214=0),"","   "&amp;A214&amp;":"&amp;CHAR(34)&amp;B214&amp;CHAR(34)&amp;",")</f>
        <v/>
      </c>
      <c r="G214" s="128"/>
      <c r="H214" s="128"/>
      <c r="I214" s="128"/>
      <c r="J214" s="128"/>
      <c r="K214" s="128"/>
      <c r="L214" s="128"/>
      <c r="M214" s="128"/>
    </row>
    <row r="215" spans="1:13" hidden="1">
      <c r="A215" s="150" t="str" cm="1">
        <f t="array" aca="1" ref="A215" ca="1">INDIRECT($B$2&amp;"!"&amp;C215&amp;"15")</f>
        <v>groupIndex</v>
      </c>
      <c r="B215" s="130" cm="1">
        <f t="array" aca="1" ref="B215" ca="1">IFERROR(INDIRECT($B$2&amp;"!"&amp;C215&amp;D215),"")</f>
        <v>0</v>
      </c>
      <c r="C215" s="355" t="s">
        <v>113</v>
      </c>
      <c r="D215" s="351">
        <f t="shared" ca="1" si="19"/>
        <v>21</v>
      </c>
      <c r="F215" s="126" t="str">
        <f ca="1">IF(OR(B215="",B215=0),"","            "&amp;A215&amp;": "&amp;B215-1&amp;",")</f>
        <v/>
      </c>
      <c r="G215" s="128"/>
      <c r="H215" s="128"/>
      <c r="I215" s="128"/>
      <c r="J215" s="128"/>
      <c r="K215" s="128"/>
      <c r="L215" s="128"/>
      <c r="M215" s="128"/>
    </row>
    <row r="216" spans="1:13" hidden="1">
      <c r="A216" s="150" t="str" cm="1">
        <f t="array" aca="1" ref="A216" ca="1">INDIRECT($B$2&amp;"!"&amp;C216&amp;"15")</f>
        <v>dataType</v>
      </c>
      <c r="B216" s="130" cm="1">
        <f t="array" aca="1" ref="B216" ca="1">IFERROR(INDIRECT($B$2&amp;"!"&amp;C216&amp;D216),"")</f>
        <v>0</v>
      </c>
      <c r="C216" s="355" t="s">
        <v>114</v>
      </c>
      <c r="D216" s="351">
        <f t="shared" ca="1" si="19"/>
        <v>21</v>
      </c>
      <c r="F216" s="169" t="str">
        <f ca="1">IF(OR(B216="",B216=0),"","   "&amp;A216&amp;":"&amp;CHAR(34)&amp;B216&amp;CHAR(34)&amp;",")</f>
        <v/>
      </c>
      <c r="G216" s="128"/>
      <c r="H216" s="128"/>
      <c r="I216" s="128"/>
      <c r="J216" s="128"/>
      <c r="K216" s="128"/>
      <c r="L216" s="128"/>
      <c r="M216" s="128"/>
    </row>
    <row r="217" spans="1:13" hidden="1">
      <c r="A217" s="150" t="str" cm="1">
        <f t="array" aca="1" ref="A217" ca="1">INDIRECT($B$2&amp;"!"&amp;C217&amp;"15")</f>
        <v>format</v>
      </c>
      <c r="B217" s="130" cm="1">
        <f t="array" aca="1" ref="B217" ca="1">IFERROR(INDIRECT($B$2&amp;"!"&amp;C217&amp;D217),"")</f>
        <v>0</v>
      </c>
      <c r="C217" s="355" t="s">
        <v>115</v>
      </c>
      <c r="D217" s="351">
        <f t="shared" ca="1" si="19"/>
        <v>21</v>
      </c>
      <c r="F217" s="169" t="str">
        <f ca="1">IF(OR(B217="",B217=0),"","   "&amp;A217&amp;":"&amp;IF(B217="fixedPoint",D216,CHAR(34)&amp;B217&amp;CHAR(34)&amp;","))</f>
        <v/>
      </c>
      <c r="G217" s="128"/>
      <c r="H217" s="128"/>
      <c r="I217" s="128"/>
      <c r="J217" s="128"/>
      <c r="K217" s="128"/>
      <c r="L217" s="128"/>
      <c r="M217" s="128"/>
    </row>
    <row r="218" spans="1:13" hidden="1">
      <c r="A218" s="150" t="str" cm="1">
        <f t="array" aca="1" ref="A218" ca="1">INDIRECT($B$2&amp;"!"&amp;C218&amp;"15")</f>
        <v>validationRules</v>
      </c>
      <c r="B218" s="130" cm="1">
        <f t="array" aca="1" ref="B218" ca="1">IFERROR(INDIRECT($B$2&amp;"!"&amp;C218&amp;D218),"")</f>
        <v>0</v>
      </c>
      <c r="C218" s="350" t="s">
        <v>116</v>
      </c>
      <c r="D218" s="351">
        <f t="shared" ca="1" si="19"/>
        <v>21</v>
      </c>
      <c r="F218" s="169" t="str">
        <f ca="1">IF(B218,"   "&amp;A218&amp;": [{type: 'required',message: '"&amp;B213&amp;" is required' }],","")</f>
        <v/>
      </c>
      <c r="G218" s="128"/>
      <c r="H218" s="128"/>
      <c r="I218" s="128"/>
      <c r="J218" s="128"/>
      <c r="K218" s="128"/>
      <c r="L218" s="128"/>
      <c r="M218" s="128"/>
    </row>
    <row r="219" spans="1:13" hidden="1">
      <c r="A219" s="150" t="str" cm="1">
        <f t="array" aca="1" ref="A219" ca="1">INDIRECT($B$2&amp;"!"&amp;C219&amp;"15")</f>
        <v>allowHiding</v>
      </c>
      <c r="B219" s="130" cm="1">
        <f t="array" aca="1" ref="B219" ca="1">IFERROR(INDIRECT($B$2&amp;"!"&amp;C219&amp;D219),"")</f>
        <v>0</v>
      </c>
      <c r="C219" s="360" t="s">
        <v>117</v>
      </c>
      <c r="D219" s="351">
        <f t="shared" ca="1" si="19"/>
        <v>21</v>
      </c>
      <c r="F219" s="169" t="str">
        <f ca="1">IF(OR(B219="",B219=0),"","   "&amp;A219&amp;": "&amp;B219&amp;",")</f>
        <v/>
      </c>
      <c r="G219" s="128"/>
      <c r="H219" s="128"/>
      <c r="I219" s="128"/>
      <c r="J219" s="128"/>
      <c r="K219" s="128"/>
      <c r="L219" s="128"/>
      <c r="M219" s="128"/>
    </row>
    <row r="220" spans="1:13" hidden="1">
      <c r="A220" s="150" t="str" cm="1">
        <f t="array" aca="1" ref="A220" ca="1">INDIRECT($B$2&amp;"!"&amp;C220&amp;"15")</f>
        <v>width</v>
      </c>
      <c r="B220" s="130" cm="1">
        <f t="array" aca="1" ref="B220" ca="1">IFERROR(INDIRECT($B$2&amp;"!"&amp;C220&amp;D220),"")</f>
        <v>0</v>
      </c>
      <c r="C220" s="360" t="s">
        <v>61</v>
      </c>
      <c r="D220" s="351">
        <f t="shared" ca="1" si="19"/>
        <v>21</v>
      </c>
      <c r="F220" s="169" t="str">
        <f ca="1">IF(OR(B220="",B220=0),"","   "&amp;A220&amp;": "&amp;B220&amp;",")</f>
        <v/>
      </c>
      <c r="G220" s="128"/>
      <c r="H220" s="128"/>
      <c r="I220" s="128"/>
      <c r="J220" s="128"/>
      <c r="K220" s="128"/>
      <c r="L220" s="128"/>
      <c r="M220" s="128"/>
    </row>
    <row r="221" spans="1:13" hidden="1">
      <c r="A221" s="150" t="str" cm="1">
        <f t="array" aca="1" ref="A221" ca="1">INDIRECT($B$2&amp;"!"&amp;C221&amp;"15")</f>
        <v>visible</v>
      </c>
      <c r="B221" s="323" t="str" cm="1">
        <f t="array" aca="1" ref="B221" ca="1">IFERROR(INDIRECT($B$2&amp;"!"&amp;C221&amp;D221),"")</f>
        <v/>
      </c>
      <c r="C221" s="360" t="s">
        <v>118</v>
      </c>
      <c r="D221" s="351">
        <f t="shared" ca="1" si="19"/>
        <v>21</v>
      </c>
      <c r="F221" s="126" t="str">
        <f ca="1">IF(OR(B221="",B221,B221=0),"","          "&amp;A221&amp;": "&amp;B221&amp;",")</f>
        <v/>
      </c>
      <c r="G221" s="128"/>
      <c r="H221" s="128"/>
      <c r="I221" s="128"/>
      <c r="J221" s="128"/>
      <c r="K221" s="128"/>
      <c r="L221" s="128"/>
      <c r="M221" s="128"/>
    </row>
    <row r="222" spans="1:13" hidden="1">
      <c r="A222" s="156" t="s">
        <v>1399</v>
      </c>
      <c r="B222" s="156"/>
      <c r="D222" s="351">
        <f t="shared" ca="1" si="19"/>
        <v>21</v>
      </c>
      <c r="F222" s="169" t="str">
        <f ca="1">IF(D221&gt;$O$2,"","},")</f>
        <v/>
      </c>
      <c r="G222" s="128"/>
      <c r="H222" s="128"/>
      <c r="I222" s="128"/>
      <c r="J222" s="128"/>
      <c r="K222" s="128"/>
      <c r="L222" s="128"/>
      <c r="M222" s="128"/>
    </row>
    <row r="223" spans="1:13" hidden="1">
      <c r="A223" s="475" t="s">
        <v>1400</v>
      </c>
      <c r="B223" s="130" cm="1">
        <f t="array" aca="1" ref="B223" ca="1">IFERROR(INDIRECT($B$2&amp;"!"&amp;C223&amp;D223),"")</f>
        <v>0</v>
      </c>
      <c r="C223" s="350" t="s">
        <v>97</v>
      </c>
      <c r="D223" s="351">
        <f ca="1">IF(D222&gt;$O$2,0,IF(A223="eNd",1,0))+D222</f>
        <v>21</v>
      </c>
      <c r="F223" s="169" t="str">
        <f ca="1">IF(OR(B223="",B223=0),"","{  "&amp;A223&amp;": "&amp;CHAR(34)&amp;$B223&amp;CHAR(34)&amp;",")</f>
        <v/>
      </c>
      <c r="G223" s="128"/>
      <c r="H223" s="128"/>
      <c r="I223" s="128"/>
      <c r="J223" s="128"/>
      <c r="K223" s="128"/>
      <c r="L223" s="128"/>
      <c r="M223" s="128"/>
    </row>
    <row r="224" spans="1:13" hidden="1">
      <c r="A224" s="150" t="str" cm="1">
        <f t="array" aca="1" ref="A224" ca="1">INDIRECT($B$2&amp;"!"&amp;C224&amp;"15")</f>
        <v>caption</v>
      </c>
      <c r="B224" s="130" t="str" cm="1">
        <f t="array" aca="1" ref="B224" ca="1">IFERROR(INDIRECT($B$2&amp;"!"&amp;C224&amp;D224),"")</f>
        <v/>
      </c>
      <c r="C224" s="350" t="s">
        <v>112</v>
      </c>
      <c r="D224" s="351">
        <f t="shared" ref="D224:D233" ca="1" si="20">IF(D223&gt;$O$2,0,IF(A224="eNd",1,0))+D223</f>
        <v>21</v>
      </c>
      <c r="F224" s="169" t="str">
        <f ca="1">IF(OR(B224="",B224=0),"","   "&amp;A224&amp;":"&amp;CHAR(34)&amp;B224&amp;CHAR(34)&amp;",")</f>
        <v/>
      </c>
      <c r="G224" s="128"/>
      <c r="H224" s="128"/>
      <c r="I224" s="128"/>
      <c r="J224" s="128"/>
      <c r="K224" s="128"/>
      <c r="L224" s="128"/>
      <c r="M224" s="128"/>
    </row>
    <row r="225" spans="1:13" hidden="1">
      <c r="A225" s="150" t="str" cm="1">
        <f t="array" aca="1" ref="A225" ca="1">INDIRECT($B$2&amp;"!"&amp;C225&amp;"15")</f>
        <v>sortOrder</v>
      </c>
      <c r="B225" s="130" t="str" cm="1">
        <f t="array" aca="1" ref="B225" ca="1">IFERROR(INDIRECT($B$2&amp;"!"&amp;C225&amp;D225),"")</f>
        <v/>
      </c>
      <c r="C225" s="350" t="s">
        <v>119</v>
      </c>
      <c r="D225" s="351">
        <f t="shared" ca="1" si="20"/>
        <v>21</v>
      </c>
      <c r="F225" s="169" t="str">
        <f ca="1">IF(OR(B225="",B225=0),"","   "&amp;A225&amp;":"&amp;CHAR(34)&amp;B225&amp;CHAR(34)&amp;",")</f>
        <v/>
      </c>
      <c r="G225" s="128"/>
      <c r="H225" s="128"/>
      <c r="I225" s="128"/>
      <c r="J225" s="128"/>
      <c r="K225" s="128"/>
      <c r="L225" s="128"/>
      <c r="M225" s="128"/>
    </row>
    <row r="226" spans="1:13" hidden="1">
      <c r="A226" s="150" t="str" cm="1">
        <f t="array" aca="1" ref="A226" ca="1">INDIRECT($B$2&amp;"!"&amp;C226&amp;"15")</f>
        <v>groupIndex</v>
      </c>
      <c r="B226" s="130" cm="1">
        <f t="array" aca="1" ref="B226" ca="1">IFERROR(INDIRECT($B$2&amp;"!"&amp;C226&amp;D226),"")</f>
        <v>0</v>
      </c>
      <c r="C226" s="355" t="s">
        <v>113</v>
      </c>
      <c r="D226" s="351">
        <f t="shared" ca="1" si="20"/>
        <v>21</v>
      </c>
      <c r="F226" s="126" t="str">
        <f ca="1">IF(OR(B226="",B226=0),"","            "&amp;A226&amp;": "&amp;B226-1&amp;",")</f>
        <v/>
      </c>
      <c r="G226" s="128"/>
      <c r="H226" s="128"/>
      <c r="I226" s="128"/>
      <c r="J226" s="128"/>
      <c r="K226" s="128"/>
      <c r="L226" s="128"/>
      <c r="M226" s="128"/>
    </row>
    <row r="227" spans="1:13" hidden="1">
      <c r="A227" s="150" t="str" cm="1">
        <f t="array" aca="1" ref="A227" ca="1">INDIRECT($B$2&amp;"!"&amp;C227&amp;"15")</f>
        <v>dataType</v>
      </c>
      <c r="B227" s="130" cm="1">
        <f t="array" aca="1" ref="B227" ca="1">IFERROR(INDIRECT($B$2&amp;"!"&amp;C227&amp;D227),"")</f>
        <v>0</v>
      </c>
      <c r="C227" s="355" t="s">
        <v>114</v>
      </c>
      <c r="D227" s="351">
        <f t="shared" ca="1" si="20"/>
        <v>21</v>
      </c>
      <c r="F227" s="169" t="str">
        <f ca="1">IF(OR(B227="",B227=0),"","   "&amp;A227&amp;":"&amp;CHAR(34)&amp;B227&amp;CHAR(34)&amp;",")</f>
        <v/>
      </c>
      <c r="G227" s="128"/>
      <c r="H227" s="128"/>
      <c r="I227" s="128"/>
      <c r="J227" s="128"/>
      <c r="K227" s="128"/>
      <c r="L227" s="128"/>
      <c r="M227" s="128"/>
    </row>
    <row r="228" spans="1:13" hidden="1">
      <c r="A228" s="150" t="str" cm="1">
        <f t="array" aca="1" ref="A228" ca="1">INDIRECT($B$2&amp;"!"&amp;C228&amp;"15")</f>
        <v>format</v>
      </c>
      <c r="B228" s="130" cm="1">
        <f t="array" aca="1" ref="B228" ca="1">IFERROR(INDIRECT($B$2&amp;"!"&amp;C228&amp;D228),"")</f>
        <v>0</v>
      </c>
      <c r="C228" s="355" t="s">
        <v>115</v>
      </c>
      <c r="D228" s="351">
        <f t="shared" ca="1" si="20"/>
        <v>21</v>
      </c>
      <c r="F228" s="169" t="str">
        <f ca="1">IF(OR(B228="",B228=0),"","   "&amp;A228&amp;":"&amp;IF(B228="fixedPoint",D227,CHAR(34)&amp;B228&amp;CHAR(34)&amp;","))</f>
        <v/>
      </c>
      <c r="G228" s="128"/>
      <c r="H228" s="128"/>
      <c r="I228" s="128"/>
      <c r="J228" s="128"/>
      <c r="K228" s="128"/>
      <c r="L228" s="128"/>
      <c r="M228" s="128"/>
    </row>
    <row r="229" spans="1:13" hidden="1">
      <c r="A229" s="150" t="str" cm="1">
        <f t="array" aca="1" ref="A229" ca="1">INDIRECT($B$2&amp;"!"&amp;C229&amp;"15")</f>
        <v>validationRules</v>
      </c>
      <c r="B229" s="130" cm="1">
        <f t="array" aca="1" ref="B229" ca="1">IFERROR(INDIRECT($B$2&amp;"!"&amp;C229&amp;D229),"")</f>
        <v>0</v>
      </c>
      <c r="C229" s="350" t="s">
        <v>116</v>
      </c>
      <c r="D229" s="351">
        <f t="shared" ca="1" si="20"/>
        <v>21</v>
      </c>
      <c r="F229" s="169" t="str">
        <f ca="1">IF(B229,"   "&amp;A229&amp;": [{type: 'required',message: '"&amp;B224&amp;" is required' }],","")</f>
        <v/>
      </c>
      <c r="G229" s="128"/>
      <c r="H229" s="128"/>
      <c r="I229" s="128"/>
      <c r="J229" s="128"/>
      <c r="K229" s="128"/>
      <c r="L229" s="128"/>
      <c r="M229" s="128"/>
    </row>
    <row r="230" spans="1:13" hidden="1">
      <c r="A230" s="150" t="str" cm="1">
        <f t="array" aca="1" ref="A230" ca="1">INDIRECT($B$2&amp;"!"&amp;C230&amp;"15")</f>
        <v>allowHiding</v>
      </c>
      <c r="B230" s="130" cm="1">
        <f t="array" aca="1" ref="B230" ca="1">IFERROR(INDIRECT($B$2&amp;"!"&amp;C230&amp;D230),"")</f>
        <v>0</v>
      </c>
      <c r="C230" s="360" t="s">
        <v>117</v>
      </c>
      <c r="D230" s="351">
        <f t="shared" ca="1" si="20"/>
        <v>21</v>
      </c>
      <c r="F230" s="169" t="str">
        <f ca="1">IF(OR(B230="",B230=0),"","   "&amp;A230&amp;": "&amp;B230&amp;",")</f>
        <v/>
      </c>
      <c r="G230" s="128"/>
      <c r="H230" s="128"/>
      <c r="I230" s="128"/>
      <c r="J230" s="128"/>
      <c r="K230" s="128"/>
      <c r="L230" s="128"/>
      <c r="M230" s="128"/>
    </row>
    <row r="231" spans="1:13" hidden="1">
      <c r="A231" s="150" t="str" cm="1">
        <f t="array" aca="1" ref="A231" ca="1">INDIRECT($B$2&amp;"!"&amp;C231&amp;"15")</f>
        <v>width</v>
      </c>
      <c r="B231" s="130" cm="1">
        <f t="array" aca="1" ref="B231" ca="1">IFERROR(INDIRECT($B$2&amp;"!"&amp;C231&amp;D231),"")</f>
        <v>0</v>
      </c>
      <c r="C231" s="360" t="s">
        <v>61</v>
      </c>
      <c r="D231" s="351">
        <f t="shared" ca="1" si="20"/>
        <v>21</v>
      </c>
      <c r="F231" s="169" t="str">
        <f ca="1">IF(OR(B231="",B231=0),"","   "&amp;A231&amp;": "&amp;B231&amp;",")</f>
        <v/>
      </c>
      <c r="G231" s="128"/>
      <c r="H231" s="128"/>
      <c r="I231" s="128"/>
      <c r="J231" s="128"/>
      <c r="K231" s="128"/>
      <c r="L231" s="128"/>
      <c r="M231" s="128"/>
    </row>
    <row r="232" spans="1:13" hidden="1">
      <c r="A232" s="150" t="str" cm="1">
        <f t="array" aca="1" ref="A232" ca="1">INDIRECT($B$2&amp;"!"&amp;C232&amp;"15")</f>
        <v>visible</v>
      </c>
      <c r="B232" s="323" t="str" cm="1">
        <f t="array" aca="1" ref="B232" ca="1">IFERROR(INDIRECT($B$2&amp;"!"&amp;C232&amp;D232),"")</f>
        <v/>
      </c>
      <c r="C232" s="360" t="s">
        <v>118</v>
      </c>
      <c r="D232" s="351">
        <f t="shared" ca="1" si="20"/>
        <v>21</v>
      </c>
      <c r="F232" s="126" t="str">
        <f ca="1">IF(OR(B232="",B232,B232=0),"","          "&amp;A232&amp;": "&amp;B232&amp;",")</f>
        <v/>
      </c>
      <c r="G232" s="128"/>
      <c r="H232" s="128"/>
      <c r="I232" s="128"/>
      <c r="J232" s="128"/>
      <c r="K232" s="128"/>
      <c r="L232" s="128"/>
      <c r="M232" s="128"/>
    </row>
    <row r="233" spans="1:13" hidden="1">
      <c r="A233" s="156" t="s">
        <v>1399</v>
      </c>
      <c r="B233" s="156"/>
      <c r="D233" s="351">
        <f t="shared" ca="1" si="20"/>
        <v>21</v>
      </c>
      <c r="F233" s="169" t="str">
        <f ca="1">IF(D232&gt;$O$2,"","},")</f>
        <v/>
      </c>
      <c r="G233" s="128"/>
      <c r="H233" s="128"/>
      <c r="I233" s="128"/>
      <c r="J233" s="128"/>
      <c r="K233" s="128"/>
      <c r="L233" s="128"/>
      <c r="M233" s="128"/>
    </row>
    <row r="234" spans="1:13" hidden="1">
      <c r="A234" s="475" t="s">
        <v>1400</v>
      </c>
      <c r="B234" s="130" cm="1">
        <f t="array" aca="1" ref="B234" ca="1">IFERROR(INDIRECT($B$2&amp;"!"&amp;C234&amp;D234),"")</f>
        <v>0</v>
      </c>
      <c r="C234" s="350" t="s">
        <v>97</v>
      </c>
      <c r="D234" s="351">
        <f ca="1">IF(D233&gt;$O$2,0,IF(A234="eNd",1,0))+D233</f>
        <v>21</v>
      </c>
      <c r="F234" s="169" t="str">
        <f ca="1">IF(OR(B234="",B234=0),"","{  "&amp;A234&amp;": "&amp;CHAR(34)&amp;$B234&amp;CHAR(34)&amp;",")</f>
        <v/>
      </c>
      <c r="G234" s="128"/>
      <c r="H234" s="128"/>
      <c r="I234" s="128"/>
      <c r="J234" s="128"/>
      <c r="K234" s="128"/>
      <c r="L234" s="128"/>
      <c r="M234" s="128"/>
    </row>
    <row r="235" spans="1:13" hidden="1">
      <c r="A235" s="150" t="str" cm="1">
        <f t="array" aca="1" ref="A235" ca="1">INDIRECT($B$2&amp;"!"&amp;C235&amp;"15")</f>
        <v>caption</v>
      </c>
      <c r="B235" s="130" t="str" cm="1">
        <f t="array" aca="1" ref="B235" ca="1">IFERROR(INDIRECT($B$2&amp;"!"&amp;C235&amp;D235),"")</f>
        <v/>
      </c>
      <c r="C235" s="350" t="s">
        <v>112</v>
      </c>
      <c r="D235" s="351">
        <f t="shared" ref="D235:D244" ca="1" si="21">IF(D234&gt;$O$2,0,IF(A235="eNd",1,0))+D234</f>
        <v>21</v>
      </c>
      <c r="F235" s="169" t="str">
        <f ca="1">IF(OR(B235="",B235=0),"","   "&amp;A235&amp;":"&amp;CHAR(34)&amp;B235&amp;CHAR(34)&amp;",")</f>
        <v/>
      </c>
      <c r="G235" s="128"/>
      <c r="H235" s="128"/>
      <c r="I235" s="128"/>
      <c r="J235" s="128"/>
      <c r="K235" s="128"/>
      <c r="L235" s="128"/>
      <c r="M235" s="128"/>
    </row>
    <row r="236" spans="1:13" hidden="1">
      <c r="A236" s="150" t="str" cm="1">
        <f t="array" aca="1" ref="A236" ca="1">INDIRECT($B$2&amp;"!"&amp;C236&amp;"15")</f>
        <v>sortOrder</v>
      </c>
      <c r="B236" s="130" t="str" cm="1">
        <f t="array" aca="1" ref="B236" ca="1">IFERROR(INDIRECT($B$2&amp;"!"&amp;C236&amp;D236),"")</f>
        <v/>
      </c>
      <c r="C236" s="350" t="s">
        <v>119</v>
      </c>
      <c r="D236" s="351">
        <f t="shared" ca="1" si="21"/>
        <v>21</v>
      </c>
      <c r="F236" s="169" t="str">
        <f ca="1">IF(OR(B236="",B236=0),"","   "&amp;A236&amp;":"&amp;CHAR(34)&amp;B236&amp;CHAR(34)&amp;",")</f>
        <v/>
      </c>
      <c r="G236" s="128"/>
      <c r="H236" s="128"/>
      <c r="I236" s="128"/>
      <c r="J236" s="128"/>
      <c r="K236" s="128"/>
      <c r="L236" s="128"/>
      <c r="M236" s="128"/>
    </row>
    <row r="237" spans="1:13" hidden="1">
      <c r="A237" s="150" t="str" cm="1">
        <f t="array" aca="1" ref="A237" ca="1">INDIRECT($B$2&amp;"!"&amp;C237&amp;"15")</f>
        <v>groupIndex</v>
      </c>
      <c r="B237" s="130" cm="1">
        <f t="array" aca="1" ref="B237" ca="1">IFERROR(INDIRECT($B$2&amp;"!"&amp;C237&amp;D237),"")</f>
        <v>0</v>
      </c>
      <c r="C237" s="355" t="s">
        <v>113</v>
      </c>
      <c r="D237" s="351">
        <f t="shared" ca="1" si="21"/>
        <v>21</v>
      </c>
      <c r="F237" s="126" t="str">
        <f ca="1">IF(OR(B237="",B237=0),"","            "&amp;A237&amp;": "&amp;B237-1&amp;",")</f>
        <v/>
      </c>
      <c r="G237" s="128"/>
      <c r="H237" s="128"/>
      <c r="I237" s="128"/>
      <c r="J237" s="128"/>
      <c r="K237" s="128"/>
      <c r="L237" s="128"/>
      <c r="M237" s="128"/>
    </row>
    <row r="238" spans="1:13" hidden="1">
      <c r="A238" s="150" t="str" cm="1">
        <f t="array" aca="1" ref="A238" ca="1">INDIRECT($B$2&amp;"!"&amp;C238&amp;"15")</f>
        <v>dataType</v>
      </c>
      <c r="B238" s="130" cm="1">
        <f t="array" aca="1" ref="B238" ca="1">IFERROR(INDIRECT($B$2&amp;"!"&amp;C238&amp;D238),"")</f>
        <v>0</v>
      </c>
      <c r="C238" s="355" t="s">
        <v>114</v>
      </c>
      <c r="D238" s="351">
        <f t="shared" ca="1" si="21"/>
        <v>21</v>
      </c>
      <c r="F238" s="169" t="str">
        <f ca="1">IF(OR(B238="",B238=0),"","   "&amp;A238&amp;":"&amp;CHAR(34)&amp;B238&amp;CHAR(34)&amp;",")</f>
        <v/>
      </c>
      <c r="G238" s="128"/>
      <c r="H238" s="128"/>
      <c r="I238" s="128"/>
      <c r="J238" s="128"/>
      <c r="K238" s="128"/>
      <c r="L238" s="128"/>
      <c r="M238" s="128"/>
    </row>
    <row r="239" spans="1:13" hidden="1">
      <c r="A239" s="150" t="str" cm="1">
        <f t="array" aca="1" ref="A239" ca="1">INDIRECT($B$2&amp;"!"&amp;C239&amp;"15")</f>
        <v>format</v>
      </c>
      <c r="B239" s="130" cm="1">
        <f t="array" aca="1" ref="B239" ca="1">IFERROR(INDIRECT($B$2&amp;"!"&amp;C239&amp;D239),"")</f>
        <v>0</v>
      </c>
      <c r="C239" s="355" t="s">
        <v>115</v>
      </c>
      <c r="D239" s="351">
        <f t="shared" ca="1" si="21"/>
        <v>21</v>
      </c>
      <c r="F239" s="169" t="str">
        <f ca="1">IF(OR(B239="",B239=0),"","   "&amp;A239&amp;":"&amp;IF(B239="fixedPoint",D238,CHAR(34)&amp;B239&amp;CHAR(34)&amp;","))</f>
        <v/>
      </c>
      <c r="G239" s="128"/>
      <c r="H239" s="128"/>
      <c r="I239" s="128"/>
      <c r="J239" s="128"/>
      <c r="K239" s="128"/>
      <c r="L239" s="128"/>
      <c r="M239" s="128"/>
    </row>
    <row r="240" spans="1:13" hidden="1">
      <c r="A240" s="150" t="str" cm="1">
        <f t="array" aca="1" ref="A240" ca="1">INDIRECT($B$2&amp;"!"&amp;C240&amp;"15")</f>
        <v>validationRules</v>
      </c>
      <c r="B240" s="130" cm="1">
        <f t="array" aca="1" ref="B240" ca="1">IFERROR(INDIRECT($B$2&amp;"!"&amp;C240&amp;D240),"")</f>
        <v>0</v>
      </c>
      <c r="C240" s="350" t="s">
        <v>116</v>
      </c>
      <c r="D240" s="351">
        <f t="shared" ca="1" si="21"/>
        <v>21</v>
      </c>
      <c r="F240" s="169" t="str">
        <f ca="1">IF(B240,"   "&amp;A240&amp;": [{type: 'required',message: '"&amp;B235&amp;" is required' }],","")</f>
        <v/>
      </c>
      <c r="G240" s="128"/>
      <c r="H240" s="128"/>
      <c r="I240" s="128"/>
      <c r="J240" s="128"/>
      <c r="K240" s="128"/>
      <c r="L240" s="128"/>
      <c r="M240" s="128"/>
    </row>
    <row r="241" spans="1:13" hidden="1">
      <c r="A241" s="150" t="str" cm="1">
        <f t="array" aca="1" ref="A241" ca="1">INDIRECT($B$2&amp;"!"&amp;C241&amp;"15")</f>
        <v>allowHiding</v>
      </c>
      <c r="B241" s="130" cm="1">
        <f t="array" aca="1" ref="B241" ca="1">IFERROR(INDIRECT($B$2&amp;"!"&amp;C241&amp;D241),"")</f>
        <v>0</v>
      </c>
      <c r="C241" s="360" t="s">
        <v>117</v>
      </c>
      <c r="D241" s="351">
        <f t="shared" ca="1" si="21"/>
        <v>21</v>
      </c>
      <c r="F241" s="169" t="str">
        <f ca="1">IF(OR(B241="",B241=0),"","   "&amp;A241&amp;": "&amp;B241&amp;",")</f>
        <v/>
      </c>
      <c r="G241" s="128"/>
      <c r="H241" s="128"/>
      <c r="I241" s="128"/>
      <c r="J241" s="128"/>
      <c r="K241" s="128"/>
      <c r="L241" s="128"/>
      <c r="M241" s="128"/>
    </row>
    <row r="242" spans="1:13" hidden="1">
      <c r="A242" s="150" t="str" cm="1">
        <f t="array" aca="1" ref="A242" ca="1">INDIRECT($B$2&amp;"!"&amp;C242&amp;"15")</f>
        <v>width</v>
      </c>
      <c r="B242" s="130" cm="1">
        <f t="array" aca="1" ref="B242" ca="1">IFERROR(INDIRECT($B$2&amp;"!"&amp;C242&amp;D242),"")</f>
        <v>0</v>
      </c>
      <c r="C242" s="360" t="s">
        <v>61</v>
      </c>
      <c r="D242" s="351">
        <f t="shared" ca="1" si="21"/>
        <v>21</v>
      </c>
      <c r="F242" s="169" t="str">
        <f ca="1">IF(OR(B242="",B242=0),"","   "&amp;A242&amp;": "&amp;B242&amp;",")</f>
        <v/>
      </c>
      <c r="G242" s="128"/>
      <c r="H242" s="128"/>
      <c r="I242" s="128"/>
      <c r="J242" s="128"/>
      <c r="K242" s="128"/>
      <c r="L242" s="128"/>
      <c r="M242" s="128"/>
    </row>
    <row r="243" spans="1:13" hidden="1">
      <c r="A243" s="150" t="str" cm="1">
        <f t="array" aca="1" ref="A243" ca="1">INDIRECT($B$2&amp;"!"&amp;C243&amp;"15")</f>
        <v>visible</v>
      </c>
      <c r="B243" s="323" t="str" cm="1">
        <f t="array" aca="1" ref="B243" ca="1">IFERROR(INDIRECT($B$2&amp;"!"&amp;C243&amp;D243),"")</f>
        <v/>
      </c>
      <c r="C243" s="360" t="s">
        <v>118</v>
      </c>
      <c r="D243" s="351">
        <f t="shared" ca="1" si="21"/>
        <v>21</v>
      </c>
      <c r="F243" s="126" t="str">
        <f ca="1">IF(OR(B243="",B243,B243=0),"","          "&amp;A243&amp;": "&amp;B243&amp;",")</f>
        <v/>
      </c>
      <c r="G243" s="128"/>
      <c r="H243" s="128"/>
      <c r="I243" s="128"/>
      <c r="J243" s="128"/>
      <c r="K243" s="128"/>
      <c r="L243" s="128"/>
      <c r="M243" s="128"/>
    </row>
    <row r="244" spans="1:13" hidden="1">
      <c r="A244" s="156" t="s">
        <v>1399</v>
      </c>
      <c r="B244" s="156"/>
      <c r="D244" s="351">
        <f t="shared" ca="1" si="21"/>
        <v>21</v>
      </c>
      <c r="F244" s="169" t="str">
        <f ca="1">IF(D243&gt;$O$2,"","},")</f>
        <v/>
      </c>
      <c r="G244" s="128"/>
      <c r="H244" s="128"/>
      <c r="I244" s="128"/>
      <c r="J244" s="128"/>
      <c r="K244" s="128"/>
      <c r="L244" s="128"/>
      <c r="M244" s="128"/>
    </row>
    <row r="245" spans="1:13" hidden="1">
      <c r="A245" s="475" t="s">
        <v>1400</v>
      </c>
      <c r="B245" s="130" cm="1">
        <f t="array" aca="1" ref="B245" ca="1">IFERROR(INDIRECT($B$2&amp;"!"&amp;C245&amp;D245),"")</f>
        <v>0</v>
      </c>
      <c r="C245" s="350" t="s">
        <v>97</v>
      </c>
      <c r="D245" s="351">
        <f ca="1">IF(D244&gt;$O$2,0,IF(A245="eNd",1,0))+D244</f>
        <v>21</v>
      </c>
      <c r="F245" s="169" t="str">
        <f ca="1">IF(OR(B245="",B245=0),"","{  "&amp;A245&amp;": "&amp;CHAR(34)&amp;$B245&amp;CHAR(34)&amp;",")</f>
        <v/>
      </c>
      <c r="G245" s="128"/>
      <c r="H245" s="128"/>
      <c r="I245" s="128"/>
      <c r="J245" s="128"/>
      <c r="K245" s="128"/>
      <c r="L245" s="128"/>
      <c r="M245" s="128"/>
    </row>
    <row r="246" spans="1:13" hidden="1">
      <c r="A246" s="150" t="str" cm="1">
        <f t="array" aca="1" ref="A246" ca="1">INDIRECT($B$2&amp;"!"&amp;C246&amp;"15")</f>
        <v>caption</v>
      </c>
      <c r="B246" s="130" t="str" cm="1">
        <f t="array" aca="1" ref="B246" ca="1">IFERROR(INDIRECT($B$2&amp;"!"&amp;C246&amp;D246),"")</f>
        <v/>
      </c>
      <c r="C246" s="350" t="s">
        <v>112</v>
      </c>
      <c r="D246" s="351">
        <f t="shared" ref="D246:D255" ca="1" si="22">IF(D245&gt;$O$2,0,IF(A246="eNd",1,0))+D245</f>
        <v>21</v>
      </c>
      <c r="F246" s="169" t="str">
        <f ca="1">IF(OR(B246="",B246=0),"","   "&amp;A246&amp;":"&amp;CHAR(34)&amp;B246&amp;CHAR(34)&amp;",")</f>
        <v/>
      </c>
      <c r="G246" s="128"/>
      <c r="H246" s="128"/>
      <c r="I246" s="128"/>
      <c r="J246" s="128"/>
      <c r="K246" s="128"/>
      <c r="L246" s="128"/>
      <c r="M246" s="128"/>
    </row>
    <row r="247" spans="1:13" hidden="1">
      <c r="A247" s="150" t="str" cm="1">
        <f t="array" aca="1" ref="A247" ca="1">INDIRECT($B$2&amp;"!"&amp;C247&amp;"15")</f>
        <v>sortOrder</v>
      </c>
      <c r="B247" s="130" t="str" cm="1">
        <f t="array" aca="1" ref="B247" ca="1">IFERROR(INDIRECT($B$2&amp;"!"&amp;C247&amp;D247),"")</f>
        <v/>
      </c>
      <c r="C247" s="350" t="s">
        <v>119</v>
      </c>
      <c r="D247" s="351">
        <f t="shared" ca="1" si="22"/>
        <v>21</v>
      </c>
      <c r="F247" s="169" t="str">
        <f ca="1">IF(OR(B247="",B247=0),"","   "&amp;A247&amp;":"&amp;CHAR(34)&amp;B247&amp;CHAR(34)&amp;",")</f>
        <v/>
      </c>
      <c r="G247" s="128"/>
      <c r="H247" s="128"/>
      <c r="I247" s="128"/>
      <c r="J247" s="128"/>
      <c r="K247" s="128"/>
      <c r="L247" s="128"/>
      <c r="M247" s="128"/>
    </row>
    <row r="248" spans="1:13" hidden="1">
      <c r="A248" s="150" t="str" cm="1">
        <f t="array" aca="1" ref="A248" ca="1">INDIRECT($B$2&amp;"!"&amp;C248&amp;"15")</f>
        <v>groupIndex</v>
      </c>
      <c r="B248" s="130" cm="1">
        <f t="array" aca="1" ref="B248" ca="1">IFERROR(INDIRECT($B$2&amp;"!"&amp;C248&amp;D248),"")</f>
        <v>0</v>
      </c>
      <c r="C248" s="355" t="s">
        <v>113</v>
      </c>
      <c r="D248" s="351">
        <f t="shared" ca="1" si="22"/>
        <v>21</v>
      </c>
      <c r="F248" s="126" t="str">
        <f ca="1">IF(OR(B248="",B248=0),"","            "&amp;A248&amp;": "&amp;B248-1&amp;",")</f>
        <v/>
      </c>
      <c r="G248" s="128"/>
      <c r="H248" s="128"/>
      <c r="I248" s="128"/>
      <c r="J248" s="128"/>
      <c r="K248" s="128"/>
      <c r="L248" s="128"/>
      <c r="M248" s="128"/>
    </row>
    <row r="249" spans="1:13" hidden="1">
      <c r="A249" s="150" t="str" cm="1">
        <f t="array" aca="1" ref="A249" ca="1">INDIRECT($B$2&amp;"!"&amp;C249&amp;"15")</f>
        <v>dataType</v>
      </c>
      <c r="B249" s="130" cm="1">
        <f t="array" aca="1" ref="B249" ca="1">IFERROR(INDIRECT($B$2&amp;"!"&amp;C249&amp;D249),"")</f>
        <v>0</v>
      </c>
      <c r="C249" s="355" t="s">
        <v>114</v>
      </c>
      <c r="D249" s="351">
        <f t="shared" ca="1" si="22"/>
        <v>21</v>
      </c>
      <c r="F249" s="169" t="str">
        <f ca="1">IF(OR(B249="",B249=0),"","   "&amp;A249&amp;":"&amp;CHAR(34)&amp;B249&amp;CHAR(34)&amp;",")</f>
        <v/>
      </c>
      <c r="G249" s="128"/>
      <c r="H249" s="128"/>
      <c r="I249" s="128"/>
      <c r="J249" s="128"/>
      <c r="K249" s="128"/>
      <c r="L249" s="128"/>
      <c r="M249" s="128"/>
    </row>
    <row r="250" spans="1:13" hidden="1">
      <c r="A250" s="150" t="str" cm="1">
        <f t="array" aca="1" ref="A250" ca="1">INDIRECT($B$2&amp;"!"&amp;C250&amp;"15")</f>
        <v>format</v>
      </c>
      <c r="B250" s="130" cm="1">
        <f t="array" aca="1" ref="B250" ca="1">IFERROR(INDIRECT($B$2&amp;"!"&amp;C250&amp;D250),"")</f>
        <v>0</v>
      </c>
      <c r="C250" s="355" t="s">
        <v>115</v>
      </c>
      <c r="D250" s="351">
        <f t="shared" ca="1" si="22"/>
        <v>21</v>
      </c>
      <c r="F250" s="169" t="str">
        <f ca="1">IF(OR(B250="",B250=0),"","   "&amp;A250&amp;":"&amp;IF(B250="fixedPoint",D249,CHAR(34)&amp;B250&amp;CHAR(34)&amp;","))</f>
        <v/>
      </c>
      <c r="G250" s="128"/>
      <c r="H250" s="128"/>
      <c r="I250" s="128"/>
      <c r="J250" s="128"/>
      <c r="K250" s="128"/>
      <c r="L250" s="128"/>
      <c r="M250" s="128"/>
    </row>
    <row r="251" spans="1:13" hidden="1">
      <c r="A251" s="150" t="str" cm="1">
        <f t="array" aca="1" ref="A251" ca="1">INDIRECT($B$2&amp;"!"&amp;C251&amp;"15")</f>
        <v>validationRules</v>
      </c>
      <c r="B251" s="130" cm="1">
        <f t="array" aca="1" ref="B251" ca="1">IFERROR(INDIRECT($B$2&amp;"!"&amp;C251&amp;D251),"")</f>
        <v>0</v>
      </c>
      <c r="C251" s="350" t="s">
        <v>116</v>
      </c>
      <c r="D251" s="351">
        <f t="shared" ca="1" si="22"/>
        <v>21</v>
      </c>
      <c r="F251" s="169" t="str">
        <f ca="1">IF(B251,"   "&amp;A251&amp;": [{type: 'required',message: '"&amp;B246&amp;" is required' }],","")</f>
        <v/>
      </c>
      <c r="G251" s="128"/>
      <c r="H251" s="128"/>
      <c r="I251" s="128"/>
      <c r="J251" s="128"/>
      <c r="K251" s="128"/>
      <c r="L251" s="128"/>
      <c r="M251" s="128"/>
    </row>
    <row r="252" spans="1:13" hidden="1">
      <c r="A252" s="150" t="str" cm="1">
        <f t="array" aca="1" ref="A252" ca="1">INDIRECT($B$2&amp;"!"&amp;C252&amp;"15")</f>
        <v>allowHiding</v>
      </c>
      <c r="B252" s="130" cm="1">
        <f t="array" aca="1" ref="B252" ca="1">IFERROR(INDIRECT($B$2&amp;"!"&amp;C252&amp;D252),"")</f>
        <v>0</v>
      </c>
      <c r="C252" s="360" t="s">
        <v>117</v>
      </c>
      <c r="D252" s="351">
        <f t="shared" ca="1" si="22"/>
        <v>21</v>
      </c>
      <c r="F252" s="169" t="str">
        <f ca="1">IF(OR(B252="",B252=0),"","   "&amp;A252&amp;": "&amp;B252&amp;",")</f>
        <v/>
      </c>
      <c r="G252" s="128"/>
      <c r="H252" s="128"/>
      <c r="I252" s="128"/>
      <c r="J252" s="128"/>
      <c r="K252" s="128"/>
      <c r="L252" s="128"/>
      <c r="M252" s="128"/>
    </row>
    <row r="253" spans="1:13" hidden="1">
      <c r="A253" s="150" t="str" cm="1">
        <f t="array" aca="1" ref="A253" ca="1">INDIRECT($B$2&amp;"!"&amp;C253&amp;"15")</f>
        <v>width</v>
      </c>
      <c r="B253" s="130" cm="1">
        <f t="array" aca="1" ref="B253" ca="1">IFERROR(INDIRECT($B$2&amp;"!"&amp;C253&amp;D253),"")</f>
        <v>0</v>
      </c>
      <c r="C253" s="360" t="s">
        <v>61</v>
      </c>
      <c r="D253" s="351">
        <f t="shared" ca="1" si="22"/>
        <v>21</v>
      </c>
      <c r="F253" s="169" t="str">
        <f ca="1">IF(OR(B253="",B253=0),"","   "&amp;A253&amp;": "&amp;B253&amp;",")</f>
        <v/>
      </c>
      <c r="G253" s="128"/>
      <c r="H253" s="128"/>
      <c r="I253" s="128"/>
      <c r="J253" s="128"/>
      <c r="K253" s="128"/>
      <c r="L253" s="128"/>
      <c r="M253" s="128"/>
    </row>
    <row r="254" spans="1:13" hidden="1">
      <c r="A254" s="150" t="str" cm="1">
        <f t="array" aca="1" ref="A254" ca="1">INDIRECT($B$2&amp;"!"&amp;C254&amp;"15")</f>
        <v>visible</v>
      </c>
      <c r="B254" s="323" t="str" cm="1">
        <f t="array" aca="1" ref="B254" ca="1">IFERROR(INDIRECT($B$2&amp;"!"&amp;C254&amp;D254),"")</f>
        <v/>
      </c>
      <c r="C254" s="360" t="s">
        <v>118</v>
      </c>
      <c r="D254" s="351">
        <f t="shared" ca="1" si="22"/>
        <v>21</v>
      </c>
      <c r="F254" s="126" t="str">
        <f ca="1">IF(OR(B254="",B254,B254=0),"","          "&amp;A254&amp;": "&amp;B254&amp;",")</f>
        <v/>
      </c>
      <c r="G254" s="128"/>
      <c r="H254" s="128"/>
      <c r="I254" s="128"/>
      <c r="J254" s="128"/>
      <c r="K254" s="128"/>
      <c r="L254" s="128"/>
      <c r="M254" s="128"/>
    </row>
    <row r="255" spans="1:13" hidden="1">
      <c r="A255" s="156" t="s">
        <v>1399</v>
      </c>
      <c r="B255" s="156"/>
      <c r="D255" s="351">
        <f t="shared" ca="1" si="22"/>
        <v>21</v>
      </c>
      <c r="F255" s="169" t="str">
        <f ca="1">IF(D254&gt;$O$2,"","},")</f>
        <v/>
      </c>
      <c r="G255" s="128"/>
      <c r="H255" s="128"/>
      <c r="I255" s="128"/>
      <c r="J255" s="128"/>
      <c r="K255" s="128"/>
      <c r="L255" s="128"/>
      <c r="M255" s="128"/>
    </row>
    <row r="256" spans="1:13" hidden="1">
      <c r="A256" s="475" t="s">
        <v>1400</v>
      </c>
      <c r="B256" s="130" cm="1">
        <f t="array" aca="1" ref="B256" ca="1">IFERROR(INDIRECT($B$2&amp;"!"&amp;C256&amp;D256),"")</f>
        <v>0</v>
      </c>
      <c r="C256" s="350" t="s">
        <v>97</v>
      </c>
      <c r="D256" s="351">
        <f ca="1">IF(D255&gt;$O$2,0,IF(A256="eNd",1,0))+D255</f>
        <v>21</v>
      </c>
      <c r="F256" s="169" t="str">
        <f ca="1">IF(OR(B256="",B256=0),"","{  "&amp;A256&amp;": "&amp;CHAR(34)&amp;$B256&amp;CHAR(34)&amp;",")</f>
        <v/>
      </c>
      <c r="G256" s="128"/>
      <c r="H256" s="128"/>
      <c r="I256" s="128"/>
      <c r="J256" s="128"/>
      <c r="K256" s="128"/>
      <c r="L256" s="128"/>
      <c r="M256" s="128"/>
    </row>
    <row r="257" spans="1:13" hidden="1">
      <c r="A257" s="150" t="str" cm="1">
        <f t="array" aca="1" ref="A257" ca="1">INDIRECT($B$2&amp;"!"&amp;C257&amp;"15")</f>
        <v>caption</v>
      </c>
      <c r="B257" s="130" t="str" cm="1">
        <f t="array" aca="1" ref="B257" ca="1">IFERROR(INDIRECT($B$2&amp;"!"&amp;C257&amp;D257),"")</f>
        <v/>
      </c>
      <c r="C257" s="350" t="s">
        <v>112</v>
      </c>
      <c r="D257" s="351">
        <f t="shared" ref="D257:D266" ca="1" si="23">IF(D256&gt;$O$2,0,IF(A257="eNd",1,0))+D256</f>
        <v>21</v>
      </c>
      <c r="F257" s="169" t="str">
        <f ca="1">IF(OR(B257="",B257=0),"","   "&amp;A257&amp;":"&amp;CHAR(34)&amp;B257&amp;CHAR(34)&amp;",")</f>
        <v/>
      </c>
      <c r="G257" s="128"/>
      <c r="H257" s="128"/>
      <c r="I257" s="128"/>
      <c r="J257" s="128"/>
      <c r="K257" s="128"/>
      <c r="L257" s="128"/>
      <c r="M257" s="128"/>
    </row>
    <row r="258" spans="1:13" hidden="1">
      <c r="A258" s="150" t="str" cm="1">
        <f t="array" aca="1" ref="A258" ca="1">INDIRECT($B$2&amp;"!"&amp;C258&amp;"15")</f>
        <v>sortOrder</v>
      </c>
      <c r="B258" s="130" t="str" cm="1">
        <f t="array" aca="1" ref="B258" ca="1">IFERROR(INDIRECT($B$2&amp;"!"&amp;C258&amp;D258),"")</f>
        <v/>
      </c>
      <c r="C258" s="350" t="s">
        <v>119</v>
      </c>
      <c r="D258" s="351">
        <f t="shared" ca="1" si="23"/>
        <v>21</v>
      </c>
      <c r="F258" s="169" t="str">
        <f ca="1">IF(OR(B258="",B258=0),"","   "&amp;A258&amp;":"&amp;CHAR(34)&amp;B258&amp;CHAR(34)&amp;",")</f>
        <v/>
      </c>
      <c r="G258" s="128"/>
      <c r="H258" s="128"/>
      <c r="I258" s="128"/>
      <c r="J258" s="128"/>
      <c r="K258" s="128"/>
      <c r="L258" s="128"/>
      <c r="M258" s="128"/>
    </row>
    <row r="259" spans="1:13" hidden="1">
      <c r="A259" s="150" t="str" cm="1">
        <f t="array" aca="1" ref="A259" ca="1">INDIRECT($B$2&amp;"!"&amp;C259&amp;"15")</f>
        <v>groupIndex</v>
      </c>
      <c r="B259" s="130" cm="1">
        <f t="array" aca="1" ref="B259" ca="1">IFERROR(INDIRECT($B$2&amp;"!"&amp;C259&amp;D259),"")</f>
        <v>0</v>
      </c>
      <c r="C259" s="355" t="s">
        <v>113</v>
      </c>
      <c r="D259" s="351">
        <f t="shared" ca="1" si="23"/>
        <v>21</v>
      </c>
      <c r="F259" s="126" t="str">
        <f ca="1">IF(OR(B259="",B259=0),"","            "&amp;A259&amp;": "&amp;B259-1&amp;",")</f>
        <v/>
      </c>
      <c r="G259" s="128"/>
      <c r="H259" s="128"/>
      <c r="I259" s="128"/>
      <c r="J259" s="128"/>
      <c r="K259" s="128"/>
      <c r="L259" s="128"/>
      <c r="M259" s="128"/>
    </row>
    <row r="260" spans="1:13" hidden="1">
      <c r="A260" s="150" t="str" cm="1">
        <f t="array" aca="1" ref="A260" ca="1">INDIRECT($B$2&amp;"!"&amp;C260&amp;"15")</f>
        <v>dataType</v>
      </c>
      <c r="B260" s="130" cm="1">
        <f t="array" aca="1" ref="B260" ca="1">IFERROR(INDIRECT($B$2&amp;"!"&amp;C260&amp;D260),"")</f>
        <v>0</v>
      </c>
      <c r="C260" s="355" t="s">
        <v>114</v>
      </c>
      <c r="D260" s="351">
        <f t="shared" ca="1" si="23"/>
        <v>21</v>
      </c>
      <c r="F260" s="169" t="str">
        <f ca="1">IF(OR(B260="",B260=0),"","   "&amp;A260&amp;":"&amp;CHAR(34)&amp;B260&amp;CHAR(34)&amp;",")</f>
        <v/>
      </c>
      <c r="G260" s="128"/>
      <c r="H260" s="128"/>
      <c r="I260" s="128"/>
      <c r="J260" s="128"/>
      <c r="K260" s="128"/>
      <c r="L260" s="128"/>
      <c r="M260" s="128"/>
    </row>
    <row r="261" spans="1:13" hidden="1">
      <c r="A261" s="150" t="str" cm="1">
        <f t="array" aca="1" ref="A261" ca="1">INDIRECT($B$2&amp;"!"&amp;C261&amp;"15")</f>
        <v>format</v>
      </c>
      <c r="B261" s="130" cm="1">
        <f t="array" aca="1" ref="B261" ca="1">IFERROR(INDIRECT($B$2&amp;"!"&amp;C261&amp;D261),"")</f>
        <v>0</v>
      </c>
      <c r="C261" s="355" t="s">
        <v>115</v>
      </c>
      <c r="D261" s="351">
        <f t="shared" ca="1" si="23"/>
        <v>21</v>
      </c>
      <c r="F261" s="169" t="str">
        <f ca="1">IF(OR(B261="",B261=0),"","   "&amp;A261&amp;":"&amp;IF(B261="fixedPoint",D260,CHAR(34)&amp;B261&amp;CHAR(34)&amp;","))</f>
        <v/>
      </c>
      <c r="G261" s="128"/>
      <c r="H261" s="128"/>
      <c r="I261" s="128"/>
      <c r="J261" s="128"/>
      <c r="K261" s="128"/>
      <c r="L261" s="128"/>
      <c r="M261" s="128"/>
    </row>
    <row r="262" spans="1:13" hidden="1">
      <c r="A262" s="150" t="str" cm="1">
        <f t="array" aca="1" ref="A262" ca="1">INDIRECT($B$2&amp;"!"&amp;C262&amp;"15")</f>
        <v>validationRules</v>
      </c>
      <c r="B262" s="130" cm="1">
        <f t="array" aca="1" ref="B262" ca="1">IFERROR(INDIRECT($B$2&amp;"!"&amp;C262&amp;D262),"")</f>
        <v>0</v>
      </c>
      <c r="C262" s="350" t="s">
        <v>116</v>
      </c>
      <c r="D262" s="351">
        <f t="shared" ca="1" si="23"/>
        <v>21</v>
      </c>
      <c r="F262" s="169" t="str">
        <f ca="1">IF(B262,"   "&amp;A262&amp;": [{type: 'required',message: '"&amp;B257&amp;" is required' }],","")</f>
        <v/>
      </c>
      <c r="G262" s="128"/>
      <c r="H262" s="128"/>
      <c r="I262" s="128"/>
      <c r="J262" s="128"/>
      <c r="K262" s="128"/>
      <c r="L262" s="128"/>
      <c r="M262" s="128"/>
    </row>
    <row r="263" spans="1:13" hidden="1">
      <c r="A263" s="150" t="str" cm="1">
        <f t="array" aca="1" ref="A263" ca="1">INDIRECT($B$2&amp;"!"&amp;C263&amp;"15")</f>
        <v>allowHiding</v>
      </c>
      <c r="B263" s="130" cm="1">
        <f t="array" aca="1" ref="B263" ca="1">IFERROR(INDIRECT($B$2&amp;"!"&amp;C263&amp;D263),"")</f>
        <v>0</v>
      </c>
      <c r="C263" s="360" t="s">
        <v>117</v>
      </c>
      <c r="D263" s="351">
        <f t="shared" ca="1" si="23"/>
        <v>21</v>
      </c>
      <c r="F263" s="169" t="str">
        <f ca="1">IF(OR(B263="",B263=0),"","   "&amp;A263&amp;": "&amp;B263&amp;",")</f>
        <v/>
      </c>
      <c r="G263" s="128"/>
      <c r="H263" s="128"/>
      <c r="I263" s="128"/>
      <c r="J263" s="128"/>
      <c r="K263" s="128"/>
      <c r="L263" s="128"/>
      <c r="M263" s="128"/>
    </row>
    <row r="264" spans="1:13" hidden="1">
      <c r="A264" s="150" t="str" cm="1">
        <f t="array" aca="1" ref="A264" ca="1">INDIRECT($B$2&amp;"!"&amp;C264&amp;"15")</f>
        <v>width</v>
      </c>
      <c r="B264" s="130" cm="1">
        <f t="array" aca="1" ref="B264" ca="1">IFERROR(INDIRECT($B$2&amp;"!"&amp;C264&amp;D264),"")</f>
        <v>0</v>
      </c>
      <c r="C264" s="360" t="s">
        <v>61</v>
      </c>
      <c r="D264" s="351">
        <f t="shared" ca="1" si="23"/>
        <v>21</v>
      </c>
      <c r="F264" s="169" t="str">
        <f ca="1">IF(OR(B264="",B264=0),"","   "&amp;A264&amp;": "&amp;B264&amp;",")</f>
        <v/>
      </c>
      <c r="G264" s="128"/>
      <c r="H264" s="128"/>
      <c r="I264" s="128"/>
      <c r="J264" s="128"/>
      <c r="K264" s="128"/>
      <c r="L264" s="128"/>
      <c r="M264" s="128"/>
    </row>
    <row r="265" spans="1:13" hidden="1">
      <c r="A265" s="150" t="str" cm="1">
        <f t="array" aca="1" ref="A265" ca="1">INDIRECT($B$2&amp;"!"&amp;C265&amp;"15")</f>
        <v>visible</v>
      </c>
      <c r="B265" s="323" t="str" cm="1">
        <f t="array" aca="1" ref="B265" ca="1">IFERROR(INDIRECT($B$2&amp;"!"&amp;C265&amp;D265),"")</f>
        <v/>
      </c>
      <c r="C265" s="360" t="s">
        <v>118</v>
      </c>
      <c r="D265" s="351">
        <f t="shared" ca="1" si="23"/>
        <v>21</v>
      </c>
      <c r="F265" s="126" t="str">
        <f ca="1">IF(OR(B265="",B265,B265=0),"","          "&amp;A265&amp;": "&amp;B265&amp;",")</f>
        <v/>
      </c>
      <c r="G265" s="128"/>
      <c r="H265" s="128"/>
      <c r="I265" s="128"/>
      <c r="J265" s="128"/>
      <c r="K265" s="128"/>
      <c r="L265" s="128"/>
      <c r="M265" s="128"/>
    </row>
    <row r="266" spans="1:13" hidden="1">
      <c r="A266" s="156" t="s">
        <v>1399</v>
      </c>
      <c r="B266" s="156"/>
      <c r="D266" s="351">
        <f t="shared" ca="1" si="23"/>
        <v>21</v>
      </c>
      <c r="F266" s="169" t="str">
        <f ca="1">IF(D265&gt;$O$2,"","},")</f>
        <v/>
      </c>
      <c r="G266" s="128"/>
      <c r="H266" s="128"/>
      <c r="I266" s="128"/>
      <c r="J266" s="128"/>
      <c r="K266" s="128"/>
      <c r="L266" s="128"/>
      <c r="M266" s="128"/>
    </row>
    <row r="267" spans="1:13" hidden="1">
      <c r="A267" s="475" t="s">
        <v>1400</v>
      </c>
      <c r="B267" s="130" cm="1">
        <f t="array" aca="1" ref="B267" ca="1">IFERROR(INDIRECT($B$2&amp;"!"&amp;C267&amp;D267),"")</f>
        <v>0</v>
      </c>
      <c r="C267" s="350" t="s">
        <v>97</v>
      </c>
      <c r="D267" s="351">
        <f ca="1">IF(D266&gt;$O$2,0,IF(A267="eNd",1,0))+D266</f>
        <v>21</v>
      </c>
      <c r="F267" s="169" t="str">
        <f ca="1">IF(OR(B267="",B267=0),"","{  "&amp;A267&amp;": "&amp;CHAR(34)&amp;$B267&amp;CHAR(34)&amp;",")</f>
        <v/>
      </c>
      <c r="G267" s="128"/>
      <c r="H267" s="128"/>
      <c r="I267" s="128"/>
      <c r="J267" s="128"/>
      <c r="K267" s="128"/>
      <c r="L267" s="128"/>
      <c r="M267" s="128"/>
    </row>
    <row r="268" spans="1:13" hidden="1">
      <c r="A268" s="150" t="str" cm="1">
        <f t="array" aca="1" ref="A268" ca="1">INDIRECT($B$2&amp;"!"&amp;C268&amp;"15")</f>
        <v>caption</v>
      </c>
      <c r="B268" s="130" t="str" cm="1">
        <f t="array" aca="1" ref="B268" ca="1">IFERROR(INDIRECT($B$2&amp;"!"&amp;C268&amp;D268),"")</f>
        <v/>
      </c>
      <c r="C268" s="350" t="s">
        <v>112</v>
      </c>
      <c r="D268" s="351">
        <f t="shared" ref="D268:D277" ca="1" si="24">IF(D267&gt;$O$2,0,IF(A268="eNd",1,0))+D267</f>
        <v>21</v>
      </c>
      <c r="F268" s="169" t="str">
        <f ca="1">IF(OR(B268="",B268=0),"","   "&amp;A268&amp;":"&amp;CHAR(34)&amp;B268&amp;CHAR(34)&amp;",")</f>
        <v/>
      </c>
      <c r="G268" s="128"/>
      <c r="H268" s="128"/>
      <c r="I268" s="128"/>
      <c r="J268" s="128"/>
      <c r="K268" s="128"/>
      <c r="L268" s="128"/>
      <c r="M268" s="128"/>
    </row>
    <row r="269" spans="1:13" hidden="1">
      <c r="A269" s="150" t="str" cm="1">
        <f t="array" aca="1" ref="A269" ca="1">INDIRECT($B$2&amp;"!"&amp;C269&amp;"15")</f>
        <v>sortOrder</v>
      </c>
      <c r="B269" s="130" t="str" cm="1">
        <f t="array" aca="1" ref="B269" ca="1">IFERROR(INDIRECT($B$2&amp;"!"&amp;C269&amp;D269),"")</f>
        <v/>
      </c>
      <c r="C269" s="350" t="s">
        <v>119</v>
      </c>
      <c r="D269" s="351">
        <f t="shared" ca="1" si="24"/>
        <v>21</v>
      </c>
      <c r="F269" s="169" t="str">
        <f ca="1">IF(OR(B269="",B269=0),"","   "&amp;A269&amp;":"&amp;CHAR(34)&amp;B269&amp;CHAR(34)&amp;",")</f>
        <v/>
      </c>
      <c r="G269" s="128"/>
      <c r="H269" s="128"/>
      <c r="I269" s="128"/>
      <c r="J269" s="128"/>
      <c r="K269" s="128"/>
      <c r="L269" s="128"/>
      <c r="M269" s="128"/>
    </row>
    <row r="270" spans="1:13" hidden="1">
      <c r="A270" s="150" t="str" cm="1">
        <f t="array" aca="1" ref="A270" ca="1">INDIRECT($B$2&amp;"!"&amp;C270&amp;"15")</f>
        <v>groupIndex</v>
      </c>
      <c r="B270" s="130" cm="1">
        <f t="array" aca="1" ref="B270" ca="1">IFERROR(INDIRECT($B$2&amp;"!"&amp;C270&amp;D270),"")</f>
        <v>0</v>
      </c>
      <c r="C270" s="355" t="s">
        <v>113</v>
      </c>
      <c r="D270" s="351">
        <f t="shared" ca="1" si="24"/>
        <v>21</v>
      </c>
      <c r="F270" s="126" t="str">
        <f ca="1">IF(OR(B270="",B270=0),"","            "&amp;A270&amp;": "&amp;B270-1&amp;",")</f>
        <v/>
      </c>
      <c r="G270" s="128"/>
      <c r="H270" s="128"/>
      <c r="I270" s="128"/>
      <c r="J270" s="128"/>
      <c r="K270" s="128"/>
      <c r="L270" s="128"/>
      <c r="M270" s="128"/>
    </row>
    <row r="271" spans="1:13" hidden="1">
      <c r="A271" s="150" t="str" cm="1">
        <f t="array" aca="1" ref="A271" ca="1">INDIRECT($B$2&amp;"!"&amp;C271&amp;"15")</f>
        <v>dataType</v>
      </c>
      <c r="B271" s="130" cm="1">
        <f t="array" aca="1" ref="B271" ca="1">IFERROR(INDIRECT($B$2&amp;"!"&amp;C271&amp;D271),"")</f>
        <v>0</v>
      </c>
      <c r="C271" s="355" t="s">
        <v>114</v>
      </c>
      <c r="D271" s="351">
        <f t="shared" ca="1" si="24"/>
        <v>21</v>
      </c>
      <c r="F271" s="169" t="str">
        <f ca="1">IF(OR(B271="",B271=0),"","   "&amp;A271&amp;":"&amp;CHAR(34)&amp;B271&amp;CHAR(34)&amp;",")</f>
        <v/>
      </c>
      <c r="G271" s="128"/>
      <c r="H271" s="128"/>
      <c r="I271" s="128"/>
      <c r="J271" s="128"/>
      <c r="K271" s="128"/>
      <c r="L271" s="128"/>
      <c r="M271" s="128"/>
    </row>
    <row r="272" spans="1:13" hidden="1">
      <c r="A272" s="150" t="str" cm="1">
        <f t="array" aca="1" ref="A272" ca="1">INDIRECT($B$2&amp;"!"&amp;C272&amp;"15")</f>
        <v>format</v>
      </c>
      <c r="B272" s="130" cm="1">
        <f t="array" aca="1" ref="B272" ca="1">IFERROR(INDIRECT($B$2&amp;"!"&amp;C272&amp;D272),"")</f>
        <v>0</v>
      </c>
      <c r="C272" s="355" t="s">
        <v>115</v>
      </c>
      <c r="D272" s="351">
        <f t="shared" ca="1" si="24"/>
        <v>21</v>
      </c>
      <c r="F272" s="169" t="str">
        <f ca="1">IF(OR(B272="",B272=0),"","   "&amp;A272&amp;":"&amp;IF(B272="fixedPoint",D271,CHAR(34)&amp;B272&amp;CHAR(34)&amp;","))</f>
        <v/>
      </c>
      <c r="G272" s="128"/>
      <c r="H272" s="128"/>
      <c r="I272" s="128"/>
      <c r="J272" s="128"/>
      <c r="K272" s="128"/>
      <c r="L272" s="128"/>
      <c r="M272" s="128"/>
    </row>
    <row r="273" spans="1:13" hidden="1">
      <c r="A273" s="150" t="str" cm="1">
        <f t="array" aca="1" ref="A273" ca="1">INDIRECT($B$2&amp;"!"&amp;C273&amp;"15")</f>
        <v>validationRules</v>
      </c>
      <c r="B273" s="130" cm="1">
        <f t="array" aca="1" ref="B273" ca="1">IFERROR(INDIRECT($B$2&amp;"!"&amp;C273&amp;D273),"")</f>
        <v>0</v>
      </c>
      <c r="C273" s="350" t="s">
        <v>116</v>
      </c>
      <c r="D273" s="351">
        <f t="shared" ca="1" si="24"/>
        <v>21</v>
      </c>
      <c r="F273" s="169" t="str">
        <f ca="1">IF(B273,"   "&amp;A273&amp;": [{type: 'required',message: '"&amp;B268&amp;" is required' }],","")</f>
        <v/>
      </c>
      <c r="G273" s="128"/>
      <c r="H273" s="128"/>
      <c r="I273" s="128"/>
      <c r="J273" s="128"/>
      <c r="K273" s="128"/>
      <c r="L273" s="128"/>
      <c r="M273" s="128"/>
    </row>
    <row r="274" spans="1:13" hidden="1">
      <c r="A274" s="150" t="str" cm="1">
        <f t="array" aca="1" ref="A274" ca="1">INDIRECT($B$2&amp;"!"&amp;C274&amp;"15")</f>
        <v>allowHiding</v>
      </c>
      <c r="B274" s="130" cm="1">
        <f t="array" aca="1" ref="B274" ca="1">IFERROR(INDIRECT($B$2&amp;"!"&amp;C274&amp;D274),"")</f>
        <v>0</v>
      </c>
      <c r="C274" s="360" t="s">
        <v>117</v>
      </c>
      <c r="D274" s="351">
        <f t="shared" ca="1" si="24"/>
        <v>21</v>
      </c>
      <c r="F274" s="169" t="str">
        <f ca="1">IF(OR(B274="",B274=0),"","   "&amp;A274&amp;": "&amp;B274&amp;",")</f>
        <v/>
      </c>
      <c r="G274" s="128"/>
      <c r="H274" s="128"/>
      <c r="I274" s="128"/>
      <c r="J274" s="128"/>
      <c r="K274" s="128"/>
      <c r="L274" s="128"/>
      <c r="M274" s="128"/>
    </row>
    <row r="275" spans="1:13" hidden="1">
      <c r="A275" s="150" t="str" cm="1">
        <f t="array" aca="1" ref="A275" ca="1">INDIRECT($B$2&amp;"!"&amp;C275&amp;"15")</f>
        <v>width</v>
      </c>
      <c r="B275" s="130" cm="1">
        <f t="array" aca="1" ref="B275" ca="1">IFERROR(INDIRECT($B$2&amp;"!"&amp;C275&amp;D275),"")</f>
        <v>0</v>
      </c>
      <c r="C275" s="360" t="s">
        <v>61</v>
      </c>
      <c r="D275" s="351">
        <f t="shared" ca="1" si="24"/>
        <v>21</v>
      </c>
      <c r="F275" s="169" t="str">
        <f ca="1">IF(OR(B275="",B275=0),"","   "&amp;A275&amp;": "&amp;B275&amp;",")</f>
        <v/>
      </c>
      <c r="G275" s="128"/>
      <c r="H275" s="128"/>
      <c r="I275" s="128"/>
      <c r="J275" s="128"/>
      <c r="K275" s="128"/>
      <c r="L275" s="128"/>
      <c r="M275" s="128"/>
    </row>
    <row r="276" spans="1:13" hidden="1">
      <c r="A276" s="150" t="str" cm="1">
        <f t="array" aca="1" ref="A276" ca="1">INDIRECT($B$2&amp;"!"&amp;C276&amp;"15")</f>
        <v>visible</v>
      </c>
      <c r="B276" s="323" t="str" cm="1">
        <f t="array" aca="1" ref="B276" ca="1">IFERROR(INDIRECT($B$2&amp;"!"&amp;C276&amp;D276),"")</f>
        <v/>
      </c>
      <c r="C276" s="360" t="s">
        <v>118</v>
      </c>
      <c r="D276" s="351">
        <f t="shared" ca="1" si="24"/>
        <v>21</v>
      </c>
      <c r="F276" s="126" t="str">
        <f ca="1">IF(OR(B276="",B276,B276=0),"","          "&amp;A276&amp;": "&amp;B276&amp;",")</f>
        <v/>
      </c>
      <c r="G276" s="128"/>
      <c r="H276" s="128"/>
      <c r="I276" s="128"/>
      <c r="J276" s="128"/>
      <c r="K276" s="128"/>
      <c r="L276" s="128"/>
      <c r="M276" s="128"/>
    </row>
    <row r="277" spans="1:13" hidden="1">
      <c r="A277" s="156" t="s">
        <v>1399</v>
      </c>
      <c r="B277" s="156"/>
      <c r="D277" s="351">
        <f t="shared" ca="1" si="24"/>
        <v>21</v>
      </c>
      <c r="F277" s="169" t="str">
        <f ca="1">IF(D276&gt;$O$2,"","},")</f>
        <v/>
      </c>
      <c r="G277" s="128"/>
      <c r="H277" s="128"/>
      <c r="I277" s="128"/>
      <c r="J277" s="128"/>
      <c r="K277" s="128"/>
      <c r="L277" s="128"/>
      <c r="M277" s="128"/>
    </row>
    <row r="278" spans="1:13" hidden="1">
      <c r="A278" s="475" t="s">
        <v>1400</v>
      </c>
      <c r="B278" s="130" cm="1">
        <f t="array" aca="1" ref="B278" ca="1">IFERROR(INDIRECT($B$2&amp;"!"&amp;C278&amp;D278),"")</f>
        <v>0</v>
      </c>
      <c r="C278" s="350" t="s">
        <v>97</v>
      </c>
      <c r="D278" s="351">
        <f ca="1">IF(D277&gt;$O$2,0,IF(A278="eNd",1,0))+D277</f>
        <v>21</v>
      </c>
      <c r="F278" s="169" t="str">
        <f ca="1">IF(OR(B278="",B278=0),"","{  "&amp;A278&amp;": "&amp;CHAR(34)&amp;$B278&amp;CHAR(34)&amp;",")</f>
        <v/>
      </c>
      <c r="G278" s="128"/>
      <c r="H278" s="128"/>
      <c r="I278" s="128"/>
      <c r="J278" s="128"/>
      <c r="K278" s="128"/>
      <c r="L278" s="128"/>
      <c r="M278" s="128"/>
    </row>
    <row r="279" spans="1:13" hidden="1">
      <c r="A279" s="150" t="str" cm="1">
        <f t="array" aca="1" ref="A279" ca="1">INDIRECT($B$2&amp;"!"&amp;C279&amp;"15")</f>
        <v>caption</v>
      </c>
      <c r="B279" s="130" t="str" cm="1">
        <f t="array" aca="1" ref="B279" ca="1">IFERROR(INDIRECT($B$2&amp;"!"&amp;C279&amp;D279),"")</f>
        <v/>
      </c>
      <c r="C279" s="350" t="s">
        <v>112</v>
      </c>
      <c r="D279" s="351">
        <f t="shared" ref="D279:D288" ca="1" si="25">IF(D278&gt;$O$2,0,IF(A279="eNd",1,0))+D278</f>
        <v>21</v>
      </c>
      <c r="F279" s="169" t="str">
        <f ca="1">IF(OR(B279="",B279=0),"","   "&amp;A279&amp;":"&amp;CHAR(34)&amp;B279&amp;CHAR(34)&amp;",")</f>
        <v/>
      </c>
      <c r="G279" s="128"/>
      <c r="H279" s="128"/>
      <c r="I279" s="128"/>
      <c r="J279" s="128"/>
      <c r="K279" s="128"/>
      <c r="L279" s="128"/>
      <c r="M279" s="128"/>
    </row>
    <row r="280" spans="1:13" hidden="1">
      <c r="A280" s="150" t="str" cm="1">
        <f t="array" aca="1" ref="A280" ca="1">INDIRECT($B$2&amp;"!"&amp;C280&amp;"15")</f>
        <v>sortOrder</v>
      </c>
      <c r="B280" s="130" t="str" cm="1">
        <f t="array" aca="1" ref="B280" ca="1">IFERROR(INDIRECT($B$2&amp;"!"&amp;C280&amp;D280),"")</f>
        <v/>
      </c>
      <c r="C280" s="350" t="s">
        <v>119</v>
      </c>
      <c r="D280" s="351">
        <f t="shared" ca="1" si="25"/>
        <v>21</v>
      </c>
      <c r="F280" s="169" t="str">
        <f ca="1">IF(OR(B280="",B280=0),"","   "&amp;A280&amp;":"&amp;CHAR(34)&amp;B280&amp;CHAR(34)&amp;",")</f>
        <v/>
      </c>
      <c r="G280" s="128"/>
      <c r="H280" s="128"/>
      <c r="I280" s="128"/>
      <c r="J280" s="128"/>
      <c r="K280" s="128"/>
      <c r="L280" s="128"/>
      <c r="M280" s="128"/>
    </row>
    <row r="281" spans="1:13" hidden="1">
      <c r="A281" s="150" t="str" cm="1">
        <f t="array" aca="1" ref="A281" ca="1">INDIRECT($B$2&amp;"!"&amp;C281&amp;"15")</f>
        <v>groupIndex</v>
      </c>
      <c r="B281" s="130" cm="1">
        <f t="array" aca="1" ref="B281" ca="1">IFERROR(INDIRECT($B$2&amp;"!"&amp;C281&amp;D281),"")</f>
        <v>0</v>
      </c>
      <c r="C281" s="355" t="s">
        <v>113</v>
      </c>
      <c r="D281" s="351">
        <f t="shared" ca="1" si="25"/>
        <v>21</v>
      </c>
      <c r="F281" s="126" t="str">
        <f ca="1">IF(OR(B281="",B281=0),"","            "&amp;A281&amp;": "&amp;B281-1&amp;",")</f>
        <v/>
      </c>
      <c r="G281" s="128"/>
      <c r="H281" s="128"/>
      <c r="I281" s="128"/>
      <c r="J281" s="128"/>
      <c r="K281" s="128"/>
      <c r="L281" s="128"/>
      <c r="M281" s="128"/>
    </row>
    <row r="282" spans="1:13" hidden="1">
      <c r="A282" s="150" t="str" cm="1">
        <f t="array" aca="1" ref="A282" ca="1">INDIRECT($B$2&amp;"!"&amp;C282&amp;"15")</f>
        <v>dataType</v>
      </c>
      <c r="B282" s="130" cm="1">
        <f t="array" aca="1" ref="B282" ca="1">IFERROR(INDIRECT($B$2&amp;"!"&amp;C282&amp;D282),"")</f>
        <v>0</v>
      </c>
      <c r="C282" s="355" t="s">
        <v>114</v>
      </c>
      <c r="D282" s="351">
        <f t="shared" ca="1" si="25"/>
        <v>21</v>
      </c>
      <c r="F282" s="169" t="str">
        <f ca="1">IF(OR(B282="",B282=0),"","   "&amp;A282&amp;":"&amp;CHAR(34)&amp;B282&amp;CHAR(34)&amp;",")</f>
        <v/>
      </c>
      <c r="G282" s="128"/>
      <c r="H282" s="128"/>
      <c r="I282" s="128"/>
      <c r="J282" s="128"/>
      <c r="K282" s="128"/>
      <c r="L282" s="128"/>
      <c r="M282" s="128"/>
    </row>
    <row r="283" spans="1:13" hidden="1">
      <c r="A283" s="150" t="str" cm="1">
        <f t="array" aca="1" ref="A283" ca="1">INDIRECT($B$2&amp;"!"&amp;C283&amp;"15")</f>
        <v>format</v>
      </c>
      <c r="B283" s="130" cm="1">
        <f t="array" aca="1" ref="B283" ca="1">IFERROR(INDIRECT($B$2&amp;"!"&amp;C283&amp;D283),"")</f>
        <v>0</v>
      </c>
      <c r="C283" s="355" t="s">
        <v>115</v>
      </c>
      <c r="D283" s="351">
        <f t="shared" ca="1" si="25"/>
        <v>21</v>
      </c>
      <c r="F283" s="169" t="str">
        <f ca="1">IF(OR(B283="",B283=0),"","   "&amp;A283&amp;":"&amp;IF(B283="fixedPoint",D282,CHAR(34)&amp;B283&amp;CHAR(34)&amp;","))</f>
        <v/>
      </c>
    </row>
    <row r="284" spans="1:13" hidden="1">
      <c r="A284" s="150" t="str" cm="1">
        <f t="array" aca="1" ref="A284" ca="1">INDIRECT($B$2&amp;"!"&amp;C284&amp;"15")</f>
        <v>validationRules</v>
      </c>
      <c r="B284" s="130" cm="1">
        <f t="array" aca="1" ref="B284" ca="1">IFERROR(INDIRECT($B$2&amp;"!"&amp;C284&amp;D284),"")</f>
        <v>0</v>
      </c>
      <c r="C284" s="350" t="s">
        <v>116</v>
      </c>
      <c r="D284" s="351">
        <f t="shared" ca="1" si="25"/>
        <v>21</v>
      </c>
      <c r="F284" s="169" t="str">
        <f ca="1">IF(B284,"   "&amp;A284&amp;": [{type: 'required',message: '"&amp;B279&amp;" is required' }],","")</f>
        <v/>
      </c>
    </row>
    <row r="285" spans="1:13" hidden="1">
      <c r="A285" s="150" t="str" cm="1">
        <f t="array" aca="1" ref="A285" ca="1">INDIRECT($B$2&amp;"!"&amp;C285&amp;"15")</f>
        <v>allowHiding</v>
      </c>
      <c r="B285" s="130" cm="1">
        <f t="array" aca="1" ref="B285" ca="1">IFERROR(INDIRECT($B$2&amp;"!"&amp;C285&amp;D285),"")</f>
        <v>0</v>
      </c>
      <c r="C285" s="360" t="s">
        <v>117</v>
      </c>
      <c r="D285" s="351">
        <f t="shared" ca="1" si="25"/>
        <v>21</v>
      </c>
      <c r="F285" s="169" t="str">
        <f ca="1">IF(OR(B285="",B285=0),"","   "&amp;A285&amp;": "&amp;B285&amp;",")</f>
        <v/>
      </c>
    </row>
    <row r="286" spans="1:13" hidden="1">
      <c r="A286" s="150" t="str" cm="1">
        <f t="array" aca="1" ref="A286" ca="1">INDIRECT($B$2&amp;"!"&amp;C286&amp;"15")</f>
        <v>width</v>
      </c>
      <c r="B286" s="130" cm="1">
        <f t="array" aca="1" ref="B286" ca="1">IFERROR(INDIRECT($B$2&amp;"!"&amp;C286&amp;D286),"")</f>
        <v>0</v>
      </c>
      <c r="C286" s="360" t="s">
        <v>61</v>
      </c>
      <c r="D286" s="351">
        <f t="shared" ca="1" si="25"/>
        <v>21</v>
      </c>
      <c r="F286" s="169" t="str">
        <f ca="1">IF(OR(B286="",B286=0),"","   "&amp;A286&amp;": "&amp;B286&amp;",")</f>
        <v/>
      </c>
    </row>
    <row r="287" spans="1:13" hidden="1">
      <c r="A287" s="150" t="str" cm="1">
        <f t="array" aca="1" ref="A287" ca="1">INDIRECT($B$2&amp;"!"&amp;C287&amp;"15")</f>
        <v>visible</v>
      </c>
      <c r="B287" s="323" t="str" cm="1">
        <f t="array" aca="1" ref="B287" ca="1">IFERROR(INDIRECT($B$2&amp;"!"&amp;C287&amp;D287),"")</f>
        <v/>
      </c>
      <c r="C287" s="360" t="s">
        <v>118</v>
      </c>
      <c r="D287" s="351">
        <f t="shared" ca="1" si="25"/>
        <v>21</v>
      </c>
      <c r="F287" s="126" t="str">
        <f ca="1">IF(OR(B287="",B287,B287=0),"","          "&amp;A287&amp;": "&amp;B287&amp;",")</f>
        <v/>
      </c>
    </row>
    <row r="288" spans="1:13" hidden="1">
      <c r="A288" s="156" t="s">
        <v>1399</v>
      </c>
      <c r="B288" s="156"/>
      <c r="D288" s="351">
        <f t="shared" ca="1" si="25"/>
        <v>21</v>
      </c>
      <c r="F288" s="169" t="str">
        <f ca="1">IF(D287&gt;$O$2,"","},")</f>
        <v/>
      </c>
    </row>
    <row r="289" spans="1:6" hidden="1">
      <c r="A289" s="475" t="s">
        <v>1400</v>
      </c>
      <c r="B289" s="130" cm="1">
        <f t="array" aca="1" ref="B289" ca="1">IFERROR(INDIRECT($B$2&amp;"!"&amp;C289&amp;D289),"")</f>
        <v>0</v>
      </c>
      <c r="C289" s="350" t="s">
        <v>97</v>
      </c>
      <c r="D289" s="351">
        <f ca="1">IF(D288&gt;$O$2,0,IF(A289="eNd",1,0))+D288</f>
        <v>21</v>
      </c>
      <c r="F289" s="169" t="str">
        <f ca="1">IF(OR(B289="",B289=0),"","{  "&amp;A289&amp;": "&amp;CHAR(34)&amp;$B289&amp;CHAR(34)&amp;",")</f>
        <v/>
      </c>
    </row>
    <row r="290" spans="1:6" hidden="1">
      <c r="A290" s="150" t="str" cm="1">
        <f t="array" aca="1" ref="A290" ca="1">INDIRECT($B$2&amp;"!"&amp;C290&amp;"15")</f>
        <v>caption</v>
      </c>
      <c r="B290" s="130" t="str" cm="1">
        <f t="array" aca="1" ref="B290" ca="1">IFERROR(INDIRECT($B$2&amp;"!"&amp;C290&amp;D290),"")</f>
        <v/>
      </c>
      <c r="C290" s="350" t="s">
        <v>112</v>
      </c>
      <c r="D290" s="351">
        <f t="shared" ref="D290:D299" ca="1" si="26">IF(D289&gt;$O$2,0,IF(A290="eNd",1,0))+D289</f>
        <v>21</v>
      </c>
      <c r="F290" s="169" t="str">
        <f ca="1">IF(OR(B290="",B290=0),"","   "&amp;A290&amp;":"&amp;CHAR(34)&amp;B290&amp;CHAR(34)&amp;",")</f>
        <v/>
      </c>
    </row>
    <row r="291" spans="1:6" hidden="1">
      <c r="A291" s="150" t="str" cm="1">
        <f t="array" aca="1" ref="A291" ca="1">INDIRECT($B$2&amp;"!"&amp;C291&amp;"15")</f>
        <v>sortOrder</v>
      </c>
      <c r="B291" s="130" t="str" cm="1">
        <f t="array" aca="1" ref="B291" ca="1">IFERROR(INDIRECT($B$2&amp;"!"&amp;C291&amp;D291),"")</f>
        <v/>
      </c>
      <c r="C291" s="350" t="s">
        <v>119</v>
      </c>
      <c r="D291" s="351">
        <f t="shared" ca="1" si="26"/>
        <v>21</v>
      </c>
      <c r="F291" s="169" t="str">
        <f ca="1">IF(OR(B291="",B291=0),"","   "&amp;A291&amp;":"&amp;CHAR(34)&amp;B291&amp;CHAR(34)&amp;",")</f>
        <v/>
      </c>
    </row>
    <row r="292" spans="1:6" hidden="1">
      <c r="A292" s="150" t="str" cm="1">
        <f t="array" aca="1" ref="A292" ca="1">INDIRECT($B$2&amp;"!"&amp;C292&amp;"15")</f>
        <v>groupIndex</v>
      </c>
      <c r="B292" s="130" cm="1">
        <f t="array" aca="1" ref="B292" ca="1">IFERROR(INDIRECT($B$2&amp;"!"&amp;C292&amp;D292),"")</f>
        <v>0</v>
      </c>
      <c r="C292" s="355" t="s">
        <v>113</v>
      </c>
      <c r="D292" s="351">
        <f t="shared" ca="1" si="26"/>
        <v>21</v>
      </c>
      <c r="F292" s="126" t="str">
        <f ca="1">IF(OR(B292="",B292=0),"","            "&amp;A292&amp;": "&amp;B292-1&amp;",")</f>
        <v/>
      </c>
    </row>
    <row r="293" spans="1:6" hidden="1">
      <c r="A293" s="150" t="str" cm="1">
        <f t="array" aca="1" ref="A293" ca="1">INDIRECT($B$2&amp;"!"&amp;C293&amp;"15")</f>
        <v>dataType</v>
      </c>
      <c r="B293" s="130" cm="1">
        <f t="array" aca="1" ref="B293" ca="1">IFERROR(INDIRECT($B$2&amp;"!"&amp;C293&amp;D293),"")</f>
        <v>0</v>
      </c>
      <c r="C293" s="355" t="s">
        <v>114</v>
      </c>
      <c r="D293" s="351">
        <f t="shared" ca="1" si="26"/>
        <v>21</v>
      </c>
      <c r="F293" s="169" t="str">
        <f ca="1">IF(OR(B293="",B293=0),"","   "&amp;A293&amp;":"&amp;CHAR(34)&amp;B293&amp;CHAR(34)&amp;",")</f>
        <v/>
      </c>
    </row>
    <row r="294" spans="1:6" hidden="1">
      <c r="A294" s="150" t="str" cm="1">
        <f t="array" aca="1" ref="A294" ca="1">INDIRECT($B$2&amp;"!"&amp;C294&amp;"15")</f>
        <v>format</v>
      </c>
      <c r="B294" s="130" cm="1">
        <f t="array" aca="1" ref="B294" ca="1">IFERROR(INDIRECT($B$2&amp;"!"&amp;C294&amp;D294),"")</f>
        <v>0</v>
      </c>
      <c r="C294" s="355" t="s">
        <v>115</v>
      </c>
      <c r="D294" s="351">
        <f t="shared" ca="1" si="26"/>
        <v>21</v>
      </c>
      <c r="F294" s="169" t="str">
        <f ca="1">IF(OR(B294="",B294=0),"","   "&amp;A294&amp;":"&amp;IF(B294="fixedPoint",D293,CHAR(34)&amp;B294&amp;CHAR(34)&amp;","))</f>
        <v/>
      </c>
    </row>
    <row r="295" spans="1:6" hidden="1">
      <c r="A295" s="150" t="str" cm="1">
        <f t="array" aca="1" ref="A295" ca="1">INDIRECT($B$2&amp;"!"&amp;C295&amp;"15")</f>
        <v>validationRules</v>
      </c>
      <c r="B295" s="130" cm="1">
        <f t="array" aca="1" ref="B295" ca="1">IFERROR(INDIRECT($B$2&amp;"!"&amp;C295&amp;D295),"")</f>
        <v>0</v>
      </c>
      <c r="C295" s="350" t="s">
        <v>116</v>
      </c>
      <c r="D295" s="351">
        <f t="shared" ca="1" si="26"/>
        <v>21</v>
      </c>
      <c r="F295" s="169" t="str">
        <f ca="1">IF(B295,"   "&amp;A295&amp;": [{type: 'required',message: '"&amp;B290&amp;" is required' }],","")</f>
        <v/>
      </c>
    </row>
    <row r="296" spans="1:6" hidden="1">
      <c r="A296" s="150" t="str" cm="1">
        <f t="array" aca="1" ref="A296" ca="1">INDIRECT($B$2&amp;"!"&amp;C296&amp;"15")</f>
        <v>allowHiding</v>
      </c>
      <c r="B296" s="130" cm="1">
        <f t="array" aca="1" ref="B296" ca="1">IFERROR(INDIRECT($B$2&amp;"!"&amp;C296&amp;D296),"")</f>
        <v>0</v>
      </c>
      <c r="C296" s="360" t="s">
        <v>117</v>
      </c>
      <c r="D296" s="351">
        <f t="shared" ca="1" si="26"/>
        <v>21</v>
      </c>
      <c r="F296" s="169" t="str">
        <f ca="1">IF(OR(B296="",B296=0),"","   "&amp;A296&amp;": "&amp;B296&amp;",")</f>
        <v/>
      </c>
    </row>
    <row r="297" spans="1:6" hidden="1">
      <c r="A297" s="150" t="str" cm="1">
        <f t="array" aca="1" ref="A297" ca="1">INDIRECT($B$2&amp;"!"&amp;C297&amp;"15")</f>
        <v>width</v>
      </c>
      <c r="B297" s="130" cm="1">
        <f t="array" aca="1" ref="B297" ca="1">IFERROR(INDIRECT($B$2&amp;"!"&amp;C297&amp;D297),"")</f>
        <v>0</v>
      </c>
      <c r="C297" s="360" t="s">
        <v>61</v>
      </c>
      <c r="D297" s="351">
        <f t="shared" ca="1" si="26"/>
        <v>21</v>
      </c>
      <c r="F297" s="169" t="str">
        <f ca="1">IF(OR(B297="",B297=0),"","   "&amp;A297&amp;": "&amp;B297&amp;",")</f>
        <v/>
      </c>
    </row>
    <row r="298" spans="1:6" hidden="1">
      <c r="A298" s="150" t="str" cm="1">
        <f t="array" aca="1" ref="A298" ca="1">INDIRECT($B$2&amp;"!"&amp;C298&amp;"15")</f>
        <v>visible</v>
      </c>
      <c r="B298" s="323" t="str" cm="1">
        <f t="array" aca="1" ref="B298" ca="1">IFERROR(INDIRECT($B$2&amp;"!"&amp;C298&amp;D298),"")</f>
        <v/>
      </c>
      <c r="C298" s="360" t="s">
        <v>118</v>
      </c>
      <c r="D298" s="351">
        <f t="shared" ca="1" si="26"/>
        <v>21</v>
      </c>
      <c r="F298" s="126" t="str">
        <f ca="1">IF(OR(B298="",B298,B298=0),"","          "&amp;A298&amp;": "&amp;B298&amp;",")</f>
        <v/>
      </c>
    </row>
    <row r="299" spans="1:6" hidden="1">
      <c r="A299" s="156" t="s">
        <v>1399</v>
      </c>
      <c r="B299" s="156"/>
      <c r="D299" s="351">
        <f t="shared" ca="1" si="26"/>
        <v>21</v>
      </c>
      <c r="F299" s="169" t="str">
        <f ca="1">IF(D298&gt;$O$2,"","},")</f>
        <v/>
      </c>
    </row>
    <row r="300" spans="1:6" hidden="1">
      <c r="A300" s="475" t="s">
        <v>1400</v>
      </c>
      <c r="B300" s="130" cm="1">
        <f t="array" aca="1" ref="B300" ca="1">IFERROR(INDIRECT($B$2&amp;"!"&amp;C300&amp;D300),"")</f>
        <v>0</v>
      </c>
      <c r="C300" s="350" t="s">
        <v>97</v>
      </c>
      <c r="D300" s="351">
        <f ca="1">IF(D299&gt;$O$2,0,IF(A300="eNd",1,0))+D299</f>
        <v>21</v>
      </c>
      <c r="F300" s="169" t="str">
        <f ca="1">IF(OR(B300="",B300=0),"","{  "&amp;A300&amp;": "&amp;CHAR(34)&amp;$B300&amp;CHAR(34)&amp;",")</f>
        <v/>
      </c>
    </row>
    <row r="301" spans="1:6" hidden="1">
      <c r="A301" s="150" t="str" cm="1">
        <f t="array" aca="1" ref="A301" ca="1">INDIRECT($B$2&amp;"!"&amp;C301&amp;"15")</f>
        <v>caption</v>
      </c>
      <c r="B301" s="130" t="str" cm="1">
        <f t="array" aca="1" ref="B301" ca="1">IFERROR(INDIRECT($B$2&amp;"!"&amp;C301&amp;D301),"")</f>
        <v/>
      </c>
      <c r="C301" s="350" t="s">
        <v>112</v>
      </c>
      <c r="D301" s="351">
        <f t="shared" ref="D301:D310" ca="1" si="27">IF(D300&gt;$O$2,0,IF(A301="eNd",1,0))+D300</f>
        <v>21</v>
      </c>
      <c r="F301" s="169" t="str">
        <f ca="1">IF(OR(B301="",B301=0),"","   "&amp;A301&amp;":"&amp;CHAR(34)&amp;B301&amp;CHAR(34)&amp;",")</f>
        <v/>
      </c>
    </row>
    <row r="302" spans="1:6" hidden="1">
      <c r="A302" s="150" t="str" cm="1">
        <f t="array" aca="1" ref="A302" ca="1">INDIRECT($B$2&amp;"!"&amp;C302&amp;"15")</f>
        <v>sortOrder</v>
      </c>
      <c r="B302" s="130" t="str" cm="1">
        <f t="array" aca="1" ref="B302" ca="1">IFERROR(INDIRECT($B$2&amp;"!"&amp;C302&amp;D302),"")</f>
        <v/>
      </c>
      <c r="C302" s="350" t="s">
        <v>119</v>
      </c>
      <c r="D302" s="351">
        <f t="shared" ca="1" si="27"/>
        <v>21</v>
      </c>
      <c r="F302" s="169" t="str">
        <f ca="1">IF(OR(B302="",B302=0),"","   "&amp;A302&amp;":"&amp;CHAR(34)&amp;B302&amp;CHAR(34)&amp;",")</f>
        <v/>
      </c>
    </row>
    <row r="303" spans="1:6" hidden="1">
      <c r="A303" s="150" t="str" cm="1">
        <f t="array" aca="1" ref="A303" ca="1">INDIRECT($B$2&amp;"!"&amp;C303&amp;"15")</f>
        <v>groupIndex</v>
      </c>
      <c r="B303" s="130" cm="1">
        <f t="array" aca="1" ref="B303" ca="1">IFERROR(INDIRECT($B$2&amp;"!"&amp;C303&amp;D303),"")</f>
        <v>0</v>
      </c>
      <c r="C303" s="355" t="s">
        <v>113</v>
      </c>
      <c r="D303" s="351">
        <f t="shared" ca="1" si="27"/>
        <v>21</v>
      </c>
      <c r="F303" s="126" t="str">
        <f ca="1">IF(OR(B303="",B303=0),"","            "&amp;A303&amp;": "&amp;B303-1&amp;",")</f>
        <v/>
      </c>
    </row>
    <row r="304" spans="1:6" hidden="1">
      <c r="A304" s="150" t="str" cm="1">
        <f t="array" aca="1" ref="A304" ca="1">INDIRECT($B$2&amp;"!"&amp;C304&amp;"15")</f>
        <v>dataType</v>
      </c>
      <c r="B304" s="130" cm="1">
        <f t="array" aca="1" ref="B304" ca="1">IFERROR(INDIRECT($B$2&amp;"!"&amp;C304&amp;D304),"")</f>
        <v>0</v>
      </c>
      <c r="C304" s="355" t="s">
        <v>114</v>
      </c>
      <c r="D304" s="351">
        <f t="shared" ca="1" si="27"/>
        <v>21</v>
      </c>
      <c r="F304" s="169" t="str">
        <f ca="1">IF(OR(B304="",B304=0),"","   "&amp;A304&amp;":"&amp;CHAR(34)&amp;B304&amp;CHAR(34)&amp;",")</f>
        <v/>
      </c>
    </row>
    <row r="305" spans="1:6" hidden="1">
      <c r="A305" s="150" t="str" cm="1">
        <f t="array" aca="1" ref="A305" ca="1">INDIRECT($B$2&amp;"!"&amp;C305&amp;"15")</f>
        <v>format</v>
      </c>
      <c r="B305" s="130" cm="1">
        <f t="array" aca="1" ref="B305" ca="1">IFERROR(INDIRECT($B$2&amp;"!"&amp;C305&amp;D305),"")</f>
        <v>0</v>
      </c>
      <c r="C305" s="355" t="s">
        <v>115</v>
      </c>
      <c r="D305" s="351">
        <f t="shared" ca="1" si="27"/>
        <v>21</v>
      </c>
      <c r="F305" s="169" t="str">
        <f ca="1">IF(OR(B305="",B305=0),"","   "&amp;A305&amp;":"&amp;IF(B305="fixedPoint",D304,CHAR(34)&amp;B305&amp;CHAR(34)&amp;","))</f>
        <v/>
      </c>
    </row>
    <row r="306" spans="1:6" hidden="1">
      <c r="A306" s="150" t="str" cm="1">
        <f t="array" aca="1" ref="A306" ca="1">INDIRECT($B$2&amp;"!"&amp;C306&amp;"15")</f>
        <v>validationRules</v>
      </c>
      <c r="B306" s="130" cm="1">
        <f t="array" aca="1" ref="B306" ca="1">IFERROR(INDIRECT($B$2&amp;"!"&amp;C306&amp;D306),"")</f>
        <v>0</v>
      </c>
      <c r="C306" s="350" t="s">
        <v>116</v>
      </c>
      <c r="D306" s="351">
        <f t="shared" ca="1" si="27"/>
        <v>21</v>
      </c>
      <c r="F306" s="169" t="str">
        <f ca="1">IF(B306,"   "&amp;A306&amp;": [{type: 'required',message: '"&amp;B301&amp;" is required' }],","")</f>
        <v/>
      </c>
    </row>
    <row r="307" spans="1:6" hidden="1">
      <c r="A307" s="150" t="str" cm="1">
        <f t="array" aca="1" ref="A307" ca="1">INDIRECT($B$2&amp;"!"&amp;C307&amp;"15")</f>
        <v>allowHiding</v>
      </c>
      <c r="B307" s="130" cm="1">
        <f t="array" aca="1" ref="B307" ca="1">IFERROR(INDIRECT($B$2&amp;"!"&amp;C307&amp;D307),"")</f>
        <v>0</v>
      </c>
      <c r="C307" s="360" t="s">
        <v>117</v>
      </c>
      <c r="D307" s="351">
        <f t="shared" ca="1" si="27"/>
        <v>21</v>
      </c>
      <c r="F307" s="169" t="str">
        <f ca="1">IF(OR(B307="",B307=0),"","   "&amp;A307&amp;": "&amp;B307&amp;",")</f>
        <v/>
      </c>
    </row>
    <row r="308" spans="1:6" hidden="1">
      <c r="A308" s="150" t="str" cm="1">
        <f t="array" aca="1" ref="A308" ca="1">INDIRECT($B$2&amp;"!"&amp;C308&amp;"15")</f>
        <v>width</v>
      </c>
      <c r="B308" s="130" cm="1">
        <f t="array" aca="1" ref="B308" ca="1">IFERROR(INDIRECT($B$2&amp;"!"&amp;C308&amp;D308),"")</f>
        <v>0</v>
      </c>
      <c r="C308" s="360" t="s">
        <v>61</v>
      </c>
      <c r="D308" s="351">
        <f t="shared" ca="1" si="27"/>
        <v>21</v>
      </c>
      <c r="F308" s="169" t="str">
        <f ca="1">IF(OR(B308="",B308=0),"","   "&amp;A308&amp;": "&amp;B308&amp;",")</f>
        <v/>
      </c>
    </row>
    <row r="309" spans="1:6" hidden="1">
      <c r="A309" s="150" t="str" cm="1">
        <f t="array" aca="1" ref="A309" ca="1">INDIRECT($B$2&amp;"!"&amp;C309&amp;"15")</f>
        <v>visible</v>
      </c>
      <c r="B309" s="323" t="str" cm="1">
        <f t="array" aca="1" ref="B309" ca="1">IFERROR(INDIRECT($B$2&amp;"!"&amp;C309&amp;D309),"")</f>
        <v/>
      </c>
      <c r="C309" s="360" t="s">
        <v>118</v>
      </c>
      <c r="D309" s="351">
        <f t="shared" ca="1" si="27"/>
        <v>21</v>
      </c>
      <c r="F309" s="126" t="str">
        <f ca="1">IF(OR(B309="",B309,B309=0),"","          "&amp;A309&amp;": "&amp;B309&amp;",")</f>
        <v/>
      </c>
    </row>
    <row r="310" spans="1:6" hidden="1">
      <c r="A310" s="156" t="s">
        <v>1399</v>
      </c>
      <c r="B310" s="156"/>
      <c r="D310" s="351">
        <f t="shared" ca="1" si="27"/>
        <v>21</v>
      </c>
      <c r="F310" s="169" t="str">
        <f ca="1">IF(D309&gt;$O$2,"","},")</f>
        <v/>
      </c>
    </row>
    <row r="311" spans="1:6" hidden="1">
      <c r="A311" s="475" t="s">
        <v>1400</v>
      </c>
      <c r="B311" s="130" cm="1">
        <f t="array" aca="1" ref="B311" ca="1">IFERROR(INDIRECT($B$2&amp;"!"&amp;C311&amp;D311),"")</f>
        <v>0</v>
      </c>
      <c r="C311" s="350" t="s">
        <v>97</v>
      </c>
      <c r="D311" s="351">
        <f ca="1">IF(D310&gt;$O$2,0,IF(A311="eNd",1,0))+D310</f>
        <v>21</v>
      </c>
      <c r="F311" s="169" t="str">
        <f ca="1">IF(OR(B311="",B311=0),"","{  "&amp;A311&amp;": "&amp;CHAR(34)&amp;$B311&amp;CHAR(34)&amp;",")</f>
        <v/>
      </c>
    </row>
    <row r="312" spans="1:6" hidden="1">
      <c r="A312" s="150" t="str" cm="1">
        <f t="array" aca="1" ref="A312" ca="1">INDIRECT($B$2&amp;"!"&amp;C312&amp;"15")</f>
        <v>caption</v>
      </c>
      <c r="B312" s="130" t="str" cm="1">
        <f t="array" aca="1" ref="B312" ca="1">IFERROR(INDIRECT($B$2&amp;"!"&amp;C312&amp;D312),"")</f>
        <v/>
      </c>
      <c r="C312" s="350" t="s">
        <v>112</v>
      </c>
      <c r="D312" s="351">
        <f t="shared" ref="D312:D321" ca="1" si="28">IF(D311&gt;$O$2,0,IF(A312="eNd",1,0))+D311</f>
        <v>21</v>
      </c>
      <c r="F312" s="169" t="str">
        <f ca="1">IF(OR(B312="",B312=0),"","   "&amp;A312&amp;":"&amp;CHAR(34)&amp;B312&amp;CHAR(34)&amp;",")</f>
        <v/>
      </c>
    </row>
    <row r="313" spans="1:6" hidden="1">
      <c r="A313" s="150" t="str" cm="1">
        <f t="array" aca="1" ref="A313" ca="1">INDIRECT($B$2&amp;"!"&amp;C313&amp;"15")</f>
        <v>sortOrder</v>
      </c>
      <c r="B313" s="130" t="str" cm="1">
        <f t="array" aca="1" ref="B313" ca="1">IFERROR(INDIRECT($B$2&amp;"!"&amp;C313&amp;D313),"")</f>
        <v/>
      </c>
      <c r="C313" s="350" t="s">
        <v>119</v>
      </c>
      <c r="D313" s="351">
        <f t="shared" ca="1" si="28"/>
        <v>21</v>
      </c>
      <c r="F313" s="169" t="str">
        <f ca="1">IF(OR(B313="",B313=0),"","   "&amp;A313&amp;":"&amp;CHAR(34)&amp;B313&amp;CHAR(34)&amp;",")</f>
        <v/>
      </c>
    </row>
    <row r="314" spans="1:6" hidden="1">
      <c r="A314" s="150" t="str" cm="1">
        <f t="array" aca="1" ref="A314" ca="1">INDIRECT($B$2&amp;"!"&amp;C314&amp;"15")</f>
        <v>groupIndex</v>
      </c>
      <c r="B314" s="130" cm="1">
        <f t="array" aca="1" ref="B314" ca="1">IFERROR(INDIRECT($B$2&amp;"!"&amp;C314&amp;D314),"")</f>
        <v>0</v>
      </c>
      <c r="C314" s="355" t="s">
        <v>113</v>
      </c>
      <c r="D314" s="351">
        <f t="shared" ca="1" si="28"/>
        <v>21</v>
      </c>
      <c r="F314" s="126" t="str">
        <f ca="1">IF(OR(B314="",B314=0),"","            "&amp;A314&amp;": "&amp;B314-1&amp;",")</f>
        <v/>
      </c>
    </row>
    <row r="315" spans="1:6" hidden="1">
      <c r="A315" s="150" t="str" cm="1">
        <f t="array" aca="1" ref="A315" ca="1">INDIRECT($B$2&amp;"!"&amp;C315&amp;"15")</f>
        <v>dataType</v>
      </c>
      <c r="B315" s="130" cm="1">
        <f t="array" aca="1" ref="B315" ca="1">IFERROR(INDIRECT($B$2&amp;"!"&amp;C315&amp;D315),"")</f>
        <v>0</v>
      </c>
      <c r="C315" s="355" t="s">
        <v>114</v>
      </c>
      <c r="D315" s="351">
        <f t="shared" ca="1" si="28"/>
        <v>21</v>
      </c>
      <c r="F315" s="169" t="str">
        <f ca="1">IF(OR(B315="",B315=0),"","   "&amp;A315&amp;":"&amp;CHAR(34)&amp;B315&amp;CHAR(34)&amp;",")</f>
        <v/>
      </c>
    </row>
    <row r="316" spans="1:6" hidden="1">
      <c r="A316" s="150" t="str" cm="1">
        <f t="array" aca="1" ref="A316" ca="1">INDIRECT($B$2&amp;"!"&amp;C316&amp;"15")</f>
        <v>format</v>
      </c>
      <c r="B316" s="130" cm="1">
        <f t="array" aca="1" ref="B316" ca="1">IFERROR(INDIRECT($B$2&amp;"!"&amp;C316&amp;D316),"")</f>
        <v>0</v>
      </c>
      <c r="C316" s="355" t="s">
        <v>115</v>
      </c>
      <c r="D316" s="351">
        <f t="shared" ca="1" si="28"/>
        <v>21</v>
      </c>
      <c r="F316" s="169" t="str">
        <f ca="1">IF(OR(B316="",B316=0),"","   "&amp;A316&amp;":"&amp;IF(B316="fixedPoint",D315,CHAR(34)&amp;B316&amp;CHAR(34)&amp;","))</f>
        <v/>
      </c>
    </row>
    <row r="317" spans="1:6" hidden="1">
      <c r="A317" s="150" t="str" cm="1">
        <f t="array" aca="1" ref="A317" ca="1">INDIRECT($B$2&amp;"!"&amp;C317&amp;"15")</f>
        <v>validationRules</v>
      </c>
      <c r="B317" s="130" cm="1">
        <f t="array" aca="1" ref="B317" ca="1">IFERROR(INDIRECT($B$2&amp;"!"&amp;C317&amp;D317),"")</f>
        <v>0</v>
      </c>
      <c r="C317" s="350" t="s">
        <v>116</v>
      </c>
      <c r="D317" s="351">
        <f t="shared" ca="1" si="28"/>
        <v>21</v>
      </c>
      <c r="F317" s="169" t="str">
        <f ca="1">IF(B317,"   "&amp;A317&amp;": [{type: 'required',message: '"&amp;B312&amp;" is required' }],","")</f>
        <v/>
      </c>
    </row>
    <row r="318" spans="1:6" hidden="1">
      <c r="A318" s="150" t="str" cm="1">
        <f t="array" aca="1" ref="A318" ca="1">INDIRECT($B$2&amp;"!"&amp;C318&amp;"15")</f>
        <v>allowHiding</v>
      </c>
      <c r="B318" s="130" cm="1">
        <f t="array" aca="1" ref="B318" ca="1">IFERROR(INDIRECT($B$2&amp;"!"&amp;C318&amp;D318),"")</f>
        <v>0</v>
      </c>
      <c r="C318" s="360" t="s">
        <v>117</v>
      </c>
      <c r="D318" s="351">
        <f t="shared" ca="1" si="28"/>
        <v>21</v>
      </c>
      <c r="F318" s="169" t="str">
        <f ca="1">IF(OR(B318="",B318=0),"","   "&amp;A318&amp;": "&amp;B318&amp;",")</f>
        <v/>
      </c>
    </row>
    <row r="319" spans="1:6" hidden="1">
      <c r="A319" s="150" t="str" cm="1">
        <f t="array" aca="1" ref="A319" ca="1">INDIRECT($B$2&amp;"!"&amp;C319&amp;"15")</f>
        <v>width</v>
      </c>
      <c r="B319" s="130" cm="1">
        <f t="array" aca="1" ref="B319" ca="1">IFERROR(INDIRECT($B$2&amp;"!"&amp;C319&amp;D319),"")</f>
        <v>0</v>
      </c>
      <c r="C319" s="360" t="s">
        <v>61</v>
      </c>
      <c r="D319" s="351">
        <f t="shared" ca="1" si="28"/>
        <v>21</v>
      </c>
      <c r="F319" s="169" t="str">
        <f ca="1">IF(OR(B319="",B319=0),"","   "&amp;A319&amp;": "&amp;B319&amp;",")</f>
        <v/>
      </c>
    </row>
    <row r="320" spans="1:6" hidden="1">
      <c r="A320" s="150" t="str" cm="1">
        <f t="array" aca="1" ref="A320" ca="1">INDIRECT($B$2&amp;"!"&amp;C320&amp;"15")</f>
        <v>visible</v>
      </c>
      <c r="B320" s="323" t="str" cm="1">
        <f t="array" aca="1" ref="B320" ca="1">IFERROR(INDIRECT($B$2&amp;"!"&amp;C320&amp;D320),"")</f>
        <v/>
      </c>
      <c r="C320" s="360" t="s">
        <v>118</v>
      </c>
      <c r="D320" s="351">
        <f t="shared" ca="1" si="28"/>
        <v>21</v>
      </c>
      <c r="F320" s="126" t="str">
        <f ca="1">IF(OR(B320="",B320,B320=0),"","          "&amp;A320&amp;": "&amp;B320&amp;",")</f>
        <v/>
      </c>
    </row>
    <row r="321" spans="1:6" hidden="1">
      <c r="A321" s="156" t="s">
        <v>1399</v>
      </c>
      <c r="B321" s="156"/>
      <c r="D321" s="351">
        <f t="shared" ca="1" si="28"/>
        <v>21</v>
      </c>
      <c r="F321" s="169" t="str">
        <f ca="1">IF(D320&gt;$O$2,"","},")</f>
        <v/>
      </c>
    </row>
    <row r="322" spans="1:6" hidden="1">
      <c r="A322" s="475" t="s">
        <v>1400</v>
      </c>
      <c r="B322" s="130" cm="1">
        <f t="array" aca="1" ref="B322" ca="1">IFERROR(INDIRECT($B$2&amp;"!"&amp;C322&amp;D322),"")</f>
        <v>0</v>
      </c>
      <c r="C322" s="350" t="s">
        <v>97</v>
      </c>
      <c r="D322" s="351">
        <f ca="1">IF(D321&gt;$O$2,0,IF(A322="eNd",1,0))+D321</f>
        <v>21</v>
      </c>
      <c r="F322" s="169" t="str">
        <f ca="1">IF(OR(B322="",B322=0),"","{  "&amp;A322&amp;": "&amp;CHAR(34)&amp;$B322&amp;CHAR(34)&amp;",")</f>
        <v/>
      </c>
    </row>
    <row r="323" spans="1:6" hidden="1">
      <c r="A323" s="150" t="str" cm="1">
        <f t="array" aca="1" ref="A323" ca="1">INDIRECT($B$2&amp;"!"&amp;C323&amp;"15")</f>
        <v>caption</v>
      </c>
      <c r="B323" s="130" t="str" cm="1">
        <f t="array" aca="1" ref="B323" ca="1">IFERROR(INDIRECT($B$2&amp;"!"&amp;C323&amp;D323),"")</f>
        <v/>
      </c>
      <c r="C323" s="350" t="s">
        <v>112</v>
      </c>
      <c r="D323" s="351">
        <f t="shared" ref="D323:D332" ca="1" si="29">IF(D322&gt;$O$2,0,IF(A323="eNd",1,0))+D322</f>
        <v>21</v>
      </c>
      <c r="F323" s="169" t="str">
        <f ca="1">IF(OR(B323="",B323=0),"","   "&amp;A323&amp;":"&amp;CHAR(34)&amp;B323&amp;CHAR(34)&amp;",")</f>
        <v/>
      </c>
    </row>
    <row r="324" spans="1:6" hidden="1">
      <c r="A324" s="150" t="str" cm="1">
        <f t="array" aca="1" ref="A324" ca="1">INDIRECT($B$2&amp;"!"&amp;C324&amp;"15")</f>
        <v>sortOrder</v>
      </c>
      <c r="B324" s="130" t="str" cm="1">
        <f t="array" aca="1" ref="B324" ca="1">IFERROR(INDIRECT($B$2&amp;"!"&amp;C324&amp;D324),"")</f>
        <v/>
      </c>
      <c r="C324" s="350" t="s">
        <v>119</v>
      </c>
      <c r="D324" s="351">
        <f t="shared" ca="1" si="29"/>
        <v>21</v>
      </c>
      <c r="F324" s="169" t="str">
        <f ca="1">IF(OR(B324="",B324=0),"","   "&amp;A324&amp;":"&amp;CHAR(34)&amp;B324&amp;CHAR(34)&amp;",")</f>
        <v/>
      </c>
    </row>
    <row r="325" spans="1:6" hidden="1">
      <c r="A325" s="150" t="str" cm="1">
        <f t="array" aca="1" ref="A325" ca="1">INDIRECT($B$2&amp;"!"&amp;C325&amp;"15")</f>
        <v>groupIndex</v>
      </c>
      <c r="B325" s="130" cm="1">
        <f t="array" aca="1" ref="B325" ca="1">IFERROR(INDIRECT($B$2&amp;"!"&amp;C325&amp;D325),"")</f>
        <v>0</v>
      </c>
      <c r="C325" s="355" t="s">
        <v>113</v>
      </c>
      <c r="D325" s="351">
        <f t="shared" ca="1" si="29"/>
        <v>21</v>
      </c>
      <c r="F325" s="126" t="str">
        <f ca="1">IF(OR(B325="",B325=0),"","            "&amp;A325&amp;": "&amp;B325-1&amp;",")</f>
        <v/>
      </c>
    </row>
    <row r="326" spans="1:6" hidden="1">
      <c r="A326" s="150" t="str" cm="1">
        <f t="array" aca="1" ref="A326" ca="1">INDIRECT($B$2&amp;"!"&amp;C326&amp;"15")</f>
        <v>dataType</v>
      </c>
      <c r="B326" s="130" cm="1">
        <f t="array" aca="1" ref="B326" ca="1">IFERROR(INDIRECT($B$2&amp;"!"&amp;C326&amp;D326),"")</f>
        <v>0</v>
      </c>
      <c r="C326" s="355" t="s">
        <v>114</v>
      </c>
      <c r="D326" s="351">
        <f t="shared" ca="1" si="29"/>
        <v>21</v>
      </c>
      <c r="F326" s="169" t="str">
        <f ca="1">IF(OR(B326="",B326=0),"","   "&amp;A326&amp;":"&amp;CHAR(34)&amp;B326&amp;CHAR(34)&amp;",")</f>
        <v/>
      </c>
    </row>
    <row r="327" spans="1:6" hidden="1">
      <c r="A327" s="150" t="str" cm="1">
        <f t="array" aca="1" ref="A327" ca="1">INDIRECT($B$2&amp;"!"&amp;C327&amp;"15")</f>
        <v>format</v>
      </c>
      <c r="B327" s="130" cm="1">
        <f t="array" aca="1" ref="B327" ca="1">IFERROR(INDIRECT($B$2&amp;"!"&amp;C327&amp;D327),"")</f>
        <v>0</v>
      </c>
      <c r="C327" s="355" t="s">
        <v>115</v>
      </c>
      <c r="D327" s="351">
        <f t="shared" ca="1" si="29"/>
        <v>21</v>
      </c>
      <c r="F327" s="169" t="str">
        <f ca="1">IF(OR(B327="",B327=0),"","   "&amp;A327&amp;":"&amp;IF(B327="fixedPoint",D326,CHAR(34)&amp;B327&amp;CHAR(34)&amp;","))</f>
        <v/>
      </c>
    </row>
    <row r="328" spans="1:6" hidden="1">
      <c r="A328" s="150" t="str" cm="1">
        <f t="array" aca="1" ref="A328" ca="1">INDIRECT($B$2&amp;"!"&amp;C328&amp;"15")</f>
        <v>validationRules</v>
      </c>
      <c r="B328" s="130" cm="1">
        <f t="array" aca="1" ref="B328" ca="1">IFERROR(INDIRECT($B$2&amp;"!"&amp;C328&amp;D328),"")</f>
        <v>0</v>
      </c>
      <c r="C328" s="350" t="s">
        <v>116</v>
      </c>
      <c r="D328" s="351">
        <f t="shared" ca="1" si="29"/>
        <v>21</v>
      </c>
      <c r="F328" s="169" t="str">
        <f ca="1">IF(B328,"   "&amp;A328&amp;": [{type: 'required',message: '"&amp;B323&amp;" is required' }],","")</f>
        <v/>
      </c>
    </row>
    <row r="329" spans="1:6" hidden="1">
      <c r="A329" s="150" t="str" cm="1">
        <f t="array" aca="1" ref="A329" ca="1">INDIRECT($B$2&amp;"!"&amp;C329&amp;"15")</f>
        <v>allowHiding</v>
      </c>
      <c r="B329" s="130" cm="1">
        <f t="array" aca="1" ref="B329" ca="1">IFERROR(INDIRECT($B$2&amp;"!"&amp;C329&amp;D329),"")</f>
        <v>0</v>
      </c>
      <c r="C329" s="360" t="s">
        <v>117</v>
      </c>
      <c r="D329" s="351">
        <f t="shared" ca="1" si="29"/>
        <v>21</v>
      </c>
      <c r="F329" s="169" t="str">
        <f ca="1">IF(OR(B329="",B329=0),"","   "&amp;A329&amp;": "&amp;B329&amp;",")</f>
        <v/>
      </c>
    </row>
    <row r="330" spans="1:6" hidden="1">
      <c r="A330" s="150" t="str" cm="1">
        <f t="array" aca="1" ref="A330" ca="1">INDIRECT($B$2&amp;"!"&amp;C330&amp;"15")</f>
        <v>width</v>
      </c>
      <c r="B330" s="130" cm="1">
        <f t="array" aca="1" ref="B330" ca="1">IFERROR(INDIRECT($B$2&amp;"!"&amp;C330&amp;D330),"")</f>
        <v>0</v>
      </c>
      <c r="C330" s="360" t="s">
        <v>61</v>
      </c>
      <c r="D330" s="351">
        <f t="shared" ca="1" si="29"/>
        <v>21</v>
      </c>
      <c r="F330" s="169" t="str">
        <f ca="1">IF(OR(B330="",B330=0),"","   "&amp;A330&amp;": "&amp;B330&amp;",")</f>
        <v/>
      </c>
    </row>
    <row r="331" spans="1:6" hidden="1">
      <c r="A331" s="150" t="str" cm="1">
        <f t="array" aca="1" ref="A331" ca="1">INDIRECT($B$2&amp;"!"&amp;C331&amp;"15")</f>
        <v>visible</v>
      </c>
      <c r="B331" s="323" t="str" cm="1">
        <f t="array" aca="1" ref="B331" ca="1">IFERROR(INDIRECT($B$2&amp;"!"&amp;C331&amp;D331),"")</f>
        <v/>
      </c>
      <c r="C331" s="360" t="s">
        <v>118</v>
      </c>
      <c r="D331" s="351">
        <f t="shared" ca="1" si="29"/>
        <v>21</v>
      </c>
      <c r="F331" s="126" t="str">
        <f ca="1">IF(OR(B331="",B331,B331=0),"","          "&amp;A331&amp;": "&amp;B331&amp;",")</f>
        <v/>
      </c>
    </row>
    <row r="332" spans="1:6" hidden="1">
      <c r="A332" s="156" t="s">
        <v>1399</v>
      </c>
      <c r="B332" s="156"/>
      <c r="D332" s="351">
        <f t="shared" ca="1" si="29"/>
        <v>21</v>
      </c>
      <c r="F332" s="169" t="str">
        <f ca="1">IF(D331&gt;$O$2,"","},")</f>
        <v/>
      </c>
    </row>
    <row r="333" spans="1:6" hidden="1">
      <c r="A333" s="475" t="s">
        <v>1400</v>
      </c>
      <c r="B333" s="130" cm="1">
        <f t="array" aca="1" ref="B333" ca="1">IFERROR(INDIRECT($B$2&amp;"!"&amp;C333&amp;D333),"")</f>
        <v>0</v>
      </c>
      <c r="C333" s="350" t="s">
        <v>97</v>
      </c>
      <c r="D333" s="351">
        <f ca="1">IF(D332&gt;$O$2,0,IF(A333="eNd",1,0))+D332</f>
        <v>21</v>
      </c>
      <c r="F333" s="169" t="str">
        <f ca="1">IF(OR(B333="",B333=0),"","{  "&amp;A333&amp;": "&amp;CHAR(34)&amp;$B333&amp;CHAR(34)&amp;",")</f>
        <v/>
      </c>
    </row>
    <row r="334" spans="1:6" hidden="1">
      <c r="A334" s="150" t="str" cm="1">
        <f t="array" aca="1" ref="A334" ca="1">INDIRECT($B$2&amp;"!"&amp;C334&amp;"15")</f>
        <v>caption</v>
      </c>
      <c r="B334" s="130" t="str" cm="1">
        <f t="array" aca="1" ref="B334" ca="1">IFERROR(INDIRECT($B$2&amp;"!"&amp;C334&amp;D334),"")</f>
        <v/>
      </c>
      <c r="C334" s="350" t="s">
        <v>112</v>
      </c>
      <c r="D334" s="351">
        <f t="shared" ref="D334:D343" ca="1" si="30">IF(D333&gt;$O$2,0,IF(A334="eNd",1,0))+D333</f>
        <v>21</v>
      </c>
      <c r="F334" s="169" t="str">
        <f ca="1">IF(OR(B334="",B334=0),"","   "&amp;A334&amp;":"&amp;CHAR(34)&amp;B334&amp;CHAR(34)&amp;",")</f>
        <v/>
      </c>
    </row>
    <row r="335" spans="1:6" hidden="1">
      <c r="A335" s="150" t="str" cm="1">
        <f t="array" aca="1" ref="A335" ca="1">INDIRECT($B$2&amp;"!"&amp;C335&amp;"15")</f>
        <v>sortOrder</v>
      </c>
      <c r="B335" s="130" t="str" cm="1">
        <f t="array" aca="1" ref="B335" ca="1">IFERROR(INDIRECT($B$2&amp;"!"&amp;C335&amp;D335),"")</f>
        <v/>
      </c>
      <c r="C335" s="350" t="s">
        <v>119</v>
      </c>
      <c r="D335" s="351">
        <f t="shared" ca="1" si="30"/>
        <v>21</v>
      </c>
      <c r="F335" s="169" t="str">
        <f ca="1">IF(OR(B335="",B335=0),"","   "&amp;A335&amp;":"&amp;CHAR(34)&amp;B335&amp;CHAR(34)&amp;",")</f>
        <v/>
      </c>
    </row>
    <row r="336" spans="1:6" hidden="1">
      <c r="A336" s="150" t="str" cm="1">
        <f t="array" aca="1" ref="A336" ca="1">INDIRECT($B$2&amp;"!"&amp;C336&amp;"15")</f>
        <v>groupIndex</v>
      </c>
      <c r="B336" s="130" cm="1">
        <f t="array" aca="1" ref="B336" ca="1">IFERROR(INDIRECT($B$2&amp;"!"&amp;C336&amp;D336),"")</f>
        <v>0</v>
      </c>
      <c r="C336" s="355" t="s">
        <v>113</v>
      </c>
      <c r="D336" s="351">
        <f t="shared" ca="1" si="30"/>
        <v>21</v>
      </c>
      <c r="F336" s="126" t="str">
        <f ca="1">IF(OR(B336="",B336=0),"","            "&amp;A336&amp;": "&amp;B336-1&amp;",")</f>
        <v/>
      </c>
    </row>
    <row r="337" spans="1:6" hidden="1">
      <c r="A337" s="150" t="str" cm="1">
        <f t="array" aca="1" ref="A337" ca="1">INDIRECT($B$2&amp;"!"&amp;C337&amp;"15")</f>
        <v>dataType</v>
      </c>
      <c r="B337" s="130" cm="1">
        <f t="array" aca="1" ref="B337" ca="1">IFERROR(INDIRECT($B$2&amp;"!"&amp;C337&amp;D337),"")</f>
        <v>0</v>
      </c>
      <c r="C337" s="355" t="s">
        <v>114</v>
      </c>
      <c r="D337" s="351">
        <f t="shared" ca="1" si="30"/>
        <v>21</v>
      </c>
      <c r="F337" s="169" t="str">
        <f ca="1">IF(OR(B337="",B337=0),"","   "&amp;A337&amp;":"&amp;CHAR(34)&amp;B337&amp;CHAR(34)&amp;",")</f>
        <v/>
      </c>
    </row>
    <row r="338" spans="1:6" hidden="1">
      <c r="A338" s="150" t="str" cm="1">
        <f t="array" aca="1" ref="A338" ca="1">INDIRECT($B$2&amp;"!"&amp;C338&amp;"15")</f>
        <v>format</v>
      </c>
      <c r="B338" s="130" cm="1">
        <f t="array" aca="1" ref="B338" ca="1">IFERROR(INDIRECT($B$2&amp;"!"&amp;C338&amp;D338),"")</f>
        <v>0</v>
      </c>
      <c r="C338" s="355" t="s">
        <v>115</v>
      </c>
      <c r="D338" s="351">
        <f t="shared" ca="1" si="30"/>
        <v>21</v>
      </c>
      <c r="F338" s="169" t="str">
        <f ca="1">IF(OR(B338="",B338=0),"","   "&amp;A338&amp;":"&amp;IF(B338="fixedPoint",D337,CHAR(34)&amp;B338&amp;CHAR(34)&amp;","))</f>
        <v/>
      </c>
    </row>
    <row r="339" spans="1:6" hidden="1">
      <c r="A339" s="150" t="str" cm="1">
        <f t="array" aca="1" ref="A339" ca="1">INDIRECT($B$2&amp;"!"&amp;C339&amp;"15")</f>
        <v>validationRules</v>
      </c>
      <c r="B339" s="130" cm="1">
        <f t="array" aca="1" ref="B339" ca="1">IFERROR(INDIRECT($B$2&amp;"!"&amp;C339&amp;D339),"")</f>
        <v>0</v>
      </c>
      <c r="C339" s="350" t="s">
        <v>116</v>
      </c>
      <c r="D339" s="351">
        <f t="shared" ca="1" si="30"/>
        <v>21</v>
      </c>
      <c r="F339" s="169" t="str">
        <f ca="1">IF(B339,"   "&amp;A339&amp;": [{type: 'required',message: '"&amp;B334&amp;" is required' }],","")</f>
        <v/>
      </c>
    </row>
    <row r="340" spans="1:6" hidden="1">
      <c r="A340" s="150" t="str" cm="1">
        <f t="array" aca="1" ref="A340" ca="1">INDIRECT($B$2&amp;"!"&amp;C340&amp;"15")</f>
        <v>allowHiding</v>
      </c>
      <c r="B340" s="130" cm="1">
        <f t="array" aca="1" ref="B340" ca="1">IFERROR(INDIRECT($B$2&amp;"!"&amp;C340&amp;D340),"")</f>
        <v>0</v>
      </c>
      <c r="C340" s="360" t="s">
        <v>117</v>
      </c>
      <c r="D340" s="351">
        <f t="shared" ca="1" si="30"/>
        <v>21</v>
      </c>
      <c r="F340" s="169" t="str">
        <f ca="1">IF(OR(B340="",B340=0),"","   "&amp;A340&amp;": "&amp;B340&amp;",")</f>
        <v/>
      </c>
    </row>
    <row r="341" spans="1:6" hidden="1">
      <c r="A341" s="150" t="str" cm="1">
        <f t="array" aca="1" ref="A341" ca="1">INDIRECT($B$2&amp;"!"&amp;C341&amp;"15")</f>
        <v>width</v>
      </c>
      <c r="B341" s="130" cm="1">
        <f t="array" aca="1" ref="B341" ca="1">IFERROR(INDIRECT($B$2&amp;"!"&amp;C341&amp;D341),"")</f>
        <v>0</v>
      </c>
      <c r="C341" s="360" t="s">
        <v>61</v>
      </c>
      <c r="D341" s="351">
        <f t="shared" ca="1" si="30"/>
        <v>21</v>
      </c>
      <c r="F341" s="169" t="str">
        <f ca="1">IF(OR(B341="",B341=0),"","   "&amp;A341&amp;": "&amp;B341&amp;",")</f>
        <v/>
      </c>
    </row>
    <row r="342" spans="1:6" hidden="1">
      <c r="A342" s="150" t="str" cm="1">
        <f t="array" aca="1" ref="A342" ca="1">INDIRECT($B$2&amp;"!"&amp;C342&amp;"15")</f>
        <v>visible</v>
      </c>
      <c r="B342" s="323" t="str" cm="1">
        <f t="array" aca="1" ref="B342" ca="1">IFERROR(INDIRECT($B$2&amp;"!"&amp;C342&amp;D342),"")</f>
        <v/>
      </c>
      <c r="C342" s="360" t="s">
        <v>118</v>
      </c>
      <c r="D342" s="351">
        <f t="shared" ca="1" si="30"/>
        <v>21</v>
      </c>
      <c r="F342" s="126" t="str">
        <f ca="1">IF(OR(B342="",B342,B342=0),"","          "&amp;A342&amp;": "&amp;B342&amp;",")</f>
        <v/>
      </c>
    </row>
    <row r="343" spans="1:6" hidden="1">
      <c r="A343" s="156" t="s">
        <v>1399</v>
      </c>
      <c r="B343" s="156"/>
      <c r="D343" s="351">
        <f t="shared" ca="1" si="30"/>
        <v>21</v>
      </c>
      <c r="F343" s="169" t="str">
        <f ca="1">IF(D342&gt;$O$2,"","},")</f>
        <v/>
      </c>
    </row>
    <row r="344" spans="1:6" hidden="1">
      <c r="A344" s="475" t="s">
        <v>1400</v>
      </c>
      <c r="B344" s="130" cm="1">
        <f t="array" aca="1" ref="B344" ca="1">IFERROR(INDIRECT($B$2&amp;"!"&amp;C344&amp;D344),"")</f>
        <v>0</v>
      </c>
      <c r="C344" s="350" t="s">
        <v>97</v>
      </c>
      <c r="D344" s="351">
        <f ca="1">IF(D343&gt;$O$2,0,IF(A344="eNd",1,0))+D343</f>
        <v>21</v>
      </c>
      <c r="F344" s="169" t="str">
        <f ca="1">IF(OR(B344="",B344=0),"","{  "&amp;A344&amp;": "&amp;CHAR(34)&amp;$B344&amp;CHAR(34)&amp;",")</f>
        <v/>
      </c>
    </row>
    <row r="345" spans="1:6" hidden="1">
      <c r="A345" s="150" t="str" cm="1">
        <f t="array" aca="1" ref="A345" ca="1">INDIRECT($B$2&amp;"!"&amp;C345&amp;"15")</f>
        <v>caption</v>
      </c>
      <c r="B345" s="130" t="str" cm="1">
        <f t="array" aca="1" ref="B345" ca="1">IFERROR(INDIRECT($B$2&amp;"!"&amp;C345&amp;D345),"")</f>
        <v/>
      </c>
      <c r="C345" s="350" t="s">
        <v>112</v>
      </c>
      <c r="D345" s="351">
        <f t="shared" ref="D345:D354" ca="1" si="31">IF(D344&gt;$O$2,0,IF(A345="eNd",1,0))+D344</f>
        <v>21</v>
      </c>
      <c r="F345" s="169" t="str">
        <f ca="1">IF(OR(B345="",B345=0),"","   "&amp;A345&amp;":"&amp;CHAR(34)&amp;B345&amp;CHAR(34)&amp;",")</f>
        <v/>
      </c>
    </row>
    <row r="346" spans="1:6" hidden="1">
      <c r="A346" s="150" t="str" cm="1">
        <f t="array" aca="1" ref="A346" ca="1">INDIRECT($B$2&amp;"!"&amp;C346&amp;"15")</f>
        <v>sortOrder</v>
      </c>
      <c r="B346" s="130" t="str" cm="1">
        <f t="array" aca="1" ref="B346" ca="1">IFERROR(INDIRECT($B$2&amp;"!"&amp;C346&amp;D346),"")</f>
        <v/>
      </c>
      <c r="C346" s="350" t="s">
        <v>119</v>
      </c>
      <c r="D346" s="351">
        <f t="shared" ca="1" si="31"/>
        <v>21</v>
      </c>
      <c r="F346" s="169" t="str">
        <f ca="1">IF(OR(B346="",B346=0),"","   "&amp;A346&amp;":"&amp;CHAR(34)&amp;B346&amp;CHAR(34)&amp;",")</f>
        <v/>
      </c>
    </row>
    <row r="347" spans="1:6" hidden="1">
      <c r="A347" s="150" t="str" cm="1">
        <f t="array" aca="1" ref="A347" ca="1">INDIRECT($B$2&amp;"!"&amp;C347&amp;"15")</f>
        <v>groupIndex</v>
      </c>
      <c r="B347" s="130" cm="1">
        <f t="array" aca="1" ref="B347" ca="1">IFERROR(INDIRECT($B$2&amp;"!"&amp;C347&amp;D347),"")</f>
        <v>0</v>
      </c>
      <c r="C347" s="355" t="s">
        <v>113</v>
      </c>
      <c r="D347" s="351">
        <f t="shared" ca="1" si="31"/>
        <v>21</v>
      </c>
      <c r="F347" s="126" t="str">
        <f ca="1">IF(OR(B347="",B347=0),"","            "&amp;A347&amp;": "&amp;B347-1&amp;",")</f>
        <v/>
      </c>
    </row>
    <row r="348" spans="1:6" hidden="1">
      <c r="A348" s="150" t="str" cm="1">
        <f t="array" aca="1" ref="A348" ca="1">INDIRECT($B$2&amp;"!"&amp;C348&amp;"15")</f>
        <v>dataType</v>
      </c>
      <c r="B348" s="130" cm="1">
        <f t="array" aca="1" ref="B348" ca="1">IFERROR(INDIRECT($B$2&amp;"!"&amp;C348&amp;D348),"")</f>
        <v>0</v>
      </c>
      <c r="C348" s="355" t="s">
        <v>114</v>
      </c>
      <c r="D348" s="351">
        <f t="shared" ca="1" si="31"/>
        <v>21</v>
      </c>
      <c r="F348" s="169" t="str">
        <f ca="1">IF(OR(B348="",B348=0),"","   "&amp;A348&amp;":"&amp;CHAR(34)&amp;B348&amp;CHAR(34)&amp;",")</f>
        <v/>
      </c>
    </row>
    <row r="349" spans="1:6" hidden="1">
      <c r="A349" s="150" t="str" cm="1">
        <f t="array" aca="1" ref="A349" ca="1">INDIRECT($B$2&amp;"!"&amp;C349&amp;"15")</f>
        <v>format</v>
      </c>
      <c r="B349" s="130" cm="1">
        <f t="array" aca="1" ref="B349" ca="1">IFERROR(INDIRECT($B$2&amp;"!"&amp;C349&amp;D349),"")</f>
        <v>0</v>
      </c>
      <c r="C349" s="355" t="s">
        <v>115</v>
      </c>
      <c r="D349" s="351">
        <f t="shared" ca="1" si="31"/>
        <v>21</v>
      </c>
      <c r="F349" s="169" t="str">
        <f ca="1">IF(OR(B349="",B349=0),"","   "&amp;A349&amp;":"&amp;IF(B349="fixedPoint",D348,CHAR(34)&amp;B349&amp;CHAR(34)&amp;","))</f>
        <v/>
      </c>
    </row>
    <row r="350" spans="1:6" hidden="1">
      <c r="A350" s="150" t="str" cm="1">
        <f t="array" aca="1" ref="A350" ca="1">INDIRECT($B$2&amp;"!"&amp;C350&amp;"15")</f>
        <v>validationRules</v>
      </c>
      <c r="B350" s="130" cm="1">
        <f t="array" aca="1" ref="B350" ca="1">IFERROR(INDIRECT($B$2&amp;"!"&amp;C350&amp;D350),"")</f>
        <v>0</v>
      </c>
      <c r="C350" s="350" t="s">
        <v>116</v>
      </c>
      <c r="D350" s="351">
        <f t="shared" ca="1" si="31"/>
        <v>21</v>
      </c>
      <c r="F350" s="169" t="str">
        <f ca="1">IF(B350,"   "&amp;A350&amp;": [{type: 'required',message: '"&amp;B345&amp;" is required' }],","")</f>
        <v/>
      </c>
    </row>
    <row r="351" spans="1:6" hidden="1">
      <c r="A351" s="150" t="str" cm="1">
        <f t="array" aca="1" ref="A351" ca="1">INDIRECT($B$2&amp;"!"&amp;C351&amp;"15")</f>
        <v>allowHiding</v>
      </c>
      <c r="B351" s="130" cm="1">
        <f t="array" aca="1" ref="B351" ca="1">IFERROR(INDIRECT($B$2&amp;"!"&amp;C351&amp;D351),"")</f>
        <v>0</v>
      </c>
      <c r="C351" s="360" t="s">
        <v>117</v>
      </c>
      <c r="D351" s="351">
        <f t="shared" ca="1" si="31"/>
        <v>21</v>
      </c>
      <c r="F351" s="169" t="str">
        <f ca="1">IF(OR(B351="",B351=0),"","   "&amp;A351&amp;": "&amp;B351&amp;",")</f>
        <v/>
      </c>
    </row>
    <row r="352" spans="1:6" hidden="1">
      <c r="A352" s="150" t="str" cm="1">
        <f t="array" aca="1" ref="A352" ca="1">INDIRECT($B$2&amp;"!"&amp;C352&amp;"15")</f>
        <v>width</v>
      </c>
      <c r="B352" s="130" cm="1">
        <f t="array" aca="1" ref="B352" ca="1">IFERROR(INDIRECT($B$2&amp;"!"&amp;C352&amp;D352),"")</f>
        <v>0</v>
      </c>
      <c r="C352" s="360" t="s">
        <v>61</v>
      </c>
      <c r="D352" s="351">
        <f t="shared" ca="1" si="31"/>
        <v>21</v>
      </c>
      <c r="F352" s="169" t="str">
        <f ca="1">IF(OR(B352="",B352=0),"","   "&amp;A352&amp;": "&amp;B352&amp;",")</f>
        <v/>
      </c>
    </row>
    <row r="353" spans="1:6" hidden="1">
      <c r="A353" s="150" t="str" cm="1">
        <f t="array" aca="1" ref="A353" ca="1">INDIRECT($B$2&amp;"!"&amp;C353&amp;"15")</f>
        <v>visible</v>
      </c>
      <c r="B353" s="323" t="str" cm="1">
        <f t="array" aca="1" ref="B353" ca="1">IFERROR(INDIRECT($B$2&amp;"!"&amp;C353&amp;D353),"")</f>
        <v/>
      </c>
      <c r="C353" s="360" t="s">
        <v>118</v>
      </c>
      <c r="D353" s="351">
        <f t="shared" ca="1" si="31"/>
        <v>21</v>
      </c>
      <c r="F353" s="126" t="str">
        <f ca="1">IF(OR(B353="",B353,B353=0),"","          "&amp;A353&amp;": "&amp;B353&amp;",")</f>
        <v/>
      </c>
    </row>
    <row r="354" spans="1:6" hidden="1">
      <c r="A354" s="156" t="s">
        <v>1399</v>
      </c>
      <c r="B354" s="156"/>
      <c r="D354" s="351">
        <f t="shared" ca="1" si="31"/>
        <v>21</v>
      </c>
      <c r="F354" s="169" t="str">
        <f ca="1">IF(D353&gt;$O$2,"","},")</f>
        <v/>
      </c>
    </row>
    <row r="355" spans="1:6" hidden="1">
      <c r="A355" s="475" t="s">
        <v>1400</v>
      </c>
      <c r="B355" s="130" cm="1">
        <f t="array" aca="1" ref="B355" ca="1">IFERROR(INDIRECT($B$2&amp;"!"&amp;C355&amp;D355),"")</f>
        <v>0</v>
      </c>
      <c r="C355" s="350" t="s">
        <v>97</v>
      </c>
      <c r="D355" s="351">
        <f ca="1">IF(D354&gt;$O$2,0,IF(A355="eNd",1,0))+D354</f>
        <v>21</v>
      </c>
      <c r="F355" s="169" t="str">
        <f ca="1">IF(OR(B355="",B355=0),"","{  "&amp;A355&amp;": "&amp;CHAR(34)&amp;$B355&amp;CHAR(34)&amp;",")</f>
        <v/>
      </c>
    </row>
    <row r="356" spans="1:6" hidden="1">
      <c r="A356" s="150" t="str" cm="1">
        <f t="array" aca="1" ref="A356" ca="1">INDIRECT($B$2&amp;"!"&amp;C356&amp;"15")</f>
        <v>caption</v>
      </c>
      <c r="B356" s="130" t="str" cm="1">
        <f t="array" aca="1" ref="B356" ca="1">IFERROR(INDIRECT($B$2&amp;"!"&amp;C356&amp;D356),"")</f>
        <v/>
      </c>
      <c r="C356" s="350" t="s">
        <v>112</v>
      </c>
      <c r="D356" s="351">
        <f t="shared" ref="D356:D365" ca="1" si="32">IF(D355&gt;$O$2,0,IF(A356="eNd",1,0))+D355</f>
        <v>21</v>
      </c>
      <c r="F356" s="169" t="str">
        <f ca="1">IF(OR(B356="",B356=0),"","   "&amp;A356&amp;":"&amp;CHAR(34)&amp;B356&amp;CHAR(34)&amp;",")</f>
        <v/>
      </c>
    </row>
    <row r="357" spans="1:6" hidden="1">
      <c r="A357" s="150" t="str" cm="1">
        <f t="array" aca="1" ref="A357" ca="1">INDIRECT($B$2&amp;"!"&amp;C357&amp;"15")</f>
        <v>sortOrder</v>
      </c>
      <c r="B357" s="130" t="str" cm="1">
        <f t="array" aca="1" ref="B357" ca="1">IFERROR(INDIRECT($B$2&amp;"!"&amp;C357&amp;D357),"")</f>
        <v/>
      </c>
      <c r="C357" s="350" t="s">
        <v>119</v>
      </c>
      <c r="D357" s="351">
        <f t="shared" ca="1" si="32"/>
        <v>21</v>
      </c>
      <c r="F357" s="169" t="str">
        <f ca="1">IF(OR(B357="",B357=0),"","   "&amp;A357&amp;":"&amp;CHAR(34)&amp;B357&amp;CHAR(34)&amp;",")</f>
        <v/>
      </c>
    </row>
    <row r="358" spans="1:6" hidden="1">
      <c r="A358" s="150" t="str" cm="1">
        <f t="array" aca="1" ref="A358" ca="1">INDIRECT($B$2&amp;"!"&amp;C358&amp;"15")</f>
        <v>groupIndex</v>
      </c>
      <c r="B358" s="130" cm="1">
        <f t="array" aca="1" ref="B358" ca="1">IFERROR(INDIRECT($B$2&amp;"!"&amp;C358&amp;D358),"")</f>
        <v>0</v>
      </c>
      <c r="C358" s="355" t="s">
        <v>113</v>
      </c>
      <c r="D358" s="351">
        <f t="shared" ca="1" si="32"/>
        <v>21</v>
      </c>
      <c r="F358" s="126" t="str">
        <f ca="1">IF(OR(B358="",B358=0),"","            "&amp;A358&amp;": "&amp;B358-1&amp;",")</f>
        <v/>
      </c>
    </row>
    <row r="359" spans="1:6" hidden="1">
      <c r="A359" s="150" t="str" cm="1">
        <f t="array" aca="1" ref="A359" ca="1">INDIRECT($B$2&amp;"!"&amp;C359&amp;"15")</f>
        <v>dataType</v>
      </c>
      <c r="B359" s="130" cm="1">
        <f t="array" aca="1" ref="B359" ca="1">IFERROR(INDIRECT($B$2&amp;"!"&amp;C359&amp;D359),"")</f>
        <v>0</v>
      </c>
      <c r="C359" s="355" t="s">
        <v>114</v>
      </c>
      <c r="D359" s="351">
        <f t="shared" ca="1" si="32"/>
        <v>21</v>
      </c>
      <c r="F359" s="169" t="str">
        <f ca="1">IF(OR(B359="",B359=0),"","   "&amp;A359&amp;":"&amp;CHAR(34)&amp;B359&amp;CHAR(34)&amp;",")</f>
        <v/>
      </c>
    </row>
    <row r="360" spans="1:6" hidden="1">
      <c r="A360" s="150" t="str" cm="1">
        <f t="array" aca="1" ref="A360" ca="1">INDIRECT($B$2&amp;"!"&amp;C360&amp;"15")</f>
        <v>format</v>
      </c>
      <c r="B360" s="130" cm="1">
        <f t="array" aca="1" ref="B360" ca="1">IFERROR(INDIRECT($B$2&amp;"!"&amp;C360&amp;D360),"")</f>
        <v>0</v>
      </c>
      <c r="C360" s="355" t="s">
        <v>115</v>
      </c>
      <c r="D360" s="351">
        <f t="shared" ca="1" si="32"/>
        <v>21</v>
      </c>
      <c r="F360" s="169" t="str">
        <f ca="1">IF(OR(B360="",B360=0),"","   "&amp;A360&amp;":"&amp;IF(B360="fixedPoint",D359,CHAR(34)&amp;B360&amp;CHAR(34)&amp;","))</f>
        <v/>
      </c>
    </row>
    <row r="361" spans="1:6" hidden="1">
      <c r="A361" s="150" t="str" cm="1">
        <f t="array" aca="1" ref="A361" ca="1">INDIRECT($B$2&amp;"!"&amp;C361&amp;"15")</f>
        <v>validationRules</v>
      </c>
      <c r="B361" s="130" cm="1">
        <f t="array" aca="1" ref="B361" ca="1">IFERROR(INDIRECT($B$2&amp;"!"&amp;C361&amp;D361),"")</f>
        <v>0</v>
      </c>
      <c r="C361" s="350" t="s">
        <v>116</v>
      </c>
      <c r="D361" s="351">
        <f t="shared" ca="1" si="32"/>
        <v>21</v>
      </c>
      <c r="F361" s="169" t="str">
        <f ca="1">IF(B361,"   "&amp;A361&amp;": [{type: 'required',message: '"&amp;B356&amp;" is required' }],","")</f>
        <v/>
      </c>
    </row>
    <row r="362" spans="1:6" hidden="1">
      <c r="A362" s="150" t="str" cm="1">
        <f t="array" aca="1" ref="A362" ca="1">INDIRECT($B$2&amp;"!"&amp;C362&amp;"15")</f>
        <v>allowHiding</v>
      </c>
      <c r="B362" s="130" cm="1">
        <f t="array" aca="1" ref="B362" ca="1">IFERROR(INDIRECT($B$2&amp;"!"&amp;C362&amp;D362),"")</f>
        <v>0</v>
      </c>
      <c r="C362" s="360" t="s">
        <v>117</v>
      </c>
      <c r="D362" s="351">
        <f t="shared" ca="1" si="32"/>
        <v>21</v>
      </c>
      <c r="F362" s="169" t="str">
        <f ca="1">IF(OR(B362="",B362=0),"","   "&amp;A362&amp;": "&amp;B362&amp;",")</f>
        <v/>
      </c>
    </row>
    <row r="363" spans="1:6" hidden="1">
      <c r="A363" s="150" t="str" cm="1">
        <f t="array" aca="1" ref="A363" ca="1">INDIRECT($B$2&amp;"!"&amp;C363&amp;"15")</f>
        <v>width</v>
      </c>
      <c r="B363" s="130" cm="1">
        <f t="array" aca="1" ref="B363" ca="1">IFERROR(INDIRECT($B$2&amp;"!"&amp;C363&amp;D363),"")</f>
        <v>0</v>
      </c>
      <c r="C363" s="360" t="s">
        <v>61</v>
      </c>
      <c r="D363" s="351">
        <f t="shared" ca="1" si="32"/>
        <v>21</v>
      </c>
      <c r="F363" s="169" t="str">
        <f ca="1">IF(OR(B363="",B363=0),"","   "&amp;A363&amp;": "&amp;B363&amp;",")</f>
        <v/>
      </c>
    </row>
    <row r="364" spans="1:6" hidden="1">
      <c r="A364" s="150" t="str" cm="1">
        <f t="array" aca="1" ref="A364" ca="1">INDIRECT($B$2&amp;"!"&amp;C364&amp;"15")</f>
        <v>visible</v>
      </c>
      <c r="B364" s="323" t="str" cm="1">
        <f t="array" aca="1" ref="B364" ca="1">IFERROR(INDIRECT($B$2&amp;"!"&amp;C364&amp;D364),"")</f>
        <v/>
      </c>
      <c r="C364" s="360" t="s">
        <v>118</v>
      </c>
      <c r="D364" s="351">
        <f t="shared" ca="1" si="32"/>
        <v>21</v>
      </c>
      <c r="F364" s="126" t="str">
        <f ca="1">IF(OR(B364="",B364,B364=0),"","          "&amp;A364&amp;": "&amp;B364&amp;",")</f>
        <v/>
      </c>
    </row>
    <row r="365" spans="1:6" hidden="1">
      <c r="A365" s="156" t="s">
        <v>1399</v>
      </c>
      <c r="B365" s="156"/>
      <c r="D365" s="351">
        <f t="shared" ca="1" si="32"/>
        <v>21</v>
      </c>
      <c r="F365" s="169" t="str">
        <f ca="1">IF(D364&gt;$O$2,"","},")</f>
        <v/>
      </c>
    </row>
    <row r="366" spans="1:6" hidden="1">
      <c r="A366" s="475" t="s">
        <v>1400</v>
      </c>
      <c r="B366" s="130" cm="1">
        <f t="array" aca="1" ref="B366" ca="1">IFERROR(INDIRECT($B$2&amp;"!"&amp;C366&amp;D366),"")</f>
        <v>0</v>
      </c>
      <c r="C366" s="350" t="s">
        <v>97</v>
      </c>
      <c r="D366" s="351">
        <f ca="1">IF(D365&gt;$O$2,0,IF(A366="eNd",1,0))+D365</f>
        <v>21</v>
      </c>
      <c r="F366" s="169" t="str">
        <f ca="1">IF(OR(B366="",B366=0),"","{  "&amp;A366&amp;": "&amp;CHAR(34)&amp;$B366&amp;CHAR(34)&amp;",")</f>
        <v/>
      </c>
    </row>
    <row r="367" spans="1:6" hidden="1">
      <c r="A367" s="150" t="str" cm="1">
        <f t="array" aca="1" ref="A367" ca="1">INDIRECT($B$2&amp;"!"&amp;C367&amp;"15")</f>
        <v>caption</v>
      </c>
      <c r="B367" s="130" t="str" cm="1">
        <f t="array" aca="1" ref="B367" ca="1">IFERROR(INDIRECT($B$2&amp;"!"&amp;C367&amp;D367),"")</f>
        <v/>
      </c>
      <c r="C367" s="350" t="s">
        <v>112</v>
      </c>
      <c r="D367" s="351">
        <f t="shared" ref="D367:D376" ca="1" si="33">IF(D366&gt;$O$2,0,IF(A367="eNd",1,0))+D366</f>
        <v>21</v>
      </c>
      <c r="F367" s="169" t="str">
        <f ca="1">IF(OR(B367="",B367=0),"","   "&amp;A367&amp;":"&amp;CHAR(34)&amp;B367&amp;CHAR(34)&amp;",")</f>
        <v/>
      </c>
    </row>
    <row r="368" spans="1:6" hidden="1">
      <c r="A368" s="150" t="str" cm="1">
        <f t="array" aca="1" ref="A368" ca="1">INDIRECT($B$2&amp;"!"&amp;C368&amp;"15")</f>
        <v>sortOrder</v>
      </c>
      <c r="B368" s="130" t="str" cm="1">
        <f t="array" aca="1" ref="B368" ca="1">IFERROR(INDIRECT($B$2&amp;"!"&amp;C368&amp;D368),"")</f>
        <v/>
      </c>
      <c r="C368" s="350" t="s">
        <v>119</v>
      </c>
      <c r="D368" s="351">
        <f t="shared" ca="1" si="33"/>
        <v>21</v>
      </c>
      <c r="F368" s="169" t="str">
        <f ca="1">IF(OR(B368="",B368=0),"","   "&amp;A368&amp;":"&amp;CHAR(34)&amp;B368&amp;CHAR(34)&amp;",")</f>
        <v/>
      </c>
    </row>
    <row r="369" spans="1:6" hidden="1">
      <c r="A369" s="150" t="str" cm="1">
        <f t="array" aca="1" ref="A369" ca="1">INDIRECT($B$2&amp;"!"&amp;C369&amp;"15")</f>
        <v>groupIndex</v>
      </c>
      <c r="B369" s="130" cm="1">
        <f t="array" aca="1" ref="B369" ca="1">IFERROR(INDIRECT($B$2&amp;"!"&amp;C369&amp;D369),"")</f>
        <v>0</v>
      </c>
      <c r="C369" s="355" t="s">
        <v>113</v>
      </c>
      <c r="D369" s="351">
        <f t="shared" ca="1" si="33"/>
        <v>21</v>
      </c>
      <c r="F369" s="126" t="str">
        <f ca="1">IF(OR(B369="",B369=0),"","            "&amp;A369&amp;": "&amp;B369-1&amp;",")</f>
        <v/>
      </c>
    </row>
    <row r="370" spans="1:6" hidden="1">
      <c r="A370" s="150" t="str" cm="1">
        <f t="array" aca="1" ref="A370" ca="1">INDIRECT($B$2&amp;"!"&amp;C370&amp;"15")</f>
        <v>dataType</v>
      </c>
      <c r="B370" s="130" cm="1">
        <f t="array" aca="1" ref="B370" ca="1">IFERROR(INDIRECT($B$2&amp;"!"&amp;C370&amp;D370),"")</f>
        <v>0</v>
      </c>
      <c r="C370" s="355" t="s">
        <v>114</v>
      </c>
      <c r="D370" s="351">
        <f t="shared" ca="1" si="33"/>
        <v>21</v>
      </c>
      <c r="F370" s="169" t="str">
        <f ca="1">IF(OR(B370="",B370=0),"","   "&amp;A370&amp;":"&amp;CHAR(34)&amp;B370&amp;CHAR(34)&amp;",")</f>
        <v/>
      </c>
    </row>
    <row r="371" spans="1:6" hidden="1">
      <c r="A371" s="150" t="str" cm="1">
        <f t="array" aca="1" ref="A371" ca="1">INDIRECT($B$2&amp;"!"&amp;C371&amp;"15")</f>
        <v>format</v>
      </c>
      <c r="B371" s="130" cm="1">
        <f t="array" aca="1" ref="B371" ca="1">IFERROR(INDIRECT($B$2&amp;"!"&amp;C371&amp;D371),"")</f>
        <v>0</v>
      </c>
      <c r="C371" s="355" t="s">
        <v>115</v>
      </c>
      <c r="D371" s="351">
        <f t="shared" ca="1" si="33"/>
        <v>21</v>
      </c>
      <c r="F371" s="169" t="str">
        <f ca="1">IF(OR(B371="",B371=0),"","   "&amp;A371&amp;":"&amp;IF(B371="fixedPoint",D370,CHAR(34)&amp;B371&amp;CHAR(34)&amp;","))</f>
        <v/>
      </c>
    </row>
    <row r="372" spans="1:6" hidden="1">
      <c r="A372" s="150" t="str" cm="1">
        <f t="array" aca="1" ref="A372" ca="1">INDIRECT($B$2&amp;"!"&amp;C372&amp;"15")</f>
        <v>validationRules</v>
      </c>
      <c r="B372" s="130" cm="1">
        <f t="array" aca="1" ref="B372" ca="1">IFERROR(INDIRECT($B$2&amp;"!"&amp;C372&amp;D372),"")</f>
        <v>0</v>
      </c>
      <c r="C372" s="350" t="s">
        <v>116</v>
      </c>
      <c r="D372" s="351">
        <f t="shared" ca="1" si="33"/>
        <v>21</v>
      </c>
      <c r="F372" s="169" t="str">
        <f ca="1">IF(B372,"   "&amp;A372&amp;": [{type: 'required',message: '"&amp;B367&amp;" is required' }],","")</f>
        <v/>
      </c>
    </row>
    <row r="373" spans="1:6" hidden="1">
      <c r="A373" s="150" t="str" cm="1">
        <f t="array" aca="1" ref="A373" ca="1">INDIRECT($B$2&amp;"!"&amp;C373&amp;"15")</f>
        <v>allowHiding</v>
      </c>
      <c r="B373" s="130" cm="1">
        <f t="array" aca="1" ref="B373" ca="1">IFERROR(INDIRECT($B$2&amp;"!"&amp;C373&amp;D373),"")</f>
        <v>0</v>
      </c>
      <c r="C373" s="360" t="s">
        <v>117</v>
      </c>
      <c r="D373" s="351">
        <f t="shared" ca="1" si="33"/>
        <v>21</v>
      </c>
      <c r="F373" s="169" t="str">
        <f ca="1">IF(OR(B373="",B373=0),"","   "&amp;A373&amp;": "&amp;B373&amp;",")</f>
        <v/>
      </c>
    </row>
    <row r="374" spans="1:6" hidden="1">
      <c r="A374" s="150" t="str" cm="1">
        <f t="array" aca="1" ref="A374" ca="1">INDIRECT($B$2&amp;"!"&amp;C374&amp;"15")</f>
        <v>width</v>
      </c>
      <c r="B374" s="130" cm="1">
        <f t="array" aca="1" ref="B374" ca="1">IFERROR(INDIRECT($B$2&amp;"!"&amp;C374&amp;D374),"")</f>
        <v>0</v>
      </c>
      <c r="C374" s="360" t="s">
        <v>61</v>
      </c>
      <c r="D374" s="351">
        <f t="shared" ca="1" si="33"/>
        <v>21</v>
      </c>
      <c r="F374" s="169" t="str">
        <f ca="1">IF(OR(B374="",B374=0),"","   "&amp;A374&amp;": "&amp;B374&amp;",")</f>
        <v/>
      </c>
    </row>
    <row r="375" spans="1:6" hidden="1">
      <c r="A375" s="150" t="str" cm="1">
        <f t="array" aca="1" ref="A375" ca="1">INDIRECT($B$2&amp;"!"&amp;C375&amp;"15")</f>
        <v>visible</v>
      </c>
      <c r="B375" s="323" t="str" cm="1">
        <f t="array" aca="1" ref="B375" ca="1">IFERROR(INDIRECT($B$2&amp;"!"&amp;C375&amp;D375),"")</f>
        <v/>
      </c>
      <c r="C375" s="360" t="s">
        <v>118</v>
      </c>
      <c r="D375" s="351">
        <f t="shared" ca="1" si="33"/>
        <v>21</v>
      </c>
      <c r="F375" s="126" t="str">
        <f ca="1">IF(OR(B375="",B375,B375=0),"","          "&amp;A375&amp;": "&amp;B375&amp;",")</f>
        <v/>
      </c>
    </row>
    <row r="376" spans="1:6" hidden="1">
      <c r="A376" s="156" t="s">
        <v>1399</v>
      </c>
      <c r="B376" s="156"/>
      <c r="D376" s="351">
        <f t="shared" ca="1" si="33"/>
        <v>21</v>
      </c>
      <c r="F376" s="169" t="str">
        <f ca="1">IF(D375&gt;$O$2,"","},")</f>
        <v/>
      </c>
    </row>
    <row r="377" spans="1:6" hidden="1">
      <c r="A377" s="475" t="s">
        <v>1400</v>
      </c>
      <c r="B377" s="130" cm="1">
        <f t="array" aca="1" ref="B377" ca="1">IFERROR(INDIRECT($B$2&amp;"!"&amp;C377&amp;D377),"")</f>
        <v>0</v>
      </c>
      <c r="C377" s="350" t="s">
        <v>97</v>
      </c>
      <c r="D377" s="351">
        <f ca="1">IF(D376&gt;$O$2,0,IF(A377="eNd",1,0))+D376</f>
        <v>21</v>
      </c>
      <c r="F377" s="169" t="str">
        <f ca="1">IF(OR(B377="",B377=0),"","{  "&amp;A377&amp;": "&amp;CHAR(34)&amp;$B377&amp;CHAR(34)&amp;",")</f>
        <v/>
      </c>
    </row>
    <row r="378" spans="1:6" hidden="1">
      <c r="A378" s="150" t="str" cm="1">
        <f t="array" aca="1" ref="A378" ca="1">INDIRECT($B$2&amp;"!"&amp;C378&amp;"15")</f>
        <v>caption</v>
      </c>
      <c r="B378" s="130" t="str" cm="1">
        <f t="array" aca="1" ref="B378" ca="1">IFERROR(INDIRECT($B$2&amp;"!"&amp;C378&amp;D378),"")</f>
        <v/>
      </c>
      <c r="C378" s="350" t="s">
        <v>112</v>
      </c>
      <c r="D378" s="351">
        <f t="shared" ref="D378:D387" ca="1" si="34">IF(D377&gt;$O$2,0,IF(A378="eNd",1,0))+D377</f>
        <v>21</v>
      </c>
      <c r="F378" s="169" t="str">
        <f ca="1">IF(OR(B378="",B378=0),"","   "&amp;A378&amp;":"&amp;CHAR(34)&amp;B378&amp;CHAR(34)&amp;",")</f>
        <v/>
      </c>
    </row>
    <row r="379" spans="1:6" hidden="1">
      <c r="A379" s="150" t="str" cm="1">
        <f t="array" aca="1" ref="A379" ca="1">INDIRECT($B$2&amp;"!"&amp;C379&amp;"15")</f>
        <v>sortOrder</v>
      </c>
      <c r="B379" s="130" t="str" cm="1">
        <f t="array" aca="1" ref="B379" ca="1">IFERROR(INDIRECT($B$2&amp;"!"&amp;C379&amp;D379),"")</f>
        <v/>
      </c>
      <c r="C379" s="350" t="s">
        <v>119</v>
      </c>
      <c r="D379" s="351">
        <f t="shared" ca="1" si="34"/>
        <v>21</v>
      </c>
      <c r="F379" s="169" t="str">
        <f ca="1">IF(OR(B379="",B379=0),"","   "&amp;A379&amp;":"&amp;CHAR(34)&amp;B379&amp;CHAR(34)&amp;",")</f>
        <v/>
      </c>
    </row>
    <row r="380" spans="1:6" hidden="1">
      <c r="A380" s="150" t="str" cm="1">
        <f t="array" aca="1" ref="A380" ca="1">INDIRECT($B$2&amp;"!"&amp;C380&amp;"15")</f>
        <v>groupIndex</v>
      </c>
      <c r="B380" s="130" cm="1">
        <f t="array" aca="1" ref="B380" ca="1">IFERROR(INDIRECT($B$2&amp;"!"&amp;C380&amp;D380),"")</f>
        <v>0</v>
      </c>
      <c r="C380" s="355" t="s">
        <v>113</v>
      </c>
      <c r="D380" s="351">
        <f t="shared" ca="1" si="34"/>
        <v>21</v>
      </c>
      <c r="F380" s="126" t="str">
        <f ca="1">IF(OR(B380="",B380=0),"","            "&amp;A380&amp;": "&amp;B380-1&amp;",")</f>
        <v/>
      </c>
    </row>
    <row r="381" spans="1:6" hidden="1">
      <c r="A381" s="150" t="str" cm="1">
        <f t="array" aca="1" ref="A381" ca="1">INDIRECT($B$2&amp;"!"&amp;C381&amp;"15")</f>
        <v>dataType</v>
      </c>
      <c r="B381" s="130" cm="1">
        <f t="array" aca="1" ref="B381" ca="1">IFERROR(INDIRECT($B$2&amp;"!"&amp;C381&amp;D381),"")</f>
        <v>0</v>
      </c>
      <c r="C381" s="355" t="s">
        <v>114</v>
      </c>
      <c r="D381" s="351">
        <f t="shared" ca="1" si="34"/>
        <v>21</v>
      </c>
      <c r="F381" s="169" t="str">
        <f ca="1">IF(OR(B381="",B381=0),"","   "&amp;A381&amp;":"&amp;CHAR(34)&amp;B381&amp;CHAR(34)&amp;",")</f>
        <v/>
      </c>
    </row>
    <row r="382" spans="1:6" hidden="1">
      <c r="A382" s="150" t="str" cm="1">
        <f t="array" aca="1" ref="A382" ca="1">INDIRECT($B$2&amp;"!"&amp;C382&amp;"15")</f>
        <v>format</v>
      </c>
      <c r="B382" s="130" cm="1">
        <f t="array" aca="1" ref="B382" ca="1">IFERROR(INDIRECT($B$2&amp;"!"&amp;C382&amp;D382),"")</f>
        <v>0</v>
      </c>
      <c r="C382" s="355" t="s">
        <v>115</v>
      </c>
      <c r="D382" s="351">
        <f t="shared" ca="1" si="34"/>
        <v>21</v>
      </c>
      <c r="F382" s="169" t="str">
        <f ca="1">IF(OR(B382="",B382=0),"","   "&amp;A382&amp;":"&amp;IF(B382="fixedPoint",D381,CHAR(34)&amp;B382&amp;CHAR(34)&amp;","))</f>
        <v/>
      </c>
    </row>
    <row r="383" spans="1:6" hidden="1">
      <c r="A383" s="150" t="str" cm="1">
        <f t="array" aca="1" ref="A383" ca="1">INDIRECT($B$2&amp;"!"&amp;C383&amp;"15")</f>
        <v>validationRules</v>
      </c>
      <c r="B383" s="130" cm="1">
        <f t="array" aca="1" ref="B383" ca="1">IFERROR(INDIRECT($B$2&amp;"!"&amp;C383&amp;D383),"")</f>
        <v>0</v>
      </c>
      <c r="C383" s="350" t="s">
        <v>116</v>
      </c>
      <c r="D383" s="351">
        <f t="shared" ca="1" si="34"/>
        <v>21</v>
      </c>
      <c r="F383" s="169" t="str">
        <f ca="1">IF(B383,"   "&amp;A383&amp;": [{type: 'required',message: '"&amp;B378&amp;" is required' }],","")</f>
        <v/>
      </c>
    </row>
    <row r="384" spans="1:6" hidden="1">
      <c r="A384" s="150" t="str" cm="1">
        <f t="array" aca="1" ref="A384" ca="1">INDIRECT($B$2&amp;"!"&amp;C384&amp;"15")</f>
        <v>allowHiding</v>
      </c>
      <c r="B384" s="130" cm="1">
        <f t="array" aca="1" ref="B384" ca="1">IFERROR(INDIRECT($B$2&amp;"!"&amp;C384&amp;D384),"")</f>
        <v>0</v>
      </c>
      <c r="C384" s="360" t="s">
        <v>117</v>
      </c>
      <c r="D384" s="351">
        <f t="shared" ca="1" si="34"/>
        <v>21</v>
      </c>
      <c r="F384" s="169" t="str">
        <f ca="1">IF(OR(B384="",B384=0),"","   "&amp;A384&amp;": "&amp;B384&amp;",")</f>
        <v/>
      </c>
    </row>
    <row r="385" spans="1:6" hidden="1">
      <c r="A385" s="150" t="str" cm="1">
        <f t="array" aca="1" ref="A385" ca="1">INDIRECT($B$2&amp;"!"&amp;C385&amp;"15")</f>
        <v>width</v>
      </c>
      <c r="B385" s="130" cm="1">
        <f t="array" aca="1" ref="B385" ca="1">IFERROR(INDIRECT($B$2&amp;"!"&amp;C385&amp;D385),"")</f>
        <v>0</v>
      </c>
      <c r="C385" s="360" t="s">
        <v>61</v>
      </c>
      <c r="D385" s="351">
        <f t="shared" ca="1" si="34"/>
        <v>21</v>
      </c>
      <c r="F385" s="169" t="str">
        <f ca="1">IF(OR(B385="",B385=0),"","   "&amp;A385&amp;": "&amp;B385&amp;",")</f>
        <v/>
      </c>
    </row>
    <row r="386" spans="1:6" hidden="1">
      <c r="A386" s="150" t="str" cm="1">
        <f t="array" aca="1" ref="A386" ca="1">INDIRECT($B$2&amp;"!"&amp;C386&amp;"15")</f>
        <v>visible</v>
      </c>
      <c r="B386" s="323" t="str" cm="1">
        <f t="array" aca="1" ref="B386" ca="1">IFERROR(INDIRECT($B$2&amp;"!"&amp;C386&amp;D386),"")</f>
        <v/>
      </c>
      <c r="C386" s="360" t="s">
        <v>118</v>
      </c>
      <c r="D386" s="351">
        <f t="shared" ca="1" si="34"/>
        <v>21</v>
      </c>
      <c r="F386" s="126" t="str">
        <f ca="1">IF(OR(B386="",B386,B386=0),"","          "&amp;A386&amp;": "&amp;B386&amp;",")</f>
        <v/>
      </c>
    </row>
    <row r="387" spans="1:6" hidden="1">
      <c r="A387" s="156" t="s">
        <v>1399</v>
      </c>
      <c r="B387" s="156"/>
      <c r="D387" s="351">
        <f t="shared" ca="1" si="34"/>
        <v>21</v>
      </c>
      <c r="F387" s="169" t="str">
        <f ca="1">IF(D386&gt;$O$2,"","},")</f>
        <v/>
      </c>
    </row>
    <row r="388" spans="1:6" hidden="1">
      <c r="A388" s="475" t="s">
        <v>1400</v>
      </c>
      <c r="B388" s="130" cm="1">
        <f t="array" aca="1" ref="B388" ca="1">IFERROR(INDIRECT($B$2&amp;"!"&amp;C388&amp;D388),"")</f>
        <v>0</v>
      </c>
      <c r="C388" s="350" t="s">
        <v>97</v>
      </c>
      <c r="D388" s="351">
        <f ca="1">IF(D387&gt;$O$2,0,IF(A388="eNd",1,0))+D387</f>
        <v>21</v>
      </c>
      <c r="F388" s="169" t="str">
        <f ca="1">IF(OR(B388="",B388=0),"","{  "&amp;A388&amp;": "&amp;CHAR(34)&amp;$B388&amp;CHAR(34)&amp;",")</f>
        <v/>
      </c>
    </row>
    <row r="389" spans="1:6" hidden="1">
      <c r="A389" s="150" t="str" cm="1">
        <f t="array" aca="1" ref="A389" ca="1">INDIRECT($B$2&amp;"!"&amp;C389&amp;"15")</f>
        <v>caption</v>
      </c>
      <c r="B389" s="130" t="str" cm="1">
        <f t="array" aca="1" ref="B389" ca="1">IFERROR(INDIRECT($B$2&amp;"!"&amp;C389&amp;D389),"")</f>
        <v/>
      </c>
      <c r="C389" s="350" t="s">
        <v>112</v>
      </c>
      <c r="D389" s="351">
        <f t="shared" ref="D389:D398" ca="1" si="35">IF(D388&gt;$O$2,0,IF(A389="eNd",1,0))+D388</f>
        <v>21</v>
      </c>
      <c r="F389" s="169" t="str">
        <f ca="1">IF(OR(B389="",B389=0),"","   "&amp;A389&amp;":"&amp;CHAR(34)&amp;B389&amp;CHAR(34)&amp;",")</f>
        <v/>
      </c>
    </row>
    <row r="390" spans="1:6" hidden="1">
      <c r="A390" s="150" t="str" cm="1">
        <f t="array" aca="1" ref="A390" ca="1">INDIRECT($B$2&amp;"!"&amp;C390&amp;"15")</f>
        <v>sortOrder</v>
      </c>
      <c r="B390" s="130" t="str" cm="1">
        <f t="array" aca="1" ref="B390" ca="1">IFERROR(INDIRECT($B$2&amp;"!"&amp;C390&amp;D390),"")</f>
        <v/>
      </c>
      <c r="C390" s="350" t="s">
        <v>119</v>
      </c>
      <c r="D390" s="351">
        <f t="shared" ca="1" si="35"/>
        <v>21</v>
      </c>
      <c r="F390" s="169" t="str">
        <f ca="1">IF(OR(B390="",B390=0),"","   "&amp;A390&amp;":"&amp;CHAR(34)&amp;B390&amp;CHAR(34)&amp;",")</f>
        <v/>
      </c>
    </row>
    <row r="391" spans="1:6" hidden="1">
      <c r="A391" s="150" t="str" cm="1">
        <f t="array" aca="1" ref="A391" ca="1">INDIRECT($B$2&amp;"!"&amp;C391&amp;"15")</f>
        <v>groupIndex</v>
      </c>
      <c r="B391" s="130" cm="1">
        <f t="array" aca="1" ref="B391" ca="1">IFERROR(INDIRECT($B$2&amp;"!"&amp;C391&amp;D391),"")</f>
        <v>0</v>
      </c>
      <c r="C391" s="355" t="s">
        <v>113</v>
      </c>
      <c r="D391" s="351">
        <f t="shared" ca="1" si="35"/>
        <v>21</v>
      </c>
      <c r="F391" s="126" t="str">
        <f ca="1">IF(OR(B391="",B391=0),"","            "&amp;A391&amp;": "&amp;B391-1&amp;",")</f>
        <v/>
      </c>
    </row>
    <row r="392" spans="1:6" hidden="1">
      <c r="A392" s="150" t="str" cm="1">
        <f t="array" aca="1" ref="A392" ca="1">INDIRECT($B$2&amp;"!"&amp;C392&amp;"15")</f>
        <v>dataType</v>
      </c>
      <c r="B392" s="130" cm="1">
        <f t="array" aca="1" ref="B392" ca="1">IFERROR(INDIRECT($B$2&amp;"!"&amp;C392&amp;D392),"")</f>
        <v>0</v>
      </c>
      <c r="C392" s="355" t="s">
        <v>114</v>
      </c>
      <c r="D392" s="351">
        <f t="shared" ca="1" si="35"/>
        <v>21</v>
      </c>
      <c r="F392" s="169" t="str">
        <f ca="1">IF(OR(B392="",B392=0),"","   "&amp;A392&amp;":"&amp;CHAR(34)&amp;B392&amp;CHAR(34)&amp;",")</f>
        <v/>
      </c>
    </row>
    <row r="393" spans="1:6" hidden="1">
      <c r="A393" s="150" t="str" cm="1">
        <f t="array" aca="1" ref="A393" ca="1">INDIRECT($B$2&amp;"!"&amp;C393&amp;"15")</f>
        <v>format</v>
      </c>
      <c r="B393" s="130" cm="1">
        <f t="array" aca="1" ref="B393" ca="1">IFERROR(INDIRECT($B$2&amp;"!"&amp;C393&amp;D393),"")</f>
        <v>0</v>
      </c>
      <c r="C393" s="355" t="s">
        <v>115</v>
      </c>
      <c r="D393" s="351">
        <f t="shared" ca="1" si="35"/>
        <v>21</v>
      </c>
      <c r="F393" s="169" t="str">
        <f ca="1">IF(OR(B393="",B393=0),"","   "&amp;A393&amp;":"&amp;IF(B393="fixedPoint",D392,CHAR(34)&amp;B393&amp;CHAR(34)&amp;","))</f>
        <v/>
      </c>
    </row>
    <row r="394" spans="1:6" hidden="1">
      <c r="A394" s="150" t="str" cm="1">
        <f t="array" aca="1" ref="A394" ca="1">INDIRECT($B$2&amp;"!"&amp;C394&amp;"15")</f>
        <v>validationRules</v>
      </c>
      <c r="B394" s="130" cm="1">
        <f t="array" aca="1" ref="B394" ca="1">IFERROR(INDIRECT($B$2&amp;"!"&amp;C394&amp;D394),"")</f>
        <v>0</v>
      </c>
      <c r="C394" s="350" t="s">
        <v>116</v>
      </c>
      <c r="D394" s="351">
        <f t="shared" ca="1" si="35"/>
        <v>21</v>
      </c>
      <c r="F394" s="169" t="str">
        <f ca="1">IF(B394,"   "&amp;A394&amp;": [{type: 'required',message: '"&amp;B389&amp;" is required' }],","")</f>
        <v/>
      </c>
    </row>
    <row r="395" spans="1:6" hidden="1">
      <c r="A395" s="150" t="str" cm="1">
        <f t="array" aca="1" ref="A395" ca="1">INDIRECT($B$2&amp;"!"&amp;C395&amp;"15")</f>
        <v>allowHiding</v>
      </c>
      <c r="B395" s="130" cm="1">
        <f t="array" aca="1" ref="B395" ca="1">IFERROR(INDIRECT($B$2&amp;"!"&amp;C395&amp;D395),"")</f>
        <v>0</v>
      </c>
      <c r="C395" s="360" t="s">
        <v>117</v>
      </c>
      <c r="D395" s="351">
        <f t="shared" ca="1" si="35"/>
        <v>21</v>
      </c>
      <c r="F395" s="169" t="str">
        <f ca="1">IF(OR(B395="",B395=0),"","   "&amp;A395&amp;": "&amp;B395&amp;",")</f>
        <v/>
      </c>
    </row>
    <row r="396" spans="1:6" hidden="1">
      <c r="A396" s="150" t="str" cm="1">
        <f t="array" aca="1" ref="A396" ca="1">INDIRECT($B$2&amp;"!"&amp;C396&amp;"15")</f>
        <v>width</v>
      </c>
      <c r="B396" s="130" cm="1">
        <f t="array" aca="1" ref="B396" ca="1">IFERROR(INDIRECT($B$2&amp;"!"&amp;C396&amp;D396),"")</f>
        <v>0</v>
      </c>
      <c r="C396" s="360" t="s">
        <v>61</v>
      </c>
      <c r="D396" s="351">
        <f t="shared" ca="1" si="35"/>
        <v>21</v>
      </c>
      <c r="F396" s="169" t="str">
        <f ca="1">IF(OR(B396="",B396=0),"","   "&amp;A396&amp;": "&amp;B396&amp;",")</f>
        <v/>
      </c>
    </row>
    <row r="397" spans="1:6" hidden="1">
      <c r="A397" s="150" t="str" cm="1">
        <f t="array" aca="1" ref="A397" ca="1">INDIRECT($B$2&amp;"!"&amp;C397&amp;"15")</f>
        <v>visible</v>
      </c>
      <c r="B397" s="323" t="str" cm="1">
        <f t="array" aca="1" ref="B397" ca="1">IFERROR(INDIRECT($B$2&amp;"!"&amp;C397&amp;D397),"")</f>
        <v/>
      </c>
      <c r="C397" s="360" t="s">
        <v>118</v>
      </c>
      <c r="D397" s="351">
        <f t="shared" ca="1" si="35"/>
        <v>21</v>
      </c>
      <c r="F397" s="126" t="str">
        <f ca="1">IF(OR(B397="",B397,B397=0),"","          "&amp;A397&amp;": "&amp;B397&amp;",")</f>
        <v/>
      </c>
    </row>
    <row r="398" spans="1:6" hidden="1">
      <c r="A398" s="156" t="s">
        <v>1399</v>
      </c>
      <c r="B398" s="156"/>
      <c r="D398" s="351">
        <f t="shared" ca="1" si="35"/>
        <v>21</v>
      </c>
      <c r="F398" s="169" t="str">
        <f ca="1">IF(D397&gt;$O$2,"","},")</f>
        <v/>
      </c>
    </row>
    <row r="399" spans="1:6" hidden="1">
      <c r="A399" s="475" t="s">
        <v>1400</v>
      </c>
      <c r="B399" s="130" cm="1">
        <f t="array" aca="1" ref="B399" ca="1">IFERROR(INDIRECT($B$2&amp;"!"&amp;C399&amp;D399),"")</f>
        <v>0</v>
      </c>
      <c r="C399" s="350" t="s">
        <v>97</v>
      </c>
      <c r="D399" s="351">
        <f ca="1">IF(D398&gt;$O$2,0,IF(A399="eNd",1,0))+D398</f>
        <v>21</v>
      </c>
      <c r="F399" s="169" t="str">
        <f ca="1">IF(OR(B399="",B399=0),"","{  "&amp;A399&amp;": "&amp;CHAR(34)&amp;$B399&amp;CHAR(34)&amp;",")</f>
        <v/>
      </c>
    </row>
    <row r="400" spans="1:6" hidden="1">
      <c r="A400" s="150" t="str" cm="1">
        <f t="array" aca="1" ref="A400" ca="1">INDIRECT($B$2&amp;"!"&amp;C400&amp;"15")</f>
        <v>caption</v>
      </c>
      <c r="B400" s="130" t="str" cm="1">
        <f t="array" aca="1" ref="B400" ca="1">IFERROR(INDIRECT($B$2&amp;"!"&amp;C400&amp;D400),"")</f>
        <v/>
      </c>
      <c r="C400" s="350" t="s">
        <v>112</v>
      </c>
      <c r="D400" s="351">
        <f t="shared" ref="D400:D409" ca="1" si="36">IF(D399&gt;$O$2,0,IF(A400="eNd",1,0))+D399</f>
        <v>21</v>
      </c>
      <c r="F400" s="169" t="str">
        <f ca="1">IF(OR(B400="",B400=0),"","   "&amp;A400&amp;":"&amp;CHAR(34)&amp;B400&amp;CHAR(34)&amp;",")</f>
        <v/>
      </c>
    </row>
    <row r="401" spans="1:6" hidden="1">
      <c r="A401" s="150" t="str" cm="1">
        <f t="array" aca="1" ref="A401" ca="1">INDIRECT($B$2&amp;"!"&amp;C401&amp;"15")</f>
        <v>sortOrder</v>
      </c>
      <c r="B401" s="130" t="str" cm="1">
        <f t="array" aca="1" ref="B401" ca="1">IFERROR(INDIRECT($B$2&amp;"!"&amp;C401&amp;D401),"")</f>
        <v/>
      </c>
      <c r="C401" s="350" t="s">
        <v>119</v>
      </c>
      <c r="D401" s="351">
        <f t="shared" ca="1" si="36"/>
        <v>21</v>
      </c>
      <c r="F401" s="169" t="str">
        <f ca="1">IF(OR(B401="",B401=0),"","   "&amp;A401&amp;":"&amp;CHAR(34)&amp;B401&amp;CHAR(34)&amp;",")</f>
        <v/>
      </c>
    </row>
    <row r="402" spans="1:6" hidden="1">
      <c r="A402" s="150" t="str" cm="1">
        <f t="array" aca="1" ref="A402" ca="1">INDIRECT($B$2&amp;"!"&amp;C402&amp;"15")</f>
        <v>groupIndex</v>
      </c>
      <c r="B402" s="130" cm="1">
        <f t="array" aca="1" ref="B402" ca="1">IFERROR(INDIRECT($B$2&amp;"!"&amp;C402&amp;D402),"")</f>
        <v>0</v>
      </c>
      <c r="C402" s="355" t="s">
        <v>113</v>
      </c>
      <c r="D402" s="351">
        <f t="shared" ca="1" si="36"/>
        <v>21</v>
      </c>
      <c r="F402" s="126" t="str">
        <f ca="1">IF(OR(B402="",B402=0),"","            "&amp;A402&amp;": "&amp;B402-1&amp;",")</f>
        <v/>
      </c>
    </row>
    <row r="403" spans="1:6" hidden="1">
      <c r="A403" s="150" t="str" cm="1">
        <f t="array" aca="1" ref="A403" ca="1">INDIRECT($B$2&amp;"!"&amp;C403&amp;"15")</f>
        <v>dataType</v>
      </c>
      <c r="B403" s="130" cm="1">
        <f t="array" aca="1" ref="B403" ca="1">IFERROR(INDIRECT($B$2&amp;"!"&amp;C403&amp;D403),"")</f>
        <v>0</v>
      </c>
      <c r="C403" s="355" t="s">
        <v>114</v>
      </c>
      <c r="D403" s="351">
        <f t="shared" ca="1" si="36"/>
        <v>21</v>
      </c>
      <c r="F403" s="169" t="str">
        <f ca="1">IF(OR(B403="",B403=0),"","   "&amp;A403&amp;":"&amp;CHAR(34)&amp;B403&amp;CHAR(34)&amp;",")</f>
        <v/>
      </c>
    </row>
    <row r="404" spans="1:6" hidden="1">
      <c r="A404" s="150" t="str" cm="1">
        <f t="array" aca="1" ref="A404" ca="1">INDIRECT($B$2&amp;"!"&amp;C404&amp;"15")</f>
        <v>format</v>
      </c>
      <c r="B404" s="130" cm="1">
        <f t="array" aca="1" ref="B404" ca="1">IFERROR(INDIRECT($B$2&amp;"!"&amp;C404&amp;D404),"")</f>
        <v>0</v>
      </c>
      <c r="C404" s="355" t="s">
        <v>115</v>
      </c>
      <c r="D404" s="351">
        <f t="shared" ca="1" si="36"/>
        <v>21</v>
      </c>
      <c r="F404" s="169" t="str">
        <f ca="1">IF(OR(B404="",B404=0),"","   "&amp;A404&amp;":"&amp;IF(B404="fixedPoint",D403,CHAR(34)&amp;B404&amp;CHAR(34)&amp;","))</f>
        <v/>
      </c>
    </row>
    <row r="405" spans="1:6" hidden="1">
      <c r="A405" s="150" t="str" cm="1">
        <f t="array" aca="1" ref="A405" ca="1">INDIRECT($B$2&amp;"!"&amp;C405&amp;"15")</f>
        <v>validationRules</v>
      </c>
      <c r="B405" s="130" cm="1">
        <f t="array" aca="1" ref="B405" ca="1">IFERROR(INDIRECT($B$2&amp;"!"&amp;C405&amp;D405),"")</f>
        <v>0</v>
      </c>
      <c r="C405" s="350" t="s">
        <v>116</v>
      </c>
      <c r="D405" s="351">
        <f t="shared" ca="1" si="36"/>
        <v>21</v>
      </c>
      <c r="F405" s="169" t="str">
        <f ca="1">IF(B405,"   "&amp;A405&amp;": [{type: 'required',message: '"&amp;B400&amp;" is required' }],","")</f>
        <v/>
      </c>
    </row>
    <row r="406" spans="1:6" hidden="1">
      <c r="A406" s="150" t="str" cm="1">
        <f t="array" aca="1" ref="A406" ca="1">INDIRECT($B$2&amp;"!"&amp;C406&amp;"15")</f>
        <v>allowHiding</v>
      </c>
      <c r="B406" s="130" cm="1">
        <f t="array" aca="1" ref="B406" ca="1">IFERROR(INDIRECT($B$2&amp;"!"&amp;C406&amp;D406),"")</f>
        <v>0</v>
      </c>
      <c r="C406" s="360" t="s">
        <v>117</v>
      </c>
      <c r="D406" s="351">
        <f t="shared" ca="1" si="36"/>
        <v>21</v>
      </c>
      <c r="F406" s="169" t="str">
        <f ca="1">IF(OR(B406="",B406=0),"","   "&amp;A406&amp;": "&amp;B406&amp;",")</f>
        <v/>
      </c>
    </row>
    <row r="407" spans="1:6" hidden="1">
      <c r="A407" s="150" t="str" cm="1">
        <f t="array" aca="1" ref="A407" ca="1">INDIRECT($B$2&amp;"!"&amp;C407&amp;"15")</f>
        <v>width</v>
      </c>
      <c r="B407" s="130" cm="1">
        <f t="array" aca="1" ref="B407" ca="1">IFERROR(INDIRECT($B$2&amp;"!"&amp;C407&amp;D407),"")</f>
        <v>0</v>
      </c>
      <c r="C407" s="360" t="s">
        <v>61</v>
      </c>
      <c r="D407" s="351">
        <f t="shared" ca="1" si="36"/>
        <v>21</v>
      </c>
      <c r="F407" s="169" t="str">
        <f ca="1">IF(OR(B407="",B407=0),"","   "&amp;A407&amp;": "&amp;B407&amp;",")</f>
        <v/>
      </c>
    </row>
    <row r="408" spans="1:6" hidden="1">
      <c r="A408" s="150" t="str" cm="1">
        <f t="array" aca="1" ref="A408" ca="1">INDIRECT($B$2&amp;"!"&amp;C408&amp;"15")</f>
        <v>visible</v>
      </c>
      <c r="B408" s="323" t="str" cm="1">
        <f t="array" aca="1" ref="B408" ca="1">IFERROR(INDIRECT($B$2&amp;"!"&amp;C408&amp;D408),"")</f>
        <v/>
      </c>
      <c r="C408" s="360" t="s">
        <v>118</v>
      </c>
      <c r="D408" s="351">
        <f t="shared" ca="1" si="36"/>
        <v>21</v>
      </c>
      <c r="F408" s="126" t="str">
        <f ca="1">IF(OR(B408="",B408,B408=0),"","          "&amp;A408&amp;": "&amp;B408&amp;",")</f>
        <v/>
      </c>
    </row>
    <row r="409" spans="1:6" hidden="1">
      <c r="A409" s="156" t="s">
        <v>1399</v>
      </c>
      <c r="B409" s="156"/>
      <c r="D409" s="351">
        <f t="shared" ca="1" si="36"/>
        <v>21</v>
      </c>
      <c r="F409" s="169" t="str">
        <f ca="1">IF(D408&gt;$O$2,"","},")</f>
        <v/>
      </c>
    </row>
    <row r="410" spans="1:6" hidden="1">
      <c r="A410" s="475" t="s">
        <v>1400</v>
      </c>
      <c r="B410" s="130" cm="1">
        <f t="array" aca="1" ref="B410" ca="1">IFERROR(INDIRECT($B$2&amp;"!"&amp;C410&amp;D410),"")</f>
        <v>0</v>
      </c>
      <c r="C410" s="350" t="s">
        <v>97</v>
      </c>
      <c r="D410" s="351">
        <f ca="1">IF(D409&gt;$O$2,0,IF(A410="eNd",1,0))+D409</f>
        <v>21</v>
      </c>
      <c r="F410" s="169" t="str">
        <f ca="1">IF(OR(B410="",B410=0),"","{  "&amp;A410&amp;": "&amp;CHAR(34)&amp;$B410&amp;CHAR(34)&amp;",")</f>
        <v/>
      </c>
    </row>
    <row r="411" spans="1:6" hidden="1">
      <c r="A411" s="150" t="str" cm="1">
        <f t="array" aca="1" ref="A411" ca="1">INDIRECT($B$2&amp;"!"&amp;C411&amp;"15")</f>
        <v>caption</v>
      </c>
      <c r="B411" s="130" t="str" cm="1">
        <f t="array" aca="1" ref="B411" ca="1">IFERROR(INDIRECT($B$2&amp;"!"&amp;C411&amp;D411),"")</f>
        <v/>
      </c>
      <c r="C411" s="350" t="s">
        <v>112</v>
      </c>
      <c r="D411" s="351">
        <f t="shared" ref="D411:D420" ca="1" si="37">IF(D410&gt;$O$2,0,IF(A411="eNd",1,0))+D410</f>
        <v>21</v>
      </c>
      <c r="F411" s="169" t="str">
        <f ca="1">IF(OR(B411="",B411=0),"","   "&amp;A411&amp;":"&amp;CHAR(34)&amp;B411&amp;CHAR(34)&amp;",")</f>
        <v/>
      </c>
    </row>
    <row r="412" spans="1:6" hidden="1">
      <c r="A412" s="150" t="str" cm="1">
        <f t="array" aca="1" ref="A412" ca="1">INDIRECT($B$2&amp;"!"&amp;C412&amp;"15")</f>
        <v>sortOrder</v>
      </c>
      <c r="B412" s="130" t="str" cm="1">
        <f t="array" aca="1" ref="B412" ca="1">IFERROR(INDIRECT($B$2&amp;"!"&amp;C412&amp;D412),"")</f>
        <v/>
      </c>
      <c r="C412" s="350" t="s">
        <v>119</v>
      </c>
      <c r="D412" s="351">
        <f t="shared" ca="1" si="37"/>
        <v>21</v>
      </c>
      <c r="F412" s="169" t="str">
        <f ca="1">IF(OR(B412="",B412=0),"","   "&amp;A412&amp;":"&amp;CHAR(34)&amp;B412&amp;CHAR(34)&amp;",")</f>
        <v/>
      </c>
    </row>
    <row r="413" spans="1:6" hidden="1">
      <c r="A413" s="150" t="str" cm="1">
        <f t="array" aca="1" ref="A413" ca="1">INDIRECT($B$2&amp;"!"&amp;C413&amp;"15")</f>
        <v>groupIndex</v>
      </c>
      <c r="B413" s="130" cm="1">
        <f t="array" aca="1" ref="B413" ca="1">IFERROR(INDIRECT($B$2&amp;"!"&amp;C413&amp;D413),"")</f>
        <v>0</v>
      </c>
      <c r="C413" s="355" t="s">
        <v>113</v>
      </c>
      <c r="D413" s="351">
        <f t="shared" ca="1" si="37"/>
        <v>21</v>
      </c>
      <c r="F413" s="126" t="str">
        <f ca="1">IF(OR(B413="",B413=0),"","            "&amp;A413&amp;": "&amp;B413-1&amp;",")</f>
        <v/>
      </c>
    </row>
    <row r="414" spans="1:6" hidden="1">
      <c r="A414" s="150" t="str" cm="1">
        <f t="array" aca="1" ref="A414" ca="1">INDIRECT($B$2&amp;"!"&amp;C414&amp;"15")</f>
        <v>dataType</v>
      </c>
      <c r="B414" s="130" cm="1">
        <f t="array" aca="1" ref="B414" ca="1">IFERROR(INDIRECT($B$2&amp;"!"&amp;C414&amp;D414),"")</f>
        <v>0</v>
      </c>
      <c r="C414" s="355" t="s">
        <v>114</v>
      </c>
      <c r="D414" s="351">
        <f t="shared" ca="1" si="37"/>
        <v>21</v>
      </c>
      <c r="F414" s="169" t="str">
        <f ca="1">IF(OR(B414="",B414=0),"","   "&amp;A414&amp;":"&amp;CHAR(34)&amp;B414&amp;CHAR(34)&amp;",")</f>
        <v/>
      </c>
    </row>
    <row r="415" spans="1:6" hidden="1">
      <c r="A415" s="150" t="str" cm="1">
        <f t="array" aca="1" ref="A415" ca="1">INDIRECT($B$2&amp;"!"&amp;C415&amp;"15")</f>
        <v>format</v>
      </c>
      <c r="B415" s="130" cm="1">
        <f t="array" aca="1" ref="B415" ca="1">IFERROR(INDIRECT($B$2&amp;"!"&amp;C415&amp;D415),"")</f>
        <v>0</v>
      </c>
      <c r="C415" s="355" t="s">
        <v>115</v>
      </c>
      <c r="D415" s="351">
        <f t="shared" ca="1" si="37"/>
        <v>21</v>
      </c>
      <c r="F415" s="169" t="str">
        <f ca="1">IF(OR(B415="",B415=0),"","   "&amp;A415&amp;":"&amp;IF(B415="fixedPoint",D414,CHAR(34)&amp;B415&amp;CHAR(34)&amp;","))</f>
        <v/>
      </c>
    </row>
    <row r="416" spans="1:6" hidden="1">
      <c r="A416" s="150" t="str" cm="1">
        <f t="array" aca="1" ref="A416" ca="1">INDIRECT($B$2&amp;"!"&amp;C416&amp;"15")</f>
        <v>validationRules</v>
      </c>
      <c r="B416" s="130" cm="1">
        <f t="array" aca="1" ref="B416" ca="1">IFERROR(INDIRECT($B$2&amp;"!"&amp;C416&amp;D416),"")</f>
        <v>0</v>
      </c>
      <c r="C416" s="350" t="s">
        <v>116</v>
      </c>
      <c r="D416" s="351">
        <f t="shared" ca="1" si="37"/>
        <v>21</v>
      </c>
      <c r="F416" s="169" t="str">
        <f ca="1">IF(B416,"   "&amp;A416&amp;": [{type: 'required',message: '"&amp;B411&amp;" is required' }],","")</f>
        <v/>
      </c>
    </row>
    <row r="417" spans="1:6" hidden="1">
      <c r="A417" s="150" t="str" cm="1">
        <f t="array" aca="1" ref="A417" ca="1">INDIRECT($B$2&amp;"!"&amp;C417&amp;"15")</f>
        <v>allowHiding</v>
      </c>
      <c r="B417" s="130" cm="1">
        <f t="array" aca="1" ref="B417" ca="1">IFERROR(INDIRECT($B$2&amp;"!"&amp;C417&amp;D417),"")</f>
        <v>0</v>
      </c>
      <c r="C417" s="360" t="s">
        <v>117</v>
      </c>
      <c r="D417" s="351">
        <f t="shared" ca="1" si="37"/>
        <v>21</v>
      </c>
      <c r="F417" s="169" t="str">
        <f ca="1">IF(OR(B417="",B417=0),"","   "&amp;A417&amp;": "&amp;B417&amp;",")</f>
        <v/>
      </c>
    </row>
    <row r="418" spans="1:6" hidden="1">
      <c r="A418" s="150" t="str" cm="1">
        <f t="array" aca="1" ref="A418" ca="1">INDIRECT($B$2&amp;"!"&amp;C418&amp;"15")</f>
        <v>width</v>
      </c>
      <c r="B418" s="130" cm="1">
        <f t="array" aca="1" ref="B418" ca="1">IFERROR(INDIRECT($B$2&amp;"!"&amp;C418&amp;D418),"")</f>
        <v>0</v>
      </c>
      <c r="C418" s="360" t="s">
        <v>61</v>
      </c>
      <c r="D418" s="351">
        <f t="shared" ca="1" si="37"/>
        <v>21</v>
      </c>
      <c r="F418" s="169" t="str">
        <f ca="1">IF(OR(B418="",B418=0),"","   "&amp;A418&amp;": "&amp;B418&amp;",")</f>
        <v/>
      </c>
    </row>
    <row r="419" spans="1:6" hidden="1">
      <c r="A419" s="150" t="str" cm="1">
        <f t="array" aca="1" ref="A419" ca="1">INDIRECT($B$2&amp;"!"&amp;C419&amp;"15")</f>
        <v>visible</v>
      </c>
      <c r="B419" s="323" t="str" cm="1">
        <f t="array" aca="1" ref="B419" ca="1">IFERROR(INDIRECT($B$2&amp;"!"&amp;C419&amp;D419),"")</f>
        <v/>
      </c>
      <c r="C419" s="360" t="s">
        <v>118</v>
      </c>
      <c r="D419" s="351">
        <f t="shared" ca="1" si="37"/>
        <v>21</v>
      </c>
      <c r="F419" s="126" t="str">
        <f ca="1">IF(OR(B419="",B419,B419=0),"","          "&amp;A419&amp;": "&amp;B419&amp;",")</f>
        <v/>
      </c>
    </row>
    <row r="420" spans="1:6" hidden="1">
      <c r="A420" s="156" t="s">
        <v>1399</v>
      </c>
      <c r="B420" s="156"/>
      <c r="D420" s="351">
        <f t="shared" ca="1" si="37"/>
        <v>21</v>
      </c>
      <c r="F420" s="169" t="str">
        <f ca="1">IF(D419&gt;$O$2,"","},")</f>
        <v/>
      </c>
    </row>
    <row r="421" spans="1:6" hidden="1">
      <c r="A421" s="475" t="s">
        <v>1400</v>
      </c>
      <c r="B421" s="130" cm="1">
        <f t="array" aca="1" ref="B421" ca="1">IFERROR(INDIRECT($B$2&amp;"!"&amp;C421&amp;D421),"")</f>
        <v>0</v>
      </c>
      <c r="C421" s="350" t="s">
        <v>97</v>
      </c>
      <c r="D421" s="351">
        <f ca="1">IF(D420&gt;$O$2,0,IF(A421="eNd",1,0))+D420</f>
        <v>21</v>
      </c>
      <c r="F421" s="169" t="str">
        <f ca="1">IF(OR(B421="",B421=0),"","{  "&amp;A421&amp;": "&amp;CHAR(34)&amp;$B421&amp;CHAR(34)&amp;",")</f>
        <v/>
      </c>
    </row>
    <row r="422" spans="1:6" hidden="1">
      <c r="A422" s="150" t="str" cm="1">
        <f t="array" aca="1" ref="A422" ca="1">INDIRECT($B$2&amp;"!"&amp;C422&amp;"15")</f>
        <v>caption</v>
      </c>
      <c r="B422" s="130" t="str" cm="1">
        <f t="array" aca="1" ref="B422" ca="1">IFERROR(INDIRECT($B$2&amp;"!"&amp;C422&amp;D422),"")</f>
        <v/>
      </c>
      <c r="C422" s="350" t="s">
        <v>112</v>
      </c>
      <c r="D422" s="351">
        <f t="shared" ref="D422:D431" ca="1" si="38">IF(D421&gt;$O$2,0,IF(A422="eNd",1,0))+D421</f>
        <v>21</v>
      </c>
      <c r="F422" s="169" t="str">
        <f ca="1">IF(OR(B422="",B422=0),"","   "&amp;A422&amp;":"&amp;CHAR(34)&amp;B422&amp;CHAR(34)&amp;",")</f>
        <v/>
      </c>
    </row>
    <row r="423" spans="1:6" hidden="1">
      <c r="A423" s="150" t="str" cm="1">
        <f t="array" aca="1" ref="A423" ca="1">INDIRECT($B$2&amp;"!"&amp;C423&amp;"15")</f>
        <v>sortOrder</v>
      </c>
      <c r="B423" s="130" t="str" cm="1">
        <f t="array" aca="1" ref="B423" ca="1">IFERROR(INDIRECT($B$2&amp;"!"&amp;C423&amp;D423),"")</f>
        <v/>
      </c>
      <c r="C423" s="350" t="s">
        <v>119</v>
      </c>
      <c r="D423" s="351">
        <f t="shared" ca="1" si="38"/>
        <v>21</v>
      </c>
      <c r="F423" s="169" t="str">
        <f ca="1">IF(OR(B423="",B423=0),"","   "&amp;A423&amp;":"&amp;CHAR(34)&amp;B423&amp;CHAR(34)&amp;",")</f>
        <v/>
      </c>
    </row>
    <row r="424" spans="1:6" hidden="1">
      <c r="A424" s="150" t="str" cm="1">
        <f t="array" aca="1" ref="A424" ca="1">INDIRECT($B$2&amp;"!"&amp;C424&amp;"15")</f>
        <v>groupIndex</v>
      </c>
      <c r="B424" s="130" cm="1">
        <f t="array" aca="1" ref="B424" ca="1">IFERROR(INDIRECT($B$2&amp;"!"&amp;C424&amp;D424),"")</f>
        <v>0</v>
      </c>
      <c r="C424" s="355" t="s">
        <v>113</v>
      </c>
      <c r="D424" s="351">
        <f t="shared" ca="1" si="38"/>
        <v>21</v>
      </c>
      <c r="F424" s="126" t="str">
        <f ca="1">IF(OR(B424="",B424=0),"","            "&amp;A424&amp;": "&amp;B424-1&amp;",")</f>
        <v/>
      </c>
    </row>
    <row r="425" spans="1:6" hidden="1">
      <c r="A425" s="150" t="str" cm="1">
        <f t="array" aca="1" ref="A425" ca="1">INDIRECT($B$2&amp;"!"&amp;C425&amp;"15")</f>
        <v>dataType</v>
      </c>
      <c r="B425" s="130" cm="1">
        <f t="array" aca="1" ref="B425" ca="1">IFERROR(INDIRECT($B$2&amp;"!"&amp;C425&amp;D425),"")</f>
        <v>0</v>
      </c>
      <c r="C425" s="355" t="s">
        <v>114</v>
      </c>
      <c r="D425" s="351">
        <f t="shared" ca="1" si="38"/>
        <v>21</v>
      </c>
      <c r="F425" s="169" t="str">
        <f ca="1">IF(OR(B425="",B425=0),"","   "&amp;A425&amp;":"&amp;CHAR(34)&amp;B425&amp;CHAR(34)&amp;",")</f>
        <v/>
      </c>
    </row>
    <row r="426" spans="1:6" hidden="1">
      <c r="A426" s="150" t="str" cm="1">
        <f t="array" aca="1" ref="A426" ca="1">INDIRECT($B$2&amp;"!"&amp;C426&amp;"15")</f>
        <v>format</v>
      </c>
      <c r="B426" s="130" cm="1">
        <f t="array" aca="1" ref="B426" ca="1">IFERROR(INDIRECT($B$2&amp;"!"&amp;C426&amp;D426),"")</f>
        <v>0</v>
      </c>
      <c r="C426" s="355" t="s">
        <v>115</v>
      </c>
      <c r="D426" s="351">
        <f t="shared" ca="1" si="38"/>
        <v>21</v>
      </c>
      <c r="F426" s="169" t="str">
        <f ca="1">IF(OR(B426="",B426=0),"","   "&amp;A426&amp;":"&amp;IF(B426="fixedPoint",D425,CHAR(34)&amp;B426&amp;CHAR(34)&amp;","))</f>
        <v/>
      </c>
    </row>
    <row r="427" spans="1:6" hidden="1">
      <c r="A427" s="150" t="str" cm="1">
        <f t="array" aca="1" ref="A427" ca="1">INDIRECT($B$2&amp;"!"&amp;C427&amp;"15")</f>
        <v>validationRules</v>
      </c>
      <c r="B427" s="130" cm="1">
        <f t="array" aca="1" ref="B427" ca="1">IFERROR(INDIRECT($B$2&amp;"!"&amp;C427&amp;D427),"")</f>
        <v>0</v>
      </c>
      <c r="C427" s="350" t="s">
        <v>116</v>
      </c>
      <c r="D427" s="351">
        <f t="shared" ca="1" si="38"/>
        <v>21</v>
      </c>
      <c r="F427" s="169" t="str">
        <f ca="1">IF(B427,"   "&amp;A427&amp;": [{type: 'required',message: '"&amp;B422&amp;" is required' }],","")</f>
        <v/>
      </c>
    </row>
    <row r="428" spans="1:6" hidden="1">
      <c r="A428" s="150" t="str" cm="1">
        <f t="array" aca="1" ref="A428" ca="1">INDIRECT($B$2&amp;"!"&amp;C428&amp;"15")</f>
        <v>allowHiding</v>
      </c>
      <c r="B428" s="130" cm="1">
        <f t="array" aca="1" ref="B428" ca="1">IFERROR(INDIRECT($B$2&amp;"!"&amp;C428&amp;D428),"")</f>
        <v>0</v>
      </c>
      <c r="C428" s="360" t="s">
        <v>117</v>
      </c>
      <c r="D428" s="351">
        <f t="shared" ca="1" si="38"/>
        <v>21</v>
      </c>
      <c r="F428" s="169" t="str">
        <f ca="1">IF(OR(B428="",B428=0),"","   "&amp;A428&amp;": "&amp;B428&amp;",")</f>
        <v/>
      </c>
    </row>
    <row r="429" spans="1:6" hidden="1">
      <c r="A429" s="150" t="str" cm="1">
        <f t="array" aca="1" ref="A429" ca="1">INDIRECT($B$2&amp;"!"&amp;C429&amp;"15")</f>
        <v>width</v>
      </c>
      <c r="B429" s="130" cm="1">
        <f t="array" aca="1" ref="B429" ca="1">IFERROR(INDIRECT($B$2&amp;"!"&amp;C429&amp;D429),"")</f>
        <v>0</v>
      </c>
      <c r="C429" s="360" t="s">
        <v>61</v>
      </c>
      <c r="D429" s="351">
        <f t="shared" ca="1" si="38"/>
        <v>21</v>
      </c>
      <c r="F429" s="169" t="str">
        <f ca="1">IF(OR(B429="",B429=0),"","   "&amp;A429&amp;": "&amp;B429&amp;",")</f>
        <v/>
      </c>
    </row>
    <row r="430" spans="1:6" hidden="1">
      <c r="A430" s="150" t="str" cm="1">
        <f t="array" aca="1" ref="A430" ca="1">INDIRECT($B$2&amp;"!"&amp;C430&amp;"15")</f>
        <v>visible</v>
      </c>
      <c r="B430" s="323" t="str" cm="1">
        <f t="array" aca="1" ref="B430" ca="1">IFERROR(INDIRECT($B$2&amp;"!"&amp;C430&amp;D430),"")</f>
        <v/>
      </c>
      <c r="C430" s="360" t="s">
        <v>118</v>
      </c>
      <c r="D430" s="351">
        <f t="shared" ca="1" si="38"/>
        <v>21</v>
      </c>
      <c r="F430" s="126" t="str">
        <f ca="1">IF(OR(B430="",B430,B430=0),"","          "&amp;A430&amp;": "&amp;B430&amp;",")</f>
        <v/>
      </c>
    </row>
    <row r="431" spans="1:6" hidden="1">
      <c r="A431" s="156" t="s">
        <v>1399</v>
      </c>
      <c r="B431" s="156"/>
      <c r="D431" s="351">
        <f t="shared" ca="1" si="38"/>
        <v>21</v>
      </c>
      <c r="F431" s="169" t="str">
        <f ca="1">IF(D430&gt;$O$2,"","},")</f>
        <v/>
      </c>
    </row>
    <row r="432" spans="1:6" hidden="1">
      <c r="A432" s="475" t="s">
        <v>1400</v>
      </c>
      <c r="B432" s="130" cm="1">
        <f t="array" aca="1" ref="B432" ca="1">IFERROR(INDIRECT($B$2&amp;"!"&amp;C432&amp;D432),"")</f>
        <v>0</v>
      </c>
      <c r="C432" s="350" t="s">
        <v>97</v>
      </c>
      <c r="D432" s="351">
        <f ca="1">IF(D431&gt;$O$2,0,IF(A432="eNd",1,0))+D431</f>
        <v>21</v>
      </c>
      <c r="F432" s="169" t="str">
        <f ca="1">IF(OR(B432="",B432=0),"","{  "&amp;A432&amp;": "&amp;CHAR(34)&amp;$B432&amp;CHAR(34)&amp;",")</f>
        <v/>
      </c>
    </row>
    <row r="433" spans="1:6" hidden="1">
      <c r="A433" s="150" t="str" cm="1">
        <f t="array" aca="1" ref="A433" ca="1">INDIRECT($B$2&amp;"!"&amp;C433&amp;"15")</f>
        <v>caption</v>
      </c>
      <c r="B433" s="130" t="str" cm="1">
        <f t="array" aca="1" ref="B433" ca="1">IFERROR(INDIRECT($B$2&amp;"!"&amp;C433&amp;D433),"")</f>
        <v/>
      </c>
      <c r="C433" s="350" t="s">
        <v>112</v>
      </c>
      <c r="D433" s="351">
        <f t="shared" ref="D433:D442" ca="1" si="39">IF(D432&gt;$O$2,0,IF(A433="eNd",1,0))+D432</f>
        <v>21</v>
      </c>
      <c r="F433" s="169" t="str">
        <f ca="1">IF(OR(B433="",B433=0),"","   "&amp;A433&amp;":"&amp;CHAR(34)&amp;B433&amp;CHAR(34)&amp;",")</f>
        <v/>
      </c>
    </row>
    <row r="434" spans="1:6" hidden="1">
      <c r="A434" s="150" t="str" cm="1">
        <f t="array" aca="1" ref="A434" ca="1">INDIRECT($B$2&amp;"!"&amp;C434&amp;"15")</f>
        <v>sortOrder</v>
      </c>
      <c r="B434" s="130" t="str" cm="1">
        <f t="array" aca="1" ref="B434" ca="1">IFERROR(INDIRECT($B$2&amp;"!"&amp;C434&amp;D434),"")</f>
        <v/>
      </c>
      <c r="C434" s="350" t="s">
        <v>119</v>
      </c>
      <c r="D434" s="351">
        <f t="shared" ca="1" si="39"/>
        <v>21</v>
      </c>
      <c r="F434" s="169" t="str">
        <f ca="1">IF(OR(B434="",B434=0),"","   "&amp;A434&amp;":"&amp;CHAR(34)&amp;B434&amp;CHAR(34)&amp;",")</f>
        <v/>
      </c>
    </row>
    <row r="435" spans="1:6" hidden="1">
      <c r="A435" s="150" t="str" cm="1">
        <f t="array" aca="1" ref="A435" ca="1">INDIRECT($B$2&amp;"!"&amp;C435&amp;"15")</f>
        <v>groupIndex</v>
      </c>
      <c r="B435" s="130" cm="1">
        <f t="array" aca="1" ref="B435" ca="1">IFERROR(INDIRECT($B$2&amp;"!"&amp;C435&amp;D435),"")</f>
        <v>0</v>
      </c>
      <c r="C435" s="355" t="s">
        <v>113</v>
      </c>
      <c r="D435" s="351">
        <f t="shared" ca="1" si="39"/>
        <v>21</v>
      </c>
      <c r="F435" s="126" t="str">
        <f ca="1">IF(OR(B435="",B435=0),"","            "&amp;A435&amp;": "&amp;B435-1&amp;",")</f>
        <v/>
      </c>
    </row>
    <row r="436" spans="1:6" hidden="1">
      <c r="A436" s="150" t="str" cm="1">
        <f t="array" aca="1" ref="A436" ca="1">INDIRECT($B$2&amp;"!"&amp;C436&amp;"15")</f>
        <v>dataType</v>
      </c>
      <c r="B436" s="130" cm="1">
        <f t="array" aca="1" ref="B436" ca="1">IFERROR(INDIRECT($B$2&amp;"!"&amp;C436&amp;D436),"")</f>
        <v>0</v>
      </c>
      <c r="C436" s="355" t="s">
        <v>114</v>
      </c>
      <c r="D436" s="351">
        <f t="shared" ca="1" si="39"/>
        <v>21</v>
      </c>
      <c r="F436" s="169" t="str">
        <f ca="1">IF(OR(B436="",B436=0),"","   "&amp;A436&amp;":"&amp;CHAR(34)&amp;B436&amp;CHAR(34)&amp;",")</f>
        <v/>
      </c>
    </row>
    <row r="437" spans="1:6" hidden="1">
      <c r="A437" s="150" t="str" cm="1">
        <f t="array" aca="1" ref="A437" ca="1">INDIRECT($B$2&amp;"!"&amp;C437&amp;"15")</f>
        <v>format</v>
      </c>
      <c r="B437" s="130" cm="1">
        <f t="array" aca="1" ref="B437" ca="1">IFERROR(INDIRECT($B$2&amp;"!"&amp;C437&amp;D437),"")</f>
        <v>0</v>
      </c>
      <c r="C437" s="355" t="s">
        <v>115</v>
      </c>
      <c r="D437" s="351">
        <f t="shared" ca="1" si="39"/>
        <v>21</v>
      </c>
      <c r="F437" s="169" t="str">
        <f ca="1">IF(OR(B437="",B437=0),"","   "&amp;A437&amp;":"&amp;IF(B437="fixedPoint",D436,CHAR(34)&amp;B437&amp;CHAR(34)&amp;","))</f>
        <v/>
      </c>
    </row>
    <row r="438" spans="1:6" hidden="1">
      <c r="A438" s="150" t="str" cm="1">
        <f t="array" aca="1" ref="A438" ca="1">INDIRECT($B$2&amp;"!"&amp;C438&amp;"15")</f>
        <v>validationRules</v>
      </c>
      <c r="B438" s="130" cm="1">
        <f t="array" aca="1" ref="B438" ca="1">IFERROR(INDIRECT($B$2&amp;"!"&amp;C438&amp;D438),"")</f>
        <v>0</v>
      </c>
      <c r="C438" s="350" t="s">
        <v>116</v>
      </c>
      <c r="D438" s="351">
        <f t="shared" ca="1" si="39"/>
        <v>21</v>
      </c>
      <c r="F438" s="169" t="str">
        <f ca="1">IF(B438,"   "&amp;A438&amp;": [{type: 'required',message: '"&amp;B433&amp;" is required' }],","")</f>
        <v/>
      </c>
    </row>
    <row r="439" spans="1:6" hidden="1">
      <c r="A439" s="150" t="str" cm="1">
        <f t="array" aca="1" ref="A439" ca="1">INDIRECT($B$2&amp;"!"&amp;C439&amp;"15")</f>
        <v>allowHiding</v>
      </c>
      <c r="B439" s="130" cm="1">
        <f t="array" aca="1" ref="B439" ca="1">IFERROR(INDIRECT($B$2&amp;"!"&amp;C439&amp;D439),"")</f>
        <v>0</v>
      </c>
      <c r="C439" s="360" t="s">
        <v>117</v>
      </c>
      <c r="D439" s="351">
        <f t="shared" ca="1" si="39"/>
        <v>21</v>
      </c>
      <c r="F439" s="169" t="str">
        <f ca="1">IF(OR(B439="",B439=0),"","   "&amp;A439&amp;": "&amp;B439&amp;",")</f>
        <v/>
      </c>
    </row>
    <row r="440" spans="1:6" hidden="1">
      <c r="A440" s="150" t="str" cm="1">
        <f t="array" aca="1" ref="A440" ca="1">INDIRECT($B$2&amp;"!"&amp;C440&amp;"15")</f>
        <v>width</v>
      </c>
      <c r="B440" s="130" cm="1">
        <f t="array" aca="1" ref="B440" ca="1">IFERROR(INDIRECT($B$2&amp;"!"&amp;C440&amp;D440),"")</f>
        <v>0</v>
      </c>
      <c r="C440" s="360" t="s">
        <v>61</v>
      </c>
      <c r="D440" s="351">
        <f t="shared" ca="1" si="39"/>
        <v>21</v>
      </c>
      <c r="F440" s="169" t="str">
        <f ca="1">IF(OR(B440="",B440=0),"","   "&amp;A440&amp;": "&amp;B440&amp;",")</f>
        <v/>
      </c>
    </row>
    <row r="441" spans="1:6" hidden="1">
      <c r="A441" s="150" t="str" cm="1">
        <f t="array" aca="1" ref="A441" ca="1">INDIRECT($B$2&amp;"!"&amp;C441&amp;"15")</f>
        <v>visible</v>
      </c>
      <c r="B441" s="323" t="str" cm="1">
        <f t="array" aca="1" ref="B441" ca="1">IFERROR(INDIRECT($B$2&amp;"!"&amp;C441&amp;D441),"")</f>
        <v/>
      </c>
      <c r="C441" s="360" t="s">
        <v>118</v>
      </c>
      <c r="D441" s="351">
        <f t="shared" ca="1" si="39"/>
        <v>21</v>
      </c>
      <c r="F441" s="126" t="str">
        <f ca="1">IF(OR(B441="",B441,B441=0),"","          "&amp;A441&amp;": "&amp;B441&amp;",")</f>
        <v/>
      </c>
    </row>
    <row r="442" spans="1:6" hidden="1">
      <c r="A442" s="156" t="s">
        <v>1399</v>
      </c>
      <c r="B442" s="156"/>
      <c r="D442" s="351">
        <f t="shared" ca="1" si="39"/>
        <v>21</v>
      </c>
      <c r="F442" s="169" t="str">
        <f ca="1">IF(D441&gt;$O$2,"","},")</f>
        <v/>
      </c>
    </row>
    <row r="443" spans="1:6" hidden="1">
      <c r="A443" s="475" t="s">
        <v>1400</v>
      </c>
      <c r="B443" s="130" cm="1">
        <f t="array" aca="1" ref="B443" ca="1">IFERROR(INDIRECT($B$2&amp;"!"&amp;C443&amp;D443),"")</f>
        <v>0</v>
      </c>
      <c r="C443" s="350" t="s">
        <v>97</v>
      </c>
      <c r="D443" s="351">
        <f ca="1">IF(D442&gt;$O$2,0,IF(A443="eNd",1,0))+D442</f>
        <v>21</v>
      </c>
      <c r="F443" s="169" t="str">
        <f ca="1">IF(OR(B443="",B443=0),"","{  "&amp;A443&amp;": "&amp;CHAR(34)&amp;$B443&amp;CHAR(34)&amp;",")</f>
        <v/>
      </c>
    </row>
    <row r="444" spans="1:6" hidden="1">
      <c r="A444" s="150" t="str" cm="1">
        <f t="array" aca="1" ref="A444" ca="1">INDIRECT($B$2&amp;"!"&amp;C444&amp;"15")</f>
        <v>caption</v>
      </c>
      <c r="B444" s="130" t="str" cm="1">
        <f t="array" aca="1" ref="B444" ca="1">IFERROR(INDIRECT($B$2&amp;"!"&amp;C444&amp;D444),"")</f>
        <v/>
      </c>
      <c r="C444" s="350" t="s">
        <v>112</v>
      </c>
      <c r="D444" s="351">
        <f t="shared" ref="D444:D453" ca="1" si="40">IF(D443&gt;$O$2,0,IF(A444="eNd",1,0))+D443</f>
        <v>21</v>
      </c>
      <c r="F444" s="169" t="str">
        <f ca="1">IF(OR(B444="",B444=0),"","   "&amp;A444&amp;":"&amp;CHAR(34)&amp;B444&amp;CHAR(34)&amp;",")</f>
        <v/>
      </c>
    </row>
    <row r="445" spans="1:6" hidden="1">
      <c r="A445" s="150" t="str" cm="1">
        <f t="array" aca="1" ref="A445" ca="1">INDIRECT($B$2&amp;"!"&amp;C445&amp;"15")</f>
        <v>sortOrder</v>
      </c>
      <c r="B445" s="130" t="str" cm="1">
        <f t="array" aca="1" ref="B445" ca="1">IFERROR(INDIRECT($B$2&amp;"!"&amp;C445&amp;D445),"")</f>
        <v/>
      </c>
      <c r="C445" s="350" t="s">
        <v>119</v>
      </c>
      <c r="D445" s="351">
        <f t="shared" ca="1" si="40"/>
        <v>21</v>
      </c>
      <c r="F445" s="169" t="str">
        <f ca="1">IF(OR(B445="",B445=0),"","   "&amp;A445&amp;":"&amp;CHAR(34)&amp;B445&amp;CHAR(34)&amp;",")</f>
        <v/>
      </c>
    </row>
    <row r="446" spans="1:6" hidden="1">
      <c r="A446" s="150" t="str" cm="1">
        <f t="array" aca="1" ref="A446" ca="1">INDIRECT($B$2&amp;"!"&amp;C446&amp;"15")</f>
        <v>groupIndex</v>
      </c>
      <c r="B446" s="130" cm="1">
        <f t="array" aca="1" ref="B446" ca="1">IFERROR(INDIRECT($B$2&amp;"!"&amp;C446&amp;D446),"")</f>
        <v>0</v>
      </c>
      <c r="C446" s="355" t="s">
        <v>113</v>
      </c>
      <c r="D446" s="351">
        <f t="shared" ca="1" si="40"/>
        <v>21</v>
      </c>
      <c r="F446" s="126" t="str">
        <f ca="1">IF(OR(B446="",B446=0),"","            "&amp;A446&amp;": "&amp;B446-1&amp;",")</f>
        <v/>
      </c>
    </row>
    <row r="447" spans="1:6" hidden="1">
      <c r="A447" s="150" t="str" cm="1">
        <f t="array" aca="1" ref="A447" ca="1">INDIRECT($B$2&amp;"!"&amp;C447&amp;"15")</f>
        <v>dataType</v>
      </c>
      <c r="B447" s="130" cm="1">
        <f t="array" aca="1" ref="B447" ca="1">IFERROR(INDIRECT($B$2&amp;"!"&amp;C447&amp;D447),"")</f>
        <v>0</v>
      </c>
      <c r="C447" s="355" t="s">
        <v>114</v>
      </c>
      <c r="D447" s="351">
        <f t="shared" ca="1" si="40"/>
        <v>21</v>
      </c>
      <c r="F447" s="169" t="str">
        <f ca="1">IF(OR(B447="",B447=0),"","   "&amp;A447&amp;":"&amp;CHAR(34)&amp;B447&amp;CHAR(34)&amp;",")</f>
        <v/>
      </c>
    </row>
    <row r="448" spans="1:6" hidden="1">
      <c r="A448" s="150" t="str" cm="1">
        <f t="array" aca="1" ref="A448" ca="1">INDIRECT($B$2&amp;"!"&amp;C448&amp;"15")</f>
        <v>format</v>
      </c>
      <c r="B448" s="130" cm="1">
        <f t="array" aca="1" ref="B448" ca="1">IFERROR(INDIRECT($B$2&amp;"!"&amp;C448&amp;D448),"")</f>
        <v>0</v>
      </c>
      <c r="C448" s="355" t="s">
        <v>115</v>
      </c>
      <c r="D448" s="351">
        <f t="shared" ca="1" si="40"/>
        <v>21</v>
      </c>
      <c r="F448" s="169" t="str">
        <f ca="1">IF(OR(B448="",B448=0),"","   "&amp;A448&amp;":"&amp;IF(B448="fixedPoint",D447,CHAR(34)&amp;B448&amp;CHAR(34)&amp;","))</f>
        <v/>
      </c>
    </row>
    <row r="449" spans="1:6" hidden="1">
      <c r="A449" s="150" t="str" cm="1">
        <f t="array" aca="1" ref="A449" ca="1">INDIRECT($B$2&amp;"!"&amp;C449&amp;"15")</f>
        <v>validationRules</v>
      </c>
      <c r="B449" s="130" cm="1">
        <f t="array" aca="1" ref="B449" ca="1">IFERROR(INDIRECT($B$2&amp;"!"&amp;C449&amp;D449),"")</f>
        <v>0</v>
      </c>
      <c r="C449" s="350" t="s">
        <v>116</v>
      </c>
      <c r="D449" s="351">
        <f t="shared" ca="1" si="40"/>
        <v>21</v>
      </c>
      <c r="F449" s="169" t="str">
        <f ca="1">IF(B449,"   "&amp;A449&amp;": [{type: 'required',message: '"&amp;B444&amp;" is required' }],","")</f>
        <v/>
      </c>
    </row>
    <row r="450" spans="1:6" hidden="1">
      <c r="A450" s="150" t="str" cm="1">
        <f t="array" aca="1" ref="A450" ca="1">INDIRECT($B$2&amp;"!"&amp;C450&amp;"15")</f>
        <v>allowHiding</v>
      </c>
      <c r="B450" s="130" cm="1">
        <f t="array" aca="1" ref="B450" ca="1">IFERROR(INDIRECT($B$2&amp;"!"&amp;C450&amp;D450),"")</f>
        <v>0</v>
      </c>
      <c r="C450" s="360" t="s">
        <v>117</v>
      </c>
      <c r="D450" s="351">
        <f t="shared" ca="1" si="40"/>
        <v>21</v>
      </c>
      <c r="F450" s="169" t="str">
        <f ca="1">IF(OR(B450="",B450=0),"","   "&amp;A450&amp;": "&amp;B450&amp;",")</f>
        <v/>
      </c>
    </row>
    <row r="451" spans="1:6" hidden="1">
      <c r="A451" s="150" t="str" cm="1">
        <f t="array" aca="1" ref="A451" ca="1">INDIRECT($B$2&amp;"!"&amp;C451&amp;"15")</f>
        <v>width</v>
      </c>
      <c r="B451" s="130" cm="1">
        <f t="array" aca="1" ref="B451" ca="1">IFERROR(INDIRECT($B$2&amp;"!"&amp;C451&amp;D451),"")</f>
        <v>0</v>
      </c>
      <c r="C451" s="360" t="s">
        <v>61</v>
      </c>
      <c r="D451" s="351">
        <f t="shared" ca="1" si="40"/>
        <v>21</v>
      </c>
      <c r="F451" s="169" t="str">
        <f ca="1">IF(OR(B451="",B451=0),"","   "&amp;A451&amp;": "&amp;B451&amp;",")</f>
        <v/>
      </c>
    </row>
    <row r="452" spans="1:6" hidden="1">
      <c r="A452" s="150" t="str" cm="1">
        <f t="array" aca="1" ref="A452" ca="1">INDIRECT($B$2&amp;"!"&amp;C452&amp;"15")</f>
        <v>visible</v>
      </c>
      <c r="B452" s="323" t="str" cm="1">
        <f t="array" aca="1" ref="B452" ca="1">IFERROR(INDIRECT($B$2&amp;"!"&amp;C452&amp;D452),"")</f>
        <v/>
      </c>
      <c r="C452" s="360" t="s">
        <v>118</v>
      </c>
      <c r="D452" s="351">
        <f t="shared" ca="1" si="40"/>
        <v>21</v>
      </c>
      <c r="F452" s="126" t="str">
        <f ca="1">IF(OR(B452="",B452,B452=0),"","          "&amp;A452&amp;": "&amp;B452&amp;",")</f>
        <v/>
      </c>
    </row>
    <row r="453" spans="1:6" hidden="1">
      <c r="A453" s="156" t="s">
        <v>1399</v>
      </c>
      <c r="B453" s="156"/>
      <c r="D453" s="351">
        <f t="shared" ca="1" si="40"/>
        <v>21</v>
      </c>
      <c r="F453" s="169" t="str">
        <f ca="1">IF(D452&gt;$O$2,"","},")</f>
        <v/>
      </c>
    </row>
    <row r="454" spans="1:6" hidden="1">
      <c r="A454" s="475" t="s">
        <v>1400</v>
      </c>
      <c r="B454" s="130" cm="1">
        <f t="array" aca="1" ref="B454" ca="1">IFERROR(INDIRECT($B$2&amp;"!"&amp;C454&amp;D454),"")</f>
        <v>0</v>
      </c>
      <c r="C454" s="350" t="s">
        <v>97</v>
      </c>
      <c r="D454" s="351">
        <f ca="1">IF(D453&gt;$O$2,0,IF(A454="eNd",1,0))+D453</f>
        <v>21</v>
      </c>
      <c r="F454" s="169" t="str">
        <f ca="1">IF(OR(B454="",B454=0),"","{  "&amp;A454&amp;": "&amp;CHAR(34)&amp;$B454&amp;CHAR(34)&amp;",")</f>
        <v/>
      </c>
    </row>
    <row r="455" spans="1:6" hidden="1">
      <c r="A455" s="150" t="str" cm="1">
        <f t="array" aca="1" ref="A455" ca="1">INDIRECT($B$2&amp;"!"&amp;C455&amp;"15")</f>
        <v>caption</v>
      </c>
      <c r="B455" s="130" t="str" cm="1">
        <f t="array" aca="1" ref="B455" ca="1">IFERROR(INDIRECT($B$2&amp;"!"&amp;C455&amp;D455),"")</f>
        <v/>
      </c>
      <c r="C455" s="350" t="s">
        <v>112</v>
      </c>
      <c r="D455" s="351">
        <f t="shared" ref="D455:D464" ca="1" si="41">IF(D454&gt;$O$2,0,IF(A455="eNd",1,0))+D454</f>
        <v>21</v>
      </c>
      <c r="F455" s="169" t="str">
        <f ca="1">IF(OR(B455="",B455=0),"","   "&amp;A455&amp;":"&amp;CHAR(34)&amp;B455&amp;CHAR(34)&amp;",")</f>
        <v/>
      </c>
    </row>
    <row r="456" spans="1:6" hidden="1">
      <c r="A456" s="150" t="str" cm="1">
        <f t="array" aca="1" ref="A456" ca="1">INDIRECT($B$2&amp;"!"&amp;C456&amp;"15")</f>
        <v>sortOrder</v>
      </c>
      <c r="B456" s="130" t="str" cm="1">
        <f t="array" aca="1" ref="B456" ca="1">IFERROR(INDIRECT($B$2&amp;"!"&amp;C456&amp;D456),"")</f>
        <v/>
      </c>
      <c r="C456" s="350" t="s">
        <v>119</v>
      </c>
      <c r="D456" s="351">
        <f t="shared" ca="1" si="41"/>
        <v>21</v>
      </c>
      <c r="F456" s="169" t="str">
        <f ca="1">IF(OR(B456="",B456=0),"","   "&amp;A456&amp;":"&amp;CHAR(34)&amp;B456&amp;CHAR(34)&amp;",")</f>
        <v/>
      </c>
    </row>
    <row r="457" spans="1:6" hidden="1">
      <c r="A457" s="150" t="str" cm="1">
        <f t="array" aca="1" ref="A457" ca="1">INDIRECT($B$2&amp;"!"&amp;C457&amp;"15")</f>
        <v>groupIndex</v>
      </c>
      <c r="B457" s="130" cm="1">
        <f t="array" aca="1" ref="B457" ca="1">IFERROR(INDIRECT($B$2&amp;"!"&amp;C457&amp;D457),"")</f>
        <v>0</v>
      </c>
      <c r="C457" s="355" t="s">
        <v>113</v>
      </c>
      <c r="D457" s="351">
        <f t="shared" ca="1" si="41"/>
        <v>21</v>
      </c>
      <c r="F457" s="126" t="str">
        <f ca="1">IF(OR(B457="",B457=0),"","            "&amp;A457&amp;": "&amp;B457-1&amp;",")</f>
        <v/>
      </c>
    </row>
    <row r="458" spans="1:6" hidden="1">
      <c r="A458" s="150" t="str" cm="1">
        <f t="array" aca="1" ref="A458" ca="1">INDIRECT($B$2&amp;"!"&amp;C458&amp;"15")</f>
        <v>dataType</v>
      </c>
      <c r="B458" s="130" cm="1">
        <f t="array" aca="1" ref="B458" ca="1">IFERROR(INDIRECT($B$2&amp;"!"&amp;C458&amp;D458),"")</f>
        <v>0</v>
      </c>
      <c r="C458" s="355" t="s">
        <v>114</v>
      </c>
      <c r="D458" s="351">
        <f t="shared" ca="1" si="41"/>
        <v>21</v>
      </c>
      <c r="F458" s="169" t="str">
        <f ca="1">IF(OR(B458="",B458=0),"","   "&amp;A458&amp;":"&amp;CHAR(34)&amp;B458&amp;CHAR(34)&amp;",")</f>
        <v/>
      </c>
    </row>
    <row r="459" spans="1:6" hidden="1">
      <c r="A459" s="150" t="str" cm="1">
        <f t="array" aca="1" ref="A459" ca="1">INDIRECT($B$2&amp;"!"&amp;C459&amp;"15")</f>
        <v>format</v>
      </c>
      <c r="B459" s="130" cm="1">
        <f t="array" aca="1" ref="B459" ca="1">IFERROR(INDIRECT($B$2&amp;"!"&amp;C459&amp;D459),"")</f>
        <v>0</v>
      </c>
      <c r="C459" s="355" t="s">
        <v>115</v>
      </c>
      <c r="D459" s="351">
        <f t="shared" ca="1" si="41"/>
        <v>21</v>
      </c>
      <c r="F459" s="169" t="str">
        <f ca="1">IF(OR(B459="",B459=0),"","   "&amp;A459&amp;":"&amp;IF(B459="fixedPoint",D458,CHAR(34)&amp;B459&amp;CHAR(34)&amp;","))</f>
        <v/>
      </c>
    </row>
    <row r="460" spans="1:6" hidden="1">
      <c r="A460" s="150" t="str" cm="1">
        <f t="array" aca="1" ref="A460" ca="1">INDIRECT($B$2&amp;"!"&amp;C460&amp;"15")</f>
        <v>validationRules</v>
      </c>
      <c r="B460" s="130" cm="1">
        <f t="array" aca="1" ref="B460" ca="1">IFERROR(INDIRECT($B$2&amp;"!"&amp;C460&amp;D460),"")</f>
        <v>0</v>
      </c>
      <c r="C460" s="350" t="s">
        <v>116</v>
      </c>
      <c r="D460" s="351">
        <f t="shared" ca="1" si="41"/>
        <v>21</v>
      </c>
      <c r="F460" s="169" t="str">
        <f ca="1">IF(B460,"   "&amp;A460&amp;": [{type: 'required',message: '"&amp;B455&amp;" is required' }],","")</f>
        <v/>
      </c>
    </row>
    <row r="461" spans="1:6" hidden="1">
      <c r="A461" s="150" t="str" cm="1">
        <f t="array" aca="1" ref="A461" ca="1">INDIRECT($B$2&amp;"!"&amp;C461&amp;"15")</f>
        <v>allowHiding</v>
      </c>
      <c r="B461" s="130" cm="1">
        <f t="array" aca="1" ref="B461" ca="1">IFERROR(INDIRECT($B$2&amp;"!"&amp;C461&amp;D461),"")</f>
        <v>0</v>
      </c>
      <c r="C461" s="360" t="s">
        <v>117</v>
      </c>
      <c r="D461" s="351">
        <f t="shared" ca="1" si="41"/>
        <v>21</v>
      </c>
      <c r="F461" s="169" t="str">
        <f ca="1">IF(OR(B461="",B461=0),"","   "&amp;A461&amp;": "&amp;B461&amp;",")</f>
        <v/>
      </c>
    </row>
    <row r="462" spans="1:6" hidden="1">
      <c r="A462" s="150" t="str" cm="1">
        <f t="array" aca="1" ref="A462" ca="1">INDIRECT($B$2&amp;"!"&amp;C462&amp;"15")</f>
        <v>width</v>
      </c>
      <c r="B462" s="130" cm="1">
        <f t="array" aca="1" ref="B462" ca="1">IFERROR(INDIRECT($B$2&amp;"!"&amp;C462&amp;D462),"")</f>
        <v>0</v>
      </c>
      <c r="C462" s="360" t="s">
        <v>61</v>
      </c>
      <c r="D462" s="351">
        <f t="shared" ca="1" si="41"/>
        <v>21</v>
      </c>
      <c r="F462" s="169" t="str">
        <f ca="1">IF(OR(B462="",B462=0),"","   "&amp;A462&amp;": "&amp;B462&amp;",")</f>
        <v/>
      </c>
    </row>
    <row r="463" spans="1:6" hidden="1">
      <c r="A463" s="150" t="str" cm="1">
        <f t="array" aca="1" ref="A463" ca="1">INDIRECT($B$2&amp;"!"&amp;C463&amp;"15")</f>
        <v>visible</v>
      </c>
      <c r="B463" s="323" t="str" cm="1">
        <f t="array" aca="1" ref="B463" ca="1">IFERROR(INDIRECT($B$2&amp;"!"&amp;C463&amp;D463),"")</f>
        <v/>
      </c>
      <c r="C463" s="360" t="s">
        <v>118</v>
      </c>
      <c r="D463" s="351">
        <f t="shared" ca="1" si="41"/>
        <v>21</v>
      </c>
      <c r="F463" s="126" t="str">
        <f ca="1">IF(OR(B463="",B463,B463=0),"","          "&amp;A463&amp;": "&amp;B463&amp;",")</f>
        <v/>
      </c>
    </row>
    <row r="464" spans="1:6" hidden="1">
      <c r="A464" s="156" t="s">
        <v>1399</v>
      </c>
      <c r="B464" s="156"/>
      <c r="D464" s="351">
        <f t="shared" ca="1" si="41"/>
        <v>21</v>
      </c>
      <c r="F464" s="169" t="str">
        <f ca="1">IF(D463&gt;$O$2,"","},")</f>
        <v/>
      </c>
    </row>
    <row r="465" spans="1:6" hidden="1">
      <c r="A465" s="475" t="s">
        <v>1400</v>
      </c>
      <c r="B465" s="130" cm="1">
        <f t="array" aca="1" ref="B465" ca="1">IFERROR(INDIRECT($B$2&amp;"!"&amp;C465&amp;D465),"")</f>
        <v>0</v>
      </c>
      <c r="C465" s="350" t="s">
        <v>97</v>
      </c>
      <c r="D465" s="351">
        <f ca="1">IF(D464&gt;$O$2,0,IF(A465="eNd",1,0))+D464</f>
        <v>21</v>
      </c>
      <c r="F465" s="169" t="str">
        <f ca="1">IF(OR(B465="",B465=0),"","{  "&amp;A465&amp;": "&amp;CHAR(34)&amp;$B465&amp;CHAR(34)&amp;",")</f>
        <v/>
      </c>
    </row>
    <row r="466" spans="1:6" hidden="1">
      <c r="A466" s="150" t="str" cm="1">
        <f t="array" aca="1" ref="A466" ca="1">INDIRECT($B$2&amp;"!"&amp;C466&amp;"15")</f>
        <v>caption</v>
      </c>
      <c r="B466" s="130" t="str" cm="1">
        <f t="array" aca="1" ref="B466" ca="1">IFERROR(INDIRECT($B$2&amp;"!"&amp;C466&amp;D466),"")</f>
        <v/>
      </c>
      <c r="C466" s="350" t="s">
        <v>112</v>
      </c>
      <c r="D466" s="351">
        <f t="shared" ref="D466:D475" ca="1" si="42">IF(D465&gt;$O$2,0,IF(A466="eNd",1,0))+D465</f>
        <v>21</v>
      </c>
      <c r="F466" s="169" t="str">
        <f ca="1">IF(OR(B466="",B466=0),"","   "&amp;A466&amp;":"&amp;CHAR(34)&amp;B466&amp;CHAR(34)&amp;",")</f>
        <v/>
      </c>
    </row>
    <row r="467" spans="1:6" hidden="1">
      <c r="A467" s="150" t="str" cm="1">
        <f t="array" aca="1" ref="A467" ca="1">INDIRECT($B$2&amp;"!"&amp;C467&amp;"15")</f>
        <v>sortOrder</v>
      </c>
      <c r="B467" s="130" t="str" cm="1">
        <f t="array" aca="1" ref="B467" ca="1">IFERROR(INDIRECT($B$2&amp;"!"&amp;C467&amp;D467),"")</f>
        <v/>
      </c>
      <c r="C467" s="350" t="s">
        <v>119</v>
      </c>
      <c r="D467" s="351">
        <f t="shared" ca="1" si="42"/>
        <v>21</v>
      </c>
      <c r="F467" s="169" t="str">
        <f ca="1">IF(OR(B467="",B467=0),"","   "&amp;A467&amp;":"&amp;CHAR(34)&amp;B467&amp;CHAR(34)&amp;",")</f>
        <v/>
      </c>
    </row>
    <row r="468" spans="1:6" hidden="1">
      <c r="A468" s="150" t="str" cm="1">
        <f t="array" aca="1" ref="A468" ca="1">INDIRECT($B$2&amp;"!"&amp;C468&amp;"15")</f>
        <v>groupIndex</v>
      </c>
      <c r="B468" s="130" cm="1">
        <f t="array" aca="1" ref="B468" ca="1">IFERROR(INDIRECT($B$2&amp;"!"&amp;C468&amp;D468),"")</f>
        <v>0</v>
      </c>
      <c r="C468" s="355" t="s">
        <v>113</v>
      </c>
      <c r="D468" s="351">
        <f t="shared" ca="1" si="42"/>
        <v>21</v>
      </c>
      <c r="F468" s="126" t="str">
        <f ca="1">IF(OR(B468="",B468=0),"","            "&amp;A468&amp;": "&amp;B468-1&amp;",")</f>
        <v/>
      </c>
    </row>
    <row r="469" spans="1:6" hidden="1">
      <c r="A469" s="150" t="str" cm="1">
        <f t="array" aca="1" ref="A469" ca="1">INDIRECT($B$2&amp;"!"&amp;C469&amp;"15")</f>
        <v>dataType</v>
      </c>
      <c r="B469" s="130" cm="1">
        <f t="array" aca="1" ref="B469" ca="1">IFERROR(INDIRECT($B$2&amp;"!"&amp;C469&amp;D469),"")</f>
        <v>0</v>
      </c>
      <c r="C469" s="355" t="s">
        <v>114</v>
      </c>
      <c r="D469" s="351">
        <f t="shared" ca="1" si="42"/>
        <v>21</v>
      </c>
      <c r="F469" s="169" t="str">
        <f ca="1">IF(OR(B469="",B469=0),"","   "&amp;A469&amp;":"&amp;CHAR(34)&amp;B469&amp;CHAR(34)&amp;",")</f>
        <v/>
      </c>
    </row>
    <row r="470" spans="1:6" hidden="1">
      <c r="A470" s="150" t="str" cm="1">
        <f t="array" aca="1" ref="A470" ca="1">INDIRECT($B$2&amp;"!"&amp;C470&amp;"15")</f>
        <v>format</v>
      </c>
      <c r="B470" s="130" cm="1">
        <f t="array" aca="1" ref="B470" ca="1">IFERROR(INDIRECT($B$2&amp;"!"&amp;C470&amp;D470),"")</f>
        <v>0</v>
      </c>
      <c r="C470" s="355" t="s">
        <v>115</v>
      </c>
      <c r="D470" s="351">
        <f t="shared" ca="1" si="42"/>
        <v>21</v>
      </c>
      <c r="F470" s="169" t="str">
        <f ca="1">IF(OR(B470="",B470=0),"","   "&amp;A470&amp;":"&amp;IF(B470="fixedPoint",D469,CHAR(34)&amp;B470&amp;CHAR(34)&amp;","))</f>
        <v/>
      </c>
    </row>
    <row r="471" spans="1:6" hidden="1">
      <c r="A471" s="150" t="str" cm="1">
        <f t="array" aca="1" ref="A471" ca="1">INDIRECT($B$2&amp;"!"&amp;C471&amp;"15")</f>
        <v>validationRules</v>
      </c>
      <c r="B471" s="130" cm="1">
        <f t="array" aca="1" ref="B471" ca="1">IFERROR(INDIRECT($B$2&amp;"!"&amp;C471&amp;D471),"")</f>
        <v>0</v>
      </c>
      <c r="C471" s="350" t="s">
        <v>116</v>
      </c>
      <c r="D471" s="351">
        <f t="shared" ca="1" si="42"/>
        <v>21</v>
      </c>
      <c r="F471" s="169" t="str">
        <f ca="1">IF(B471,"   "&amp;A471&amp;": [{type: 'required',message: '"&amp;B466&amp;" is required' }],","")</f>
        <v/>
      </c>
    </row>
    <row r="472" spans="1:6" hidden="1">
      <c r="A472" s="150" t="str" cm="1">
        <f t="array" aca="1" ref="A472" ca="1">INDIRECT($B$2&amp;"!"&amp;C472&amp;"15")</f>
        <v>allowHiding</v>
      </c>
      <c r="B472" s="130" cm="1">
        <f t="array" aca="1" ref="B472" ca="1">IFERROR(INDIRECT($B$2&amp;"!"&amp;C472&amp;D472),"")</f>
        <v>0</v>
      </c>
      <c r="C472" s="360" t="s">
        <v>117</v>
      </c>
      <c r="D472" s="351">
        <f t="shared" ca="1" si="42"/>
        <v>21</v>
      </c>
      <c r="F472" s="169" t="str">
        <f ca="1">IF(OR(B472="",B472=0),"","   "&amp;A472&amp;": "&amp;B472&amp;",")</f>
        <v/>
      </c>
    </row>
    <row r="473" spans="1:6" hidden="1">
      <c r="A473" s="150" t="str" cm="1">
        <f t="array" aca="1" ref="A473" ca="1">INDIRECT($B$2&amp;"!"&amp;C473&amp;"15")</f>
        <v>width</v>
      </c>
      <c r="B473" s="130" cm="1">
        <f t="array" aca="1" ref="B473" ca="1">IFERROR(INDIRECT($B$2&amp;"!"&amp;C473&amp;D473),"")</f>
        <v>0</v>
      </c>
      <c r="C473" s="360" t="s">
        <v>61</v>
      </c>
      <c r="D473" s="351">
        <f t="shared" ca="1" si="42"/>
        <v>21</v>
      </c>
      <c r="F473" s="169" t="str">
        <f ca="1">IF(OR(B473="",B473=0),"","   "&amp;A473&amp;": "&amp;B473&amp;",")</f>
        <v/>
      </c>
    </row>
    <row r="474" spans="1:6" hidden="1">
      <c r="A474" s="150" t="str" cm="1">
        <f t="array" aca="1" ref="A474" ca="1">INDIRECT($B$2&amp;"!"&amp;C474&amp;"15")</f>
        <v>visible</v>
      </c>
      <c r="B474" s="323" t="str" cm="1">
        <f t="array" aca="1" ref="B474" ca="1">IFERROR(INDIRECT($B$2&amp;"!"&amp;C474&amp;D474),"")</f>
        <v/>
      </c>
      <c r="C474" s="360" t="s">
        <v>118</v>
      </c>
      <c r="D474" s="351">
        <f t="shared" ca="1" si="42"/>
        <v>21</v>
      </c>
      <c r="F474" s="126" t="str">
        <f ca="1">IF(OR(B474="",B474,B474=0),"","          "&amp;A474&amp;": "&amp;B474&amp;",")</f>
        <v/>
      </c>
    </row>
    <row r="475" spans="1:6" hidden="1">
      <c r="A475" s="156" t="s">
        <v>1399</v>
      </c>
      <c r="B475" s="156"/>
      <c r="D475" s="351">
        <f t="shared" ca="1" si="42"/>
        <v>21</v>
      </c>
      <c r="F475" s="169" t="str">
        <f ca="1">IF(D474&gt;$O$2,"","},")</f>
        <v/>
      </c>
    </row>
    <row r="476" spans="1:6" hidden="1">
      <c r="A476" s="475" t="s">
        <v>1400</v>
      </c>
      <c r="B476" s="130" cm="1">
        <f t="array" aca="1" ref="B476" ca="1">IFERROR(INDIRECT($B$2&amp;"!"&amp;C476&amp;D476),"")</f>
        <v>0</v>
      </c>
      <c r="C476" s="350" t="s">
        <v>97</v>
      </c>
      <c r="D476" s="351">
        <f ca="1">IF(D475&gt;$O$2,0,IF(A476="eNd",1,0))+D475</f>
        <v>21</v>
      </c>
      <c r="F476" s="169" t="str">
        <f ca="1">IF(OR(B476="",B476=0),"","{  "&amp;A476&amp;": "&amp;CHAR(34)&amp;$B476&amp;CHAR(34)&amp;",")</f>
        <v/>
      </c>
    </row>
    <row r="477" spans="1:6" hidden="1">
      <c r="A477" s="150" t="str" cm="1">
        <f t="array" aca="1" ref="A477" ca="1">INDIRECT($B$2&amp;"!"&amp;C477&amp;"15")</f>
        <v>caption</v>
      </c>
      <c r="B477" s="130" t="str" cm="1">
        <f t="array" aca="1" ref="B477" ca="1">IFERROR(INDIRECT($B$2&amp;"!"&amp;C477&amp;D477),"")</f>
        <v/>
      </c>
      <c r="C477" s="350" t="s">
        <v>112</v>
      </c>
      <c r="D477" s="351">
        <f t="shared" ref="D477:D486" ca="1" si="43">IF(D476&gt;$O$2,0,IF(A477="eNd",1,0))+D476</f>
        <v>21</v>
      </c>
      <c r="F477" s="169" t="str">
        <f ca="1">IF(OR(B477="",B477=0),"","   "&amp;A477&amp;":"&amp;CHAR(34)&amp;B477&amp;CHAR(34)&amp;",")</f>
        <v/>
      </c>
    </row>
    <row r="478" spans="1:6" hidden="1">
      <c r="A478" s="150" t="str" cm="1">
        <f t="array" aca="1" ref="A478" ca="1">INDIRECT($B$2&amp;"!"&amp;C478&amp;"15")</f>
        <v>sortOrder</v>
      </c>
      <c r="B478" s="130" t="str" cm="1">
        <f t="array" aca="1" ref="B478" ca="1">IFERROR(INDIRECT($B$2&amp;"!"&amp;C478&amp;D478),"")</f>
        <v/>
      </c>
      <c r="C478" s="350" t="s">
        <v>119</v>
      </c>
      <c r="D478" s="351">
        <f t="shared" ca="1" si="43"/>
        <v>21</v>
      </c>
      <c r="F478" s="169" t="str">
        <f ca="1">IF(OR(B478="",B478=0),"","   "&amp;A478&amp;":"&amp;CHAR(34)&amp;B478&amp;CHAR(34)&amp;",")</f>
        <v/>
      </c>
    </row>
    <row r="479" spans="1:6" hidden="1">
      <c r="A479" s="150" t="str" cm="1">
        <f t="array" aca="1" ref="A479" ca="1">INDIRECT($B$2&amp;"!"&amp;C479&amp;"15")</f>
        <v>groupIndex</v>
      </c>
      <c r="B479" s="130" cm="1">
        <f t="array" aca="1" ref="B479" ca="1">IFERROR(INDIRECT($B$2&amp;"!"&amp;C479&amp;D479),"")</f>
        <v>0</v>
      </c>
      <c r="C479" s="355" t="s">
        <v>113</v>
      </c>
      <c r="D479" s="351">
        <f t="shared" ca="1" si="43"/>
        <v>21</v>
      </c>
      <c r="F479" s="126" t="str">
        <f ca="1">IF(OR(B479="",B479=0),"","            "&amp;A479&amp;": "&amp;B479-1&amp;",")</f>
        <v/>
      </c>
    </row>
    <row r="480" spans="1:6" hidden="1">
      <c r="A480" s="150" t="str" cm="1">
        <f t="array" aca="1" ref="A480" ca="1">INDIRECT($B$2&amp;"!"&amp;C480&amp;"15")</f>
        <v>dataType</v>
      </c>
      <c r="B480" s="130" cm="1">
        <f t="array" aca="1" ref="B480" ca="1">IFERROR(INDIRECT($B$2&amp;"!"&amp;C480&amp;D480),"")</f>
        <v>0</v>
      </c>
      <c r="C480" s="355" t="s">
        <v>114</v>
      </c>
      <c r="D480" s="351">
        <f t="shared" ca="1" si="43"/>
        <v>21</v>
      </c>
      <c r="F480" s="169" t="str">
        <f ca="1">IF(OR(B480="",B480=0),"","   "&amp;A480&amp;":"&amp;CHAR(34)&amp;B480&amp;CHAR(34)&amp;",")</f>
        <v/>
      </c>
    </row>
    <row r="481" spans="1:6" hidden="1">
      <c r="A481" s="150" t="str" cm="1">
        <f t="array" aca="1" ref="A481" ca="1">INDIRECT($B$2&amp;"!"&amp;C481&amp;"15")</f>
        <v>format</v>
      </c>
      <c r="B481" s="130" cm="1">
        <f t="array" aca="1" ref="B481" ca="1">IFERROR(INDIRECT($B$2&amp;"!"&amp;C481&amp;D481),"")</f>
        <v>0</v>
      </c>
      <c r="C481" s="355" t="s">
        <v>115</v>
      </c>
      <c r="D481" s="351">
        <f t="shared" ca="1" si="43"/>
        <v>21</v>
      </c>
      <c r="F481" s="169" t="str">
        <f ca="1">IF(OR(B481="",B481=0),"","   "&amp;A481&amp;":"&amp;IF(B481="fixedPoint",D480,CHAR(34)&amp;B481&amp;CHAR(34)&amp;","))</f>
        <v/>
      </c>
    </row>
    <row r="482" spans="1:6" hidden="1">
      <c r="A482" s="150" t="str" cm="1">
        <f t="array" aca="1" ref="A482" ca="1">INDIRECT($B$2&amp;"!"&amp;C482&amp;"15")</f>
        <v>validationRules</v>
      </c>
      <c r="B482" s="130" cm="1">
        <f t="array" aca="1" ref="B482" ca="1">IFERROR(INDIRECT($B$2&amp;"!"&amp;C482&amp;D482),"")</f>
        <v>0</v>
      </c>
      <c r="C482" s="350" t="s">
        <v>116</v>
      </c>
      <c r="D482" s="351">
        <f t="shared" ca="1" si="43"/>
        <v>21</v>
      </c>
      <c r="F482" s="169" t="str">
        <f ca="1">IF(B482,"   "&amp;A482&amp;": [{type: 'required',message: '"&amp;B477&amp;" is required' }],","")</f>
        <v/>
      </c>
    </row>
    <row r="483" spans="1:6" hidden="1">
      <c r="A483" s="150" t="str" cm="1">
        <f t="array" aca="1" ref="A483" ca="1">INDIRECT($B$2&amp;"!"&amp;C483&amp;"15")</f>
        <v>allowHiding</v>
      </c>
      <c r="B483" s="130" cm="1">
        <f t="array" aca="1" ref="B483" ca="1">IFERROR(INDIRECT($B$2&amp;"!"&amp;C483&amp;D483),"")</f>
        <v>0</v>
      </c>
      <c r="C483" s="360" t="s">
        <v>117</v>
      </c>
      <c r="D483" s="351">
        <f t="shared" ca="1" si="43"/>
        <v>21</v>
      </c>
      <c r="F483" s="169" t="str">
        <f ca="1">IF(OR(B483="",B483=0),"","   "&amp;A483&amp;": "&amp;B483&amp;",")</f>
        <v/>
      </c>
    </row>
    <row r="484" spans="1:6" hidden="1">
      <c r="A484" s="150" t="str" cm="1">
        <f t="array" aca="1" ref="A484" ca="1">INDIRECT($B$2&amp;"!"&amp;C484&amp;"15")</f>
        <v>width</v>
      </c>
      <c r="B484" s="130" cm="1">
        <f t="array" aca="1" ref="B484" ca="1">IFERROR(INDIRECT($B$2&amp;"!"&amp;C484&amp;D484),"")</f>
        <v>0</v>
      </c>
      <c r="C484" s="360" t="s">
        <v>61</v>
      </c>
      <c r="D484" s="351">
        <f t="shared" ca="1" si="43"/>
        <v>21</v>
      </c>
      <c r="F484" s="169" t="str">
        <f ca="1">IF(OR(B484="",B484=0),"","   "&amp;A484&amp;": "&amp;B484&amp;",")</f>
        <v/>
      </c>
    </row>
    <row r="485" spans="1:6" hidden="1">
      <c r="A485" s="150" t="str" cm="1">
        <f t="array" aca="1" ref="A485" ca="1">INDIRECT($B$2&amp;"!"&amp;C485&amp;"15")</f>
        <v>visible</v>
      </c>
      <c r="B485" s="323" t="str" cm="1">
        <f t="array" aca="1" ref="B485" ca="1">IFERROR(INDIRECT($B$2&amp;"!"&amp;C485&amp;D485),"")</f>
        <v/>
      </c>
      <c r="C485" s="360" t="s">
        <v>118</v>
      </c>
      <c r="D485" s="351">
        <f t="shared" ca="1" si="43"/>
        <v>21</v>
      </c>
      <c r="F485" s="126" t="str">
        <f ca="1">IF(OR(B485="",B485,B485=0),"","          "&amp;A485&amp;": "&amp;B485&amp;",")</f>
        <v/>
      </c>
    </row>
    <row r="486" spans="1:6" hidden="1">
      <c r="A486" s="156" t="s">
        <v>1399</v>
      </c>
      <c r="B486" s="156"/>
      <c r="D486" s="351">
        <f t="shared" ca="1" si="43"/>
        <v>21</v>
      </c>
      <c r="F486" s="169" t="str">
        <f ca="1">IF(D485&gt;$O$2,"","},")</f>
        <v/>
      </c>
    </row>
    <row r="487" spans="1:6" hidden="1">
      <c r="A487" s="475" t="s">
        <v>1400</v>
      </c>
      <c r="B487" s="130" cm="1">
        <f t="array" aca="1" ref="B487" ca="1">IFERROR(INDIRECT($B$2&amp;"!"&amp;C487&amp;D487),"")</f>
        <v>0</v>
      </c>
      <c r="C487" s="350" t="s">
        <v>97</v>
      </c>
      <c r="D487" s="351">
        <f ca="1">IF(D486&gt;$O$2,0,IF(A487="eNd",1,0))+D486</f>
        <v>21</v>
      </c>
      <c r="F487" s="169" t="str">
        <f ca="1">IF(OR(B487="",B487=0),"","{  "&amp;A487&amp;": "&amp;CHAR(34)&amp;$B487&amp;CHAR(34)&amp;",")</f>
        <v/>
      </c>
    </row>
    <row r="488" spans="1:6" hidden="1">
      <c r="A488" s="150" t="str" cm="1">
        <f t="array" aca="1" ref="A488" ca="1">INDIRECT($B$2&amp;"!"&amp;C488&amp;"15")</f>
        <v>caption</v>
      </c>
      <c r="B488" s="130" t="str" cm="1">
        <f t="array" aca="1" ref="B488" ca="1">IFERROR(INDIRECT($B$2&amp;"!"&amp;C488&amp;D488),"")</f>
        <v/>
      </c>
      <c r="C488" s="350" t="s">
        <v>112</v>
      </c>
      <c r="D488" s="351">
        <f t="shared" ref="D488:D497" ca="1" si="44">IF(D487&gt;$O$2,0,IF(A488="eNd",1,0))+D487</f>
        <v>21</v>
      </c>
      <c r="F488" s="169" t="str">
        <f ca="1">IF(OR(B488="",B488=0),"","   "&amp;A488&amp;":"&amp;CHAR(34)&amp;B488&amp;CHAR(34)&amp;",")</f>
        <v/>
      </c>
    </row>
    <row r="489" spans="1:6" hidden="1">
      <c r="A489" s="150" t="str" cm="1">
        <f t="array" aca="1" ref="A489" ca="1">INDIRECT($B$2&amp;"!"&amp;C489&amp;"15")</f>
        <v>sortOrder</v>
      </c>
      <c r="B489" s="130" t="str" cm="1">
        <f t="array" aca="1" ref="B489" ca="1">IFERROR(INDIRECT($B$2&amp;"!"&amp;C489&amp;D489),"")</f>
        <v/>
      </c>
      <c r="C489" s="350" t="s">
        <v>119</v>
      </c>
      <c r="D489" s="351">
        <f t="shared" ca="1" si="44"/>
        <v>21</v>
      </c>
      <c r="F489" s="169" t="str">
        <f ca="1">IF(OR(B489="",B489=0),"","   "&amp;A489&amp;":"&amp;CHAR(34)&amp;B489&amp;CHAR(34)&amp;",")</f>
        <v/>
      </c>
    </row>
    <row r="490" spans="1:6" hidden="1">
      <c r="A490" s="150" t="str" cm="1">
        <f t="array" aca="1" ref="A490" ca="1">INDIRECT($B$2&amp;"!"&amp;C490&amp;"15")</f>
        <v>groupIndex</v>
      </c>
      <c r="B490" s="130" cm="1">
        <f t="array" aca="1" ref="B490" ca="1">IFERROR(INDIRECT($B$2&amp;"!"&amp;C490&amp;D490),"")</f>
        <v>0</v>
      </c>
      <c r="C490" s="355" t="s">
        <v>113</v>
      </c>
      <c r="D490" s="351">
        <f t="shared" ca="1" si="44"/>
        <v>21</v>
      </c>
      <c r="F490" s="126" t="str">
        <f ca="1">IF(OR(B490="",B490=0),"","            "&amp;A490&amp;": "&amp;B490-1&amp;",")</f>
        <v/>
      </c>
    </row>
    <row r="491" spans="1:6" hidden="1">
      <c r="A491" s="150" t="str" cm="1">
        <f t="array" aca="1" ref="A491" ca="1">INDIRECT($B$2&amp;"!"&amp;C491&amp;"15")</f>
        <v>dataType</v>
      </c>
      <c r="B491" s="130" cm="1">
        <f t="array" aca="1" ref="B491" ca="1">IFERROR(INDIRECT($B$2&amp;"!"&amp;C491&amp;D491),"")</f>
        <v>0</v>
      </c>
      <c r="C491" s="355" t="s">
        <v>114</v>
      </c>
      <c r="D491" s="351">
        <f t="shared" ca="1" si="44"/>
        <v>21</v>
      </c>
      <c r="F491" s="169" t="str">
        <f ca="1">IF(OR(B491="",B491=0),"","   "&amp;A491&amp;":"&amp;CHAR(34)&amp;B491&amp;CHAR(34)&amp;",")</f>
        <v/>
      </c>
    </row>
    <row r="492" spans="1:6" hidden="1">
      <c r="A492" s="150" t="str" cm="1">
        <f t="array" aca="1" ref="A492" ca="1">INDIRECT($B$2&amp;"!"&amp;C492&amp;"15")</f>
        <v>format</v>
      </c>
      <c r="B492" s="130" cm="1">
        <f t="array" aca="1" ref="B492" ca="1">IFERROR(INDIRECT($B$2&amp;"!"&amp;C492&amp;D492),"")</f>
        <v>0</v>
      </c>
      <c r="C492" s="355" t="s">
        <v>115</v>
      </c>
      <c r="D492" s="351">
        <f t="shared" ca="1" si="44"/>
        <v>21</v>
      </c>
      <c r="F492" s="169" t="str">
        <f ca="1">IF(OR(B492="",B492=0),"","   "&amp;A492&amp;":"&amp;IF(B492="fixedPoint",D491,CHAR(34)&amp;B492&amp;CHAR(34)&amp;","))</f>
        <v/>
      </c>
    </row>
    <row r="493" spans="1:6" hidden="1">
      <c r="A493" s="150" t="str" cm="1">
        <f t="array" aca="1" ref="A493" ca="1">INDIRECT($B$2&amp;"!"&amp;C493&amp;"15")</f>
        <v>validationRules</v>
      </c>
      <c r="B493" s="130" cm="1">
        <f t="array" aca="1" ref="B493" ca="1">IFERROR(INDIRECT($B$2&amp;"!"&amp;C493&amp;D493),"")</f>
        <v>0</v>
      </c>
      <c r="C493" s="350" t="s">
        <v>116</v>
      </c>
      <c r="D493" s="351">
        <f t="shared" ca="1" si="44"/>
        <v>21</v>
      </c>
      <c r="F493" s="169" t="str">
        <f ca="1">IF(B493,"   "&amp;A493&amp;": [{type: 'required',message: '"&amp;B488&amp;" is required' }],","")</f>
        <v/>
      </c>
    </row>
    <row r="494" spans="1:6" hidden="1">
      <c r="A494" s="150" t="str" cm="1">
        <f t="array" aca="1" ref="A494" ca="1">INDIRECT($B$2&amp;"!"&amp;C494&amp;"15")</f>
        <v>allowHiding</v>
      </c>
      <c r="B494" s="130" cm="1">
        <f t="array" aca="1" ref="B494" ca="1">IFERROR(INDIRECT($B$2&amp;"!"&amp;C494&amp;D494),"")</f>
        <v>0</v>
      </c>
      <c r="C494" s="360" t="s">
        <v>117</v>
      </c>
      <c r="D494" s="351">
        <f t="shared" ca="1" si="44"/>
        <v>21</v>
      </c>
      <c r="F494" s="169" t="str">
        <f ca="1">IF(OR(B494="",B494=0),"","   "&amp;A494&amp;": "&amp;B494&amp;",")</f>
        <v/>
      </c>
    </row>
    <row r="495" spans="1:6" hidden="1">
      <c r="A495" s="150" t="str" cm="1">
        <f t="array" aca="1" ref="A495" ca="1">INDIRECT($B$2&amp;"!"&amp;C495&amp;"15")</f>
        <v>width</v>
      </c>
      <c r="B495" s="130" cm="1">
        <f t="array" aca="1" ref="B495" ca="1">IFERROR(INDIRECT($B$2&amp;"!"&amp;C495&amp;D495),"")</f>
        <v>0</v>
      </c>
      <c r="C495" s="360" t="s">
        <v>61</v>
      </c>
      <c r="D495" s="351">
        <f t="shared" ca="1" si="44"/>
        <v>21</v>
      </c>
      <c r="F495" s="169" t="str">
        <f ca="1">IF(OR(B495="",B495=0),"","   "&amp;A495&amp;": "&amp;B495&amp;",")</f>
        <v/>
      </c>
    </row>
    <row r="496" spans="1:6" hidden="1">
      <c r="A496" s="150" t="str" cm="1">
        <f t="array" aca="1" ref="A496" ca="1">INDIRECT($B$2&amp;"!"&amp;C496&amp;"15")</f>
        <v>visible</v>
      </c>
      <c r="B496" s="323" t="str" cm="1">
        <f t="array" aca="1" ref="B496" ca="1">IFERROR(INDIRECT($B$2&amp;"!"&amp;C496&amp;D496),"")</f>
        <v/>
      </c>
      <c r="C496" s="360" t="s">
        <v>118</v>
      </c>
      <c r="D496" s="351">
        <f t="shared" ca="1" si="44"/>
        <v>21</v>
      </c>
      <c r="F496" s="126" t="str">
        <f ca="1">IF(OR(B496="",B496,B496=0),"","          "&amp;A496&amp;": "&amp;B496&amp;",")</f>
        <v/>
      </c>
    </row>
    <row r="497" spans="1:6" hidden="1">
      <c r="A497" s="156" t="s">
        <v>1399</v>
      </c>
      <c r="B497" s="156"/>
      <c r="D497" s="351">
        <f t="shared" ca="1" si="44"/>
        <v>21</v>
      </c>
      <c r="F497" s="169" t="str">
        <f ca="1">IF(D496&gt;$O$2,"","},")</f>
        <v/>
      </c>
    </row>
    <row r="498" spans="1:6" hidden="1">
      <c r="A498" s="475" t="s">
        <v>1400</v>
      </c>
      <c r="B498" s="130" cm="1">
        <f t="array" aca="1" ref="B498" ca="1">IFERROR(INDIRECT($B$2&amp;"!"&amp;C498&amp;D498),"")</f>
        <v>0</v>
      </c>
      <c r="C498" s="350" t="s">
        <v>97</v>
      </c>
      <c r="D498" s="351">
        <f ca="1">IF(D497&gt;$O$2,0,IF(A498="eNd",1,0))+D497</f>
        <v>21</v>
      </c>
      <c r="F498" s="169" t="str">
        <f ca="1">IF(OR(B498="",B498=0),"","{  "&amp;A498&amp;": "&amp;CHAR(34)&amp;$B498&amp;CHAR(34)&amp;",")</f>
        <v/>
      </c>
    </row>
    <row r="499" spans="1:6" hidden="1">
      <c r="A499" s="150" t="str" cm="1">
        <f t="array" aca="1" ref="A499" ca="1">INDIRECT($B$2&amp;"!"&amp;C499&amp;"15")</f>
        <v>caption</v>
      </c>
      <c r="B499" s="130" t="str" cm="1">
        <f t="array" aca="1" ref="B499" ca="1">IFERROR(INDIRECT($B$2&amp;"!"&amp;C499&amp;D499),"")</f>
        <v/>
      </c>
      <c r="C499" s="350" t="s">
        <v>112</v>
      </c>
      <c r="D499" s="351">
        <f t="shared" ref="D499:D508" ca="1" si="45">IF(D498&gt;$O$2,0,IF(A499="eNd",1,0))+D498</f>
        <v>21</v>
      </c>
      <c r="F499" s="169" t="str">
        <f ca="1">IF(OR(B499="",B499=0),"","   "&amp;A499&amp;":"&amp;CHAR(34)&amp;B499&amp;CHAR(34)&amp;",")</f>
        <v/>
      </c>
    </row>
    <row r="500" spans="1:6" hidden="1">
      <c r="A500" s="150" t="str" cm="1">
        <f t="array" aca="1" ref="A500" ca="1">INDIRECT($B$2&amp;"!"&amp;C500&amp;"15")</f>
        <v>sortOrder</v>
      </c>
      <c r="B500" s="130" t="str" cm="1">
        <f t="array" aca="1" ref="B500" ca="1">IFERROR(INDIRECT($B$2&amp;"!"&amp;C500&amp;D500),"")</f>
        <v/>
      </c>
      <c r="C500" s="350" t="s">
        <v>119</v>
      </c>
      <c r="D500" s="351">
        <f t="shared" ca="1" si="45"/>
        <v>21</v>
      </c>
      <c r="F500" s="169" t="str">
        <f ca="1">IF(OR(B500="",B500=0),"","   "&amp;A500&amp;":"&amp;CHAR(34)&amp;B500&amp;CHAR(34)&amp;",")</f>
        <v/>
      </c>
    </row>
    <row r="501" spans="1:6" hidden="1">
      <c r="A501" s="150" t="str" cm="1">
        <f t="array" aca="1" ref="A501" ca="1">INDIRECT($B$2&amp;"!"&amp;C501&amp;"15")</f>
        <v>groupIndex</v>
      </c>
      <c r="B501" s="130" cm="1">
        <f t="array" aca="1" ref="B501" ca="1">IFERROR(INDIRECT($B$2&amp;"!"&amp;C501&amp;D501),"")</f>
        <v>0</v>
      </c>
      <c r="C501" s="355" t="s">
        <v>113</v>
      </c>
      <c r="D501" s="351">
        <f t="shared" ca="1" si="45"/>
        <v>21</v>
      </c>
      <c r="F501" s="126" t="str">
        <f ca="1">IF(OR(B501="",B501=0),"","            "&amp;A501&amp;": "&amp;B501-1&amp;",")</f>
        <v/>
      </c>
    </row>
    <row r="502" spans="1:6" hidden="1">
      <c r="A502" s="150" t="str" cm="1">
        <f t="array" aca="1" ref="A502" ca="1">INDIRECT($B$2&amp;"!"&amp;C502&amp;"15")</f>
        <v>dataType</v>
      </c>
      <c r="B502" s="130" cm="1">
        <f t="array" aca="1" ref="B502" ca="1">IFERROR(INDIRECT($B$2&amp;"!"&amp;C502&amp;D502),"")</f>
        <v>0</v>
      </c>
      <c r="C502" s="355" t="s">
        <v>114</v>
      </c>
      <c r="D502" s="351">
        <f t="shared" ca="1" si="45"/>
        <v>21</v>
      </c>
      <c r="F502" s="169" t="str">
        <f ca="1">IF(OR(B502="",B502=0),"","   "&amp;A502&amp;":"&amp;CHAR(34)&amp;B502&amp;CHAR(34)&amp;",")</f>
        <v/>
      </c>
    </row>
    <row r="503" spans="1:6" hidden="1">
      <c r="A503" s="150" t="str" cm="1">
        <f t="array" aca="1" ref="A503" ca="1">INDIRECT($B$2&amp;"!"&amp;C503&amp;"15")</f>
        <v>format</v>
      </c>
      <c r="B503" s="130" cm="1">
        <f t="array" aca="1" ref="B503" ca="1">IFERROR(INDIRECT($B$2&amp;"!"&amp;C503&amp;D503),"")</f>
        <v>0</v>
      </c>
      <c r="C503" s="355" t="s">
        <v>115</v>
      </c>
      <c r="D503" s="351">
        <f t="shared" ca="1" si="45"/>
        <v>21</v>
      </c>
      <c r="F503" s="169" t="str">
        <f ca="1">IF(OR(B503="",B503=0),"","   "&amp;A503&amp;":"&amp;IF(B503="fixedPoint",D502,CHAR(34)&amp;B503&amp;CHAR(34)&amp;","))</f>
        <v/>
      </c>
    </row>
    <row r="504" spans="1:6" hidden="1">
      <c r="A504" s="150" t="str" cm="1">
        <f t="array" aca="1" ref="A504" ca="1">INDIRECT($B$2&amp;"!"&amp;C504&amp;"15")</f>
        <v>validationRules</v>
      </c>
      <c r="B504" s="130" cm="1">
        <f t="array" aca="1" ref="B504" ca="1">IFERROR(INDIRECT($B$2&amp;"!"&amp;C504&amp;D504),"")</f>
        <v>0</v>
      </c>
      <c r="C504" s="350" t="s">
        <v>116</v>
      </c>
      <c r="D504" s="351">
        <f t="shared" ca="1" si="45"/>
        <v>21</v>
      </c>
      <c r="F504" s="169" t="str">
        <f ca="1">IF(B504,"   "&amp;A504&amp;": [{type: 'required',message: '"&amp;B499&amp;" is required' }],","")</f>
        <v/>
      </c>
    </row>
    <row r="505" spans="1:6" hidden="1">
      <c r="A505" s="150" t="str" cm="1">
        <f t="array" aca="1" ref="A505" ca="1">INDIRECT($B$2&amp;"!"&amp;C505&amp;"15")</f>
        <v>allowHiding</v>
      </c>
      <c r="B505" s="130" cm="1">
        <f t="array" aca="1" ref="B505" ca="1">IFERROR(INDIRECT($B$2&amp;"!"&amp;C505&amp;D505),"")</f>
        <v>0</v>
      </c>
      <c r="C505" s="360" t="s">
        <v>117</v>
      </c>
      <c r="D505" s="351">
        <f t="shared" ca="1" si="45"/>
        <v>21</v>
      </c>
      <c r="F505" s="169" t="str">
        <f ca="1">IF(OR(B505="",B505=0),"","   "&amp;A505&amp;": "&amp;B505&amp;",")</f>
        <v/>
      </c>
    </row>
    <row r="506" spans="1:6" hidden="1">
      <c r="A506" s="150" t="str" cm="1">
        <f t="array" aca="1" ref="A506" ca="1">INDIRECT($B$2&amp;"!"&amp;C506&amp;"15")</f>
        <v>width</v>
      </c>
      <c r="B506" s="130" cm="1">
        <f t="array" aca="1" ref="B506" ca="1">IFERROR(INDIRECT($B$2&amp;"!"&amp;C506&amp;D506),"")</f>
        <v>0</v>
      </c>
      <c r="C506" s="360" t="s">
        <v>61</v>
      </c>
      <c r="D506" s="351">
        <f t="shared" ca="1" si="45"/>
        <v>21</v>
      </c>
      <c r="F506" s="169" t="str">
        <f ca="1">IF(OR(B506="",B506=0),"","   "&amp;A506&amp;": "&amp;B506&amp;",")</f>
        <v/>
      </c>
    </row>
    <row r="507" spans="1:6" hidden="1">
      <c r="A507" s="150" t="str" cm="1">
        <f t="array" aca="1" ref="A507" ca="1">INDIRECT($B$2&amp;"!"&amp;C507&amp;"15")</f>
        <v>visible</v>
      </c>
      <c r="B507" s="323" t="str" cm="1">
        <f t="array" aca="1" ref="B507" ca="1">IFERROR(INDIRECT($B$2&amp;"!"&amp;C507&amp;D507),"")</f>
        <v/>
      </c>
      <c r="C507" s="360" t="s">
        <v>118</v>
      </c>
      <c r="D507" s="351">
        <f t="shared" ca="1" si="45"/>
        <v>21</v>
      </c>
      <c r="F507" s="126" t="str">
        <f ca="1">IF(OR(B507="",B507,B507=0),"","          "&amp;A507&amp;": "&amp;B507&amp;",")</f>
        <v/>
      </c>
    </row>
    <row r="508" spans="1:6" hidden="1">
      <c r="A508" s="156" t="s">
        <v>1399</v>
      </c>
      <c r="B508" s="156"/>
      <c r="D508" s="351">
        <f t="shared" ca="1" si="45"/>
        <v>21</v>
      </c>
      <c r="F508" s="169" t="str">
        <f ca="1">IF(D507&gt;$O$2,"","},")</f>
        <v/>
      </c>
    </row>
    <row r="509" spans="1:6" hidden="1">
      <c r="A509" s="475" t="s">
        <v>1400</v>
      </c>
      <c r="B509" s="130" cm="1">
        <f t="array" aca="1" ref="B509" ca="1">IFERROR(INDIRECT($B$2&amp;"!"&amp;C509&amp;D509),"")</f>
        <v>0</v>
      </c>
      <c r="C509" s="350" t="s">
        <v>97</v>
      </c>
      <c r="D509" s="351">
        <f ca="1">IF(D508&gt;$O$2,0,IF(A509="eNd",1,0))+D508</f>
        <v>21</v>
      </c>
      <c r="F509" s="169" t="str">
        <f ca="1">IF(OR(B509="",B509=0),"","{  "&amp;A509&amp;": "&amp;CHAR(34)&amp;$B509&amp;CHAR(34)&amp;",")</f>
        <v/>
      </c>
    </row>
    <row r="510" spans="1:6" hidden="1">
      <c r="A510" s="150" t="str" cm="1">
        <f t="array" aca="1" ref="A510" ca="1">INDIRECT($B$2&amp;"!"&amp;C510&amp;"15")</f>
        <v>caption</v>
      </c>
      <c r="B510" s="130" t="str" cm="1">
        <f t="array" aca="1" ref="B510" ca="1">IFERROR(INDIRECT($B$2&amp;"!"&amp;C510&amp;D510),"")</f>
        <v/>
      </c>
      <c r="C510" s="350" t="s">
        <v>112</v>
      </c>
      <c r="D510" s="351">
        <f t="shared" ref="D510:D519" ca="1" si="46">IF(D509&gt;$O$2,0,IF(A510="eNd",1,0))+D509</f>
        <v>21</v>
      </c>
      <c r="F510" s="169" t="str">
        <f ca="1">IF(OR(B510="",B510=0),"","   "&amp;A510&amp;":"&amp;CHAR(34)&amp;B510&amp;CHAR(34)&amp;",")</f>
        <v/>
      </c>
    </row>
    <row r="511" spans="1:6" hidden="1">
      <c r="A511" s="150" t="str" cm="1">
        <f t="array" aca="1" ref="A511" ca="1">INDIRECT($B$2&amp;"!"&amp;C511&amp;"15")</f>
        <v>sortOrder</v>
      </c>
      <c r="B511" s="130" t="str" cm="1">
        <f t="array" aca="1" ref="B511" ca="1">IFERROR(INDIRECT($B$2&amp;"!"&amp;C511&amp;D511),"")</f>
        <v/>
      </c>
      <c r="C511" s="350" t="s">
        <v>119</v>
      </c>
      <c r="D511" s="351">
        <f t="shared" ca="1" si="46"/>
        <v>21</v>
      </c>
      <c r="F511" s="169" t="str">
        <f ca="1">IF(OR(B511="",B511=0),"","   "&amp;A511&amp;":"&amp;CHAR(34)&amp;B511&amp;CHAR(34)&amp;",")</f>
        <v/>
      </c>
    </row>
    <row r="512" spans="1:6" hidden="1">
      <c r="A512" s="150" t="str" cm="1">
        <f t="array" aca="1" ref="A512" ca="1">INDIRECT($B$2&amp;"!"&amp;C512&amp;"15")</f>
        <v>groupIndex</v>
      </c>
      <c r="B512" s="130" cm="1">
        <f t="array" aca="1" ref="B512" ca="1">IFERROR(INDIRECT($B$2&amp;"!"&amp;C512&amp;D512),"")</f>
        <v>0</v>
      </c>
      <c r="C512" s="355" t="s">
        <v>113</v>
      </c>
      <c r="D512" s="351">
        <f t="shared" ca="1" si="46"/>
        <v>21</v>
      </c>
      <c r="F512" s="126" t="str">
        <f ca="1">IF(OR(B512="",B512=0),"","            "&amp;A512&amp;": "&amp;B512-1&amp;",")</f>
        <v/>
      </c>
    </row>
    <row r="513" spans="1:6" hidden="1">
      <c r="A513" s="150" t="str" cm="1">
        <f t="array" aca="1" ref="A513" ca="1">INDIRECT($B$2&amp;"!"&amp;C513&amp;"15")</f>
        <v>dataType</v>
      </c>
      <c r="B513" s="130" cm="1">
        <f t="array" aca="1" ref="B513" ca="1">IFERROR(INDIRECT($B$2&amp;"!"&amp;C513&amp;D513),"")</f>
        <v>0</v>
      </c>
      <c r="C513" s="355" t="s">
        <v>114</v>
      </c>
      <c r="D513" s="351">
        <f t="shared" ca="1" si="46"/>
        <v>21</v>
      </c>
      <c r="F513" s="169" t="str">
        <f ca="1">IF(OR(B513="",B513=0),"","   "&amp;A513&amp;":"&amp;CHAR(34)&amp;B513&amp;CHAR(34)&amp;",")</f>
        <v/>
      </c>
    </row>
    <row r="514" spans="1:6" hidden="1">
      <c r="A514" s="150" t="str" cm="1">
        <f t="array" aca="1" ref="A514" ca="1">INDIRECT($B$2&amp;"!"&amp;C514&amp;"15")</f>
        <v>format</v>
      </c>
      <c r="B514" s="130" cm="1">
        <f t="array" aca="1" ref="B514" ca="1">IFERROR(INDIRECT($B$2&amp;"!"&amp;C514&amp;D514),"")</f>
        <v>0</v>
      </c>
      <c r="C514" s="355" t="s">
        <v>115</v>
      </c>
      <c r="D514" s="351">
        <f t="shared" ca="1" si="46"/>
        <v>21</v>
      </c>
      <c r="F514" s="169" t="str">
        <f ca="1">IF(OR(B514="",B514=0),"","   "&amp;A514&amp;":"&amp;IF(B514="fixedPoint",D513,CHAR(34)&amp;B514&amp;CHAR(34)&amp;","))</f>
        <v/>
      </c>
    </row>
    <row r="515" spans="1:6" hidden="1">
      <c r="A515" s="150" t="str" cm="1">
        <f t="array" aca="1" ref="A515" ca="1">INDIRECT($B$2&amp;"!"&amp;C515&amp;"15")</f>
        <v>validationRules</v>
      </c>
      <c r="B515" s="130" cm="1">
        <f t="array" aca="1" ref="B515" ca="1">IFERROR(INDIRECT($B$2&amp;"!"&amp;C515&amp;D515),"")</f>
        <v>0</v>
      </c>
      <c r="C515" s="350" t="s">
        <v>116</v>
      </c>
      <c r="D515" s="351">
        <f t="shared" ca="1" si="46"/>
        <v>21</v>
      </c>
      <c r="F515" s="169" t="str">
        <f ca="1">IF(B515,"   "&amp;A515&amp;": [{type: 'required',message: '"&amp;B510&amp;" is required' }],","")</f>
        <v/>
      </c>
    </row>
    <row r="516" spans="1:6" hidden="1">
      <c r="A516" s="150" t="str" cm="1">
        <f t="array" aca="1" ref="A516" ca="1">INDIRECT($B$2&amp;"!"&amp;C516&amp;"15")</f>
        <v>allowHiding</v>
      </c>
      <c r="B516" s="130" cm="1">
        <f t="array" aca="1" ref="B516" ca="1">IFERROR(INDIRECT($B$2&amp;"!"&amp;C516&amp;D516),"")</f>
        <v>0</v>
      </c>
      <c r="C516" s="360" t="s">
        <v>117</v>
      </c>
      <c r="D516" s="351">
        <f t="shared" ca="1" si="46"/>
        <v>21</v>
      </c>
      <c r="F516" s="169" t="str">
        <f ca="1">IF(OR(B516="",B516=0),"","   "&amp;A516&amp;": "&amp;B516&amp;",")</f>
        <v/>
      </c>
    </row>
    <row r="517" spans="1:6" hidden="1">
      <c r="A517" s="150" t="str" cm="1">
        <f t="array" aca="1" ref="A517" ca="1">INDIRECT($B$2&amp;"!"&amp;C517&amp;"15")</f>
        <v>width</v>
      </c>
      <c r="B517" s="130" cm="1">
        <f t="array" aca="1" ref="B517" ca="1">IFERROR(INDIRECT($B$2&amp;"!"&amp;C517&amp;D517),"")</f>
        <v>0</v>
      </c>
      <c r="C517" s="360" t="s">
        <v>61</v>
      </c>
      <c r="D517" s="351">
        <f t="shared" ca="1" si="46"/>
        <v>21</v>
      </c>
      <c r="F517" s="169" t="str">
        <f ca="1">IF(OR(B517="",B517=0),"","   "&amp;A517&amp;": "&amp;B517&amp;",")</f>
        <v/>
      </c>
    </row>
    <row r="518" spans="1:6" hidden="1">
      <c r="A518" s="150" t="str" cm="1">
        <f t="array" aca="1" ref="A518" ca="1">INDIRECT($B$2&amp;"!"&amp;C518&amp;"15")</f>
        <v>visible</v>
      </c>
      <c r="B518" s="323" t="str" cm="1">
        <f t="array" aca="1" ref="B518" ca="1">IFERROR(INDIRECT($B$2&amp;"!"&amp;C518&amp;D518),"")</f>
        <v/>
      </c>
      <c r="C518" s="360" t="s">
        <v>118</v>
      </c>
      <c r="D518" s="351">
        <f t="shared" ca="1" si="46"/>
        <v>21</v>
      </c>
      <c r="F518" s="126" t="str">
        <f ca="1">IF(OR(B518="",B518,B518=0),"","          "&amp;A518&amp;": "&amp;B518&amp;",")</f>
        <v/>
      </c>
    </row>
    <row r="519" spans="1:6" hidden="1">
      <c r="A519" s="156" t="s">
        <v>1399</v>
      </c>
      <c r="B519" s="156"/>
      <c r="D519" s="351">
        <f t="shared" ca="1" si="46"/>
        <v>21</v>
      </c>
      <c r="F519" s="169" t="str">
        <f ca="1">IF(D518&gt;$O$2,"","},")</f>
        <v/>
      </c>
    </row>
    <row r="520" spans="1:6" hidden="1">
      <c r="A520" s="475" t="s">
        <v>1400</v>
      </c>
      <c r="B520" s="130" cm="1">
        <f t="array" aca="1" ref="B520" ca="1">IFERROR(INDIRECT($B$2&amp;"!"&amp;C520&amp;D520),"")</f>
        <v>0</v>
      </c>
      <c r="C520" s="350" t="s">
        <v>97</v>
      </c>
      <c r="D520" s="351">
        <f ca="1">IF(D519&gt;$O$2,0,IF(A520="eNd",1,0))+D519</f>
        <v>21</v>
      </c>
      <c r="F520" s="169" t="str">
        <f ca="1">IF(OR(B520="",B520=0),"","{  "&amp;A520&amp;": "&amp;CHAR(34)&amp;$B520&amp;CHAR(34)&amp;",")</f>
        <v/>
      </c>
    </row>
    <row r="521" spans="1:6" hidden="1">
      <c r="A521" s="150" t="str" cm="1">
        <f t="array" aca="1" ref="A521" ca="1">INDIRECT($B$2&amp;"!"&amp;C521&amp;"15")</f>
        <v>caption</v>
      </c>
      <c r="B521" s="130" t="str" cm="1">
        <f t="array" aca="1" ref="B521" ca="1">IFERROR(INDIRECT($B$2&amp;"!"&amp;C521&amp;D521),"")</f>
        <v/>
      </c>
      <c r="C521" s="350" t="s">
        <v>112</v>
      </c>
      <c r="D521" s="351">
        <f t="shared" ref="D521:D530" ca="1" si="47">IF(D520&gt;$O$2,0,IF(A521="eNd",1,0))+D520</f>
        <v>21</v>
      </c>
      <c r="F521" s="169" t="str">
        <f ca="1">IF(OR(B521="",B521=0),"","   "&amp;A521&amp;":"&amp;CHAR(34)&amp;B521&amp;CHAR(34)&amp;",")</f>
        <v/>
      </c>
    </row>
    <row r="522" spans="1:6" hidden="1">
      <c r="A522" s="150" t="str" cm="1">
        <f t="array" aca="1" ref="A522" ca="1">INDIRECT($B$2&amp;"!"&amp;C522&amp;"15")</f>
        <v>sortOrder</v>
      </c>
      <c r="B522" s="130" t="str" cm="1">
        <f t="array" aca="1" ref="B522" ca="1">IFERROR(INDIRECT($B$2&amp;"!"&amp;C522&amp;D522),"")</f>
        <v/>
      </c>
      <c r="C522" s="350" t="s">
        <v>119</v>
      </c>
      <c r="D522" s="351">
        <f t="shared" ca="1" si="47"/>
        <v>21</v>
      </c>
      <c r="F522" s="169" t="str">
        <f ca="1">IF(OR(B522="",B522=0),"","   "&amp;A522&amp;":"&amp;CHAR(34)&amp;B522&amp;CHAR(34)&amp;",")</f>
        <v/>
      </c>
    </row>
    <row r="523" spans="1:6" hidden="1">
      <c r="A523" s="150" t="str" cm="1">
        <f t="array" aca="1" ref="A523" ca="1">INDIRECT($B$2&amp;"!"&amp;C523&amp;"15")</f>
        <v>groupIndex</v>
      </c>
      <c r="B523" s="130" cm="1">
        <f t="array" aca="1" ref="B523" ca="1">IFERROR(INDIRECT($B$2&amp;"!"&amp;C523&amp;D523),"")</f>
        <v>0</v>
      </c>
      <c r="C523" s="355" t="s">
        <v>113</v>
      </c>
      <c r="D523" s="351">
        <f t="shared" ca="1" si="47"/>
        <v>21</v>
      </c>
      <c r="F523" s="126" t="str">
        <f ca="1">IF(OR(B523="",B523=0),"","            "&amp;A523&amp;": "&amp;B523-1&amp;",")</f>
        <v/>
      </c>
    </row>
    <row r="524" spans="1:6" hidden="1">
      <c r="A524" s="150" t="str" cm="1">
        <f t="array" aca="1" ref="A524" ca="1">INDIRECT($B$2&amp;"!"&amp;C524&amp;"15")</f>
        <v>dataType</v>
      </c>
      <c r="B524" s="130" cm="1">
        <f t="array" aca="1" ref="B524" ca="1">IFERROR(INDIRECT($B$2&amp;"!"&amp;C524&amp;D524),"")</f>
        <v>0</v>
      </c>
      <c r="C524" s="355" t="s">
        <v>114</v>
      </c>
      <c r="D524" s="351">
        <f t="shared" ca="1" si="47"/>
        <v>21</v>
      </c>
      <c r="F524" s="169" t="str">
        <f ca="1">IF(OR(B524="",B524=0),"","   "&amp;A524&amp;":"&amp;CHAR(34)&amp;B524&amp;CHAR(34)&amp;",")</f>
        <v/>
      </c>
    </row>
    <row r="525" spans="1:6" hidden="1">
      <c r="A525" s="150" t="str" cm="1">
        <f t="array" aca="1" ref="A525" ca="1">INDIRECT($B$2&amp;"!"&amp;C525&amp;"15")</f>
        <v>format</v>
      </c>
      <c r="B525" s="130" cm="1">
        <f t="array" aca="1" ref="B525" ca="1">IFERROR(INDIRECT($B$2&amp;"!"&amp;C525&amp;D525),"")</f>
        <v>0</v>
      </c>
      <c r="C525" s="355" t="s">
        <v>115</v>
      </c>
      <c r="D525" s="351">
        <f t="shared" ca="1" si="47"/>
        <v>21</v>
      </c>
      <c r="F525" s="169" t="str">
        <f ca="1">IF(OR(B525="",B525=0),"","   "&amp;A525&amp;":"&amp;IF(B525="fixedPoint",D524,CHAR(34)&amp;B525&amp;CHAR(34)&amp;","))</f>
        <v/>
      </c>
    </row>
    <row r="526" spans="1:6" hidden="1">
      <c r="A526" s="150" t="str" cm="1">
        <f t="array" aca="1" ref="A526" ca="1">INDIRECT($B$2&amp;"!"&amp;C526&amp;"15")</f>
        <v>validationRules</v>
      </c>
      <c r="B526" s="130" cm="1">
        <f t="array" aca="1" ref="B526" ca="1">IFERROR(INDIRECT($B$2&amp;"!"&amp;C526&amp;D526),"")</f>
        <v>0</v>
      </c>
      <c r="C526" s="350" t="s">
        <v>116</v>
      </c>
      <c r="D526" s="351">
        <f t="shared" ca="1" si="47"/>
        <v>21</v>
      </c>
      <c r="F526" s="169" t="str">
        <f ca="1">IF(B526,"   "&amp;A526&amp;": [{type: 'required',message: '"&amp;B521&amp;" is required' }],","")</f>
        <v/>
      </c>
    </row>
    <row r="527" spans="1:6" hidden="1">
      <c r="A527" s="150" t="str" cm="1">
        <f t="array" aca="1" ref="A527" ca="1">INDIRECT($B$2&amp;"!"&amp;C527&amp;"15")</f>
        <v>allowHiding</v>
      </c>
      <c r="B527" s="130" cm="1">
        <f t="array" aca="1" ref="B527" ca="1">IFERROR(INDIRECT($B$2&amp;"!"&amp;C527&amp;D527),"")</f>
        <v>0</v>
      </c>
      <c r="C527" s="360" t="s">
        <v>117</v>
      </c>
      <c r="D527" s="351">
        <f t="shared" ca="1" si="47"/>
        <v>21</v>
      </c>
      <c r="F527" s="169" t="str">
        <f ca="1">IF(OR(B527="",B527=0),"","   "&amp;A527&amp;": "&amp;B527&amp;",")</f>
        <v/>
      </c>
    </row>
    <row r="528" spans="1:6" hidden="1">
      <c r="A528" s="150" t="str" cm="1">
        <f t="array" aca="1" ref="A528" ca="1">INDIRECT($B$2&amp;"!"&amp;C528&amp;"15")</f>
        <v>width</v>
      </c>
      <c r="B528" s="130" cm="1">
        <f t="array" aca="1" ref="B528" ca="1">IFERROR(INDIRECT($B$2&amp;"!"&amp;C528&amp;D528),"")</f>
        <v>0</v>
      </c>
      <c r="C528" s="360" t="s">
        <v>61</v>
      </c>
      <c r="D528" s="351">
        <f t="shared" ca="1" si="47"/>
        <v>21</v>
      </c>
      <c r="F528" s="169" t="str">
        <f ca="1">IF(OR(B528="",B528=0),"","   "&amp;A528&amp;": "&amp;B528&amp;",")</f>
        <v/>
      </c>
    </row>
    <row r="529" spans="1:6" hidden="1">
      <c r="A529" s="150" t="str" cm="1">
        <f t="array" aca="1" ref="A529" ca="1">INDIRECT($B$2&amp;"!"&amp;C529&amp;"15")</f>
        <v>visible</v>
      </c>
      <c r="B529" s="323" t="str" cm="1">
        <f t="array" aca="1" ref="B529" ca="1">IFERROR(INDIRECT($B$2&amp;"!"&amp;C529&amp;D529),"")</f>
        <v/>
      </c>
      <c r="C529" s="360" t="s">
        <v>118</v>
      </c>
      <c r="D529" s="351">
        <f t="shared" ca="1" si="47"/>
        <v>21</v>
      </c>
      <c r="F529" s="126" t="str">
        <f ca="1">IF(OR(B529="",B529,B529=0),"","          "&amp;A529&amp;": "&amp;B529&amp;",")</f>
        <v/>
      </c>
    </row>
    <row r="530" spans="1:6" hidden="1">
      <c r="A530" s="156" t="s">
        <v>1399</v>
      </c>
      <c r="B530" s="156"/>
      <c r="D530" s="351">
        <f t="shared" ca="1" si="47"/>
        <v>21</v>
      </c>
      <c r="F530" s="169" t="str">
        <f ca="1">IF(D529&gt;$O$2,"","},")</f>
        <v/>
      </c>
    </row>
    <row r="531" spans="1:6" hidden="1">
      <c r="A531" s="475" t="s">
        <v>1400</v>
      </c>
      <c r="B531" s="130" cm="1">
        <f t="array" aca="1" ref="B531" ca="1">IFERROR(INDIRECT($B$2&amp;"!"&amp;C531&amp;D531),"")</f>
        <v>0</v>
      </c>
      <c r="C531" s="350" t="s">
        <v>97</v>
      </c>
      <c r="D531" s="351">
        <f ca="1">IF(D530&gt;$O$2,0,IF(A531="eNd",1,0))+D530</f>
        <v>21</v>
      </c>
      <c r="F531" s="169" t="str">
        <f ca="1">IF(OR(B531="",B531=0),"","{  "&amp;A531&amp;": "&amp;CHAR(34)&amp;$B531&amp;CHAR(34)&amp;",")</f>
        <v/>
      </c>
    </row>
    <row r="532" spans="1:6" hidden="1">
      <c r="A532" s="150" t="str" cm="1">
        <f t="array" aca="1" ref="A532" ca="1">INDIRECT($B$2&amp;"!"&amp;C532&amp;"15")</f>
        <v>caption</v>
      </c>
      <c r="B532" s="130" t="str" cm="1">
        <f t="array" aca="1" ref="B532" ca="1">IFERROR(INDIRECT($B$2&amp;"!"&amp;C532&amp;D532),"")</f>
        <v/>
      </c>
      <c r="C532" s="350" t="s">
        <v>112</v>
      </c>
      <c r="D532" s="351">
        <f t="shared" ref="D532:D541" ca="1" si="48">IF(D531&gt;$O$2,0,IF(A532="eNd",1,0))+D531</f>
        <v>21</v>
      </c>
      <c r="F532" s="169" t="str">
        <f ca="1">IF(OR(B532="",B532=0),"","   "&amp;A532&amp;":"&amp;CHAR(34)&amp;B532&amp;CHAR(34)&amp;",")</f>
        <v/>
      </c>
    </row>
    <row r="533" spans="1:6" hidden="1">
      <c r="A533" s="150" t="str" cm="1">
        <f t="array" aca="1" ref="A533" ca="1">INDIRECT($B$2&amp;"!"&amp;C533&amp;"15")</f>
        <v>sortOrder</v>
      </c>
      <c r="B533" s="130" t="str" cm="1">
        <f t="array" aca="1" ref="B533" ca="1">IFERROR(INDIRECT($B$2&amp;"!"&amp;C533&amp;D533),"")</f>
        <v/>
      </c>
      <c r="C533" s="350" t="s">
        <v>119</v>
      </c>
      <c r="D533" s="351">
        <f t="shared" ca="1" si="48"/>
        <v>21</v>
      </c>
      <c r="F533" s="169" t="str">
        <f ca="1">IF(OR(B533="",B533=0),"","   "&amp;A533&amp;":"&amp;CHAR(34)&amp;B533&amp;CHAR(34)&amp;",")</f>
        <v/>
      </c>
    </row>
    <row r="534" spans="1:6" hidden="1">
      <c r="A534" s="150" t="str" cm="1">
        <f t="array" aca="1" ref="A534" ca="1">INDIRECT($B$2&amp;"!"&amp;C534&amp;"15")</f>
        <v>groupIndex</v>
      </c>
      <c r="B534" s="130" cm="1">
        <f t="array" aca="1" ref="B534" ca="1">IFERROR(INDIRECT($B$2&amp;"!"&amp;C534&amp;D534),"")</f>
        <v>0</v>
      </c>
      <c r="C534" s="355" t="s">
        <v>113</v>
      </c>
      <c r="D534" s="351">
        <f t="shared" ca="1" si="48"/>
        <v>21</v>
      </c>
      <c r="F534" s="126" t="str">
        <f ca="1">IF(OR(B534="",B534=0),"","            "&amp;A534&amp;": "&amp;B534-1&amp;",")</f>
        <v/>
      </c>
    </row>
    <row r="535" spans="1:6" hidden="1">
      <c r="A535" s="150" t="str" cm="1">
        <f t="array" aca="1" ref="A535" ca="1">INDIRECT($B$2&amp;"!"&amp;C535&amp;"15")</f>
        <v>dataType</v>
      </c>
      <c r="B535" s="130" cm="1">
        <f t="array" aca="1" ref="B535" ca="1">IFERROR(INDIRECT($B$2&amp;"!"&amp;C535&amp;D535),"")</f>
        <v>0</v>
      </c>
      <c r="C535" s="355" t="s">
        <v>114</v>
      </c>
      <c r="D535" s="351">
        <f t="shared" ca="1" si="48"/>
        <v>21</v>
      </c>
      <c r="F535" s="169" t="str">
        <f ca="1">IF(OR(B535="",B535=0),"","   "&amp;A535&amp;":"&amp;CHAR(34)&amp;B535&amp;CHAR(34)&amp;",")</f>
        <v/>
      </c>
    </row>
    <row r="536" spans="1:6" hidden="1">
      <c r="A536" s="150" t="str" cm="1">
        <f t="array" aca="1" ref="A536" ca="1">INDIRECT($B$2&amp;"!"&amp;C536&amp;"15")</f>
        <v>format</v>
      </c>
      <c r="B536" s="130" cm="1">
        <f t="array" aca="1" ref="B536" ca="1">IFERROR(INDIRECT($B$2&amp;"!"&amp;C536&amp;D536),"")</f>
        <v>0</v>
      </c>
      <c r="C536" s="355" t="s">
        <v>115</v>
      </c>
      <c r="D536" s="351">
        <f t="shared" ca="1" si="48"/>
        <v>21</v>
      </c>
      <c r="F536" s="169" t="str">
        <f ca="1">IF(OR(B536="",B536=0),"","   "&amp;A536&amp;":"&amp;IF(B536="fixedPoint",D535,CHAR(34)&amp;B536&amp;CHAR(34)&amp;","))</f>
        <v/>
      </c>
    </row>
    <row r="537" spans="1:6" hidden="1">
      <c r="A537" s="150" t="str" cm="1">
        <f t="array" aca="1" ref="A537" ca="1">INDIRECT($B$2&amp;"!"&amp;C537&amp;"15")</f>
        <v>validationRules</v>
      </c>
      <c r="B537" s="130" cm="1">
        <f t="array" aca="1" ref="B537" ca="1">IFERROR(INDIRECT($B$2&amp;"!"&amp;C537&amp;D537),"")</f>
        <v>0</v>
      </c>
      <c r="C537" s="350" t="s">
        <v>116</v>
      </c>
      <c r="D537" s="351">
        <f t="shared" ca="1" si="48"/>
        <v>21</v>
      </c>
      <c r="F537" s="169" t="str">
        <f ca="1">IF(B537,"   "&amp;A537&amp;": [{type: 'required',message: '"&amp;B532&amp;" is required' }],","")</f>
        <v/>
      </c>
    </row>
    <row r="538" spans="1:6" hidden="1">
      <c r="A538" s="150" t="str" cm="1">
        <f t="array" aca="1" ref="A538" ca="1">INDIRECT($B$2&amp;"!"&amp;C538&amp;"15")</f>
        <v>allowHiding</v>
      </c>
      <c r="B538" s="130" cm="1">
        <f t="array" aca="1" ref="B538" ca="1">IFERROR(INDIRECT($B$2&amp;"!"&amp;C538&amp;D538),"")</f>
        <v>0</v>
      </c>
      <c r="C538" s="360" t="s">
        <v>117</v>
      </c>
      <c r="D538" s="351">
        <f t="shared" ca="1" si="48"/>
        <v>21</v>
      </c>
      <c r="F538" s="169" t="str">
        <f ca="1">IF(OR(B538="",B538=0),"","   "&amp;A538&amp;": "&amp;B538&amp;",")</f>
        <v/>
      </c>
    </row>
    <row r="539" spans="1:6" hidden="1">
      <c r="A539" s="150" t="str" cm="1">
        <f t="array" aca="1" ref="A539" ca="1">INDIRECT($B$2&amp;"!"&amp;C539&amp;"15")</f>
        <v>width</v>
      </c>
      <c r="B539" s="130" cm="1">
        <f t="array" aca="1" ref="B539" ca="1">IFERROR(INDIRECT($B$2&amp;"!"&amp;C539&amp;D539),"")</f>
        <v>0</v>
      </c>
      <c r="C539" s="360" t="s">
        <v>61</v>
      </c>
      <c r="D539" s="351">
        <f t="shared" ca="1" si="48"/>
        <v>21</v>
      </c>
      <c r="F539" s="169" t="str">
        <f ca="1">IF(OR(B539="",B539=0),"","   "&amp;A539&amp;": "&amp;B539&amp;",")</f>
        <v/>
      </c>
    </row>
    <row r="540" spans="1:6" hidden="1">
      <c r="A540" s="150" t="str" cm="1">
        <f t="array" aca="1" ref="A540" ca="1">INDIRECT($B$2&amp;"!"&amp;C540&amp;"15")</f>
        <v>visible</v>
      </c>
      <c r="B540" s="323" t="str" cm="1">
        <f t="array" aca="1" ref="B540" ca="1">IFERROR(INDIRECT($B$2&amp;"!"&amp;C540&amp;D540),"")</f>
        <v/>
      </c>
      <c r="C540" s="360" t="s">
        <v>118</v>
      </c>
      <c r="D540" s="351">
        <f t="shared" ca="1" si="48"/>
        <v>21</v>
      </c>
      <c r="F540" s="126" t="str">
        <f ca="1">IF(OR(B540="",B540,B540=0),"","          "&amp;A540&amp;": "&amp;B540&amp;",")</f>
        <v/>
      </c>
    </row>
    <row r="541" spans="1:6" hidden="1">
      <c r="A541" s="156" t="s">
        <v>1399</v>
      </c>
      <c r="B541" s="156"/>
      <c r="D541" s="351">
        <f t="shared" ca="1" si="48"/>
        <v>21</v>
      </c>
      <c r="F541" s="169" t="str">
        <f ca="1">IF(D540&gt;$O$2,"","},")</f>
        <v/>
      </c>
    </row>
    <row r="542" spans="1:6" hidden="1">
      <c r="A542" s="475" t="s">
        <v>1400</v>
      </c>
      <c r="B542" s="130" cm="1">
        <f t="array" aca="1" ref="B542" ca="1">IFERROR(INDIRECT($B$2&amp;"!"&amp;C542&amp;D542),"")</f>
        <v>0</v>
      </c>
      <c r="C542" s="350" t="s">
        <v>97</v>
      </c>
      <c r="D542" s="351">
        <f ca="1">IF(D541&gt;$O$2,0,IF(A542="eNd",1,0))+D541</f>
        <v>21</v>
      </c>
      <c r="F542" s="169" t="str">
        <f ca="1">IF(OR(B542="",B542=0),"","{  "&amp;A542&amp;": "&amp;CHAR(34)&amp;$B542&amp;CHAR(34)&amp;",")</f>
        <v/>
      </c>
    </row>
    <row r="543" spans="1:6" hidden="1">
      <c r="A543" s="150" t="str" cm="1">
        <f t="array" aca="1" ref="A543" ca="1">INDIRECT($B$2&amp;"!"&amp;C543&amp;"15")</f>
        <v>caption</v>
      </c>
      <c r="B543" s="130" t="str" cm="1">
        <f t="array" aca="1" ref="B543" ca="1">IFERROR(INDIRECT($B$2&amp;"!"&amp;C543&amp;D543),"")</f>
        <v/>
      </c>
      <c r="C543" s="350" t="s">
        <v>112</v>
      </c>
      <c r="D543" s="351">
        <f t="shared" ref="D543:D552" ca="1" si="49">IF(D542&gt;$O$2,0,IF(A543="eNd",1,0))+D542</f>
        <v>21</v>
      </c>
      <c r="F543" s="169" t="str">
        <f ca="1">IF(OR(B543="",B543=0),"","   "&amp;A543&amp;":"&amp;CHAR(34)&amp;B543&amp;CHAR(34)&amp;",")</f>
        <v/>
      </c>
    </row>
    <row r="544" spans="1:6" hidden="1">
      <c r="A544" s="150" t="str" cm="1">
        <f t="array" aca="1" ref="A544" ca="1">INDIRECT($B$2&amp;"!"&amp;C544&amp;"15")</f>
        <v>sortOrder</v>
      </c>
      <c r="B544" s="130" t="str" cm="1">
        <f t="array" aca="1" ref="B544" ca="1">IFERROR(INDIRECT($B$2&amp;"!"&amp;C544&amp;D544),"")</f>
        <v/>
      </c>
      <c r="C544" s="350" t="s">
        <v>119</v>
      </c>
      <c r="D544" s="351">
        <f t="shared" ca="1" si="49"/>
        <v>21</v>
      </c>
      <c r="F544" s="169" t="str">
        <f ca="1">IF(OR(B544="",B544=0),"","   "&amp;A544&amp;":"&amp;CHAR(34)&amp;B544&amp;CHAR(34)&amp;",")</f>
        <v/>
      </c>
    </row>
    <row r="545" spans="1:6" hidden="1">
      <c r="A545" s="150" t="str" cm="1">
        <f t="array" aca="1" ref="A545" ca="1">INDIRECT($B$2&amp;"!"&amp;C545&amp;"15")</f>
        <v>groupIndex</v>
      </c>
      <c r="B545" s="130" cm="1">
        <f t="array" aca="1" ref="B545" ca="1">IFERROR(INDIRECT($B$2&amp;"!"&amp;C545&amp;D545),"")</f>
        <v>0</v>
      </c>
      <c r="C545" s="355" t="s">
        <v>113</v>
      </c>
      <c r="D545" s="351">
        <f t="shared" ca="1" si="49"/>
        <v>21</v>
      </c>
      <c r="F545" s="126" t="str">
        <f ca="1">IF(OR(B545="",B545=0),"","            "&amp;A545&amp;": "&amp;B545-1&amp;",")</f>
        <v/>
      </c>
    </row>
    <row r="546" spans="1:6" hidden="1">
      <c r="A546" s="150" t="str" cm="1">
        <f t="array" aca="1" ref="A546" ca="1">INDIRECT($B$2&amp;"!"&amp;C546&amp;"15")</f>
        <v>dataType</v>
      </c>
      <c r="B546" s="130" cm="1">
        <f t="array" aca="1" ref="B546" ca="1">IFERROR(INDIRECT($B$2&amp;"!"&amp;C546&amp;D546),"")</f>
        <v>0</v>
      </c>
      <c r="C546" s="355" t="s">
        <v>114</v>
      </c>
      <c r="D546" s="351">
        <f t="shared" ca="1" si="49"/>
        <v>21</v>
      </c>
      <c r="F546" s="169" t="str">
        <f ca="1">IF(OR(B546="",B546=0),"","   "&amp;A546&amp;":"&amp;CHAR(34)&amp;B546&amp;CHAR(34)&amp;",")</f>
        <v/>
      </c>
    </row>
    <row r="547" spans="1:6" hidden="1">
      <c r="A547" s="150" t="str" cm="1">
        <f t="array" aca="1" ref="A547" ca="1">INDIRECT($B$2&amp;"!"&amp;C547&amp;"15")</f>
        <v>format</v>
      </c>
      <c r="B547" s="130" cm="1">
        <f t="array" aca="1" ref="B547" ca="1">IFERROR(INDIRECT($B$2&amp;"!"&amp;C547&amp;D547),"")</f>
        <v>0</v>
      </c>
      <c r="C547" s="355" t="s">
        <v>115</v>
      </c>
      <c r="D547" s="351">
        <f t="shared" ca="1" si="49"/>
        <v>21</v>
      </c>
      <c r="F547" s="169" t="str">
        <f ca="1">IF(OR(B547="",B547=0),"","   "&amp;A547&amp;":"&amp;IF(B547="fixedPoint",D546,CHAR(34)&amp;B547&amp;CHAR(34)&amp;","))</f>
        <v/>
      </c>
    </row>
    <row r="548" spans="1:6" hidden="1">
      <c r="A548" s="150" t="str" cm="1">
        <f t="array" aca="1" ref="A548" ca="1">INDIRECT($B$2&amp;"!"&amp;C548&amp;"15")</f>
        <v>validationRules</v>
      </c>
      <c r="B548" s="130" cm="1">
        <f t="array" aca="1" ref="B548" ca="1">IFERROR(INDIRECT($B$2&amp;"!"&amp;C548&amp;D548),"")</f>
        <v>0</v>
      </c>
      <c r="C548" s="350" t="s">
        <v>116</v>
      </c>
      <c r="D548" s="351">
        <f t="shared" ca="1" si="49"/>
        <v>21</v>
      </c>
      <c r="F548" s="169" t="str">
        <f ca="1">IF(B548,"   "&amp;A548&amp;": [{type: 'required',message: '"&amp;B543&amp;" is required' }],","")</f>
        <v/>
      </c>
    </row>
    <row r="549" spans="1:6" hidden="1">
      <c r="A549" s="150" t="str" cm="1">
        <f t="array" aca="1" ref="A549" ca="1">INDIRECT($B$2&amp;"!"&amp;C549&amp;"15")</f>
        <v>allowHiding</v>
      </c>
      <c r="B549" s="130" cm="1">
        <f t="array" aca="1" ref="B549" ca="1">IFERROR(INDIRECT($B$2&amp;"!"&amp;C549&amp;D549),"")</f>
        <v>0</v>
      </c>
      <c r="C549" s="360" t="s">
        <v>117</v>
      </c>
      <c r="D549" s="351">
        <f t="shared" ca="1" si="49"/>
        <v>21</v>
      </c>
      <c r="F549" s="169" t="str">
        <f ca="1">IF(OR(B549="",B549=0),"","   "&amp;A549&amp;": "&amp;B549&amp;",")</f>
        <v/>
      </c>
    </row>
    <row r="550" spans="1:6" hidden="1">
      <c r="A550" s="150" t="str" cm="1">
        <f t="array" aca="1" ref="A550" ca="1">INDIRECT($B$2&amp;"!"&amp;C550&amp;"15")</f>
        <v>width</v>
      </c>
      <c r="B550" s="130" cm="1">
        <f t="array" aca="1" ref="B550" ca="1">IFERROR(INDIRECT($B$2&amp;"!"&amp;C550&amp;D550),"")</f>
        <v>0</v>
      </c>
      <c r="C550" s="360" t="s">
        <v>61</v>
      </c>
      <c r="D550" s="351">
        <f t="shared" ca="1" si="49"/>
        <v>21</v>
      </c>
      <c r="F550" s="169" t="str">
        <f ca="1">IF(OR(B550="",B550=0),"","   "&amp;A550&amp;": "&amp;B550&amp;",")</f>
        <v/>
      </c>
    </row>
    <row r="551" spans="1:6" hidden="1">
      <c r="A551" s="150" t="str" cm="1">
        <f t="array" aca="1" ref="A551" ca="1">INDIRECT($B$2&amp;"!"&amp;C551&amp;"15")</f>
        <v>visible</v>
      </c>
      <c r="B551" s="323" t="str" cm="1">
        <f t="array" aca="1" ref="B551" ca="1">IFERROR(INDIRECT($B$2&amp;"!"&amp;C551&amp;D551),"")</f>
        <v/>
      </c>
      <c r="C551" s="360" t="s">
        <v>118</v>
      </c>
      <c r="D551" s="351">
        <f t="shared" ca="1" si="49"/>
        <v>21</v>
      </c>
      <c r="F551" s="126" t="str">
        <f ca="1">IF(OR(B551="",B551,B551=0),"","          "&amp;A551&amp;": "&amp;B551&amp;",")</f>
        <v/>
      </c>
    </row>
    <row r="552" spans="1:6" hidden="1">
      <c r="A552" s="156" t="s">
        <v>1399</v>
      </c>
      <c r="B552" s="156"/>
      <c r="D552" s="351">
        <f t="shared" ca="1" si="49"/>
        <v>21</v>
      </c>
      <c r="F552" s="169" t="str">
        <f ca="1">IF(D551&gt;$O$2,"","},")</f>
        <v/>
      </c>
    </row>
    <row r="553" spans="1:6" hidden="1">
      <c r="A553" s="475" t="s">
        <v>1400</v>
      </c>
      <c r="B553" s="130" cm="1">
        <f t="array" aca="1" ref="B553" ca="1">IFERROR(INDIRECT($B$2&amp;"!"&amp;C553&amp;D553),"")</f>
        <v>0</v>
      </c>
      <c r="C553" s="350" t="s">
        <v>97</v>
      </c>
      <c r="D553" s="351">
        <f ca="1">IF(D552&gt;$O$2,0,IF(A553="eNd",1,0))+D552</f>
        <v>21</v>
      </c>
      <c r="F553" s="169" t="str">
        <f ca="1">IF(OR(B553="",B553=0),"","{  "&amp;A553&amp;": "&amp;CHAR(34)&amp;$B553&amp;CHAR(34)&amp;",")</f>
        <v/>
      </c>
    </row>
    <row r="554" spans="1:6" hidden="1">
      <c r="A554" s="150" t="str" cm="1">
        <f t="array" aca="1" ref="A554" ca="1">INDIRECT($B$2&amp;"!"&amp;C554&amp;"15")</f>
        <v>caption</v>
      </c>
      <c r="B554" s="130" t="str" cm="1">
        <f t="array" aca="1" ref="B554" ca="1">IFERROR(INDIRECT($B$2&amp;"!"&amp;C554&amp;D554),"")</f>
        <v/>
      </c>
      <c r="C554" s="350" t="s">
        <v>112</v>
      </c>
      <c r="D554" s="351">
        <f t="shared" ref="D554:D563" ca="1" si="50">IF(D553&gt;$O$2,0,IF(A554="eNd",1,0))+D553</f>
        <v>21</v>
      </c>
      <c r="F554" s="169" t="str">
        <f ca="1">IF(OR(B554="",B554=0),"","   "&amp;A554&amp;":"&amp;CHAR(34)&amp;B554&amp;CHAR(34)&amp;",")</f>
        <v/>
      </c>
    </row>
    <row r="555" spans="1:6" hidden="1">
      <c r="A555" s="150" t="str" cm="1">
        <f t="array" aca="1" ref="A555" ca="1">INDIRECT($B$2&amp;"!"&amp;C555&amp;"15")</f>
        <v>sortOrder</v>
      </c>
      <c r="B555" s="130" t="str" cm="1">
        <f t="array" aca="1" ref="B555" ca="1">IFERROR(INDIRECT($B$2&amp;"!"&amp;C555&amp;D555),"")</f>
        <v/>
      </c>
      <c r="C555" s="350" t="s">
        <v>119</v>
      </c>
      <c r="D555" s="351">
        <f t="shared" ca="1" si="50"/>
        <v>21</v>
      </c>
      <c r="F555" s="169" t="str">
        <f ca="1">IF(OR(B555="",B555=0),"","   "&amp;A555&amp;":"&amp;CHAR(34)&amp;B555&amp;CHAR(34)&amp;",")</f>
        <v/>
      </c>
    </row>
    <row r="556" spans="1:6" hidden="1">
      <c r="A556" s="150" t="str" cm="1">
        <f t="array" aca="1" ref="A556" ca="1">INDIRECT($B$2&amp;"!"&amp;C556&amp;"15")</f>
        <v>groupIndex</v>
      </c>
      <c r="B556" s="130" cm="1">
        <f t="array" aca="1" ref="B556" ca="1">IFERROR(INDIRECT($B$2&amp;"!"&amp;C556&amp;D556),"")</f>
        <v>0</v>
      </c>
      <c r="C556" s="355" t="s">
        <v>113</v>
      </c>
      <c r="D556" s="351">
        <f t="shared" ca="1" si="50"/>
        <v>21</v>
      </c>
      <c r="F556" s="126" t="str">
        <f ca="1">IF(OR(B556="",B556=0),"","            "&amp;A556&amp;": "&amp;B556-1&amp;",")</f>
        <v/>
      </c>
    </row>
    <row r="557" spans="1:6" hidden="1">
      <c r="A557" s="150" t="str" cm="1">
        <f t="array" aca="1" ref="A557" ca="1">INDIRECT($B$2&amp;"!"&amp;C557&amp;"15")</f>
        <v>dataType</v>
      </c>
      <c r="B557" s="130" cm="1">
        <f t="array" aca="1" ref="B557" ca="1">IFERROR(INDIRECT($B$2&amp;"!"&amp;C557&amp;D557),"")</f>
        <v>0</v>
      </c>
      <c r="C557" s="355" t="s">
        <v>114</v>
      </c>
      <c r="D557" s="351">
        <f t="shared" ca="1" si="50"/>
        <v>21</v>
      </c>
      <c r="F557" s="169" t="str">
        <f ca="1">IF(OR(B557="",B557=0),"","   "&amp;A557&amp;":"&amp;CHAR(34)&amp;B557&amp;CHAR(34)&amp;",")</f>
        <v/>
      </c>
    </row>
    <row r="558" spans="1:6" hidden="1">
      <c r="A558" s="150" t="str" cm="1">
        <f t="array" aca="1" ref="A558" ca="1">INDIRECT($B$2&amp;"!"&amp;C558&amp;"15")</f>
        <v>format</v>
      </c>
      <c r="B558" s="130" cm="1">
        <f t="array" aca="1" ref="B558" ca="1">IFERROR(INDIRECT($B$2&amp;"!"&amp;C558&amp;D558),"")</f>
        <v>0</v>
      </c>
      <c r="C558" s="355" t="s">
        <v>115</v>
      </c>
      <c r="D558" s="351">
        <f t="shared" ca="1" si="50"/>
        <v>21</v>
      </c>
      <c r="F558" s="169" t="str">
        <f ca="1">IF(OR(B558="",B558=0),"","   "&amp;A558&amp;":"&amp;IF(B558="fixedPoint",D557,CHAR(34)&amp;B558&amp;CHAR(34)&amp;","))</f>
        <v/>
      </c>
    </row>
    <row r="559" spans="1:6" hidden="1">
      <c r="A559" s="150" t="str" cm="1">
        <f t="array" aca="1" ref="A559" ca="1">INDIRECT($B$2&amp;"!"&amp;C559&amp;"15")</f>
        <v>validationRules</v>
      </c>
      <c r="B559" s="130" cm="1">
        <f t="array" aca="1" ref="B559" ca="1">IFERROR(INDIRECT($B$2&amp;"!"&amp;C559&amp;D559),"")</f>
        <v>0</v>
      </c>
      <c r="C559" s="350" t="s">
        <v>116</v>
      </c>
      <c r="D559" s="351">
        <f t="shared" ca="1" si="50"/>
        <v>21</v>
      </c>
      <c r="F559" s="169" t="str">
        <f ca="1">IF(B559,"   "&amp;A559&amp;": [{type: 'required',message: '"&amp;B554&amp;" is required' }],","")</f>
        <v/>
      </c>
    </row>
    <row r="560" spans="1:6" hidden="1">
      <c r="A560" s="150" t="str" cm="1">
        <f t="array" aca="1" ref="A560" ca="1">INDIRECT($B$2&amp;"!"&amp;C560&amp;"15")</f>
        <v>allowHiding</v>
      </c>
      <c r="B560" s="130" cm="1">
        <f t="array" aca="1" ref="B560" ca="1">IFERROR(INDIRECT($B$2&amp;"!"&amp;C560&amp;D560),"")</f>
        <v>0</v>
      </c>
      <c r="C560" s="360" t="s">
        <v>117</v>
      </c>
      <c r="D560" s="351">
        <f t="shared" ca="1" si="50"/>
        <v>21</v>
      </c>
      <c r="F560" s="169" t="str">
        <f ca="1">IF(OR(B560="",B560=0),"","   "&amp;A560&amp;": "&amp;B560&amp;",")</f>
        <v/>
      </c>
    </row>
    <row r="561" spans="1:6" hidden="1">
      <c r="A561" s="150" t="str" cm="1">
        <f t="array" aca="1" ref="A561" ca="1">INDIRECT($B$2&amp;"!"&amp;C561&amp;"15")</f>
        <v>width</v>
      </c>
      <c r="B561" s="130" cm="1">
        <f t="array" aca="1" ref="B561" ca="1">IFERROR(INDIRECT($B$2&amp;"!"&amp;C561&amp;D561),"")</f>
        <v>0</v>
      </c>
      <c r="C561" s="360" t="s">
        <v>61</v>
      </c>
      <c r="D561" s="351">
        <f t="shared" ca="1" si="50"/>
        <v>21</v>
      </c>
      <c r="F561" s="169" t="str">
        <f ca="1">IF(OR(B561="",B561=0),"","   "&amp;A561&amp;": "&amp;B561&amp;",")</f>
        <v/>
      </c>
    </row>
    <row r="562" spans="1:6" hidden="1">
      <c r="A562" s="150" t="str" cm="1">
        <f t="array" aca="1" ref="A562" ca="1">INDIRECT($B$2&amp;"!"&amp;C562&amp;"15")</f>
        <v>visible</v>
      </c>
      <c r="B562" s="323" t="str" cm="1">
        <f t="array" aca="1" ref="B562" ca="1">IFERROR(INDIRECT($B$2&amp;"!"&amp;C562&amp;D562),"")</f>
        <v/>
      </c>
      <c r="C562" s="360" t="s">
        <v>118</v>
      </c>
      <c r="D562" s="351">
        <f t="shared" ca="1" si="50"/>
        <v>21</v>
      </c>
      <c r="F562" s="126" t="str">
        <f ca="1">IF(OR(B562="",B562,B562=0),"","          "&amp;A562&amp;": "&amp;B562&amp;",")</f>
        <v/>
      </c>
    </row>
    <row r="563" spans="1:6" hidden="1">
      <c r="A563" s="156" t="s">
        <v>1399</v>
      </c>
      <c r="B563" s="156"/>
      <c r="D563" s="351">
        <f t="shared" ca="1" si="50"/>
        <v>21</v>
      </c>
      <c r="F563" s="169" t="str">
        <f ca="1">IF(D562&gt;$O$2,"","},")</f>
        <v/>
      </c>
    </row>
    <row r="564" spans="1:6" hidden="1">
      <c r="A564" s="475" t="s">
        <v>1400</v>
      </c>
      <c r="B564" s="130" cm="1">
        <f t="array" aca="1" ref="B564" ca="1">IFERROR(INDIRECT($B$2&amp;"!"&amp;C564&amp;D564),"")</f>
        <v>0</v>
      </c>
      <c r="C564" s="350" t="s">
        <v>97</v>
      </c>
      <c r="D564" s="351">
        <f ca="1">IF(D563&gt;$O$2,0,IF(A564="eNd",1,0))+D563</f>
        <v>21</v>
      </c>
      <c r="F564" s="169" t="str">
        <f ca="1">IF(OR(B564="",B564=0),"","{  "&amp;A564&amp;": "&amp;CHAR(34)&amp;$B564&amp;CHAR(34)&amp;",")</f>
        <v/>
      </c>
    </row>
    <row r="565" spans="1:6" hidden="1">
      <c r="A565" s="150" t="str" cm="1">
        <f t="array" aca="1" ref="A565" ca="1">INDIRECT($B$2&amp;"!"&amp;C565&amp;"15")</f>
        <v>caption</v>
      </c>
      <c r="B565" s="130" t="str" cm="1">
        <f t="array" aca="1" ref="B565" ca="1">IFERROR(INDIRECT($B$2&amp;"!"&amp;C565&amp;D565),"")</f>
        <v/>
      </c>
      <c r="C565" s="350" t="s">
        <v>112</v>
      </c>
      <c r="D565" s="351">
        <f t="shared" ref="D565:D574" ca="1" si="51">IF(D564&gt;$O$2,0,IF(A565="eNd",1,0))+D564</f>
        <v>21</v>
      </c>
      <c r="F565" s="169" t="str">
        <f ca="1">IF(OR(B565="",B565=0),"","   "&amp;A565&amp;":"&amp;CHAR(34)&amp;B565&amp;CHAR(34)&amp;",")</f>
        <v/>
      </c>
    </row>
    <row r="566" spans="1:6" hidden="1">
      <c r="A566" s="150" t="str" cm="1">
        <f t="array" aca="1" ref="A566" ca="1">INDIRECT($B$2&amp;"!"&amp;C566&amp;"15")</f>
        <v>sortOrder</v>
      </c>
      <c r="B566" s="130" t="str" cm="1">
        <f t="array" aca="1" ref="B566" ca="1">IFERROR(INDIRECT($B$2&amp;"!"&amp;C566&amp;D566),"")</f>
        <v/>
      </c>
      <c r="C566" s="350" t="s">
        <v>119</v>
      </c>
      <c r="D566" s="351">
        <f t="shared" ca="1" si="51"/>
        <v>21</v>
      </c>
      <c r="F566" s="169" t="str">
        <f ca="1">IF(OR(B566="",B566=0),"","   "&amp;A566&amp;":"&amp;CHAR(34)&amp;B566&amp;CHAR(34)&amp;",")</f>
        <v/>
      </c>
    </row>
    <row r="567" spans="1:6" hidden="1">
      <c r="A567" s="150" t="str" cm="1">
        <f t="array" aca="1" ref="A567" ca="1">INDIRECT($B$2&amp;"!"&amp;C567&amp;"15")</f>
        <v>groupIndex</v>
      </c>
      <c r="B567" s="130" cm="1">
        <f t="array" aca="1" ref="B567" ca="1">IFERROR(INDIRECT($B$2&amp;"!"&amp;C567&amp;D567),"")</f>
        <v>0</v>
      </c>
      <c r="C567" s="355" t="s">
        <v>113</v>
      </c>
      <c r="D567" s="351">
        <f t="shared" ca="1" si="51"/>
        <v>21</v>
      </c>
      <c r="F567" s="126" t="str">
        <f ca="1">IF(OR(B567="",B567=0),"","            "&amp;A567&amp;": "&amp;B567-1&amp;",")</f>
        <v/>
      </c>
    </row>
    <row r="568" spans="1:6" hidden="1">
      <c r="A568" s="150" t="str" cm="1">
        <f t="array" aca="1" ref="A568" ca="1">INDIRECT($B$2&amp;"!"&amp;C568&amp;"15")</f>
        <v>dataType</v>
      </c>
      <c r="B568" s="130" cm="1">
        <f t="array" aca="1" ref="B568" ca="1">IFERROR(INDIRECT($B$2&amp;"!"&amp;C568&amp;D568),"")</f>
        <v>0</v>
      </c>
      <c r="C568" s="355" t="s">
        <v>114</v>
      </c>
      <c r="D568" s="351">
        <f t="shared" ca="1" si="51"/>
        <v>21</v>
      </c>
      <c r="F568" s="169" t="str">
        <f ca="1">IF(OR(B568="",B568=0),"","   "&amp;A568&amp;":"&amp;CHAR(34)&amp;B568&amp;CHAR(34)&amp;",")</f>
        <v/>
      </c>
    </row>
    <row r="569" spans="1:6" hidden="1">
      <c r="A569" s="150" t="str" cm="1">
        <f t="array" aca="1" ref="A569" ca="1">INDIRECT($B$2&amp;"!"&amp;C569&amp;"15")</f>
        <v>format</v>
      </c>
      <c r="B569" s="130" cm="1">
        <f t="array" aca="1" ref="B569" ca="1">IFERROR(INDIRECT($B$2&amp;"!"&amp;C569&amp;D569),"")</f>
        <v>0</v>
      </c>
      <c r="C569" s="355" t="s">
        <v>115</v>
      </c>
      <c r="D569" s="351">
        <f t="shared" ca="1" si="51"/>
        <v>21</v>
      </c>
      <c r="F569" s="169" t="str">
        <f ca="1">IF(OR(B569="",B569=0),"","   "&amp;A569&amp;":"&amp;IF(B569="fixedPoint",D568,CHAR(34)&amp;B569&amp;CHAR(34)&amp;","))</f>
        <v/>
      </c>
    </row>
    <row r="570" spans="1:6" hidden="1">
      <c r="A570" s="150" t="str" cm="1">
        <f t="array" aca="1" ref="A570" ca="1">INDIRECT($B$2&amp;"!"&amp;C570&amp;"15")</f>
        <v>validationRules</v>
      </c>
      <c r="B570" s="130" cm="1">
        <f t="array" aca="1" ref="B570" ca="1">IFERROR(INDIRECT($B$2&amp;"!"&amp;C570&amp;D570),"")</f>
        <v>0</v>
      </c>
      <c r="C570" s="350" t="s">
        <v>116</v>
      </c>
      <c r="D570" s="351">
        <f t="shared" ca="1" si="51"/>
        <v>21</v>
      </c>
      <c r="F570" s="169" t="str">
        <f ca="1">IF(B570,"   "&amp;A570&amp;": [{type: 'required',message: '"&amp;B565&amp;" is required' }],","")</f>
        <v/>
      </c>
    </row>
    <row r="571" spans="1:6" hidden="1">
      <c r="A571" s="150" t="str" cm="1">
        <f t="array" aca="1" ref="A571" ca="1">INDIRECT($B$2&amp;"!"&amp;C571&amp;"15")</f>
        <v>allowHiding</v>
      </c>
      <c r="B571" s="130" cm="1">
        <f t="array" aca="1" ref="B571" ca="1">IFERROR(INDIRECT($B$2&amp;"!"&amp;C571&amp;D571),"")</f>
        <v>0</v>
      </c>
      <c r="C571" s="360" t="s">
        <v>117</v>
      </c>
      <c r="D571" s="351">
        <f t="shared" ca="1" si="51"/>
        <v>21</v>
      </c>
      <c r="F571" s="169" t="str">
        <f ca="1">IF(OR(B571="",B571=0),"","   "&amp;A571&amp;": "&amp;B571&amp;",")</f>
        <v/>
      </c>
    </row>
    <row r="572" spans="1:6" hidden="1">
      <c r="A572" s="150" t="str" cm="1">
        <f t="array" aca="1" ref="A572" ca="1">INDIRECT($B$2&amp;"!"&amp;C572&amp;"15")</f>
        <v>width</v>
      </c>
      <c r="B572" s="130" cm="1">
        <f t="array" aca="1" ref="B572" ca="1">IFERROR(INDIRECT($B$2&amp;"!"&amp;C572&amp;D572),"")</f>
        <v>0</v>
      </c>
      <c r="C572" s="360" t="s">
        <v>61</v>
      </c>
      <c r="D572" s="351">
        <f t="shared" ca="1" si="51"/>
        <v>21</v>
      </c>
      <c r="F572" s="169" t="str">
        <f ca="1">IF(OR(B572="",B572=0),"","   "&amp;A572&amp;": "&amp;B572&amp;",")</f>
        <v/>
      </c>
    </row>
    <row r="573" spans="1:6" hidden="1">
      <c r="A573" s="150" t="str" cm="1">
        <f t="array" aca="1" ref="A573" ca="1">INDIRECT($B$2&amp;"!"&amp;C573&amp;"15")</f>
        <v>visible</v>
      </c>
      <c r="B573" s="323" t="str" cm="1">
        <f t="array" aca="1" ref="B573" ca="1">IFERROR(INDIRECT($B$2&amp;"!"&amp;C573&amp;D573),"")</f>
        <v/>
      </c>
      <c r="C573" s="360" t="s">
        <v>118</v>
      </c>
      <c r="D573" s="351">
        <f t="shared" ca="1" si="51"/>
        <v>21</v>
      </c>
      <c r="F573" s="126" t="str">
        <f ca="1">IF(OR(B573="",B573,B573=0),"","          "&amp;A573&amp;": "&amp;B573&amp;",")</f>
        <v/>
      </c>
    </row>
    <row r="574" spans="1:6" hidden="1">
      <c r="A574" s="156" t="s">
        <v>1399</v>
      </c>
      <c r="B574" s="156"/>
      <c r="D574" s="351">
        <f t="shared" ca="1" si="51"/>
        <v>21</v>
      </c>
      <c r="F574" s="169" t="str">
        <f ca="1">IF(D573&gt;$O$2,"","},")</f>
        <v/>
      </c>
    </row>
    <row r="575" spans="1:6" hidden="1">
      <c r="A575" s="475" t="s">
        <v>1400</v>
      </c>
      <c r="B575" s="130" cm="1">
        <f t="array" aca="1" ref="B575" ca="1">IFERROR(INDIRECT($B$2&amp;"!"&amp;C575&amp;D575),"")</f>
        <v>0</v>
      </c>
      <c r="C575" s="350" t="s">
        <v>97</v>
      </c>
      <c r="D575" s="351">
        <f ca="1">IF(D574&gt;$O$2,0,IF(A575="eNd",1,0))+D574</f>
        <v>21</v>
      </c>
      <c r="F575" s="169" t="str">
        <f ca="1">IF(OR(B575="",B575=0),"","{  "&amp;A575&amp;": "&amp;CHAR(34)&amp;$B575&amp;CHAR(34)&amp;",")</f>
        <v/>
      </c>
    </row>
    <row r="576" spans="1:6" hidden="1">
      <c r="A576" s="150" t="str" cm="1">
        <f t="array" aca="1" ref="A576" ca="1">INDIRECT($B$2&amp;"!"&amp;C576&amp;"15")</f>
        <v>caption</v>
      </c>
      <c r="B576" s="130" t="str" cm="1">
        <f t="array" aca="1" ref="B576" ca="1">IFERROR(INDIRECT($B$2&amp;"!"&amp;C576&amp;D576),"")</f>
        <v/>
      </c>
      <c r="C576" s="350" t="s">
        <v>112</v>
      </c>
      <c r="D576" s="351">
        <f t="shared" ref="D576:D585" ca="1" si="52">IF(D575&gt;$O$2,0,IF(A576="eNd",1,0))+D575</f>
        <v>21</v>
      </c>
      <c r="F576" s="169" t="str">
        <f ca="1">IF(OR(B576="",B576=0),"","   "&amp;A576&amp;":"&amp;CHAR(34)&amp;B576&amp;CHAR(34)&amp;",")</f>
        <v/>
      </c>
    </row>
    <row r="577" spans="1:6" hidden="1">
      <c r="A577" s="150" t="str" cm="1">
        <f t="array" aca="1" ref="A577" ca="1">INDIRECT($B$2&amp;"!"&amp;C577&amp;"15")</f>
        <v>sortOrder</v>
      </c>
      <c r="B577" s="130" t="str" cm="1">
        <f t="array" aca="1" ref="B577" ca="1">IFERROR(INDIRECT($B$2&amp;"!"&amp;C577&amp;D577),"")</f>
        <v/>
      </c>
      <c r="C577" s="350" t="s">
        <v>119</v>
      </c>
      <c r="D577" s="351">
        <f t="shared" ca="1" si="52"/>
        <v>21</v>
      </c>
      <c r="F577" s="169" t="str">
        <f ca="1">IF(OR(B577="",B577=0),"","   "&amp;A577&amp;":"&amp;CHAR(34)&amp;B577&amp;CHAR(34)&amp;",")</f>
        <v/>
      </c>
    </row>
    <row r="578" spans="1:6" hidden="1">
      <c r="A578" s="150" t="str" cm="1">
        <f t="array" aca="1" ref="A578" ca="1">INDIRECT($B$2&amp;"!"&amp;C578&amp;"15")</f>
        <v>groupIndex</v>
      </c>
      <c r="B578" s="130" cm="1">
        <f t="array" aca="1" ref="B578" ca="1">IFERROR(INDIRECT($B$2&amp;"!"&amp;C578&amp;D578),"")</f>
        <v>0</v>
      </c>
      <c r="C578" s="355" t="s">
        <v>113</v>
      </c>
      <c r="D578" s="351">
        <f t="shared" ca="1" si="52"/>
        <v>21</v>
      </c>
      <c r="F578" s="126" t="str">
        <f ca="1">IF(OR(B578="",B578=0),"","            "&amp;A578&amp;": "&amp;B578-1&amp;",")</f>
        <v/>
      </c>
    </row>
    <row r="579" spans="1:6" hidden="1">
      <c r="A579" s="150" t="str" cm="1">
        <f t="array" aca="1" ref="A579" ca="1">INDIRECT($B$2&amp;"!"&amp;C579&amp;"15")</f>
        <v>dataType</v>
      </c>
      <c r="B579" s="130" cm="1">
        <f t="array" aca="1" ref="B579" ca="1">IFERROR(INDIRECT($B$2&amp;"!"&amp;C579&amp;D579),"")</f>
        <v>0</v>
      </c>
      <c r="C579" s="355" t="s">
        <v>114</v>
      </c>
      <c r="D579" s="351">
        <f t="shared" ca="1" si="52"/>
        <v>21</v>
      </c>
      <c r="F579" s="169" t="str">
        <f ca="1">IF(OR(B579="",B579=0),"","   "&amp;A579&amp;":"&amp;CHAR(34)&amp;B579&amp;CHAR(34)&amp;",")</f>
        <v/>
      </c>
    </row>
    <row r="580" spans="1:6" hidden="1">
      <c r="A580" s="150" t="str" cm="1">
        <f t="array" aca="1" ref="A580" ca="1">INDIRECT($B$2&amp;"!"&amp;C580&amp;"15")</f>
        <v>format</v>
      </c>
      <c r="B580" s="130" cm="1">
        <f t="array" aca="1" ref="B580" ca="1">IFERROR(INDIRECT($B$2&amp;"!"&amp;C580&amp;D580),"")</f>
        <v>0</v>
      </c>
      <c r="C580" s="355" t="s">
        <v>115</v>
      </c>
      <c r="D580" s="351">
        <f t="shared" ca="1" si="52"/>
        <v>21</v>
      </c>
      <c r="F580" s="169" t="str">
        <f ca="1">IF(OR(B580="",B580=0),"","   "&amp;A580&amp;":"&amp;IF(B580="fixedPoint",D579,CHAR(34)&amp;B580&amp;CHAR(34)&amp;","))</f>
        <v/>
      </c>
    </row>
    <row r="581" spans="1:6" hidden="1">
      <c r="A581" s="150" t="str" cm="1">
        <f t="array" aca="1" ref="A581" ca="1">INDIRECT($B$2&amp;"!"&amp;C581&amp;"15")</f>
        <v>validationRules</v>
      </c>
      <c r="B581" s="130" cm="1">
        <f t="array" aca="1" ref="B581" ca="1">IFERROR(INDIRECT($B$2&amp;"!"&amp;C581&amp;D581),"")</f>
        <v>0</v>
      </c>
      <c r="C581" s="350" t="s">
        <v>116</v>
      </c>
      <c r="D581" s="351">
        <f t="shared" ca="1" si="52"/>
        <v>21</v>
      </c>
      <c r="F581" s="169" t="str">
        <f ca="1">IF(B581,"   "&amp;A581&amp;": [{type: 'required',message: '"&amp;B576&amp;" is required' }],","")</f>
        <v/>
      </c>
    </row>
    <row r="582" spans="1:6" hidden="1">
      <c r="A582" s="150" t="str" cm="1">
        <f t="array" aca="1" ref="A582" ca="1">INDIRECT($B$2&amp;"!"&amp;C582&amp;"15")</f>
        <v>allowHiding</v>
      </c>
      <c r="B582" s="130" cm="1">
        <f t="array" aca="1" ref="B582" ca="1">IFERROR(INDIRECT($B$2&amp;"!"&amp;C582&amp;D582),"")</f>
        <v>0</v>
      </c>
      <c r="C582" s="360" t="s">
        <v>117</v>
      </c>
      <c r="D582" s="351">
        <f t="shared" ca="1" si="52"/>
        <v>21</v>
      </c>
      <c r="F582" s="169" t="str">
        <f ca="1">IF(OR(B582="",B582=0),"","   "&amp;A582&amp;": "&amp;B582&amp;",")</f>
        <v/>
      </c>
    </row>
    <row r="583" spans="1:6" hidden="1">
      <c r="A583" s="150" t="str" cm="1">
        <f t="array" aca="1" ref="A583" ca="1">INDIRECT($B$2&amp;"!"&amp;C583&amp;"15")</f>
        <v>width</v>
      </c>
      <c r="B583" s="130" cm="1">
        <f t="array" aca="1" ref="B583" ca="1">IFERROR(INDIRECT($B$2&amp;"!"&amp;C583&amp;D583),"")</f>
        <v>0</v>
      </c>
      <c r="C583" s="360" t="s">
        <v>61</v>
      </c>
      <c r="D583" s="351">
        <f t="shared" ca="1" si="52"/>
        <v>21</v>
      </c>
      <c r="F583" s="169" t="str">
        <f ca="1">IF(OR(B583="",B583=0),"","   "&amp;A583&amp;": "&amp;B583&amp;",")</f>
        <v/>
      </c>
    </row>
    <row r="584" spans="1:6" hidden="1">
      <c r="A584" s="150" t="str" cm="1">
        <f t="array" aca="1" ref="A584" ca="1">INDIRECT($B$2&amp;"!"&amp;C584&amp;"15")</f>
        <v>visible</v>
      </c>
      <c r="B584" s="323" t="str" cm="1">
        <f t="array" aca="1" ref="B584" ca="1">IFERROR(INDIRECT($B$2&amp;"!"&amp;C584&amp;D584),"")</f>
        <v/>
      </c>
      <c r="C584" s="360" t="s">
        <v>118</v>
      </c>
      <c r="D584" s="351">
        <f t="shared" ca="1" si="52"/>
        <v>21</v>
      </c>
      <c r="F584" s="126" t="str">
        <f ca="1">IF(OR(B584="",B584,B584=0),"","          "&amp;A584&amp;": "&amp;B584&amp;",")</f>
        <v/>
      </c>
    </row>
    <row r="585" spans="1:6" hidden="1">
      <c r="A585" s="156" t="s">
        <v>1399</v>
      </c>
      <c r="B585" s="156"/>
      <c r="D585" s="351">
        <f t="shared" ca="1" si="52"/>
        <v>21</v>
      </c>
      <c r="F585" s="169" t="str">
        <f ca="1">IF(D584&gt;$O$2,"","},")</f>
        <v/>
      </c>
    </row>
    <row r="586" spans="1:6" hidden="1">
      <c r="A586" s="475" t="s">
        <v>1400</v>
      </c>
      <c r="B586" s="130" cm="1">
        <f t="array" aca="1" ref="B586" ca="1">IFERROR(INDIRECT($B$2&amp;"!"&amp;C586&amp;D586),"")</f>
        <v>0</v>
      </c>
      <c r="C586" s="350" t="s">
        <v>97</v>
      </c>
      <c r="D586" s="351">
        <f ca="1">IF(D585&gt;$O$2,0,IF(A586="eNd",1,0))+D585</f>
        <v>21</v>
      </c>
      <c r="F586" s="169" t="str">
        <f ca="1">IF(OR(B586="",B586=0),"","{  "&amp;A586&amp;": "&amp;CHAR(34)&amp;$B586&amp;CHAR(34)&amp;",")</f>
        <v/>
      </c>
    </row>
    <row r="587" spans="1:6" hidden="1">
      <c r="A587" s="150" t="str" cm="1">
        <f t="array" aca="1" ref="A587" ca="1">INDIRECT($B$2&amp;"!"&amp;C587&amp;"15")</f>
        <v>caption</v>
      </c>
      <c r="B587" s="130" t="str" cm="1">
        <f t="array" aca="1" ref="B587" ca="1">IFERROR(INDIRECT($B$2&amp;"!"&amp;C587&amp;D587),"")</f>
        <v/>
      </c>
      <c r="C587" s="350" t="s">
        <v>112</v>
      </c>
      <c r="D587" s="351">
        <f t="shared" ref="D587:D596" ca="1" si="53">IF(D586&gt;$O$2,0,IF(A587="eNd",1,0))+D586</f>
        <v>21</v>
      </c>
      <c r="F587" s="169" t="str">
        <f ca="1">IF(OR(B587="",B587=0),"","   "&amp;A587&amp;":"&amp;CHAR(34)&amp;B587&amp;CHAR(34)&amp;",")</f>
        <v/>
      </c>
    </row>
    <row r="588" spans="1:6" hidden="1">
      <c r="A588" s="150" t="str" cm="1">
        <f t="array" aca="1" ref="A588" ca="1">INDIRECT($B$2&amp;"!"&amp;C588&amp;"15")</f>
        <v>sortOrder</v>
      </c>
      <c r="B588" s="130" t="str" cm="1">
        <f t="array" aca="1" ref="B588" ca="1">IFERROR(INDIRECT($B$2&amp;"!"&amp;C588&amp;D588),"")</f>
        <v/>
      </c>
      <c r="C588" s="350" t="s">
        <v>119</v>
      </c>
      <c r="D588" s="351">
        <f t="shared" ca="1" si="53"/>
        <v>21</v>
      </c>
      <c r="F588" s="169" t="str">
        <f ca="1">IF(OR(B588="",B588=0),"","   "&amp;A588&amp;":"&amp;CHAR(34)&amp;B588&amp;CHAR(34)&amp;",")</f>
        <v/>
      </c>
    </row>
    <row r="589" spans="1:6" hidden="1">
      <c r="A589" s="150" t="str" cm="1">
        <f t="array" aca="1" ref="A589" ca="1">INDIRECT($B$2&amp;"!"&amp;C589&amp;"15")</f>
        <v>groupIndex</v>
      </c>
      <c r="B589" s="130" cm="1">
        <f t="array" aca="1" ref="B589" ca="1">IFERROR(INDIRECT($B$2&amp;"!"&amp;C589&amp;D589),"")</f>
        <v>0</v>
      </c>
      <c r="C589" s="355" t="s">
        <v>113</v>
      </c>
      <c r="D589" s="351">
        <f t="shared" ca="1" si="53"/>
        <v>21</v>
      </c>
      <c r="F589" s="126" t="str">
        <f ca="1">IF(OR(B589="",B589=0),"","            "&amp;A589&amp;": "&amp;B589-1&amp;",")</f>
        <v/>
      </c>
    </row>
    <row r="590" spans="1:6" hidden="1">
      <c r="A590" s="150" t="str" cm="1">
        <f t="array" aca="1" ref="A590" ca="1">INDIRECT($B$2&amp;"!"&amp;C590&amp;"15")</f>
        <v>dataType</v>
      </c>
      <c r="B590" s="130" cm="1">
        <f t="array" aca="1" ref="B590" ca="1">IFERROR(INDIRECT($B$2&amp;"!"&amp;C590&amp;D590),"")</f>
        <v>0</v>
      </c>
      <c r="C590" s="355" t="s">
        <v>114</v>
      </c>
      <c r="D590" s="351">
        <f t="shared" ca="1" si="53"/>
        <v>21</v>
      </c>
      <c r="F590" s="169" t="str">
        <f ca="1">IF(OR(B590="",B590=0),"","   "&amp;A590&amp;":"&amp;CHAR(34)&amp;B590&amp;CHAR(34)&amp;",")</f>
        <v/>
      </c>
    </row>
    <row r="591" spans="1:6" hidden="1">
      <c r="A591" s="150" t="str" cm="1">
        <f t="array" aca="1" ref="A591" ca="1">INDIRECT($B$2&amp;"!"&amp;C591&amp;"15")</f>
        <v>format</v>
      </c>
      <c r="B591" s="130" cm="1">
        <f t="array" aca="1" ref="B591" ca="1">IFERROR(INDIRECT($B$2&amp;"!"&amp;C591&amp;D591),"")</f>
        <v>0</v>
      </c>
      <c r="C591" s="355" t="s">
        <v>115</v>
      </c>
      <c r="D591" s="351">
        <f t="shared" ca="1" si="53"/>
        <v>21</v>
      </c>
      <c r="F591" s="169" t="str">
        <f ca="1">IF(OR(B591="",B591=0),"","   "&amp;A591&amp;":"&amp;IF(B591="fixedPoint",D590,CHAR(34)&amp;B591&amp;CHAR(34)&amp;","))</f>
        <v/>
      </c>
    </row>
    <row r="592" spans="1:6" hidden="1">
      <c r="A592" s="150" t="str" cm="1">
        <f t="array" aca="1" ref="A592" ca="1">INDIRECT($B$2&amp;"!"&amp;C592&amp;"15")</f>
        <v>validationRules</v>
      </c>
      <c r="B592" s="130" cm="1">
        <f t="array" aca="1" ref="B592" ca="1">IFERROR(INDIRECT($B$2&amp;"!"&amp;C592&amp;D592),"")</f>
        <v>0</v>
      </c>
      <c r="C592" s="350" t="s">
        <v>116</v>
      </c>
      <c r="D592" s="351">
        <f t="shared" ca="1" si="53"/>
        <v>21</v>
      </c>
      <c r="F592" s="169" t="str">
        <f ca="1">IF(B592,"   "&amp;A592&amp;": [{type: 'required',message: '"&amp;B587&amp;" is required' }],","")</f>
        <v/>
      </c>
    </row>
    <row r="593" spans="1:6" hidden="1">
      <c r="A593" s="150" t="str" cm="1">
        <f t="array" aca="1" ref="A593" ca="1">INDIRECT($B$2&amp;"!"&amp;C593&amp;"15")</f>
        <v>allowHiding</v>
      </c>
      <c r="B593" s="130" cm="1">
        <f t="array" aca="1" ref="B593" ca="1">IFERROR(INDIRECT($B$2&amp;"!"&amp;C593&amp;D593),"")</f>
        <v>0</v>
      </c>
      <c r="C593" s="360" t="s">
        <v>117</v>
      </c>
      <c r="D593" s="351">
        <f t="shared" ca="1" si="53"/>
        <v>21</v>
      </c>
      <c r="F593" s="169" t="str">
        <f ca="1">IF(OR(B593="",B593=0),"","   "&amp;A593&amp;": "&amp;B593&amp;",")</f>
        <v/>
      </c>
    </row>
    <row r="594" spans="1:6" hidden="1">
      <c r="A594" s="150" t="str" cm="1">
        <f t="array" aca="1" ref="A594" ca="1">INDIRECT($B$2&amp;"!"&amp;C594&amp;"15")</f>
        <v>width</v>
      </c>
      <c r="B594" s="130" cm="1">
        <f t="array" aca="1" ref="B594" ca="1">IFERROR(INDIRECT($B$2&amp;"!"&amp;C594&amp;D594),"")</f>
        <v>0</v>
      </c>
      <c r="C594" s="360" t="s">
        <v>61</v>
      </c>
      <c r="D594" s="351">
        <f t="shared" ca="1" si="53"/>
        <v>21</v>
      </c>
      <c r="F594" s="169" t="str">
        <f ca="1">IF(OR(B594="",B594=0),"","   "&amp;A594&amp;": "&amp;B594&amp;",")</f>
        <v/>
      </c>
    </row>
    <row r="595" spans="1:6" hidden="1">
      <c r="A595" s="150" t="str" cm="1">
        <f t="array" aca="1" ref="A595" ca="1">INDIRECT($B$2&amp;"!"&amp;C595&amp;"15")</f>
        <v>visible</v>
      </c>
      <c r="B595" s="323" t="str" cm="1">
        <f t="array" aca="1" ref="B595" ca="1">IFERROR(INDIRECT($B$2&amp;"!"&amp;C595&amp;D595),"")</f>
        <v/>
      </c>
      <c r="C595" s="360" t="s">
        <v>118</v>
      </c>
      <c r="D595" s="351">
        <f t="shared" ca="1" si="53"/>
        <v>21</v>
      </c>
      <c r="F595" s="126" t="str">
        <f ca="1">IF(OR(B595="",B595,B595=0),"","          "&amp;A595&amp;": "&amp;B595&amp;",")</f>
        <v/>
      </c>
    </row>
    <row r="596" spans="1:6" hidden="1">
      <c r="A596" s="156" t="s">
        <v>1399</v>
      </c>
      <c r="B596" s="156"/>
      <c r="D596" s="351">
        <f t="shared" ca="1" si="53"/>
        <v>21</v>
      </c>
      <c r="F596" s="169" t="str">
        <f ca="1">IF(D595&gt;$O$2,"","},")</f>
        <v/>
      </c>
    </row>
    <row r="597" spans="1:6" hidden="1">
      <c r="A597" s="475" t="s">
        <v>1400</v>
      </c>
      <c r="B597" s="130" cm="1">
        <f t="array" aca="1" ref="B597" ca="1">IFERROR(INDIRECT($B$2&amp;"!"&amp;C597&amp;D597),"")</f>
        <v>0</v>
      </c>
      <c r="C597" s="350" t="s">
        <v>97</v>
      </c>
      <c r="D597" s="351">
        <f ca="1">IF(D596&gt;$O$2,0,IF(A597="eNd",1,0))+D596</f>
        <v>21</v>
      </c>
      <c r="F597" s="169" t="str">
        <f ca="1">IF(OR(B597="",B597=0),"","{  "&amp;A597&amp;": "&amp;CHAR(34)&amp;$B597&amp;CHAR(34)&amp;",")</f>
        <v/>
      </c>
    </row>
    <row r="598" spans="1:6" hidden="1">
      <c r="A598" s="150" t="str" cm="1">
        <f t="array" aca="1" ref="A598" ca="1">INDIRECT($B$2&amp;"!"&amp;C598&amp;"15")</f>
        <v>caption</v>
      </c>
      <c r="B598" s="130" t="str" cm="1">
        <f t="array" aca="1" ref="B598" ca="1">IFERROR(INDIRECT($B$2&amp;"!"&amp;C598&amp;D598),"")</f>
        <v/>
      </c>
      <c r="C598" s="350" t="s">
        <v>112</v>
      </c>
      <c r="D598" s="351">
        <f t="shared" ref="D598:D607" ca="1" si="54">IF(D597&gt;$O$2,0,IF(A598="eNd",1,0))+D597</f>
        <v>21</v>
      </c>
      <c r="F598" s="169" t="str">
        <f ca="1">IF(OR(B598="",B598=0),"","   "&amp;A598&amp;":"&amp;CHAR(34)&amp;B598&amp;CHAR(34)&amp;",")</f>
        <v/>
      </c>
    </row>
    <row r="599" spans="1:6" hidden="1">
      <c r="A599" s="150" t="str" cm="1">
        <f t="array" aca="1" ref="A599" ca="1">INDIRECT($B$2&amp;"!"&amp;C599&amp;"15")</f>
        <v>sortOrder</v>
      </c>
      <c r="B599" s="130" t="str" cm="1">
        <f t="array" aca="1" ref="B599" ca="1">IFERROR(INDIRECT($B$2&amp;"!"&amp;C599&amp;D599),"")</f>
        <v/>
      </c>
      <c r="C599" s="350" t="s">
        <v>119</v>
      </c>
      <c r="D599" s="351">
        <f t="shared" ca="1" si="54"/>
        <v>21</v>
      </c>
      <c r="F599" s="169" t="str">
        <f ca="1">IF(OR(B599="",B599=0),"","   "&amp;A599&amp;":"&amp;CHAR(34)&amp;B599&amp;CHAR(34)&amp;",")</f>
        <v/>
      </c>
    </row>
    <row r="600" spans="1:6" hidden="1">
      <c r="A600" s="150" t="str" cm="1">
        <f t="array" aca="1" ref="A600" ca="1">INDIRECT($B$2&amp;"!"&amp;C600&amp;"15")</f>
        <v>groupIndex</v>
      </c>
      <c r="B600" s="130" cm="1">
        <f t="array" aca="1" ref="B600" ca="1">IFERROR(INDIRECT($B$2&amp;"!"&amp;C600&amp;D600),"")</f>
        <v>0</v>
      </c>
      <c r="C600" s="355" t="s">
        <v>113</v>
      </c>
      <c r="D600" s="351">
        <f t="shared" ca="1" si="54"/>
        <v>21</v>
      </c>
      <c r="F600" s="126" t="str">
        <f ca="1">IF(OR(B600="",B600=0),"","            "&amp;A600&amp;": "&amp;B600-1&amp;",")</f>
        <v/>
      </c>
    </row>
    <row r="601" spans="1:6" hidden="1">
      <c r="A601" s="150" t="str" cm="1">
        <f t="array" aca="1" ref="A601" ca="1">INDIRECT($B$2&amp;"!"&amp;C601&amp;"15")</f>
        <v>dataType</v>
      </c>
      <c r="B601" s="130" cm="1">
        <f t="array" aca="1" ref="B601" ca="1">IFERROR(INDIRECT($B$2&amp;"!"&amp;C601&amp;D601),"")</f>
        <v>0</v>
      </c>
      <c r="C601" s="355" t="s">
        <v>114</v>
      </c>
      <c r="D601" s="351">
        <f t="shared" ca="1" si="54"/>
        <v>21</v>
      </c>
      <c r="F601" s="169" t="str">
        <f ca="1">IF(OR(B601="",B601=0),"","   "&amp;A601&amp;":"&amp;CHAR(34)&amp;B601&amp;CHAR(34)&amp;",")</f>
        <v/>
      </c>
    </row>
    <row r="602" spans="1:6" hidden="1">
      <c r="A602" s="150" t="str" cm="1">
        <f t="array" aca="1" ref="A602" ca="1">INDIRECT($B$2&amp;"!"&amp;C602&amp;"15")</f>
        <v>format</v>
      </c>
      <c r="B602" s="130" cm="1">
        <f t="array" aca="1" ref="B602" ca="1">IFERROR(INDIRECT($B$2&amp;"!"&amp;C602&amp;D602),"")</f>
        <v>0</v>
      </c>
      <c r="C602" s="355" t="s">
        <v>115</v>
      </c>
      <c r="D602" s="351">
        <f t="shared" ca="1" si="54"/>
        <v>21</v>
      </c>
      <c r="F602" s="169" t="str">
        <f ca="1">IF(OR(B602="",B602=0),"","   "&amp;A602&amp;":"&amp;IF(B602="fixedPoint",D601,CHAR(34)&amp;B602&amp;CHAR(34)&amp;","))</f>
        <v/>
      </c>
    </row>
    <row r="603" spans="1:6" hidden="1">
      <c r="A603" s="150" t="str" cm="1">
        <f t="array" aca="1" ref="A603" ca="1">INDIRECT($B$2&amp;"!"&amp;C603&amp;"15")</f>
        <v>validationRules</v>
      </c>
      <c r="B603" s="130" cm="1">
        <f t="array" aca="1" ref="B603" ca="1">IFERROR(INDIRECT($B$2&amp;"!"&amp;C603&amp;D603),"")</f>
        <v>0</v>
      </c>
      <c r="C603" s="350" t="s">
        <v>116</v>
      </c>
      <c r="D603" s="351">
        <f t="shared" ca="1" si="54"/>
        <v>21</v>
      </c>
      <c r="F603" s="169" t="str">
        <f ca="1">IF(B603,"   "&amp;A603&amp;": [{type: 'required',message: '"&amp;B598&amp;" is required' }],","")</f>
        <v/>
      </c>
    </row>
    <row r="604" spans="1:6" hidden="1">
      <c r="A604" s="150" t="str" cm="1">
        <f t="array" aca="1" ref="A604" ca="1">INDIRECT($B$2&amp;"!"&amp;C604&amp;"15")</f>
        <v>allowHiding</v>
      </c>
      <c r="B604" s="130" cm="1">
        <f t="array" aca="1" ref="B604" ca="1">IFERROR(INDIRECT($B$2&amp;"!"&amp;C604&amp;D604),"")</f>
        <v>0</v>
      </c>
      <c r="C604" s="360" t="s">
        <v>117</v>
      </c>
      <c r="D604" s="351">
        <f t="shared" ca="1" si="54"/>
        <v>21</v>
      </c>
      <c r="F604" s="169" t="str">
        <f ca="1">IF(OR(B604="",B604=0),"","   "&amp;A604&amp;": "&amp;B604&amp;",")</f>
        <v/>
      </c>
    </row>
    <row r="605" spans="1:6" hidden="1">
      <c r="A605" s="150" t="str" cm="1">
        <f t="array" aca="1" ref="A605" ca="1">INDIRECT($B$2&amp;"!"&amp;C605&amp;"15")</f>
        <v>width</v>
      </c>
      <c r="B605" s="130" cm="1">
        <f t="array" aca="1" ref="B605" ca="1">IFERROR(INDIRECT($B$2&amp;"!"&amp;C605&amp;D605),"")</f>
        <v>0</v>
      </c>
      <c r="C605" s="360" t="s">
        <v>61</v>
      </c>
      <c r="D605" s="351">
        <f t="shared" ca="1" si="54"/>
        <v>21</v>
      </c>
      <c r="F605" s="169" t="str">
        <f ca="1">IF(OR(B605="",B605=0),"","   "&amp;A605&amp;": "&amp;B605&amp;",")</f>
        <v/>
      </c>
    </row>
    <row r="606" spans="1:6" hidden="1">
      <c r="A606" s="150" t="str" cm="1">
        <f t="array" aca="1" ref="A606" ca="1">INDIRECT($B$2&amp;"!"&amp;C606&amp;"15")</f>
        <v>visible</v>
      </c>
      <c r="B606" s="323" t="str" cm="1">
        <f t="array" aca="1" ref="B606" ca="1">IFERROR(INDIRECT($B$2&amp;"!"&amp;C606&amp;D606),"")</f>
        <v/>
      </c>
      <c r="C606" s="360" t="s">
        <v>118</v>
      </c>
      <c r="D606" s="351">
        <f t="shared" ca="1" si="54"/>
        <v>21</v>
      </c>
      <c r="F606" s="126" t="str">
        <f ca="1">IF(OR(B606="",B606,B606=0),"","          "&amp;A606&amp;": "&amp;B606&amp;",")</f>
        <v/>
      </c>
    </row>
    <row r="607" spans="1:6" hidden="1">
      <c r="A607" s="156" t="s">
        <v>1399</v>
      </c>
      <c r="B607" s="156"/>
      <c r="D607" s="351">
        <f t="shared" ca="1" si="54"/>
        <v>21</v>
      </c>
      <c r="F607" s="169" t="str">
        <f ca="1">IF(D606&gt;$O$2,"","},")</f>
        <v/>
      </c>
    </row>
    <row r="608" spans="1:6" hidden="1">
      <c r="A608" s="475" t="s">
        <v>1400</v>
      </c>
      <c r="B608" s="130" cm="1">
        <f t="array" aca="1" ref="B608" ca="1">IFERROR(INDIRECT($B$2&amp;"!"&amp;C608&amp;D608),"")</f>
        <v>0</v>
      </c>
      <c r="C608" s="350" t="s">
        <v>97</v>
      </c>
      <c r="D608" s="351">
        <f ca="1">IF(D607&gt;$O$2,0,IF(A608="eNd",1,0))+D607</f>
        <v>21</v>
      </c>
      <c r="F608" s="169" t="str">
        <f ca="1">IF(OR(B608="",B608=0),"","{  "&amp;A608&amp;": "&amp;CHAR(34)&amp;$B608&amp;CHAR(34)&amp;",")</f>
        <v/>
      </c>
    </row>
    <row r="609" spans="1:6" hidden="1">
      <c r="A609" s="150" t="str" cm="1">
        <f t="array" aca="1" ref="A609" ca="1">INDIRECT($B$2&amp;"!"&amp;C609&amp;"15")</f>
        <v>caption</v>
      </c>
      <c r="B609" s="130" t="str" cm="1">
        <f t="array" aca="1" ref="B609" ca="1">IFERROR(INDIRECT($B$2&amp;"!"&amp;C609&amp;D609),"")</f>
        <v/>
      </c>
      <c r="C609" s="350" t="s">
        <v>112</v>
      </c>
      <c r="D609" s="351">
        <f t="shared" ref="D609:D618" ca="1" si="55">IF(D608&gt;$O$2,0,IF(A609="eNd",1,0))+D608</f>
        <v>21</v>
      </c>
      <c r="F609" s="169" t="str">
        <f ca="1">IF(OR(B609="",B609=0),"","   "&amp;A609&amp;":"&amp;CHAR(34)&amp;B609&amp;CHAR(34)&amp;",")</f>
        <v/>
      </c>
    </row>
    <row r="610" spans="1:6" hidden="1">
      <c r="A610" s="150" t="str" cm="1">
        <f t="array" aca="1" ref="A610" ca="1">INDIRECT($B$2&amp;"!"&amp;C610&amp;"15")</f>
        <v>sortOrder</v>
      </c>
      <c r="B610" s="130" t="str" cm="1">
        <f t="array" aca="1" ref="B610" ca="1">IFERROR(INDIRECT($B$2&amp;"!"&amp;C610&amp;D610),"")</f>
        <v/>
      </c>
      <c r="C610" s="350" t="s">
        <v>119</v>
      </c>
      <c r="D610" s="351">
        <f t="shared" ca="1" si="55"/>
        <v>21</v>
      </c>
      <c r="F610" s="169" t="str">
        <f ca="1">IF(OR(B610="",B610=0),"","   "&amp;A610&amp;":"&amp;CHAR(34)&amp;B610&amp;CHAR(34)&amp;",")</f>
        <v/>
      </c>
    </row>
    <row r="611" spans="1:6" hidden="1">
      <c r="A611" s="150" t="str" cm="1">
        <f t="array" aca="1" ref="A611" ca="1">INDIRECT($B$2&amp;"!"&amp;C611&amp;"15")</f>
        <v>groupIndex</v>
      </c>
      <c r="B611" s="130" cm="1">
        <f t="array" aca="1" ref="B611" ca="1">IFERROR(INDIRECT($B$2&amp;"!"&amp;C611&amp;D611),"")</f>
        <v>0</v>
      </c>
      <c r="C611" s="355" t="s">
        <v>113</v>
      </c>
      <c r="D611" s="351">
        <f t="shared" ca="1" si="55"/>
        <v>21</v>
      </c>
      <c r="F611" s="126" t="str">
        <f ca="1">IF(OR(B611="",B611=0),"","            "&amp;A611&amp;": "&amp;B611-1&amp;",")</f>
        <v/>
      </c>
    </row>
    <row r="612" spans="1:6" hidden="1">
      <c r="A612" s="150" t="str" cm="1">
        <f t="array" aca="1" ref="A612" ca="1">INDIRECT($B$2&amp;"!"&amp;C612&amp;"15")</f>
        <v>dataType</v>
      </c>
      <c r="B612" s="130" cm="1">
        <f t="array" aca="1" ref="B612" ca="1">IFERROR(INDIRECT($B$2&amp;"!"&amp;C612&amp;D612),"")</f>
        <v>0</v>
      </c>
      <c r="C612" s="355" t="s">
        <v>114</v>
      </c>
      <c r="D612" s="351">
        <f t="shared" ca="1" si="55"/>
        <v>21</v>
      </c>
      <c r="F612" s="169" t="str">
        <f ca="1">IF(OR(B612="",B612=0),"","   "&amp;A612&amp;":"&amp;CHAR(34)&amp;B612&amp;CHAR(34)&amp;",")</f>
        <v/>
      </c>
    </row>
    <row r="613" spans="1:6" hidden="1">
      <c r="A613" s="150" t="str" cm="1">
        <f t="array" aca="1" ref="A613" ca="1">INDIRECT($B$2&amp;"!"&amp;C613&amp;"15")</f>
        <v>format</v>
      </c>
      <c r="B613" s="130" cm="1">
        <f t="array" aca="1" ref="B613" ca="1">IFERROR(INDIRECT($B$2&amp;"!"&amp;C613&amp;D613),"")</f>
        <v>0</v>
      </c>
      <c r="C613" s="355" t="s">
        <v>115</v>
      </c>
      <c r="D613" s="351">
        <f t="shared" ca="1" si="55"/>
        <v>21</v>
      </c>
      <c r="F613" s="169" t="str">
        <f ca="1">IF(OR(B613="",B613=0),"","   "&amp;A613&amp;":"&amp;IF(B613="fixedPoint",D612,CHAR(34)&amp;B613&amp;CHAR(34)&amp;","))</f>
        <v/>
      </c>
    </row>
    <row r="614" spans="1:6" hidden="1">
      <c r="A614" s="150" t="str" cm="1">
        <f t="array" aca="1" ref="A614" ca="1">INDIRECT($B$2&amp;"!"&amp;C614&amp;"15")</f>
        <v>validationRules</v>
      </c>
      <c r="B614" s="130" cm="1">
        <f t="array" aca="1" ref="B614" ca="1">IFERROR(INDIRECT($B$2&amp;"!"&amp;C614&amp;D614),"")</f>
        <v>0</v>
      </c>
      <c r="C614" s="350" t="s">
        <v>116</v>
      </c>
      <c r="D614" s="351">
        <f t="shared" ca="1" si="55"/>
        <v>21</v>
      </c>
      <c r="F614" s="169" t="str">
        <f ca="1">IF(B614,"   "&amp;A614&amp;": [{type: 'required',message: '"&amp;B609&amp;" is required' }],","")</f>
        <v/>
      </c>
    </row>
    <row r="615" spans="1:6" hidden="1">
      <c r="A615" s="150" t="str" cm="1">
        <f t="array" aca="1" ref="A615" ca="1">INDIRECT($B$2&amp;"!"&amp;C615&amp;"15")</f>
        <v>allowHiding</v>
      </c>
      <c r="B615" s="130" cm="1">
        <f t="array" aca="1" ref="B615" ca="1">IFERROR(INDIRECT($B$2&amp;"!"&amp;C615&amp;D615),"")</f>
        <v>0</v>
      </c>
      <c r="C615" s="360" t="s">
        <v>117</v>
      </c>
      <c r="D615" s="351">
        <f t="shared" ca="1" si="55"/>
        <v>21</v>
      </c>
      <c r="F615" s="169" t="str">
        <f ca="1">IF(OR(B615="",B615=0),"","   "&amp;A615&amp;": "&amp;B615&amp;",")</f>
        <v/>
      </c>
    </row>
    <row r="616" spans="1:6" hidden="1">
      <c r="A616" s="150" t="str" cm="1">
        <f t="array" aca="1" ref="A616" ca="1">INDIRECT($B$2&amp;"!"&amp;C616&amp;"15")</f>
        <v>width</v>
      </c>
      <c r="B616" s="130" cm="1">
        <f t="array" aca="1" ref="B616" ca="1">IFERROR(INDIRECT($B$2&amp;"!"&amp;C616&amp;D616),"")</f>
        <v>0</v>
      </c>
      <c r="C616" s="360" t="s">
        <v>61</v>
      </c>
      <c r="D616" s="351">
        <f t="shared" ca="1" si="55"/>
        <v>21</v>
      </c>
      <c r="F616" s="169" t="str">
        <f ca="1">IF(OR(B616="",B616=0),"","   "&amp;A616&amp;": "&amp;B616&amp;",")</f>
        <v/>
      </c>
    </row>
    <row r="617" spans="1:6" hidden="1">
      <c r="A617" s="150" t="str" cm="1">
        <f t="array" aca="1" ref="A617" ca="1">INDIRECT($B$2&amp;"!"&amp;C617&amp;"15")</f>
        <v>visible</v>
      </c>
      <c r="B617" s="323" t="str" cm="1">
        <f t="array" aca="1" ref="B617" ca="1">IFERROR(INDIRECT($B$2&amp;"!"&amp;C617&amp;D617),"")</f>
        <v/>
      </c>
      <c r="C617" s="360" t="s">
        <v>118</v>
      </c>
      <c r="D617" s="351">
        <f t="shared" ca="1" si="55"/>
        <v>21</v>
      </c>
      <c r="F617" s="126" t="str">
        <f ca="1">IF(OR(B617="",B617,B617=0),"","          "&amp;A617&amp;": "&amp;B617&amp;",")</f>
        <v/>
      </c>
    </row>
    <row r="618" spans="1:6" hidden="1">
      <c r="A618" s="156" t="s">
        <v>1399</v>
      </c>
      <c r="B618" s="156"/>
      <c r="D618" s="351">
        <f t="shared" ca="1" si="55"/>
        <v>21</v>
      </c>
      <c r="F618" s="169" t="str">
        <f ca="1">IF(D617&gt;$O$2,"","},")</f>
        <v/>
      </c>
    </row>
    <row r="619" spans="1:6" hidden="1">
      <c r="A619" s="475" t="s">
        <v>1400</v>
      </c>
      <c r="B619" s="130" cm="1">
        <f t="array" aca="1" ref="B619" ca="1">IFERROR(INDIRECT($B$2&amp;"!"&amp;C619&amp;D619),"")</f>
        <v>0</v>
      </c>
      <c r="C619" s="350" t="s">
        <v>97</v>
      </c>
      <c r="D619" s="351">
        <f ca="1">IF(D618&gt;$O$2,0,IF(A619="eNd",1,0))+D618</f>
        <v>21</v>
      </c>
      <c r="F619" s="169" t="str">
        <f ca="1">IF(OR(B619="",B619=0),"","{  "&amp;A619&amp;": "&amp;CHAR(34)&amp;$B619&amp;CHAR(34)&amp;",")</f>
        <v/>
      </c>
    </row>
    <row r="620" spans="1:6" hidden="1">
      <c r="A620" s="150" t="str" cm="1">
        <f t="array" aca="1" ref="A620" ca="1">INDIRECT($B$2&amp;"!"&amp;C620&amp;"15")</f>
        <v>caption</v>
      </c>
      <c r="B620" s="130" t="str" cm="1">
        <f t="array" aca="1" ref="B620" ca="1">IFERROR(INDIRECT($B$2&amp;"!"&amp;C620&amp;D620),"")</f>
        <v/>
      </c>
      <c r="C620" s="350" t="s">
        <v>112</v>
      </c>
      <c r="D620" s="351">
        <f t="shared" ref="D620:D629" ca="1" si="56">IF(D619&gt;$O$2,0,IF(A620="eNd",1,0))+D619</f>
        <v>21</v>
      </c>
      <c r="F620" s="169" t="str">
        <f ca="1">IF(OR(B620="",B620=0),"","   "&amp;A620&amp;":"&amp;CHAR(34)&amp;B620&amp;CHAR(34)&amp;",")</f>
        <v/>
      </c>
    </row>
    <row r="621" spans="1:6" hidden="1">
      <c r="A621" s="150" t="str" cm="1">
        <f t="array" aca="1" ref="A621" ca="1">INDIRECT($B$2&amp;"!"&amp;C621&amp;"15")</f>
        <v>sortOrder</v>
      </c>
      <c r="B621" s="130" t="str" cm="1">
        <f t="array" aca="1" ref="B621" ca="1">IFERROR(INDIRECT($B$2&amp;"!"&amp;C621&amp;D621),"")</f>
        <v/>
      </c>
      <c r="C621" s="350" t="s">
        <v>119</v>
      </c>
      <c r="D621" s="351">
        <f t="shared" ca="1" si="56"/>
        <v>21</v>
      </c>
      <c r="F621" s="169" t="str">
        <f ca="1">IF(OR(B621="",B621=0),"","   "&amp;A621&amp;":"&amp;CHAR(34)&amp;B621&amp;CHAR(34)&amp;",")</f>
        <v/>
      </c>
    </row>
    <row r="622" spans="1:6" hidden="1">
      <c r="A622" s="150" t="str" cm="1">
        <f t="array" aca="1" ref="A622" ca="1">INDIRECT($B$2&amp;"!"&amp;C622&amp;"15")</f>
        <v>groupIndex</v>
      </c>
      <c r="B622" s="130" cm="1">
        <f t="array" aca="1" ref="B622" ca="1">IFERROR(INDIRECT($B$2&amp;"!"&amp;C622&amp;D622),"")</f>
        <v>0</v>
      </c>
      <c r="C622" s="355" t="s">
        <v>113</v>
      </c>
      <c r="D622" s="351">
        <f t="shared" ca="1" si="56"/>
        <v>21</v>
      </c>
      <c r="F622" s="126" t="str">
        <f ca="1">IF(OR(B622="",B622=0),"","            "&amp;A622&amp;": "&amp;B622-1&amp;",")</f>
        <v/>
      </c>
    </row>
    <row r="623" spans="1:6" hidden="1">
      <c r="A623" s="150" t="str" cm="1">
        <f t="array" aca="1" ref="A623" ca="1">INDIRECT($B$2&amp;"!"&amp;C623&amp;"15")</f>
        <v>dataType</v>
      </c>
      <c r="B623" s="130" cm="1">
        <f t="array" aca="1" ref="B623" ca="1">IFERROR(INDIRECT($B$2&amp;"!"&amp;C623&amp;D623),"")</f>
        <v>0</v>
      </c>
      <c r="C623" s="355" t="s">
        <v>114</v>
      </c>
      <c r="D623" s="351">
        <f t="shared" ca="1" si="56"/>
        <v>21</v>
      </c>
      <c r="F623" s="169" t="str">
        <f ca="1">IF(OR(B623="",B623=0),"","   "&amp;A623&amp;":"&amp;CHAR(34)&amp;B623&amp;CHAR(34)&amp;",")</f>
        <v/>
      </c>
    </row>
    <row r="624" spans="1:6" hidden="1">
      <c r="A624" s="150" t="str" cm="1">
        <f t="array" aca="1" ref="A624" ca="1">INDIRECT($B$2&amp;"!"&amp;C624&amp;"15")</f>
        <v>format</v>
      </c>
      <c r="B624" s="130" cm="1">
        <f t="array" aca="1" ref="B624" ca="1">IFERROR(INDIRECT($B$2&amp;"!"&amp;C624&amp;D624),"")</f>
        <v>0</v>
      </c>
      <c r="C624" s="355" t="s">
        <v>115</v>
      </c>
      <c r="D624" s="351">
        <f t="shared" ca="1" si="56"/>
        <v>21</v>
      </c>
      <c r="F624" s="169" t="str">
        <f ca="1">IF(OR(B624="",B624=0),"","   "&amp;A624&amp;":"&amp;IF(B624="fixedPoint",D623,CHAR(34)&amp;B624&amp;CHAR(34)&amp;","))</f>
        <v/>
      </c>
    </row>
    <row r="625" spans="1:6" hidden="1">
      <c r="A625" s="150" t="str" cm="1">
        <f t="array" aca="1" ref="A625" ca="1">INDIRECT($B$2&amp;"!"&amp;C625&amp;"15")</f>
        <v>validationRules</v>
      </c>
      <c r="B625" s="130" cm="1">
        <f t="array" aca="1" ref="B625" ca="1">IFERROR(INDIRECT($B$2&amp;"!"&amp;C625&amp;D625),"")</f>
        <v>0</v>
      </c>
      <c r="C625" s="350" t="s">
        <v>116</v>
      </c>
      <c r="D625" s="351">
        <f t="shared" ca="1" si="56"/>
        <v>21</v>
      </c>
      <c r="F625" s="169" t="str">
        <f ca="1">IF(B625,"   "&amp;A625&amp;": [{type: 'required',message: '"&amp;B620&amp;" is required' }],","")</f>
        <v/>
      </c>
    </row>
    <row r="626" spans="1:6" hidden="1">
      <c r="A626" s="150" t="str" cm="1">
        <f t="array" aca="1" ref="A626" ca="1">INDIRECT($B$2&amp;"!"&amp;C626&amp;"15")</f>
        <v>allowHiding</v>
      </c>
      <c r="B626" s="130" cm="1">
        <f t="array" aca="1" ref="B626" ca="1">IFERROR(INDIRECT($B$2&amp;"!"&amp;C626&amp;D626),"")</f>
        <v>0</v>
      </c>
      <c r="C626" s="360" t="s">
        <v>117</v>
      </c>
      <c r="D626" s="351">
        <f t="shared" ca="1" si="56"/>
        <v>21</v>
      </c>
      <c r="F626" s="169" t="str">
        <f ca="1">IF(OR(B626="",B626=0),"","   "&amp;A626&amp;": "&amp;B626&amp;",")</f>
        <v/>
      </c>
    </row>
    <row r="627" spans="1:6" hidden="1">
      <c r="A627" s="150" t="str" cm="1">
        <f t="array" aca="1" ref="A627" ca="1">INDIRECT($B$2&amp;"!"&amp;C627&amp;"15")</f>
        <v>width</v>
      </c>
      <c r="B627" s="130" cm="1">
        <f t="array" aca="1" ref="B627" ca="1">IFERROR(INDIRECT($B$2&amp;"!"&amp;C627&amp;D627),"")</f>
        <v>0</v>
      </c>
      <c r="C627" s="360" t="s">
        <v>61</v>
      </c>
      <c r="D627" s="351">
        <f t="shared" ca="1" si="56"/>
        <v>21</v>
      </c>
      <c r="F627" s="169" t="str">
        <f ca="1">IF(OR(B627="",B627=0),"","   "&amp;A627&amp;": "&amp;B627&amp;",")</f>
        <v/>
      </c>
    </row>
    <row r="628" spans="1:6" hidden="1">
      <c r="A628" s="150" t="str" cm="1">
        <f t="array" aca="1" ref="A628" ca="1">INDIRECT($B$2&amp;"!"&amp;C628&amp;"15")</f>
        <v>visible</v>
      </c>
      <c r="B628" s="323" t="str" cm="1">
        <f t="array" aca="1" ref="B628" ca="1">IFERROR(INDIRECT($B$2&amp;"!"&amp;C628&amp;D628),"")</f>
        <v/>
      </c>
      <c r="C628" s="360" t="s">
        <v>118</v>
      </c>
      <c r="D628" s="351">
        <f t="shared" ca="1" si="56"/>
        <v>21</v>
      </c>
      <c r="F628" s="126" t="str">
        <f ca="1">IF(OR(B628="",B628,B628=0),"","          "&amp;A628&amp;": "&amp;B628&amp;",")</f>
        <v/>
      </c>
    </row>
    <row r="629" spans="1:6" hidden="1">
      <c r="A629" s="156" t="s">
        <v>1399</v>
      </c>
      <c r="B629" s="156"/>
      <c r="D629" s="351">
        <f t="shared" ca="1" si="56"/>
        <v>21</v>
      </c>
      <c r="F629" s="169" t="str">
        <f ca="1">IF(D628&gt;$O$2,"","},")</f>
        <v/>
      </c>
    </row>
    <row r="630" spans="1:6" hidden="1">
      <c r="A630" s="475" t="s">
        <v>1400</v>
      </c>
      <c r="B630" s="130" cm="1">
        <f t="array" aca="1" ref="B630" ca="1">IFERROR(INDIRECT($B$2&amp;"!"&amp;C630&amp;D630),"")</f>
        <v>0</v>
      </c>
      <c r="C630" s="350" t="s">
        <v>97</v>
      </c>
      <c r="D630" s="351">
        <f ca="1">IF(D629&gt;$O$2,0,IF(A630="eNd",1,0))+D629</f>
        <v>21</v>
      </c>
      <c r="F630" s="169" t="str">
        <f ca="1">IF(OR(B630="",B630=0),"","{  "&amp;A630&amp;": "&amp;CHAR(34)&amp;$B630&amp;CHAR(34)&amp;",")</f>
        <v/>
      </c>
    </row>
    <row r="631" spans="1:6" hidden="1">
      <c r="A631" s="150" t="str" cm="1">
        <f t="array" aca="1" ref="A631" ca="1">INDIRECT($B$2&amp;"!"&amp;C631&amp;"15")</f>
        <v>caption</v>
      </c>
      <c r="B631" s="130" t="str" cm="1">
        <f t="array" aca="1" ref="B631" ca="1">IFERROR(INDIRECT($B$2&amp;"!"&amp;C631&amp;D631),"")</f>
        <v/>
      </c>
      <c r="C631" s="350" t="s">
        <v>112</v>
      </c>
      <c r="D631" s="351">
        <f t="shared" ref="D631:D640" ca="1" si="57">IF(D630&gt;$O$2,0,IF(A631="eNd",1,0))+D630</f>
        <v>21</v>
      </c>
      <c r="F631" s="169" t="str">
        <f ca="1">IF(OR(B631="",B631=0),"","   "&amp;A631&amp;":"&amp;CHAR(34)&amp;B631&amp;CHAR(34)&amp;",")</f>
        <v/>
      </c>
    </row>
    <row r="632" spans="1:6" hidden="1">
      <c r="A632" s="150" t="str" cm="1">
        <f t="array" aca="1" ref="A632" ca="1">INDIRECT($B$2&amp;"!"&amp;C632&amp;"15")</f>
        <v>sortOrder</v>
      </c>
      <c r="B632" s="130" t="str" cm="1">
        <f t="array" aca="1" ref="B632" ca="1">IFERROR(INDIRECT($B$2&amp;"!"&amp;C632&amp;D632),"")</f>
        <v/>
      </c>
      <c r="C632" s="350" t="s">
        <v>119</v>
      </c>
      <c r="D632" s="351">
        <f t="shared" ca="1" si="57"/>
        <v>21</v>
      </c>
      <c r="F632" s="169" t="str">
        <f ca="1">IF(OR(B632="",B632=0),"","   "&amp;A632&amp;":"&amp;CHAR(34)&amp;B632&amp;CHAR(34)&amp;",")</f>
        <v/>
      </c>
    </row>
    <row r="633" spans="1:6" hidden="1">
      <c r="A633" s="150" t="str" cm="1">
        <f t="array" aca="1" ref="A633" ca="1">INDIRECT($B$2&amp;"!"&amp;C633&amp;"15")</f>
        <v>groupIndex</v>
      </c>
      <c r="B633" s="130" cm="1">
        <f t="array" aca="1" ref="B633" ca="1">IFERROR(INDIRECT($B$2&amp;"!"&amp;C633&amp;D633),"")</f>
        <v>0</v>
      </c>
      <c r="C633" s="355" t="s">
        <v>113</v>
      </c>
      <c r="D633" s="351">
        <f t="shared" ca="1" si="57"/>
        <v>21</v>
      </c>
      <c r="F633" s="126" t="str">
        <f ca="1">IF(OR(B633="",B633=0),"","            "&amp;A633&amp;": "&amp;B633-1&amp;",")</f>
        <v/>
      </c>
    </row>
    <row r="634" spans="1:6" hidden="1">
      <c r="A634" s="150" t="str" cm="1">
        <f t="array" aca="1" ref="A634" ca="1">INDIRECT($B$2&amp;"!"&amp;C634&amp;"15")</f>
        <v>dataType</v>
      </c>
      <c r="B634" s="130" cm="1">
        <f t="array" aca="1" ref="B634" ca="1">IFERROR(INDIRECT($B$2&amp;"!"&amp;C634&amp;D634),"")</f>
        <v>0</v>
      </c>
      <c r="C634" s="355" t="s">
        <v>114</v>
      </c>
      <c r="D634" s="351">
        <f t="shared" ca="1" si="57"/>
        <v>21</v>
      </c>
      <c r="F634" s="169" t="str">
        <f ca="1">IF(OR(B634="",B634=0),"","   "&amp;A634&amp;":"&amp;CHAR(34)&amp;B634&amp;CHAR(34)&amp;",")</f>
        <v/>
      </c>
    </row>
    <row r="635" spans="1:6" hidden="1">
      <c r="A635" s="150" t="str" cm="1">
        <f t="array" aca="1" ref="A635" ca="1">INDIRECT($B$2&amp;"!"&amp;C635&amp;"15")</f>
        <v>format</v>
      </c>
      <c r="B635" s="130" cm="1">
        <f t="array" aca="1" ref="B635" ca="1">IFERROR(INDIRECT($B$2&amp;"!"&amp;C635&amp;D635),"")</f>
        <v>0</v>
      </c>
      <c r="C635" s="355" t="s">
        <v>115</v>
      </c>
      <c r="D635" s="351">
        <f t="shared" ca="1" si="57"/>
        <v>21</v>
      </c>
      <c r="F635" s="169" t="str">
        <f ca="1">IF(OR(B635="",B635=0),"","   "&amp;A635&amp;":"&amp;IF(B635="fixedPoint",D634,CHAR(34)&amp;B635&amp;CHAR(34)&amp;","))</f>
        <v/>
      </c>
    </row>
    <row r="636" spans="1:6" hidden="1">
      <c r="A636" s="150" t="str" cm="1">
        <f t="array" aca="1" ref="A636" ca="1">INDIRECT($B$2&amp;"!"&amp;C636&amp;"15")</f>
        <v>validationRules</v>
      </c>
      <c r="B636" s="130" cm="1">
        <f t="array" aca="1" ref="B636" ca="1">IFERROR(INDIRECT($B$2&amp;"!"&amp;C636&amp;D636),"")</f>
        <v>0</v>
      </c>
      <c r="C636" s="350" t="s">
        <v>116</v>
      </c>
      <c r="D636" s="351">
        <f t="shared" ca="1" si="57"/>
        <v>21</v>
      </c>
      <c r="F636" s="169" t="str">
        <f ca="1">IF(B636,"   "&amp;A636&amp;": [{type: 'required',message: '"&amp;B631&amp;" is required' }],","")</f>
        <v/>
      </c>
    </row>
    <row r="637" spans="1:6" hidden="1">
      <c r="A637" s="150" t="str" cm="1">
        <f t="array" aca="1" ref="A637" ca="1">INDIRECT($B$2&amp;"!"&amp;C637&amp;"15")</f>
        <v>allowHiding</v>
      </c>
      <c r="B637" s="130" cm="1">
        <f t="array" aca="1" ref="B637" ca="1">IFERROR(INDIRECT($B$2&amp;"!"&amp;C637&amp;D637),"")</f>
        <v>0</v>
      </c>
      <c r="C637" s="360" t="s">
        <v>117</v>
      </c>
      <c r="D637" s="351">
        <f t="shared" ca="1" si="57"/>
        <v>21</v>
      </c>
      <c r="F637" s="169" t="str">
        <f ca="1">IF(OR(B637="",B637=0),"","   "&amp;A637&amp;": "&amp;B637&amp;",")</f>
        <v/>
      </c>
    </row>
    <row r="638" spans="1:6" hidden="1">
      <c r="A638" s="150" t="str" cm="1">
        <f t="array" aca="1" ref="A638" ca="1">INDIRECT($B$2&amp;"!"&amp;C638&amp;"15")</f>
        <v>width</v>
      </c>
      <c r="B638" s="130" cm="1">
        <f t="array" aca="1" ref="B638" ca="1">IFERROR(INDIRECT($B$2&amp;"!"&amp;C638&amp;D638),"")</f>
        <v>0</v>
      </c>
      <c r="C638" s="360" t="s">
        <v>61</v>
      </c>
      <c r="D638" s="351">
        <f t="shared" ca="1" si="57"/>
        <v>21</v>
      </c>
      <c r="F638" s="169" t="str">
        <f ca="1">IF(OR(B638="",B638=0),"","   "&amp;A638&amp;": "&amp;B638&amp;",")</f>
        <v/>
      </c>
    </row>
    <row r="639" spans="1:6" hidden="1">
      <c r="A639" s="150" t="str" cm="1">
        <f t="array" aca="1" ref="A639" ca="1">INDIRECT($B$2&amp;"!"&amp;C639&amp;"15")</f>
        <v>visible</v>
      </c>
      <c r="B639" s="323" t="str" cm="1">
        <f t="array" aca="1" ref="B639" ca="1">IFERROR(INDIRECT($B$2&amp;"!"&amp;C639&amp;D639),"")</f>
        <v/>
      </c>
      <c r="C639" s="360" t="s">
        <v>118</v>
      </c>
      <c r="D639" s="351">
        <f t="shared" ca="1" si="57"/>
        <v>21</v>
      </c>
      <c r="F639" s="126" t="str">
        <f ca="1">IF(OR(B639="",B639,B639=0),"","          "&amp;A639&amp;": "&amp;B639&amp;",")</f>
        <v/>
      </c>
    </row>
    <row r="640" spans="1:6" hidden="1">
      <c r="A640" s="156" t="s">
        <v>1399</v>
      </c>
      <c r="B640" s="156"/>
      <c r="D640" s="351">
        <f t="shared" ca="1" si="57"/>
        <v>21</v>
      </c>
      <c r="F640" s="169" t="str">
        <f ca="1">IF(D639&gt;$O$2,"","},")</f>
        <v/>
      </c>
    </row>
    <row r="641" spans="1:6" hidden="1">
      <c r="A641" s="475" t="s">
        <v>1400</v>
      </c>
      <c r="B641" s="130" cm="1">
        <f t="array" aca="1" ref="B641" ca="1">IFERROR(INDIRECT($B$2&amp;"!"&amp;C641&amp;D641),"")</f>
        <v>0</v>
      </c>
      <c r="C641" s="350" t="s">
        <v>97</v>
      </c>
      <c r="D641" s="351">
        <f ca="1">IF(D640&gt;$O$2,0,IF(A641="eNd",1,0))+D640</f>
        <v>21</v>
      </c>
      <c r="F641" s="169" t="str">
        <f ca="1">IF(OR(B641="",B641=0),"","{  "&amp;A641&amp;": "&amp;CHAR(34)&amp;$B641&amp;CHAR(34)&amp;",")</f>
        <v/>
      </c>
    </row>
    <row r="642" spans="1:6" hidden="1">
      <c r="A642" s="150" t="str" cm="1">
        <f t="array" aca="1" ref="A642" ca="1">INDIRECT($B$2&amp;"!"&amp;C642&amp;"15")</f>
        <v>caption</v>
      </c>
      <c r="B642" s="130" t="str" cm="1">
        <f t="array" aca="1" ref="B642" ca="1">IFERROR(INDIRECT($B$2&amp;"!"&amp;C642&amp;D642),"")</f>
        <v/>
      </c>
      <c r="C642" s="350" t="s">
        <v>112</v>
      </c>
      <c r="D642" s="351">
        <f t="shared" ref="D642:D651" ca="1" si="58">IF(D641&gt;$O$2,0,IF(A642="eNd",1,0))+D641</f>
        <v>21</v>
      </c>
      <c r="F642" s="169" t="str">
        <f ca="1">IF(OR(B642="",B642=0),"","   "&amp;A642&amp;":"&amp;CHAR(34)&amp;B642&amp;CHAR(34)&amp;",")</f>
        <v/>
      </c>
    </row>
    <row r="643" spans="1:6" hidden="1">
      <c r="A643" s="150" t="str" cm="1">
        <f t="array" aca="1" ref="A643" ca="1">INDIRECT($B$2&amp;"!"&amp;C643&amp;"15")</f>
        <v>sortOrder</v>
      </c>
      <c r="B643" s="130" t="str" cm="1">
        <f t="array" aca="1" ref="B643" ca="1">IFERROR(INDIRECT($B$2&amp;"!"&amp;C643&amp;D643),"")</f>
        <v/>
      </c>
      <c r="C643" s="350" t="s">
        <v>119</v>
      </c>
      <c r="D643" s="351">
        <f t="shared" ca="1" si="58"/>
        <v>21</v>
      </c>
      <c r="F643" s="169" t="str">
        <f ca="1">IF(OR(B643="",B643=0),"","   "&amp;A643&amp;":"&amp;CHAR(34)&amp;B643&amp;CHAR(34)&amp;",")</f>
        <v/>
      </c>
    </row>
    <row r="644" spans="1:6" hidden="1">
      <c r="A644" s="150" t="str" cm="1">
        <f t="array" aca="1" ref="A644" ca="1">INDIRECT($B$2&amp;"!"&amp;C644&amp;"15")</f>
        <v>groupIndex</v>
      </c>
      <c r="B644" s="130" cm="1">
        <f t="array" aca="1" ref="B644" ca="1">IFERROR(INDIRECT($B$2&amp;"!"&amp;C644&amp;D644),"")</f>
        <v>0</v>
      </c>
      <c r="C644" s="355" t="s">
        <v>113</v>
      </c>
      <c r="D644" s="351">
        <f t="shared" ca="1" si="58"/>
        <v>21</v>
      </c>
      <c r="F644" s="126" t="str">
        <f ca="1">IF(OR(B644="",B644=0),"","            "&amp;A644&amp;": "&amp;B644-1&amp;",")</f>
        <v/>
      </c>
    </row>
    <row r="645" spans="1:6" hidden="1">
      <c r="A645" s="150" t="str" cm="1">
        <f t="array" aca="1" ref="A645" ca="1">INDIRECT($B$2&amp;"!"&amp;C645&amp;"15")</f>
        <v>dataType</v>
      </c>
      <c r="B645" s="130" cm="1">
        <f t="array" aca="1" ref="B645" ca="1">IFERROR(INDIRECT($B$2&amp;"!"&amp;C645&amp;D645),"")</f>
        <v>0</v>
      </c>
      <c r="C645" s="355" t="s">
        <v>114</v>
      </c>
      <c r="D645" s="351">
        <f t="shared" ca="1" si="58"/>
        <v>21</v>
      </c>
      <c r="F645" s="169" t="str">
        <f ca="1">IF(OR(B645="",B645=0),"","   "&amp;A645&amp;":"&amp;CHAR(34)&amp;B645&amp;CHAR(34)&amp;",")</f>
        <v/>
      </c>
    </row>
    <row r="646" spans="1:6" hidden="1">
      <c r="A646" s="150" t="str" cm="1">
        <f t="array" aca="1" ref="A646" ca="1">INDIRECT($B$2&amp;"!"&amp;C646&amp;"15")</f>
        <v>format</v>
      </c>
      <c r="B646" s="130" cm="1">
        <f t="array" aca="1" ref="B646" ca="1">IFERROR(INDIRECT($B$2&amp;"!"&amp;C646&amp;D646),"")</f>
        <v>0</v>
      </c>
      <c r="C646" s="355" t="s">
        <v>115</v>
      </c>
      <c r="D646" s="351">
        <f t="shared" ca="1" si="58"/>
        <v>21</v>
      </c>
      <c r="F646" s="169" t="str">
        <f ca="1">IF(OR(B646="",B646=0),"","   "&amp;A646&amp;":"&amp;IF(B646="fixedPoint",D645,CHAR(34)&amp;B646&amp;CHAR(34)&amp;","))</f>
        <v/>
      </c>
    </row>
    <row r="647" spans="1:6" hidden="1">
      <c r="A647" s="150" t="str" cm="1">
        <f t="array" aca="1" ref="A647" ca="1">INDIRECT($B$2&amp;"!"&amp;C647&amp;"15")</f>
        <v>validationRules</v>
      </c>
      <c r="B647" s="130" cm="1">
        <f t="array" aca="1" ref="B647" ca="1">IFERROR(INDIRECT($B$2&amp;"!"&amp;C647&amp;D647),"")</f>
        <v>0</v>
      </c>
      <c r="C647" s="350" t="s">
        <v>116</v>
      </c>
      <c r="D647" s="351">
        <f t="shared" ca="1" si="58"/>
        <v>21</v>
      </c>
      <c r="F647" s="169" t="str">
        <f ca="1">IF(B647,"   "&amp;A647&amp;": [{type: 'required',message: '"&amp;B642&amp;" is required' }],","")</f>
        <v/>
      </c>
    </row>
    <row r="648" spans="1:6" hidden="1">
      <c r="A648" s="150" t="str" cm="1">
        <f t="array" aca="1" ref="A648" ca="1">INDIRECT($B$2&amp;"!"&amp;C648&amp;"15")</f>
        <v>allowHiding</v>
      </c>
      <c r="B648" s="130" cm="1">
        <f t="array" aca="1" ref="B648" ca="1">IFERROR(INDIRECT($B$2&amp;"!"&amp;C648&amp;D648),"")</f>
        <v>0</v>
      </c>
      <c r="C648" s="360" t="s">
        <v>117</v>
      </c>
      <c r="D648" s="351">
        <f t="shared" ca="1" si="58"/>
        <v>21</v>
      </c>
      <c r="F648" s="169" t="str">
        <f ca="1">IF(OR(B648="",B648=0),"","   "&amp;A648&amp;": "&amp;B648&amp;",")</f>
        <v/>
      </c>
    </row>
    <row r="649" spans="1:6" hidden="1">
      <c r="A649" s="150" t="str" cm="1">
        <f t="array" aca="1" ref="A649" ca="1">INDIRECT($B$2&amp;"!"&amp;C649&amp;"15")</f>
        <v>width</v>
      </c>
      <c r="B649" s="130" cm="1">
        <f t="array" aca="1" ref="B649" ca="1">IFERROR(INDIRECT($B$2&amp;"!"&amp;C649&amp;D649),"")</f>
        <v>0</v>
      </c>
      <c r="C649" s="360" t="s">
        <v>61</v>
      </c>
      <c r="D649" s="351">
        <f t="shared" ca="1" si="58"/>
        <v>21</v>
      </c>
      <c r="F649" s="169" t="str">
        <f ca="1">IF(OR(B649="",B649=0),"","   "&amp;A649&amp;": "&amp;B649&amp;",")</f>
        <v/>
      </c>
    </row>
    <row r="650" spans="1:6" hidden="1">
      <c r="A650" s="150" t="str" cm="1">
        <f t="array" aca="1" ref="A650" ca="1">INDIRECT($B$2&amp;"!"&amp;C650&amp;"15")</f>
        <v>visible</v>
      </c>
      <c r="B650" s="323" t="str" cm="1">
        <f t="array" aca="1" ref="B650" ca="1">IFERROR(INDIRECT($B$2&amp;"!"&amp;C650&amp;D650),"")</f>
        <v/>
      </c>
      <c r="C650" s="360" t="s">
        <v>118</v>
      </c>
      <c r="D650" s="351">
        <f t="shared" ca="1" si="58"/>
        <v>21</v>
      </c>
      <c r="F650" s="126" t="str">
        <f ca="1">IF(OR(B650="",B650,B650=0),"","          "&amp;A650&amp;": "&amp;B650&amp;",")</f>
        <v/>
      </c>
    </row>
    <row r="651" spans="1:6" hidden="1">
      <c r="A651" s="156" t="s">
        <v>1399</v>
      </c>
      <c r="B651" s="156"/>
      <c r="D651" s="351">
        <f t="shared" ca="1" si="58"/>
        <v>21</v>
      </c>
      <c r="F651" s="169" t="str">
        <f ca="1">IF(D650&gt;$O$2,"","},")</f>
        <v/>
      </c>
    </row>
    <row r="652" spans="1:6" hidden="1">
      <c r="A652" s="475" t="s">
        <v>1400</v>
      </c>
      <c r="B652" s="130" cm="1">
        <f t="array" aca="1" ref="B652" ca="1">IFERROR(INDIRECT($B$2&amp;"!"&amp;C652&amp;D652),"")</f>
        <v>0</v>
      </c>
      <c r="C652" s="350" t="s">
        <v>97</v>
      </c>
      <c r="D652" s="351">
        <f ca="1">IF(D651&gt;$O$2,0,IF(A652="eNd",1,0))+D651</f>
        <v>21</v>
      </c>
      <c r="F652" s="169" t="str">
        <f ca="1">IF(OR(B652="",B652=0),"","{  "&amp;A652&amp;": "&amp;CHAR(34)&amp;$B652&amp;CHAR(34)&amp;",")</f>
        <v/>
      </c>
    </row>
    <row r="653" spans="1:6" hidden="1">
      <c r="A653" s="150" t="str" cm="1">
        <f t="array" aca="1" ref="A653" ca="1">INDIRECT($B$2&amp;"!"&amp;C653&amp;"15")</f>
        <v>caption</v>
      </c>
      <c r="B653" s="130" t="str" cm="1">
        <f t="array" aca="1" ref="B653" ca="1">IFERROR(INDIRECT($B$2&amp;"!"&amp;C653&amp;D653),"")</f>
        <v/>
      </c>
      <c r="C653" s="350" t="s">
        <v>112</v>
      </c>
      <c r="D653" s="351">
        <f t="shared" ref="D653:D662" ca="1" si="59">IF(D652&gt;$O$2,0,IF(A653="eNd",1,0))+D652</f>
        <v>21</v>
      </c>
      <c r="F653" s="169" t="str">
        <f ca="1">IF(OR(B653="",B653=0),"","   "&amp;A653&amp;":"&amp;CHAR(34)&amp;B653&amp;CHAR(34)&amp;",")</f>
        <v/>
      </c>
    </row>
    <row r="654" spans="1:6" hidden="1">
      <c r="A654" s="150" t="str" cm="1">
        <f t="array" aca="1" ref="A654" ca="1">INDIRECT($B$2&amp;"!"&amp;C654&amp;"15")</f>
        <v>sortOrder</v>
      </c>
      <c r="B654" s="130" t="str" cm="1">
        <f t="array" aca="1" ref="B654" ca="1">IFERROR(INDIRECT($B$2&amp;"!"&amp;C654&amp;D654),"")</f>
        <v/>
      </c>
      <c r="C654" s="350" t="s">
        <v>119</v>
      </c>
      <c r="D654" s="351">
        <f t="shared" ca="1" si="59"/>
        <v>21</v>
      </c>
      <c r="F654" s="169" t="str">
        <f ca="1">IF(OR(B654="",B654=0),"","   "&amp;A654&amp;":"&amp;CHAR(34)&amp;B654&amp;CHAR(34)&amp;",")</f>
        <v/>
      </c>
    </row>
    <row r="655" spans="1:6" hidden="1">
      <c r="A655" s="150" t="str" cm="1">
        <f t="array" aca="1" ref="A655" ca="1">INDIRECT($B$2&amp;"!"&amp;C655&amp;"15")</f>
        <v>groupIndex</v>
      </c>
      <c r="B655" s="130" cm="1">
        <f t="array" aca="1" ref="B655" ca="1">IFERROR(INDIRECT($B$2&amp;"!"&amp;C655&amp;D655),"")</f>
        <v>0</v>
      </c>
      <c r="C655" s="355" t="s">
        <v>113</v>
      </c>
      <c r="D655" s="351">
        <f t="shared" ca="1" si="59"/>
        <v>21</v>
      </c>
      <c r="F655" s="126" t="str">
        <f ca="1">IF(OR(B655="",B655=0),"","            "&amp;A655&amp;": "&amp;B655-1&amp;",")</f>
        <v/>
      </c>
    </row>
    <row r="656" spans="1:6" hidden="1">
      <c r="A656" s="150" t="str" cm="1">
        <f t="array" aca="1" ref="A656" ca="1">INDIRECT($B$2&amp;"!"&amp;C656&amp;"15")</f>
        <v>dataType</v>
      </c>
      <c r="B656" s="130" cm="1">
        <f t="array" aca="1" ref="B656" ca="1">IFERROR(INDIRECT($B$2&amp;"!"&amp;C656&amp;D656),"")</f>
        <v>0</v>
      </c>
      <c r="C656" s="355" t="s">
        <v>114</v>
      </c>
      <c r="D656" s="351">
        <f t="shared" ca="1" si="59"/>
        <v>21</v>
      </c>
      <c r="F656" s="169" t="str">
        <f ca="1">IF(OR(B656="",B656=0),"","   "&amp;A656&amp;":"&amp;CHAR(34)&amp;B656&amp;CHAR(34)&amp;",")</f>
        <v/>
      </c>
    </row>
    <row r="657" spans="1:6" hidden="1">
      <c r="A657" s="150" t="str" cm="1">
        <f t="array" aca="1" ref="A657" ca="1">INDIRECT($B$2&amp;"!"&amp;C657&amp;"15")</f>
        <v>format</v>
      </c>
      <c r="B657" s="130" cm="1">
        <f t="array" aca="1" ref="B657" ca="1">IFERROR(INDIRECT($B$2&amp;"!"&amp;C657&amp;D657),"")</f>
        <v>0</v>
      </c>
      <c r="C657" s="355" t="s">
        <v>115</v>
      </c>
      <c r="D657" s="351">
        <f t="shared" ca="1" si="59"/>
        <v>21</v>
      </c>
      <c r="F657" s="169" t="str">
        <f ca="1">IF(OR(B657="",B657=0),"","   "&amp;A657&amp;":"&amp;IF(B657="fixedPoint",D656,CHAR(34)&amp;B657&amp;CHAR(34)&amp;","))</f>
        <v/>
      </c>
    </row>
    <row r="658" spans="1:6" hidden="1">
      <c r="A658" s="150" t="str" cm="1">
        <f t="array" aca="1" ref="A658" ca="1">INDIRECT($B$2&amp;"!"&amp;C658&amp;"15")</f>
        <v>validationRules</v>
      </c>
      <c r="B658" s="130" cm="1">
        <f t="array" aca="1" ref="B658" ca="1">IFERROR(INDIRECT($B$2&amp;"!"&amp;C658&amp;D658),"")</f>
        <v>0</v>
      </c>
      <c r="C658" s="350" t="s">
        <v>116</v>
      </c>
      <c r="D658" s="351">
        <f t="shared" ca="1" si="59"/>
        <v>21</v>
      </c>
      <c r="F658" s="169" t="str">
        <f ca="1">IF(B658,"   "&amp;A658&amp;": [{type: 'required',message: '"&amp;B653&amp;" is required' }],","")</f>
        <v/>
      </c>
    </row>
    <row r="659" spans="1:6" hidden="1">
      <c r="A659" s="150" t="str" cm="1">
        <f t="array" aca="1" ref="A659" ca="1">INDIRECT($B$2&amp;"!"&amp;C659&amp;"15")</f>
        <v>allowHiding</v>
      </c>
      <c r="B659" s="130" cm="1">
        <f t="array" aca="1" ref="B659" ca="1">IFERROR(INDIRECT($B$2&amp;"!"&amp;C659&amp;D659),"")</f>
        <v>0</v>
      </c>
      <c r="C659" s="360" t="s">
        <v>117</v>
      </c>
      <c r="D659" s="351">
        <f t="shared" ca="1" si="59"/>
        <v>21</v>
      </c>
      <c r="F659" s="169" t="str">
        <f ca="1">IF(OR(B659="",B659=0),"","   "&amp;A659&amp;": "&amp;B659&amp;",")</f>
        <v/>
      </c>
    </row>
    <row r="660" spans="1:6" hidden="1">
      <c r="A660" s="150" t="str" cm="1">
        <f t="array" aca="1" ref="A660" ca="1">INDIRECT($B$2&amp;"!"&amp;C660&amp;"15")</f>
        <v>width</v>
      </c>
      <c r="B660" s="130" cm="1">
        <f t="array" aca="1" ref="B660" ca="1">IFERROR(INDIRECT($B$2&amp;"!"&amp;C660&amp;D660),"")</f>
        <v>0</v>
      </c>
      <c r="C660" s="360" t="s">
        <v>61</v>
      </c>
      <c r="D660" s="351">
        <f t="shared" ca="1" si="59"/>
        <v>21</v>
      </c>
      <c r="F660" s="169" t="str">
        <f ca="1">IF(OR(B660="",B660=0),"","   "&amp;A660&amp;": "&amp;B660&amp;",")</f>
        <v/>
      </c>
    </row>
    <row r="661" spans="1:6" hidden="1">
      <c r="A661" s="150" t="str" cm="1">
        <f t="array" aca="1" ref="A661" ca="1">INDIRECT($B$2&amp;"!"&amp;C661&amp;"15")</f>
        <v>visible</v>
      </c>
      <c r="B661" s="323" t="str" cm="1">
        <f t="array" aca="1" ref="B661" ca="1">IFERROR(INDIRECT($B$2&amp;"!"&amp;C661&amp;D661),"")</f>
        <v/>
      </c>
      <c r="C661" s="360" t="s">
        <v>118</v>
      </c>
      <c r="D661" s="351">
        <f t="shared" ca="1" si="59"/>
        <v>21</v>
      </c>
      <c r="F661" s="126" t="str">
        <f ca="1">IF(OR(B661="",B661,B661=0),"","          "&amp;A661&amp;": "&amp;B661&amp;",")</f>
        <v/>
      </c>
    </row>
    <row r="662" spans="1:6" hidden="1">
      <c r="A662" s="156" t="s">
        <v>1399</v>
      </c>
      <c r="B662" s="156"/>
      <c r="D662" s="351">
        <f t="shared" ca="1" si="59"/>
        <v>21</v>
      </c>
      <c r="F662" s="169" t="str">
        <f ca="1">IF(D661&gt;$O$2,"","},")</f>
        <v/>
      </c>
    </row>
    <row r="663" spans="1:6" hidden="1">
      <c r="A663" s="475" t="s">
        <v>1400</v>
      </c>
      <c r="B663" s="130" cm="1">
        <f t="array" aca="1" ref="B663" ca="1">IFERROR(INDIRECT($B$2&amp;"!"&amp;C663&amp;D663),"")</f>
        <v>0</v>
      </c>
      <c r="C663" s="350" t="s">
        <v>97</v>
      </c>
      <c r="D663" s="351">
        <f ca="1">IF(D662&gt;$O$2,0,IF(A663="eNd",1,0))+D662</f>
        <v>21</v>
      </c>
      <c r="F663" s="169" t="str">
        <f ca="1">IF(OR(B663="",B663=0),"","{  "&amp;A663&amp;": "&amp;CHAR(34)&amp;$B663&amp;CHAR(34)&amp;",")</f>
        <v/>
      </c>
    </row>
    <row r="664" spans="1:6" hidden="1">
      <c r="A664" s="150" t="str" cm="1">
        <f t="array" aca="1" ref="A664" ca="1">INDIRECT($B$2&amp;"!"&amp;C664&amp;"15")</f>
        <v>caption</v>
      </c>
      <c r="B664" s="130" t="str" cm="1">
        <f t="array" aca="1" ref="B664" ca="1">IFERROR(INDIRECT($B$2&amp;"!"&amp;C664&amp;D664),"")</f>
        <v/>
      </c>
      <c r="C664" s="350" t="s">
        <v>112</v>
      </c>
      <c r="D664" s="351">
        <f t="shared" ref="D664:D673" ca="1" si="60">IF(D663&gt;$O$2,0,IF(A664="eNd",1,0))+D663</f>
        <v>21</v>
      </c>
      <c r="F664" s="169" t="str">
        <f ca="1">IF(OR(B664="",B664=0),"","   "&amp;A664&amp;":"&amp;CHAR(34)&amp;B664&amp;CHAR(34)&amp;",")</f>
        <v/>
      </c>
    </row>
    <row r="665" spans="1:6" hidden="1">
      <c r="A665" s="150" t="str" cm="1">
        <f t="array" aca="1" ref="A665" ca="1">INDIRECT($B$2&amp;"!"&amp;C665&amp;"15")</f>
        <v>sortOrder</v>
      </c>
      <c r="B665" s="130" t="str" cm="1">
        <f t="array" aca="1" ref="B665" ca="1">IFERROR(INDIRECT($B$2&amp;"!"&amp;C665&amp;D665),"")</f>
        <v/>
      </c>
      <c r="C665" s="350" t="s">
        <v>119</v>
      </c>
      <c r="D665" s="351">
        <f t="shared" ca="1" si="60"/>
        <v>21</v>
      </c>
      <c r="F665" s="169" t="str">
        <f ca="1">IF(OR(B665="",B665=0),"","   "&amp;A665&amp;":"&amp;CHAR(34)&amp;B665&amp;CHAR(34)&amp;",")</f>
        <v/>
      </c>
    </row>
    <row r="666" spans="1:6" hidden="1">
      <c r="A666" s="150" t="str" cm="1">
        <f t="array" aca="1" ref="A666" ca="1">INDIRECT($B$2&amp;"!"&amp;C666&amp;"15")</f>
        <v>groupIndex</v>
      </c>
      <c r="B666" s="130" cm="1">
        <f t="array" aca="1" ref="B666" ca="1">IFERROR(INDIRECT($B$2&amp;"!"&amp;C666&amp;D666),"")</f>
        <v>0</v>
      </c>
      <c r="C666" s="355" t="s">
        <v>113</v>
      </c>
      <c r="D666" s="351">
        <f t="shared" ca="1" si="60"/>
        <v>21</v>
      </c>
      <c r="F666" s="126" t="str">
        <f ca="1">IF(OR(B666="",B666=0),"","            "&amp;A666&amp;": "&amp;B666-1&amp;",")</f>
        <v/>
      </c>
    </row>
    <row r="667" spans="1:6" hidden="1">
      <c r="A667" s="150" t="str" cm="1">
        <f t="array" aca="1" ref="A667" ca="1">INDIRECT($B$2&amp;"!"&amp;C667&amp;"15")</f>
        <v>dataType</v>
      </c>
      <c r="B667" s="130" cm="1">
        <f t="array" aca="1" ref="B667" ca="1">IFERROR(INDIRECT($B$2&amp;"!"&amp;C667&amp;D667),"")</f>
        <v>0</v>
      </c>
      <c r="C667" s="355" t="s">
        <v>114</v>
      </c>
      <c r="D667" s="351">
        <f t="shared" ca="1" si="60"/>
        <v>21</v>
      </c>
      <c r="F667" s="169" t="str">
        <f ca="1">IF(OR(B667="",B667=0),"","   "&amp;A667&amp;":"&amp;CHAR(34)&amp;B667&amp;CHAR(34)&amp;",")</f>
        <v/>
      </c>
    </row>
    <row r="668" spans="1:6" hidden="1">
      <c r="A668" s="150" t="str" cm="1">
        <f t="array" aca="1" ref="A668" ca="1">INDIRECT($B$2&amp;"!"&amp;C668&amp;"15")</f>
        <v>format</v>
      </c>
      <c r="B668" s="130" cm="1">
        <f t="array" aca="1" ref="B668" ca="1">IFERROR(INDIRECT($B$2&amp;"!"&amp;C668&amp;D668),"")</f>
        <v>0</v>
      </c>
      <c r="C668" s="355" t="s">
        <v>115</v>
      </c>
      <c r="D668" s="351">
        <f t="shared" ca="1" si="60"/>
        <v>21</v>
      </c>
      <c r="F668" s="169" t="str">
        <f ca="1">IF(OR(B668="",B668=0),"","   "&amp;A668&amp;":"&amp;IF(B668="fixedPoint",D667,CHAR(34)&amp;B668&amp;CHAR(34)&amp;","))</f>
        <v/>
      </c>
    </row>
    <row r="669" spans="1:6" hidden="1">
      <c r="A669" s="150" t="str" cm="1">
        <f t="array" aca="1" ref="A669" ca="1">INDIRECT($B$2&amp;"!"&amp;C669&amp;"15")</f>
        <v>validationRules</v>
      </c>
      <c r="B669" s="130" cm="1">
        <f t="array" aca="1" ref="B669" ca="1">IFERROR(INDIRECT($B$2&amp;"!"&amp;C669&amp;D669),"")</f>
        <v>0</v>
      </c>
      <c r="C669" s="350" t="s">
        <v>116</v>
      </c>
      <c r="D669" s="351">
        <f t="shared" ca="1" si="60"/>
        <v>21</v>
      </c>
      <c r="F669" s="169" t="str">
        <f ca="1">IF(B669,"   "&amp;A669&amp;": [{type: 'required',message: '"&amp;B664&amp;" is required' }],","")</f>
        <v/>
      </c>
    </row>
    <row r="670" spans="1:6" hidden="1">
      <c r="A670" s="150" t="str" cm="1">
        <f t="array" aca="1" ref="A670" ca="1">INDIRECT($B$2&amp;"!"&amp;C670&amp;"15")</f>
        <v>allowHiding</v>
      </c>
      <c r="B670" s="130" cm="1">
        <f t="array" aca="1" ref="B670" ca="1">IFERROR(INDIRECT($B$2&amp;"!"&amp;C670&amp;D670),"")</f>
        <v>0</v>
      </c>
      <c r="C670" s="360" t="s">
        <v>117</v>
      </c>
      <c r="D670" s="351">
        <f t="shared" ca="1" si="60"/>
        <v>21</v>
      </c>
      <c r="F670" s="169" t="str">
        <f ca="1">IF(OR(B670="",B670=0),"","   "&amp;A670&amp;": "&amp;B670&amp;",")</f>
        <v/>
      </c>
    </row>
    <row r="671" spans="1:6" hidden="1">
      <c r="A671" s="150" t="str" cm="1">
        <f t="array" aca="1" ref="A671" ca="1">INDIRECT($B$2&amp;"!"&amp;C671&amp;"15")</f>
        <v>width</v>
      </c>
      <c r="B671" s="130" cm="1">
        <f t="array" aca="1" ref="B671" ca="1">IFERROR(INDIRECT($B$2&amp;"!"&amp;C671&amp;D671),"")</f>
        <v>0</v>
      </c>
      <c r="C671" s="360" t="s">
        <v>61</v>
      </c>
      <c r="D671" s="351">
        <f t="shared" ca="1" si="60"/>
        <v>21</v>
      </c>
      <c r="F671" s="169" t="str">
        <f ca="1">IF(OR(B671="",B671=0),"","   "&amp;A671&amp;": "&amp;B671&amp;",")</f>
        <v/>
      </c>
    </row>
    <row r="672" spans="1:6" hidden="1">
      <c r="A672" s="150" t="str" cm="1">
        <f t="array" aca="1" ref="A672" ca="1">INDIRECT($B$2&amp;"!"&amp;C672&amp;"15")</f>
        <v>visible</v>
      </c>
      <c r="B672" s="323" t="str" cm="1">
        <f t="array" aca="1" ref="B672" ca="1">IFERROR(INDIRECT($B$2&amp;"!"&amp;C672&amp;D672),"")</f>
        <v/>
      </c>
      <c r="C672" s="360" t="s">
        <v>118</v>
      </c>
      <c r="D672" s="351">
        <f t="shared" ca="1" si="60"/>
        <v>21</v>
      </c>
      <c r="F672" s="126" t="str">
        <f ca="1">IF(OR(B672="",B672,B672=0),"","          "&amp;A672&amp;": "&amp;B672&amp;",")</f>
        <v/>
      </c>
    </row>
    <row r="673" spans="1:6" hidden="1">
      <c r="A673" s="156" t="s">
        <v>1399</v>
      </c>
      <c r="B673" s="156"/>
      <c r="D673" s="351">
        <f t="shared" ca="1" si="60"/>
        <v>21</v>
      </c>
      <c r="F673" s="169" t="str">
        <f ca="1">IF(D672&gt;$O$2,"","},")</f>
        <v/>
      </c>
    </row>
    <row r="674" spans="1:6" hidden="1">
      <c r="A674" s="475" t="s">
        <v>1400</v>
      </c>
      <c r="B674" s="130" cm="1">
        <f t="array" aca="1" ref="B674" ca="1">IFERROR(INDIRECT($B$2&amp;"!"&amp;C674&amp;D674),"")</f>
        <v>0</v>
      </c>
      <c r="C674" s="350" t="s">
        <v>97</v>
      </c>
      <c r="D674" s="351">
        <f ca="1">IF(D673&gt;$O$2,0,IF(A674="eNd",1,0))+D673</f>
        <v>21</v>
      </c>
      <c r="F674" s="169" t="str">
        <f ca="1">IF(OR(B674="",B674=0),"","{  "&amp;A674&amp;": "&amp;CHAR(34)&amp;$B674&amp;CHAR(34)&amp;",")</f>
        <v/>
      </c>
    </row>
    <row r="675" spans="1:6" hidden="1">
      <c r="A675" s="150" t="str" cm="1">
        <f t="array" aca="1" ref="A675" ca="1">INDIRECT($B$2&amp;"!"&amp;C675&amp;"15")</f>
        <v>caption</v>
      </c>
      <c r="B675" s="130" t="str" cm="1">
        <f t="array" aca="1" ref="B675" ca="1">IFERROR(INDIRECT($B$2&amp;"!"&amp;C675&amp;D675),"")</f>
        <v/>
      </c>
      <c r="C675" s="350" t="s">
        <v>112</v>
      </c>
      <c r="D675" s="351">
        <f t="shared" ref="D675:D684" ca="1" si="61">IF(D674&gt;$O$2,0,IF(A675="eNd",1,0))+D674</f>
        <v>21</v>
      </c>
      <c r="F675" s="169" t="str">
        <f ca="1">IF(OR(B675="",B675=0),"","   "&amp;A675&amp;":"&amp;CHAR(34)&amp;B675&amp;CHAR(34)&amp;",")</f>
        <v/>
      </c>
    </row>
    <row r="676" spans="1:6" hidden="1">
      <c r="A676" s="150" t="str" cm="1">
        <f t="array" aca="1" ref="A676" ca="1">INDIRECT($B$2&amp;"!"&amp;C676&amp;"15")</f>
        <v>sortOrder</v>
      </c>
      <c r="B676" s="130" t="str" cm="1">
        <f t="array" aca="1" ref="B676" ca="1">IFERROR(INDIRECT($B$2&amp;"!"&amp;C676&amp;D676),"")</f>
        <v/>
      </c>
      <c r="C676" s="350" t="s">
        <v>119</v>
      </c>
      <c r="D676" s="351">
        <f t="shared" ca="1" si="61"/>
        <v>21</v>
      </c>
      <c r="F676" s="169" t="str">
        <f ca="1">IF(OR(B676="",B676=0),"","   "&amp;A676&amp;":"&amp;CHAR(34)&amp;B676&amp;CHAR(34)&amp;",")</f>
        <v/>
      </c>
    </row>
    <row r="677" spans="1:6" hidden="1">
      <c r="A677" s="150" t="str" cm="1">
        <f t="array" aca="1" ref="A677" ca="1">INDIRECT($B$2&amp;"!"&amp;C677&amp;"15")</f>
        <v>groupIndex</v>
      </c>
      <c r="B677" s="130" cm="1">
        <f t="array" aca="1" ref="B677" ca="1">IFERROR(INDIRECT($B$2&amp;"!"&amp;C677&amp;D677),"")</f>
        <v>0</v>
      </c>
      <c r="C677" s="355" t="s">
        <v>113</v>
      </c>
      <c r="D677" s="351">
        <f t="shared" ca="1" si="61"/>
        <v>21</v>
      </c>
      <c r="F677" s="126" t="str">
        <f ca="1">IF(OR(B677="",B677=0),"","            "&amp;A677&amp;": "&amp;B677-1&amp;",")</f>
        <v/>
      </c>
    </row>
    <row r="678" spans="1:6" hidden="1">
      <c r="A678" s="150" t="str" cm="1">
        <f t="array" aca="1" ref="A678" ca="1">INDIRECT($B$2&amp;"!"&amp;C678&amp;"15")</f>
        <v>dataType</v>
      </c>
      <c r="B678" s="130" cm="1">
        <f t="array" aca="1" ref="B678" ca="1">IFERROR(INDIRECT($B$2&amp;"!"&amp;C678&amp;D678),"")</f>
        <v>0</v>
      </c>
      <c r="C678" s="355" t="s">
        <v>114</v>
      </c>
      <c r="D678" s="351">
        <f t="shared" ca="1" si="61"/>
        <v>21</v>
      </c>
      <c r="F678" s="169" t="str">
        <f ca="1">IF(OR(B678="",B678=0),"","   "&amp;A678&amp;":"&amp;CHAR(34)&amp;B678&amp;CHAR(34)&amp;",")</f>
        <v/>
      </c>
    </row>
    <row r="679" spans="1:6" hidden="1">
      <c r="A679" s="150" t="str" cm="1">
        <f t="array" aca="1" ref="A679" ca="1">INDIRECT($B$2&amp;"!"&amp;C679&amp;"15")</f>
        <v>format</v>
      </c>
      <c r="B679" s="130" cm="1">
        <f t="array" aca="1" ref="B679" ca="1">IFERROR(INDIRECT($B$2&amp;"!"&amp;C679&amp;D679),"")</f>
        <v>0</v>
      </c>
      <c r="C679" s="355" t="s">
        <v>115</v>
      </c>
      <c r="D679" s="351">
        <f t="shared" ca="1" si="61"/>
        <v>21</v>
      </c>
      <c r="F679" s="169" t="str">
        <f ca="1">IF(OR(B679="",B679=0),"","   "&amp;A679&amp;":"&amp;IF(B679="fixedPoint",D678,CHAR(34)&amp;B679&amp;CHAR(34)&amp;","))</f>
        <v/>
      </c>
    </row>
    <row r="680" spans="1:6" hidden="1">
      <c r="A680" s="150" t="str" cm="1">
        <f t="array" aca="1" ref="A680" ca="1">INDIRECT($B$2&amp;"!"&amp;C680&amp;"15")</f>
        <v>validationRules</v>
      </c>
      <c r="B680" s="130" cm="1">
        <f t="array" aca="1" ref="B680" ca="1">IFERROR(INDIRECT($B$2&amp;"!"&amp;C680&amp;D680),"")</f>
        <v>0</v>
      </c>
      <c r="C680" s="350" t="s">
        <v>116</v>
      </c>
      <c r="D680" s="351">
        <f t="shared" ca="1" si="61"/>
        <v>21</v>
      </c>
      <c r="F680" s="169" t="str">
        <f ca="1">IF(B680,"   "&amp;A680&amp;": [{type: 'required',message: '"&amp;B675&amp;" is required' }],","")</f>
        <v/>
      </c>
    </row>
    <row r="681" spans="1:6" hidden="1">
      <c r="A681" s="150" t="str" cm="1">
        <f t="array" aca="1" ref="A681" ca="1">INDIRECT($B$2&amp;"!"&amp;C681&amp;"15")</f>
        <v>allowHiding</v>
      </c>
      <c r="B681" s="130" cm="1">
        <f t="array" aca="1" ref="B681" ca="1">IFERROR(INDIRECT($B$2&amp;"!"&amp;C681&amp;D681),"")</f>
        <v>0</v>
      </c>
      <c r="C681" s="360" t="s">
        <v>117</v>
      </c>
      <c r="D681" s="351">
        <f t="shared" ca="1" si="61"/>
        <v>21</v>
      </c>
      <c r="F681" s="169" t="str">
        <f ca="1">IF(OR(B681="",B681=0),"","   "&amp;A681&amp;": "&amp;B681&amp;",")</f>
        <v/>
      </c>
    </row>
    <row r="682" spans="1:6" hidden="1">
      <c r="A682" s="150" t="str" cm="1">
        <f t="array" aca="1" ref="A682" ca="1">INDIRECT($B$2&amp;"!"&amp;C682&amp;"15")</f>
        <v>width</v>
      </c>
      <c r="B682" s="130" cm="1">
        <f t="array" aca="1" ref="B682" ca="1">IFERROR(INDIRECT($B$2&amp;"!"&amp;C682&amp;D682),"")</f>
        <v>0</v>
      </c>
      <c r="C682" s="360" t="s">
        <v>61</v>
      </c>
      <c r="D682" s="351">
        <f t="shared" ca="1" si="61"/>
        <v>21</v>
      </c>
      <c r="F682" s="169" t="str">
        <f ca="1">IF(OR(B682="",B682=0),"","   "&amp;A682&amp;": "&amp;B682&amp;",")</f>
        <v/>
      </c>
    </row>
    <row r="683" spans="1:6" hidden="1">
      <c r="A683" s="150" t="str" cm="1">
        <f t="array" aca="1" ref="A683" ca="1">INDIRECT($B$2&amp;"!"&amp;C683&amp;"15")</f>
        <v>visible</v>
      </c>
      <c r="B683" s="323" t="str" cm="1">
        <f t="array" aca="1" ref="B683" ca="1">IFERROR(INDIRECT($B$2&amp;"!"&amp;C683&amp;D683),"")</f>
        <v/>
      </c>
      <c r="C683" s="360" t="s">
        <v>118</v>
      </c>
      <c r="D683" s="351">
        <f t="shared" ca="1" si="61"/>
        <v>21</v>
      </c>
      <c r="F683" s="126" t="str">
        <f ca="1">IF(OR(B683="",B683,B683=0),"","          "&amp;A683&amp;": "&amp;B683&amp;",")</f>
        <v/>
      </c>
    </row>
    <row r="684" spans="1:6" hidden="1">
      <c r="A684" s="156" t="s">
        <v>1399</v>
      </c>
      <c r="B684" s="156"/>
      <c r="D684" s="351">
        <f t="shared" ca="1" si="61"/>
        <v>21</v>
      </c>
      <c r="F684" s="169" t="str">
        <f ca="1">IF(D683&gt;$O$2,"","},")</f>
        <v/>
      </c>
    </row>
    <row r="685" spans="1:6" hidden="1">
      <c r="A685" s="475" t="s">
        <v>1400</v>
      </c>
      <c r="B685" s="130" cm="1">
        <f t="array" aca="1" ref="B685" ca="1">IFERROR(INDIRECT($B$2&amp;"!"&amp;C685&amp;D685),"")</f>
        <v>0</v>
      </c>
      <c r="C685" s="350" t="s">
        <v>97</v>
      </c>
      <c r="D685" s="351">
        <f ca="1">IF(D684&gt;$O$2,0,IF(A685="eNd",1,0))+D684</f>
        <v>21</v>
      </c>
      <c r="F685" s="169" t="str">
        <f ca="1">IF(OR(B685="",B685=0),"","{  "&amp;A685&amp;": "&amp;CHAR(34)&amp;$B685&amp;CHAR(34)&amp;",")</f>
        <v/>
      </c>
    </row>
    <row r="686" spans="1:6" hidden="1">
      <c r="A686" s="150" t="str" cm="1">
        <f t="array" aca="1" ref="A686" ca="1">INDIRECT($B$2&amp;"!"&amp;C686&amp;"15")</f>
        <v>caption</v>
      </c>
      <c r="B686" s="130" t="str" cm="1">
        <f t="array" aca="1" ref="B686" ca="1">IFERROR(INDIRECT($B$2&amp;"!"&amp;C686&amp;D686),"")</f>
        <v/>
      </c>
      <c r="C686" s="350" t="s">
        <v>112</v>
      </c>
      <c r="D686" s="351">
        <f t="shared" ref="D686:D695" ca="1" si="62">IF(D685&gt;$O$2,0,IF(A686="eNd",1,0))+D685</f>
        <v>21</v>
      </c>
      <c r="F686" s="169" t="str">
        <f ca="1">IF(OR(B686="",B686=0),"","   "&amp;A686&amp;":"&amp;CHAR(34)&amp;B686&amp;CHAR(34)&amp;",")</f>
        <v/>
      </c>
    </row>
    <row r="687" spans="1:6" hidden="1">
      <c r="A687" s="150" t="str" cm="1">
        <f t="array" aca="1" ref="A687" ca="1">INDIRECT($B$2&amp;"!"&amp;C687&amp;"15")</f>
        <v>sortOrder</v>
      </c>
      <c r="B687" s="130" t="str" cm="1">
        <f t="array" aca="1" ref="B687" ca="1">IFERROR(INDIRECT($B$2&amp;"!"&amp;C687&amp;D687),"")</f>
        <v/>
      </c>
      <c r="C687" s="350" t="s">
        <v>119</v>
      </c>
      <c r="D687" s="351">
        <f t="shared" ca="1" si="62"/>
        <v>21</v>
      </c>
      <c r="F687" s="169" t="str">
        <f ca="1">IF(OR(B687="",B687=0),"","   "&amp;A687&amp;":"&amp;CHAR(34)&amp;B687&amp;CHAR(34)&amp;",")</f>
        <v/>
      </c>
    </row>
    <row r="688" spans="1:6" hidden="1">
      <c r="A688" s="150" t="str" cm="1">
        <f t="array" aca="1" ref="A688" ca="1">INDIRECT($B$2&amp;"!"&amp;C688&amp;"15")</f>
        <v>groupIndex</v>
      </c>
      <c r="B688" s="130" cm="1">
        <f t="array" aca="1" ref="B688" ca="1">IFERROR(INDIRECT($B$2&amp;"!"&amp;C688&amp;D688),"")</f>
        <v>0</v>
      </c>
      <c r="C688" s="355" t="s">
        <v>113</v>
      </c>
      <c r="D688" s="351">
        <f t="shared" ca="1" si="62"/>
        <v>21</v>
      </c>
      <c r="F688" s="126" t="str">
        <f ca="1">IF(OR(B688="",B688=0),"","            "&amp;A688&amp;": "&amp;B688-1&amp;",")</f>
        <v/>
      </c>
    </row>
    <row r="689" spans="1:6" hidden="1">
      <c r="A689" s="150" t="str" cm="1">
        <f t="array" aca="1" ref="A689" ca="1">INDIRECT($B$2&amp;"!"&amp;C689&amp;"15")</f>
        <v>dataType</v>
      </c>
      <c r="B689" s="130" cm="1">
        <f t="array" aca="1" ref="B689" ca="1">IFERROR(INDIRECT($B$2&amp;"!"&amp;C689&amp;D689),"")</f>
        <v>0</v>
      </c>
      <c r="C689" s="355" t="s">
        <v>114</v>
      </c>
      <c r="D689" s="351">
        <f t="shared" ca="1" si="62"/>
        <v>21</v>
      </c>
      <c r="F689" s="169" t="str">
        <f ca="1">IF(OR(B689="",B689=0),"","   "&amp;A689&amp;":"&amp;CHAR(34)&amp;B689&amp;CHAR(34)&amp;",")</f>
        <v/>
      </c>
    </row>
    <row r="690" spans="1:6" hidden="1">
      <c r="A690" s="150" t="str" cm="1">
        <f t="array" aca="1" ref="A690" ca="1">INDIRECT($B$2&amp;"!"&amp;C690&amp;"15")</f>
        <v>format</v>
      </c>
      <c r="B690" s="130" cm="1">
        <f t="array" aca="1" ref="B690" ca="1">IFERROR(INDIRECT($B$2&amp;"!"&amp;C690&amp;D690),"")</f>
        <v>0</v>
      </c>
      <c r="C690" s="355" t="s">
        <v>115</v>
      </c>
      <c r="D690" s="351">
        <f t="shared" ca="1" si="62"/>
        <v>21</v>
      </c>
      <c r="F690" s="169" t="str">
        <f ca="1">IF(OR(B690="",B690=0),"","   "&amp;A690&amp;":"&amp;IF(B690="fixedPoint",D689,CHAR(34)&amp;B690&amp;CHAR(34)&amp;","))</f>
        <v/>
      </c>
    </row>
    <row r="691" spans="1:6" hidden="1">
      <c r="A691" s="150" t="str" cm="1">
        <f t="array" aca="1" ref="A691" ca="1">INDIRECT($B$2&amp;"!"&amp;C691&amp;"15")</f>
        <v>validationRules</v>
      </c>
      <c r="B691" s="130" cm="1">
        <f t="array" aca="1" ref="B691" ca="1">IFERROR(INDIRECT($B$2&amp;"!"&amp;C691&amp;D691),"")</f>
        <v>0</v>
      </c>
      <c r="C691" s="350" t="s">
        <v>116</v>
      </c>
      <c r="D691" s="351">
        <f t="shared" ca="1" si="62"/>
        <v>21</v>
      </c>
      <c r="F691" s="169" t="str">
        <f ca="1">IF(B691,"   "&amp;A691&amp;": [{type: 'required',message: '"&amp;B686&amp;" is required' }],","")</f>
        <v/>
      </c>
    </row>
    <row r="692" spans="1:6" hidden="1">
      <c r="A692" s="150" t="str" cm="1">
        <f t="array" aca="1" ref="A692" ca="1">INDIRECT($B$2&amp;"!"&amp;C692&amp;"15")</f>
        <v>allowHiding</v>
      </c>
      <c r="B692" s="130" cm="1">
        <f t="array" aca="1" ref="B692" ca="1">IFERROR(INDIRECT($B$2&amp;"!"&amp;C692&amp;D692),"")</f>
        <v>0</v>
      </c>
      <c r="C692" s="360" t="s">
        <v>117</v>
      </c>
      <c r="D692" s="351">
        <f t="shared" ca="1" si="62"/>
        <v>21</v>
      </c>
      <c r="F692" s="169" t="str">
        <f ca="1">IF(OR(B692="",B692=0),"","   "&amp;A692&amp;": "&amp;B692&amp;",")</f>
        <v/>
      </c>
    </row>
    <row r="693" spans="1:6" hidden="1">
      <c r="A693" s="150" t="str" cm="1">
        <f t="array" aca="1" ref="A693" ca="1">INDIRECT($B$2&amp;"!"&amp;C693&amp;"15")</f>
        <v>width</v>
      </c>
      <c r="B693" s="130" cm="1">
        <f t="array" aca="1" ref="B693" ca="1">IFERROR(INDIRECT($B$2&amp;"!"&amp;C693&amp;D693),"")</f>
        <v>0</v>
      </c>
      <c r="C693" s="360" t="s">
        <v>61</v>
      </c>
      <c r="D693" s="351">
        <f t="shared" ca="1" si="62"/>
        <v>21</v>
      </c>
      <c r="F693" s="169" t="str">
        <f ca="1">IF(OR(B693="",B693=0),"","   "&amp;A693&amp;": "&amp;B693&amp;",")</f>
        <v/>
      </c>
    </row>
    <row r="694" spans="1:6" hidden="1">
      <c r="A694" s="150" t="str" cm="1">
        <f t="array" aca="1" ref="A694" ca="1">INDIRECT($B$2&amp;"!"&amp;C694&amp;"15")</f>
        <v>visible</v>
      </c>
      <c r="B694" s="323" t="str" cm="1">
        <f t="array" aca="1" ref="B694" ca="1">IFERROR(INDIRECT($B$2&amp;"!"&amp;C694&amp;D694),"")</f>
        <v/>
      </c>
      <c r="C694" s="360" t="s">
        <v>118</v>
      </c>
      <c r="D694" s="351">
        <f t="shared" ca="1" si="62"/>
        <v>21</v>
      </c>
      <c r="F694" s="126" t="str">
        <f ca="1">IF(OR(B694="",B694,B694=0),"","          "&amp;A694&amp;": "&amp;B694&amp;",")</f>
        <v/>
      </c>
    </row>
    <row r="695" spans="1:6" hidden="1">
      <c r="A695" s="156" t="s">
        <v>1399</v>
      </c>
      <c r="B695" s="156"/>
      <c r="D695" s="351">
        <f t="shared" ca="1" si="62"/>
        <v>21</v>
      </c>
      <c r="F695" s="169" t="str">
        <f ca="1">IF(D694&gt;$O$2,"","},")</f>
        <v/>
      </c>
    </row>
    <row r="696" spans="1:6" hidden="1">
      <c r="A696" s="475" t="s">
        <v>1400</v>
      </c>
      <c r="B696" s="130" cm="1">
        <f t="array" aca="1" ref="B696" ca="1">IFERROR(INDIRECT($B$2&amp;"!"&amp;C696&amp;D696),"")</f>
        <v>0</v>
      </c>
      <c r="C696" s="350" t="s">
        <v>97</v>
      </c>
      <c r="D696" s="351">
        <f ca="1">IF(D695&gt;$O$2,0,IF(A696="eNd",1,0))+D695</f>
        <v>21</v>
      </c>
      <c r="F696" s="169" t="str">
        <f ca="1">IF(OR(B696="",B696=0),"","{  "&amp;A696&amp;": "&amp;CHAR(34)&amp;$B696&amp;CHAR(34)&amp;",")</f>
        <v/>
      </c>
    </row>
    <row r="697" spans="1:6" hidden="1">
      <c r="A697" s="150" t="str" cm="1">
        <f t="array" aca="1" ref="A697" ca="1">INDIRECT($B$2&amp;"!"&amp;C697&amp;"15")</f>
        <v>caption</v>
      </c>
      <c r="B697" s="130" t="str" cm="1">
        <f t="array" aca="1" ref="B697" ca="1">IFERROR(INDIRECT($B$2&amp;"!"&amp;C697&amp;D697),"")</f>
        <v/>
      </c>
      <c r="C697" s="350" t="s">
        <v>112</v>
      </c>
      <c r="D697" s="351">
        <f t="shared" ref="D697:D706" ca="1" si="63">IF(D696&gt;$O$2,0,IF(A697="eNd",1,0))+D696</f>
        <v>21</v>
      </c>
      <c r="F697" s="169" t="str">
        <f ca="1">IF(OR(B697="",B697=0),"","   "&amp;A697&amp;":"&amp;CHAR(34)&amp;B697&amp;CHAR(34)&amp;",")</f>
        <v/>
      </c>
    </row>
    <row r="698" spans="1:6" hidden="1">
      <c r="A698" s="150" t="str" cm="1">
        <f t="array" aca="1" ref="A698" ca="1">INDIRECT($B$2&amp;"!"&amp;C698&amp;"15")</f>
        <v>sortOrder</v>
      </c>
      <c r="B698" s="130" t="str" cm="1">
        <f t="array" aca="1" ref="B698" ca="1">IFERROR(INDIRECT($B$2&amp;"!"&amp;C698&amp;D698),"")</f>
        <v/>
      </c>
      <c r="C698" s="350" t="s">
        <v>119</v>
      </c>
      <c r="D698" s="351">
        <f t="shared" ca="1" si="63"/>
        <v>21</v>
      </c>
      <c r="F698" s="169" t="str">
        <f ca="1">IF(OR(B698="",B698=0),"","   "&amp;A698&amp;":"&amp;CHAR(34)&amp;B698&amp;CHAR(34)&amp;",")</f>
        <v/>
      </c>
    </row>
    <row r="699" spans="1:6" hidden="1">
      <c r="A699" s="150" t="str" cm="1">
        <f t="array" aca="1" ref="A699" ca="1">INDIRECT($B$2&amp;"!"&amp;C699&amp;"15")</f>
        <v>groupIndex</v>
      </c>
      <c r="B699" s="130" cm="1">
        <f t="array" aca="1" ref="B699" ca="1">IFERROR(INDIRECT($B$2&amp;"!"&amp;C699&amp;D699),"")</f>
        <v>0</v>
      </c>
      <c r="C699" s="355" t="s">
        <v>113</v>
      </c>
      <c r="D699" s="351">
        <f t="shared" ca="1" si="63"/>
        <v>21</v>
      </c>
      <c r="F699" s="126" t="str">
        <f ca="1">IF(OR(B699="",B699=0),"","            "&amp;A699&amp;": "&amp;B699-1&amp;",")</f>
        <v/>
      </c>
    </row>
    <row r="700" spans="1:6" hidden="1">
      <c r="A700" s="150" t="str" cm="1">
        <f t="array" aca="1" ref="A700" ca="1">INDIRECT($B$2&amp;"!"&amp;C700&amp;"15")</f>
        <v>dataType</v>
      </c>
      <c r="B700" s="130" cm="1">
        <f t="array" aca="1" ref="B700" ca="1">IFERROR(INDIRECT($B$2&amp;"!"&amp;C700&amp;D700),"")</f>
        <v>0</v>
      </c>
      <c r="C700" s="355" t="s">
        <v>114</v>
      </c>
      <c r="D700" s="351">
        <f t="shared" ca="1" si="63"/>
        <v>21</v>
      </c>
      <c r="F700" s="169" t="str">
        <f ca="1">IF(OR(B700="",B700=0),"","   "&amp;A700&amp;":"&amp;CHAR(34)&amp;B700&amp;CHAR(34)&amp;",")</f>
        <v/>
      </c>
    </row>
    <row r="701" spans="1:6" hidden="1">
      <c r="A701" s="150" t="str" cm="1">
        <f t="array" aca="1" ref="A701" ca="1">INDIRECT($B$2&amp;"!"&amp;C701&amp;"15")</f>
        <v>format</v>
      </c>
      <c r="B701" s="130" cm="1">
        <f t="array" aca="1" ref="B701" ca="1">IFERROR(INDIRECT($B$2&amp;"!"&amp;C701&amp;D701),"")</f>
        <v>0</v>
      </c>
      <c r="C701" s="355" t="s">
        <v>115</v>
      </c>
      <c r="D701" s="351">
        <f t="shared" ca="1" si="63"/>
        <v>21</v>
      </c>
      <c r="F701" s="169" t="str">
        <f ca="1">IF(OR(B701="",B701=0),"","   "&amp;A701&amp;":"&amp;IF(B701="fixedPoint",D700,CHAR(34)&amp;B701&amp;CHAR(34)&amp;","))</f>
        <v/>
      </c>
    </row>
    <row r="702" spans="1:6" hidden="1">
      <c r="A702" s="150" t="str" cm="1">
        <f t="array" aca="1" ref="A702" ca="1">INDIRECT($B$2&amp;"!"&amp;C702&amp;"15")</f>
        <v>validationRules</v>
      </c>
      <c r="B702" s="130" cm="1">
        <f t="array" aca="1" ref="B702" ca="1">IFERROR(INDIRECT($B$2&amp;"!"&amp;C702&amp;D702),"")</f>
        <v>0</v>
      </c>
      <c r="C702" s="350" t="s">
        <v>116</v>
      </c>
      <c r="D702" s="351">
        <f t="shared" ca="1" si="63"/>
        <v>21</v>
      </c>
      <c r="F702" s="169" t="str">
        <f ca="1">IF(B702,"   "&amp;A702&amp;": [{type: 'required',message: '"&amp;B697&amp;" is required' }],","")</f>
        <v/>
      </c>
    </row>
    <row r="703" spans="1:6" hidden="1">
      <c r="A703" s="150" t="str" cm="1">
        <f t="array" aca="1" ref="A703" ca="1">INDIRECT($B$2&amp;"!"&amp;C703&amp;"15")</f>
        <v>allowHiding</v>
      </c>
      <c r="B703" s="130" cm="1">
        <f t="array" aca="1" ref="B703" ca="1">IFERROR(INDIRECT($B$2&amp;"!"&amp;C703&amp;D703),"")</f>
        <v>0</v>
      </c>
      <c r="C703" s="360" t="s">
        <v>117</v>
      </c>
      <c r="D703" s="351">
        <f t="shared" ca="1" si="63"/>
        <v>21</v>
      </c>
      <c r="F703" s="169" t="str">
        <f ca="1">IF(OR(B703="",B703=0),"","   "&amp;A703&amp;": "&amp;B703&amp;",")</f>
        <v/>
      </c>
    </row>
    <row r="704" spans="1:6" hidden="1">
      <c r="A704" s="150" t="str" cm="1">
        <f t="array" aca="1" ref="A704" ca="1">INDIRECT($B$2&amp;"!"&amp;C704&amp;"15")</f>
        <v>width</v>
      </c>
      <c r="B704" s="130" cm="1">
        <f t="array" aca="1" ref="B704" ca="1">IFERROR(INDIRECT($B$2&amp;"!"&amp;C704&amp;D704),"")</f>
        <v>0</v>
      </c>
      <c r="C704" s="360" t="s">
        <v>61</v>
      </c>
      <c r="D704" s="351">
        <f t="shared" ca="1" si="63"/>
        <v>21</v>
      </c>
      <c r="F704" s="169" t="str">
        <f ca="1">IF(OR(B704="",B704=0),"","   "&amp;A704&amp;": "&amp;B704&amp;",")</f>
        <v/>
      </c>
    </row>
    <row r="705" spans="1:6" hidden="1">
      <c r="A705" s="150" t="str" cm="1">
        <f t="array" aca="1" ref="A705" ca="1">INDIRECT($B$2&amp;"!"&amp;C705&amp;"15")</f>
        <v>visible</v>
      </c>
      <c r="B705" s="323" t="str" cm="1">
        <f t="array" aca="1" ref="B705" ca="1">IFERROR(INDIRECT($B$2&amp;"!"&amp;C705&amp;D705),"")</f>
        <v/>
      </c>
      <c r="C705" s="360" t="s">
        <v>118</v>
      </c>
      <c r="D705" s="351">
        <f t="shared" ca="1" si="63"/>
        <v>21</v>
      </c>
      <c r="F705" s="126" t="str">
        <f ca="1">IF(OR(B705="",B705,B705=0),"","          "&amp;A705&amp;": "&amp;B705&amp;",")</f>
        <v/>
      </c>
    </row>
    <row r="706" spans="1:6" hidden="1">
      <c r="A706" s="156" t="s">
        <v>1399</v>
      </c>
      <c r="B706" s="156"/>
      <c r="D706" s="351">
        <f t="shared" ca="1" si="63"/>
        <v>21</v>
      </c>
      <c r="F706" s="169" t="str">
        <f ca="1">IF(D705&gt;$O$2,"","},")</f>
        <v/>
      </c>
    </row>
    <row r="707" spans="1:6" hidden="1">
      <c r="A707" s="475" t="s">
        <v>1400</v>
      </c>
      <c r="B707" s="130" cm="1">
        <f t="array" aca="1" ref="B707" ca="1">IFERROR(INDIRECT($B$2&amp;"!"&amp;C707&amp;D707),"")</f>
        <v>0</v>
      </c>
      <c r="C707" s="350" t="s">
        <v>97</v>
      </c>
      <c r="D707" s="351">
        <f ca="1">IF(D706&gt;$O$2,0,IF(A707="eNd",1,0))+D706</f>
        <v>21</v>
      </c>
      <c r="F707" s="169" t="str">
        <f ca="1">IF(OR(B707="",B707=0),"","{  "&amp;A707&amp;": "&amp;CHAR(34)&amp;$B707&amp;CHAR(34)&amp;",")</f>
        <v/>
      </c>
    </row>
    <row r="708" spans="1:6" hidden="1">
      <c r="A708" s="150" t="str" cm="1">
        <f t="array" aca="1" ref="A708" ca="1">INDIRECT($B$2&amp;"!"&amp;C708&amp;"15")</f>
        <v>caption</v>
      </c>
      <c r="B708" s="130" t="str" cm="1">
        <f t="array" aca="1" ref="B708" ca="1">IFERROR(INDIRECT($B$2&amp;"!"&amp;C708&amp;D708),"")</f>
        <v/>
      </c>
      <c r="C708" s="350" t="s">
        <v>112</v>
      </c>
      <c r="D708" s="351">
        <f t="shared" ref="D708:D717" ca="1" si="64">IF(D707&gt;$O$2,0,IF(A708="eNd",1,0))+D707</f>
        <v>21</v>
      </c>
      <c r="F708" s="169" t="str">
        <f ca="1">IF(OR(B708="",B708=0),"","   "&amp;A708&amp;":"&amp;CHAR(34)&amp;B708&amp;CHAR(34)&amp;",")</f>
        <v/>
      </c>
    </row>
    <row r="709" spans="1:6" hidden="1">
      <c r="A709" s="150" t="str" cm="1">
        <f t="array" aca="1" ref="A709" ca="1">INDIRECT($B$2&amp;"!"&amp;C709&amp;"15")</f>
        <v>sortOrder</v>
      </c>
      <c r="B709" s="130" t="str" cm="1">
        <f t="array" aca="1" ref="B709" ca="1">IFERROR(INDIRECT($B$2&amp;"!"&amp;C709&amp;D709),"")</f>
        <v/>
      </c>
      <c r="C709" s="350" t="s">
        <v>119</v>
      </c>
      <c r="D709" s="351">
        <f t="shared" ca="1" si="64"/>
        <v>21</v>
      </c>
      <c r="F709" s="169" t="str">
        <f ca="1">IF(OR(B709="",B709=0),"","   "&amp;A709&amp;":"&amp;CHAR(34)&amp;B709&amp;CHAR(34)&amp;",")</f>
        <v/>
      </c>
    </row>
    <row r="710" spans="1:6" hidden="1">
      <c r="A710" s="150" t="str" cm="1">
        <f t="array" aca="1" ref="A710" ca="1">INDIRECT($B$2&amp;"!"&amp;C710&amp;"15")</f>
        <v>groupIndex</v>
      </c>
      <c r="B710" s="130" cm="1">
        <f t="array" aca="1" ref="B710" ca="1">IFERROR(INDIRECT($B$2&amp;"!"&amp;C710&amp;D710),"")</f>
        <v>0</v>
      </c>
      <c r="C710" s="355" t="s">
        <v>113</v>
      </c>
      <c r="D710" s="351">
        <f t="shared" ca="1" si="64"/>
        <v>21</v>
      </c>
      <c r="F710" s="126" t="str">
        <f ca="1">IF(OR(B710="",B710=0),"","            "&amp;A710&amp;": "&amp;B710-1&amp;",")</f>
        <v/>
      </c>
    </row>
    <row r="711" spans="1:6" hidden="1">
      <c r="A711" s="150" t="str" cm="1">
        <f t="array" aca="1" ref="A711" ca="1">INDIRECT($B$2&amp;"!"&amp;C711&amp;"15")</f>
        <v>dataType</v>
      </c>
      <c r="B711" s="130" cm="1">
        <f t="array" aca="1" ref="B711" ca="1">IFERROR(INDIRECT($B$2&amp;"!"&amp;C711&amp;D711),"")</f>
        <v>0</v>
      </c>
      <c r="C711" s="355" t="s">
        <v>114</v>
      </c>
      <c r="D711" s="351">
        <f t="shared" ca="1" si="64"/>
        <v>21</v>
      </c>
      <c r="F711" s="169" t="str">
        <f ca="1">IF(OR(B711="",B711=0),"","   "&amp;A711&amp;":"&amp;CHAR(34)&amp;B711&amp;CHAR(34)&amp;",")</f>
        <v/>
      </c>
    </row>
    <row r="712" spans="1:6" hidden="1">
      <c r="A712" s="150" t="str" cm="1">
        <f t="array" aca="1" ref="A712" ca="1">INDIRECT($B$2&amp;"!"&amp;C712&amp;"15")</f>
        <v>format</v>
      </c>
      <c r="B712" s="130" cm="1">
        <f t="array" aca="1" ref="B712" ca="1">IFERROR(INDIRECT($B$2&amp;"!"&amp;C712&amp;D712),"")</f>
        <v>0</v>
      </c>
      <c r="C712" s="355" t="s">
        <v>115</v>
      </c>
      <c r="D712" s="351">
        <f t="shared" ca="1" si="64"/>
        <v>21</v>
      </c>
      <c r="F712" s="169" t="str">
        <f ca="1">IF(OR(B712="",B712=0),"","   "&amp;A712&amp;":"&amp;IF(B712="fixedPoint",D711,CHAR(34)&amp;B712&amp;CHAR(34)&amp;","))</f>
        <v/>
      </c>
    </row>
    <row r="713" spans="1:6" hidden="1">
      <c r="A713" s="150" t="str" cm="1">
        <f t="array" aca="1" ref="A713" ca="1">INDIRECT($B$2&amp;"!"&amp;C713&amp;"15")</f>
        <v>validationRules</v>
      </c>
      <c r="B713" s="130" cm="1">
        <f t="array" aca="1" ref="B713" ca="1">IFERROR(INDIRECT($B$2&amp;"!"&amp;C713&amp;D713),"")</f>
        <v>0</v>
      </c>
      <c r="C713" s="350" t="s">
        <v>116</v>
      </c>
      <c r="D713" s="351">
        <f t="shared" ca="1" si="64"/>
        <v>21</v>
      </c>
      <c r="F713" s="169" t="str">
        <f ca="1">IF(B713,"   "&amp;A713&amp;": [{type: 'required',message: '"&amp;B708&amp;" is required' }],","")</f>
        <v/>
      </c>
    </row>
    <row r="714" spans="1:6" hidden="1">
      <c r="A714" s="150" t="str" cm="1">
        <f t="array" aca="1" ref="A714" ca="1">INDIRECT($B$2&amp;"!"&amp;C714&amp;"15")</f>
        <v>allowHiding</v>
      </c>
      <c r="B714" s="130" cm="1">
        <f t="array" aca="1" ref="B714" ca="1">IFERROR(INDIRECT($B$2&amp;"!"&amp;C714&amp;D714),"")</f>
        <v>0</v>
      </c>
      <c r="C714" s="360" t="s">
        <v>117</v>
      </c>
      <c r="D714" s="351">
        <f t="shared" ca="1" si="64"/>
        <v>21</v>
      </c>
      <c r="F714" s="169" t="str">
        <f ca="1">IF(OR(B714="",B714=0),"","   "&amp;A714&amp;": "&amp;B714&amp;",")</f>
        <v/>
      </c>
    </row>
    <row r="715" spans="1:6" hidden="1">
      <c r="A715" s="150" t="str" cm="1">
        <f t="array" aca="1" ref="A715" ca="1">INDIRECT($B$2&amp;"!"&amp;C715&amp;"15")</f>
        <v>width</v>
      </c>
      <c r="B715" s="130" cm="1">
        <f t="array" aca="1" ref="B715" ca="1">IFERROR(INDIRECT($B$2&amp;"!"&amp;C715&amp;D715),"")</f>
        <v>0</v>
      </c>
      <c r="C715" s="360" t="s">
        <v>61</v>
      </c>
      <c r="D715" s="351">
        <f t="shared" ca="1" si="64"/>
        <v>21</v>
      </c>
      <c r="F715" s="169" t="str">
        <f ca="1">IF(OR(B715="",B715=0),"","   "&amp;A715&amp;": "&amp;B715&amp;",")</f>
        <v/>
      </c>
    </row>
    <row r="716" spans="1:6" hidden="1">
      <c r="A716" s="150" t="str" cm="1">
        <f t="array" aca="1" ref="A716" ca="1">INDIRECT($B$2&amp;"!"&amp;C716&amp;"15")</f>
        <v>visible</v>
      </c>
      <c r="B716" s="323" t="str" cm="1">
        <f t="array" aca="1" ref="B716" ca="1">IFERROR(INDIRECT($B$2&amp;"!"&amp;C716&amp;D716),"")</f>
        <v/>
      </c>
      <c r="C716" s="360" t="s">
        <v>118</v>
      </c>
      <c r="D716" s="351">
        <f t="shared" ca="1" si="64"/>
        <v>21</v>
      </c>
      <c r="F716" s="126" t="str">
        <f ca="1">IF(OR(B716="",B716,B716=0),"","          "&amp;A716&amp;": "&amp;B716&amp;",")</f>
        <v/>
      </c>
    </row>
    <row r="717" spans="1:6" hidden="1">
      <c r="A717" s="156" t="s">
        <v>1399</v>
      </c>
      <c r="B717" s="156"/>
      <c r="D717" s="351">
        <f t="shared" ca="1" si="64"/>
        <v>21</v>
      </c>
      <c r="F717" s="169" t="str">
        <f ca="1">IF(D716&gt;$O$2,"","},")</f>
        <v/>
      </c>
    </row>
    <row r="718" spans="1:6" hidden="1">
      <c r="A718" s="475" t="s">
        <v>1400</v>
      </c>
      <c r="B718" s="130" cm="1">
        <f t="array" aca="1" ref="B718" ca="1">IFERROR(INDIRECT($B$2&amp;"!"&amp;C718&amp;D718),"")</f>
        <v>0</v>
      </c>
      <c r="C718" s="350" t="s">
        <v>97</v>
      </c>
      <c r="D718" s="351">
        <f ca="1">IF(D717&gt;$O$2,0,IF(A718="eNd",1,0))+D717</f>
        <v>21</v>
      </c>
      <c r="F718" s="169" t="str">
        <f ca="1">IF(OR(B718="",B718=0),"","{  "&amp;A718&amp;": "&amp;CHAR(34)&amp;$B718&amp;CHAR(34)&amp;",")</f>
        <v/>
      </c>
    </row>
    <row r="719" spans="1:6" hidden="1">
      <c r="A719" s="150" t="str" cm="1">
        <f t="array" aca="1" ref="A719" ca="1">INDIRECT($B$2&amp;"!"&amp;C719&amp;"15")</f>
        <v>caption</v>
      </c>
      <c r="B719" s="130" t="str" cm="1">
        <f t="array" aca="1" ref="B719" ca="1">IFERROR(INDIRECT($B$2&amp;"!"&amp;C719&amp;D719),"")</f>
        <v/>
      </c>
      <c r="C719" s="350" t="s">
        <v>112</v>
      </c>
      <c r="D719" s="351">
        <f t="shared" ref="D719:D728" ca="1" si="65">IF(D718&gt;$O$2,0,IF(A719="eNd",1,0))+D718</f>
        <v>21</v>
      </c>
      <c r="F719" s="169" t="str">
        <f ca="1">IF(OR(B719="",B719=0),"","   "&amp;A719&amp;":"&amp;CHAR(34)&amp;B719&amp;CHAR(34)&amp;",")</f>
        <v/>
      </c>
    </row>
    <row r="720" spans="1:6" hidden="1">
      <c r="A720" s="150" t="str" cm="1">
        <f t="array" aca="1" ref="A720" ca="1">INDIRECT($B$2&amp;"!"&amp;C720&amp;"15")</f>
        <v>sortOrder</v>
      </c>
      <c r="B720" s="130" t="str" cm="1">
        <f t="array" aca="1" ref="B720" ca="1">IFERROR(INDIRECT($B$2&amp;"!"&amp;C720&amp;D720),"")</f>
        <v/>
      </c>
      <c r="C720" s="350" t="s">
        <v>119</v>
      </c>
      <c r="D720" s="351">
        <f t="shared" ca="1" si="65"/>
        <v>21</v>
      </c>
      <c r="F720" s="169" t="str">
        <f ca="1">IF(OR(B720="",B720=0),"","   "&amp;A720&amp;":"&amp;CHAR(34)&amp;B720&amp;CHAR(34)&amp;",")</f>
        <v/>
      </c>
    </row>
    <row r="721" spans="1:6" hidden="1">
      <c r="A721" s="150" t="str" cm="1">
        <f t="array" aca="1" ref="A721" ca="1">INDIRECT($B$2&amp;"!"&amp;C721&amp;"15")</f>
        <v>groupIndex</v>
      </c>
      <c r="B721" s="130" cm="1">
        <f t="array" aca="1" ref="B721" ca="1">IFERROR(INDIRECT($B$2&amp;"!"&amp;C721&amp;D721),"")</f>
        <v>0</v>
      </c>
      <c r="C721" s="355" t="s">
        <v>113</v>
      </c>
      <c r="D721" s="351">
        <f t="shared" ca="1" si="65"/>
        <v>21</v>
      </c>
      <c r="F721" s="126" t="str">
        <f ca="1">IF(OR(B721="",B721=0),"","            "&amp;A721&amp;": "&amp;B721-1&amp;",")</f>
        <v/>
      </c>
    </row>
    <row r="722" spans="1:6" hidden="1">
      <c r="A722" s="150" t="str" cm="1">
        <f t="array" aca="1" ref="A722" ca="1">INDIRECT($B$2&amp;"!"&amp;C722&amp;"15")</f>
        <v>dataType</v>
      </c>
      <c r="B722" s="130" cm="1">
        <f t="array" aca="1" ref="B722" ca="1">IFERROR(INDIRECT($B$2&amp;"!"&amp;C722&amp;D722),"")</f>
        <v>0</v>
      </c>
      <c r="C722" s="355" t="s">
        <v>114</v>
      </c>
      <c r="D722" s="351">
        <f t="shared" ca="1" si="65"/>
        <v>21</v>
      </c>
      <c r="F722" s="169" t="str">
        <f ca="1">IF(OR(B722="",B722=0),"","   "&amp;A722&amp;":"&amp;CHAR(34)&amp;B722&amp;CHAR(34)&amp;",")</f>
        <v/>
      </c>
    </row>
    <row r="723" spans="1:6" hidden="1">
      <c r="A723" s="150" t="str" cm="1">
        <f t="array" aca="1" ref="A723" ca="1">INDIRECT($B$2&amp;"!"&amp;C723&amp;"15")</f>
        <v>format</v>
      </c>
      <c r="B723" s="130" cm="1">
        <f t="array" aca="1" ref="B723" ca="1">IFERROR(INDIRECT($B$2&amp;"!"&amp;C723&amp;D723),"")</f>
        <v>0</v>
      </c>
      <c r="C723" s="355" t="s">
        <v>115</v>
      </c>
      <c r="D723" s="351">
        <f t="shared" ca="1" si="65"/>
        <v>21</v>
      </c>
      <c r="F723" s="169" t="str">
        <f ca="1">IF(OR(B723="",B723=0),"","   "&amp;A723&amp;":"&amp;IF(B723="fixedPoint",D722,CHAR(34)&amp;B723&amp;CHAR(34)&amp;","))</f>
        <v/>
      </c>
    </row>
    <row r="724" spans="1:6" hidden="1">
      <c r="A724" s="150" t="str" cm="1">
        <f t="array" aca="1" ref="A724" ca="1">INDIRECT($B$2&amp;"!"&amp;C724&amp;"15")</f>
        <v>validationRules</v>
      </c>
      <c r="B724" s="130" cm="1">
        <f t="array" aca="1" ref="B724" ca="1">IFERROR(INDIRECT($B$2&amp;"!"&amp;C724&amp;D724),"")</f>
        <v>0</v>
      </c>
      <c r="C724" s="350" t="s">
        <v>116</v>
      </c>
      <c r="D724" s="351">
        <f t="shared" ca="1" si="65"/>
        <v>21</v>
      </c>
      <c r="F724" s="169" t="str">
        <f ca="1">IF(B724,"   "&amp;A724&amp;": [{type: 'required',message: '"&amp;B719&amp;" is required' }],","")</f>
        <v/>
      </c>
    </row>
    <row r="725" spans="1:6" hidden="1">
      <c r="A725" s="150" t="str" cm="1">
        <f t="array" aca="1" ref="A725" ca="1">INDIRECT($B$2&amp;"!"&amp;C725&amp;"15")</f>
        <v>allowHiding</v>
      </c>
      <c r="B725" s="130" cm="1">
        <f t="array" aca="1" ref="B725" ca="1">IFERROR(INDIRECT($B$2&amp;"!"&amp;C725&amp;D725),"")</f>
        <v>0</v>
      </c>
      <c r="C725" s="360" t="s">
        <v>117</v>
      </c>
      <c r="D725" s="351">
        <f t="shared" ca="1" si="65"/>
        <v>21</v>
      </c>
      <c r="F725" s="169" t="str">
        <f ca="1">IF(OR(B725="",B725=0),"","   "&amp;A725&amp;": "&amp;B725&amp;",")</f>
        <v/>
      </c>
    </row>
    <row r="726" spans="1:6" hidden="1">
      <c r="A726" s="150" t="str" cm="1">
        <f t="array" aca="1" ref="A726" ca="1">INDIRECT($B$2&amp;"!"&amp;C726&amp;"15")</f>
        <v>width</v>
      </c>
      <c r="B726" s="130" cm="1">
        <f t="array" aca="1" ref="B726" ca="1">IFERROR(INDIRECT($B$2&amp;"!"&amp;C726&amp;D726),"")</f>
        <v>0</v>
      </c>
      <c r="C726" s="360" t="s">
        <v>61</v>
      </c>
      <c r="D726" s="351">
        <f t="shared" ca="1" si="65"/>
        <v>21</v>
      </c>
      <c r="F726" s="169" t="str">
        <f ca="1">IF(OR(B726="",B726=0),"","   "&amp;A726&amp;": "&amp;B726&amp;",")</f>
        <v/>
      </c>
    </row>
    <row r="727" spans="1:6" hidden="1">
      <c r="A727" s="150" t="str" cm="1">
        <f t="array" aca="1" ref="A727" ca="1">INDIRECT($B$2&amp;"!"&amp;C727&amp;"15")</f>
        <v>visible</v>
      </c>
      <c r="B727" s="323" t="str" cm="1">
        <f t="array" aca="1" ref="B727" ca="1">IFERROR(INDIRECT($B$2&amp;"!"&amp;C727&amp;D727),"")</f>
        <v/>
      </c>
      <c r="C727" s="360" t="s">
        <v>118</v>
      </c>
      <c r="D727" s="351">
        <f t="shared" ca="1" si="65"/>
        <v>21</v>
      </c>
      <c r="F727" s="126" t="str">
        <f ca="1">IF(OR(B727="",B727,B727=0),"","          "&amp;A727&amp;": "&amp;B727&amp;",")</f>
        <v/>
      </c>
    </row>
    <row r="728" spans="1:6" hidden="1">
      <c r="A728" s="156" t="s">
        <v>1399</v>
      </c>
      <c r="B728" s="156"/>
      <c r="D728" s="351">
        <f t="shared" ca="1" si="65"/>
        <v>21</v>
      </c>
      <c r="F728" s="169" t="str">
        <f ca="1">IF(D727&gt;$O$2,"","},")</f>
        <v/>
      </c>
    </row>
    <row r="729" spans="1:6" hidden="1">
      <c r="A729" s="475" t="s">
        <v>1400</v>
      </c>
      <c r="B729" s="130" cm="1">
        <f t="array" aca="1" ref="B729" ca="1">IFERROR(INDIRECT($B$2&amp;"!"&amp;C729&amp;D729),"")</f>
        <v>0</v>
      </c>
      <c r="C729" s="350" t="s">
        <v>97</v>
      </c>
      <c r="D729" s="351">
        <f ca="1">IF(D728&gt;$O$2,0,IF(A729="eNd",1,0))+D728</f>
        <v>21</v>
      </c>
      <c r="F729" s="169" t="str">
        <f ca="1">IF(OR(B729="",B729=0),"","{  "&amp;A729&amp;": "&amp;CHAR(34)&amp;$B729&amp;CHAR(34)&amp;",")</f>
        <v/>
      </c>
    </row>
    <row r="730" spans="1:6" hidden="1">
      <c r="A730" s="150" t="str" cm="1">
        <f t="array" aca="1" ref="A730" ca="1">INDIRECT($B$2&amp;"!"&amp;C730&amp;"15")</f>
        <v>caption</v>
      </c>
      <c r="B730" s="130" t="str" cm="1">
        <f t="array" aca="1" ref="B730" ca="1">IFERROR(INDIRECT($B$2&amp;"!"&amp;C730&amp;D730),"")</f>
        <v/>
      </c>
      <c r="C730" s="350" t="s">
        <v>112</v>
      </c>
      <c r="D730" s="351">
        <f t="shared" ref="D730:D739" ca="1" si="66">IF(D729&gt;$O$2,0,IF(A730="eNd",1,0))+D729</f>
        <v>21</v>
      </c>
      <c r="F730" s="169" t="str">
        <f ca="1">IF(OR(B730="",B730=0),"","   "&amp;A730&amp;":"&amp;CHAR(34)&amp;B730&amp;CHAR(34)&amp;",")</f>
        <v/>
      </c>
    </row>
    <row r="731" spans="1:6" hidden="1">
      <c r="A731" s="150" t="str" cm="1">
        <f t="array" aca="1" ref="A731" ca="1">INDIRECT($B$2&amp;"!"&amp;C731&amp;"15")</f>
        <v>sortOrder</v>
      </c>
      <c r="B731" s="130" t="str" cm="1">
        <f t="array" aca="1" ref="B731" ca="1">IFERROR(INDIRECT($B$2&amp;"!"&amp;C731&amp;D731),"")</f>
        <v/>
      </c>
      <c r="C731" s="350" t="s">
        <v>119</v>
      </c>
      <c r="D731" s="351">
        <f t="shared" ca="1" si="66"/>
        <v>21</v>
      </c>
      <c r="F731" s="169" t="str">
        <f ca="1">IF(OR(B731="",B731=0),"","   "&amp;A731&amp;":"&amp;CHAR(34)&amp;B731&amp;CHAR(34)&amp;",")</f>
        <v/>
      </c>
    </row>
    <row r="732" spans="1:6" hidden="1">
      <c r="A732" s="150" t="str" cm="1">
        <f t="array" aca="1" ref="A732" ca="1">INDIRECT($B$2&amp;"!"&amp;C732&amp;"15")</f>
        <v>groupIndex</v>
      </c>
      <c r="B732" s="130" cm="1">
        <f t="array" aca="1" ref="B732" ca="1">IFERROR(INDIRECT($B$2&amp;"!"&amp;C732&amp;D732),"")</f>
        <v>0</v>
      </c>
      <c r="C732" s="355" t="s">
        <v>113</v>
      </c>
      <c r="D732" s="351">
        <f t="shared" ca="1" si="66"/>
        <v>21</v>
      </c>
      <c r="F732" s="126" t="str">
        <f ca="1">IF(OR(B732="",B732=0),"","            "&amp;A732&amp;": "&amp;B732-1&amp;",")</f>
        <v/>
      </c>
    </row>
    <row r="733" spans="1:6" hidden="1">
      <c r="A733" s="150" t="str" cm="1">
        <f t="array" aca="1" ref="A733" ca="1">INDIRECT($B$2&amp;"!"&amp;C733&amp;"15")</f>
        <v>dataType</v>
      </c>
      <c r="B733" s="130" cm="1">
        <f t="array" aca="1" ref="B733" ca="1">IFERROR(INDIRECT($B$2&amp;"!"&amp;C733&amp;D733),"")</f>
        <v>0</v>
      </c>
      <c r="C733" s="355" t="s">
        <v>114</v>
      </c>
      <c r="D733" s="351">
        <f t="shared" ca="1" si="66"/>
        <v>21</v>
      </c>
      <c r="F733" s="169" t="str">
        <f ca="1">IF(OR(B733="",B733=0),"","   "&amp;A733&amp;":"&amp;CHAR(34)&amp;B733&amp;CHAR(34)&amp;",")</f>
        <v/>
      </c>
    </row>
    <row r="734" spans="1:6" hidden="1">
      <c r="A734" s="150" t="str" cm="1">
        <f t="array" aca="1" ref="A734" ca="1">INDIRECT($B$2&amp;"!"&amp;C734&amp;"15")</f>
        <v>format</v>
      </c>
      <c r="B734" s="130" cm="1">
        <f t="array" aca="1" ref="B734" ca="1">IFERROR(INDIRECT($B$2&amp;"!"&amp;C734&amp;D734),"")</f>
        <v>0</v>
      </c>
      <c r="C734" s="355" t="s">
        <v>115</v>
      </c>
      <c r="D734" s="351">
        <f t="shared" ca="1" si="66"/>
        <v>21</v>
      </c>
      <c r="F734" s="169" t="str">
        <f ca="1">IF(OR(B734="",B734=0),"","   "&amp;A734&amp;":"&amp;IF(B734="fixedPoint",D733,CHAR(34)&amp;B734&amp;CHAR(34)&amp;","))</f>
        <v/>
      </c>
    </row>
    <row r="735" spans="1:6" hidden="1">
      <c r="A735" s="150" t="str" cm="1">
        <f t="array" aca="1" ref="A735" ca="1">INDIRECT($B$2&amp;"!"&amp;C735&amp;"15")</f>
        <v>validationRules</v>
      </c>
      <c r="B735" s="130" cm="1">
        <f t="array" aca="1" ref="B735" ca="1">IFERROR(INDIRECT($B$2&amp;"!"&amp;C735&amp;D735),"")</f>
        <v>0</v>
      </c>
      <c r="C735" s="350" t="s">
        <v>116</v>
      </c>
      <c r="D735" s="351">
        <f t="shared" ca="1" si="66"/>
        <v>21</v>
      </c>
      <c r="F735" s="169" t="str">
        <f ca="1">IF(B735,"   "&amp;A735&amp;": [{type: 'required',message: '"&amp;B730&amp;" is required' }],","")</f>
        <v/>
      </c>
    </row>
    <row r="736" spans="1:6" hidden="1">
      <c r="A736" s="150" t="str" cm="1">
        <f t="array" aca="1" ref="A736" ca="1">INDIRECT($B$2&amp;"!"&amp;C736&amp;"15")</f>
        <v>allowHiding</v>
      </c>
      <c r="B736" s="130" cm="1">
        <f t="array" aca="1" ref="B736" ca="1">IFERROR(INDIRECT($B$2&amp;"!"&amp;C736&amp;D736),"")</f>
        <v>0</v>
      </c>
      <c r="C736" s="360" t="s">
        <v>117</v>
      </c>
      <c r="D736" s="351">
        <f t="shared" ca="1" si="66"/>
        <v>21</v>
      </c>
      <c r="F736" s="169" t="str">
        <f ca="1">IF(OR(B736="",B736=0),"","   "&amp;A736&amp;": "&amp;B736&amp;",")</f>
        <v/>
      </c>
    </row>
    <row r="737" spans="1:6" hidden="1">
      <c r="A737" s="150" t="str" cm="1">
        <f t="array" aca="1" ref="A737" ca="1">INDIRECT($B$2&amp;"!"&amp;C737&amp;"15")</f>
        <v>width</v>
      </c>
      <c r="B737" s="130" cm="1">
        <f t="array" aca="1" ref="B737" ca="1">IFERROR(INDIRECT($B$2&amp;"!"&amp;C737&amp;D737),"")</f>
        <v>0</v>
      </c>
      <c r="C737" s="360" t="s">
        <v>61</v>
      </c>
      <c r="D737" s="351">
        <f t="shared" ca="1" si="66"/>
        <v>21</v>
      </c>
      <c r="F737" s="169" t="str">
        <f ca="1">IF(OR(B737="",B737=0),"","   "&amp;A737&amp;": "&amp;B737&amp;",")</f>
        <v/>
      </c>
    </row>
    <row r="738" spans="1:6" hidden="1">
      <c r="A738" s="150" t="str" cm="1">
        <f t="array" aca="1" ref="A738" ca="1">INDIRECT($B$2&amp;"!"&amp;C738&amp;"15")</f>
        <v>visible</v>
      </c>
      <c r="B738" s="323" t="str" cm="1">
        <f t="array" aca="1" ref="B738" ca="1">IFERROR(INDIRECT($B$2&amp;"!"&amp;C738&amp;D738),"")</f>
        <v/>
      </c>
      <c r="C738" s="360" t="s">
        <v>118</v>
      </c>
      <c r="D738" s="351">
        <f t="shared" ca="1" si="66"/>
        <v>21</v>
      </c>
      <c r="F738" s="126" t="str">
        <f ca="1">IF(OR(B738="",B738,B738=0),"","          "&amp;A738&amp;": "&amp;B738&amp;",")</f>
        <v/>
      </c>
    </row>
    <row r="739" spans="1:6" hidden="1">
      <c r="A739" s="156" t="s">
        <v>1399</v>
      </c>
      <c r="B739" s="156"/>
      <c r="D739" s="351">
        <f t="shared" ca="1" si="66"/>
        <v>21</v>
      </c>
      <c r="F739" s="169" t="str">
        <f ca="1">IF(D738&gt;$O$2,"","},")</f>
        <v/>
      </c>
    </row>
    <row r="740" spans="1:6" hidden="1">
      <c r="A740" s="475" t="s">
        <v>1400</v>
      </c>
      <c r="B740" s="130" cm="1">
        <f t="array" aca="1" ref="B740" ca="1">IFERROR(INDIRECT($B$2&amp;"!"&amp;C740&amp;D740),"")</f>
        <v>0</v>
      </c>
      <c r="C740" s="350" t="s">
        <v>97</v>
      </c>
      <c r="D740" s="351">
        <f ca="1">IF(D739&gt;$O$2,0,IF(A740="eNd",1,0))+D739</f>
        <v>21</v>
      </c>
      <c r="F740" s="169" t="str">
        <f ca="1">IF(OR(B740="",B740=0),"","{  "&amp;A740&amp;": "&amp;CHAR(34)&amp;$B740&amp;CHAR(34)&amp;",")</f>
        <v/>
      </c>
    </row>
    <row r="741" spans="1:6" hidden="1">
      <c r="A741" s="150" t="str" cm="1">
        <f t="array" aca="1" ref="A741" ca="1">INDIRECT($B$2&amp;"!"&amp;C741&amp;"15")</f>
        <v>caption</v>
      </c>
      <c r="B741" s="130" t="str" cm="1">
        <f t="array" aca="1" ref="B741" ca="1">IFERROR(INDIRECT($B$2&amp;"!"&amp;C741&amp;D741),"")</f>
        <v/>
      </c>
      <c r="C741" s="350" t="s">
        <v>112</v>
      </c>
      <c r="D741" s="351">
        <f t="shared" ref="D741:D750" ca="1" si="67">IF(D740&gt;$O$2,0,IF(A741="eNd",1,0))+D740</f>
        <v>21</v>
      </c>
      <c r="F741" s="169" t="str">
        <f ca="1">IF(OR(B741="",B741=0),"","   "&amp;A741&amp;":"&amp;CHAR(34)&amp;B741&amp;CHAR(34)&amp;",")</f>
        <v/>
      </c>
    </row>
    <row r="742" spans="1:6" hidden="1">
      <c r="A742" s="150" t="str" cm="1">
        <f t="array" aca="1" ref="A742" ca="1">INDIRECT($B$2&amp;"!"&amp;C742&amp;"15")</f>
        <v>sortOrder</v>
      </c>
      <c r="B742" s="130" t="str" cm="1">
        <f t="array" aca="1" ref="B742" ca="1">IFERROR(INDIRECT($B$2&amp;"!"&amp;C742&amp;D742),"")</f>
        <v/>
      </c>
      <c r="C742" s="350" t="s">
        <v>119</v>
      </c>
      <c r="D742" s="351">
        <f t="shared" ca="1" si="67"/>
        <v>21</v>
      </c>
      <c r="F742" s="169" t="str">
        <f ca="1">IF(OR(B742="",B742=0),"","   "&amp;A742&amp;":"&amp;CHAR(34)&amp;B742&amp;CHAR(34)&amp;",")</f>
        <v/>
      </c>
    </row>
    <row r="743" spans="1:6" hidden="1">
      <c r="A743" s="150" t="str" cm="1">
        <f t="array" aca="1" ref="A743" ca="1">INDIRECT($B$2&amp;"!"&amp;C743&amp;"15")</f>
        <v>groupIndex</v>
      </c>
      <c r="B743" s="130" cm="1">
        <f t="array" aca="1" ref="B743" ca="1">IFERROR(INDIRECT($B$2&amp;"!"&amp;C743&amp;D743),"")</f>
        <v>0</v>
      </c>
      <c r="C743" s="355" t="s">
        <v>113</v>
      </c>
      <c r="D743" s="351">
        <f t="shared" ca="1" si="67"/>
        <v>21</v>
      </c>
      <c r="F743" s="126" t="str">
        <f ca="1">IF(OR(B743="",B743=0),"","            "&amp;A743&amp;": "&amp;B743-1&amp;",")</f>
        <v/>
      </c>
    </row>
    <row r="744" spans="1:6" hidden="1">
      <c r="A744" s="150" t="str" cm="1">
        <f t="array" aca="1" ref="A744" ca="1">INDIRECT($B$2&amp;"!"&amp;C744&amp;"15")</f>
        <v>dataType</v>
      </c>
      <c r="B744" s="130" cm="1">
        <f t="array" aca="1" ref="B744" ca="1">IFERROR(INDIRECT($B$2&amp;"!"&amp;C744&amp;D744),"")</f>
        <v>0</v>
      </c>
      <c r="C744" s="355" t="s">
        <v>114</v>
      </c>
      <c r="D744" s="351">
        <f t="shared" ca="1" si="67"/>
        <v>21</v>
      </c>
      <c r="F744" s="169" t="str">
        <f ca="1">IF(OR(B744="",B744=0),"","   "&amp;A744&amp;":"&amp;CHAR(34)&amp;B744&amp;CHAR(34)&amp;",")</f>
        <v/>
      </c>
    </row>
    <row r="745" spans="1:6" hidden="1">
      <c r="A745" s="150" t="str" cm="1">
        <f t="array" aca="1" ref="A745" ca="1">INDIRECT($B$2&amp;"!"&amp;C745&amp;"15")</f>
        <v>format</v>
      </c>
      <c r="B745" s="130" cm="1">
        <f t="array" aca="1" ref="B745" ca="1">IFERROR(INDIRECT($B$2&amp;"!"&amp;C745&amp;D745),"")</f>
        <v>0</v>
      </c>
      <c r="C745" s="355" t="s">
        <v>115</v>
      </c>
      <c r="D745" s="351">
        <f t="shared" ca="1" si="67"/>
        <v>21</v>
      </c>
      <c r="F745" s="169" t="str">
        <f ca="1">IF(OR(B745="",B745=0),"","   "&amp;A745&amp;":"&amp;IF(B745="fixedPoint",D744,CHAR(34)&amp;B745&amp;CHAR(34)&amp;","))</f>
        <v/>
      </c>
    </row>
    <row r="746" spans="1:6" hidden="1">
      <c r="A746" s="150" t="str" cm="1">
        <f t="array" aca="1" ref="A746" ca="1">INDIRECT($B$2&amp;"!"&amp;C746&amp;"15")</f>
        <v>validationRules</v>
      </c>
      <c r="B746" s="130" cm="1">
        <f t="array" aca="1" ref="B746" ca="1">IFERROR(INDIRECT($B$2&amp;"!"&amp;C746&amp;D746),"")</f>
        <v>0</v>
      </c>
      <c r="C746" s="350" t="s">
        <v>116</v>
      </c>
      <c r="D746" s="351">
        <f t="shared" ca="1" si="67"/>
        <v>21</v>
      </c>
      <c r="F746" s="169" t="str">
        <f ca="1">IF(B746,"   "&amp;A746&amp;": [{type: 'required',message: '"&amp;B741&amp;" is required' }],","")</f>
        <v/>
      </c>
    </row>
    <row r="747" spans="1:6" hidden="1">
      <c r="A747" s="150" t="str" cm="1">
        <f t="array" aca="1" ref="A747" ca="1">INDIRECT($B$2&amp;"!"&amp;C747&amp;"15")</f>
        <v>allowHiding</v>
      </c>
      <c r="B747" s="130" cm="1">
        <f t="array" aca="1" ref="B747" ca="1">IFERROR(INDIRECT($B$2&amp;"!"&amp;C747&amp;D747),"")</f>
        <v>0</v>
      </c>
      <c r="C747" s="360" t="s">
        <v>117</v>
      </c>
      <c r="D747" s="351">
        <f t="shared" ca="1" si="67"/>
        <v>21</v>
      </c>
      <c r="F747" s="169" t="str">
        <f ca="1">IF(OR(B747="",B747=0),"","   "&amp;A747&amp;": "&amp;B747&amp;",")</f>
        <v/>
      </c>
    </row>
    <row r="748" spans="1:6" hidden="1">
      <c r="A748" s="150" t="str" cm="1">
        <f t="array" aca="1" ref="A748" ca="1">INDIRECT($B$2&amp;"!"&amp;C748&amp;"15")</f>
        <v>width</v>
      </c>
      <c r="B748" s="130" cm="1">
        <f t="array" aca="1" ref="B748" ca="1">IFERROR(INDIRECT($B$2&amp;"!"&amp;C748&amp;D748),"")</f>
        <v>0</v>
      </c>
      <c r="C748" s="360" t="s">
        <v>61</v>
      </c>
      <c r="D748" s="351">
        <f t="shared" ca="1" si="67"/>
        <v>21</v>
      </c>
      <c r="F748" s="169" t="str">
        <f ca="1">IF(OR(B748="",B748=0),"","   "&amp;A748&amp;": "&amp;B748&amp;",")</f>
        <v/>
      </c>
    </row>
    <row r="749" spans="1:6" hidden="1">
      <c r="A749" s="150" t="str" cm="1">
        <f t="array" aca="1" ref="A749" ca="1">INDIRECT($B$2&amp;"!"&amp;C749&amp;"15")</f>
        <v>visible</v>
      </c>
      <c r="B749" s="323" t="str" cm="1">
        <f t="array" aca="1" ref="B749" ca="1">IFERROR(INDIRECT($B$2&amp;"!"&amp;C749&amp;D749),"")</f>
        <v/>
      </c>
      <c r="C749" s="360" t="s">
        <v>118</v>
      </c>
      <c r="D749" s="351">
        <f t="shared" ca="1" si="67"/>
        <v>21</v>
      </c>
      <c r="F749" s="126" t="str">
        <f ca="1">IF(OR(B749="",B749,B749=0),"","          "&amp;A749&amp;": "&amp;B749&amp;",")</f>
        <v/>
      </c>
    </row>
    <row r="750" spans="1:6" hidden="1">
      <c r="A750" s="156" t="s">
        <v>1399</v>
      </c>
      <c r="B750" s="156"/>
      <c r="D750" s="351">
        <f t="shared" ca="1" si="67"/>
        <v>21</v>
      </c>
      <c r="F750" s="169" t="str">
        <f ca="1">IF(D749&gt;$O$2,"","},")</f>
        <v/>
      </c>
    </row>
    <row r="751" spans="1:6" hidden="1">
      <c r="A751" s="475" t="s">
        <v>1400</v>
      </c>
      <c r="B751" s="130" cm="1">
        <f t="array" aca="1" ref="B751" ca="1">IFERROR(INDIRECT($B$2&amp;"!"&amp;C751&amp;D751),"")</f>
        <v>0</v>
      </c>
      <c r="C751" s="350" t="s">
        <v>97</v>
      </c>
      <c r="D751" s="351">
        <f ca="1">IF(D750&gt;$O$2,0,IF(A751="eNd",1,0))+D750</f>
        <v>21</v>
      </c>
      <c r="F751" s="169" t="str">
        <f ca="1">IF(OR(B751="",B751=0),"","{  "&amp;A751&amp;": "&amp;CHAR(34)&amp;$B751&amp;CHAR(34)&amp;",")</f>
        <v/>
      </c>
    </row>
    <row r="752" spans="1:6" hidden="1">
      <c r="A752" s="150" t="str" cm="1">
        <f t="array" aca="1" ref="A752" ca="1">INDIRECT($B$2&amp;"!"&amp;C752&amp;"15")</f>
        <v>caption</v>
      </c>
      <c r="B752" s="130" t="str" cm="1">
        <f t="array" aca="1" ref="B752" ca="1">IFERROR(INDIRECT($B$2&amp;"!"&amp;C752&amp;D752),"")</f>
        <v/>
      </c>
      <c r="C752" s="350" t="s">
        <v>112</v>
      </c>
      <c r="D752" s="351">
        <f t="shared" ref="D752:D761" ca="1" si="68">IF(D751&gt;$O$2,0,IF(A752="eNd",1,0))+D751</f>
        <v>21</v>
      </c>
      <c r="F752" s="169" t="str">
        <f ca="1">IF(OR(B752="",B752=0),"","   "&amp;A752&amp;":"&amp;CHAR(34)&amp;B752&amp;CHAR(34)&amp;",")</f>
        <v/>
      </c>
    </row>
    <row r="753" spans="1:6" hidden="1">
      <c r="A753" s="150" t="str" cm="1">
        <f t="array" aca="1" ref="A753" ca="1">INDIRECT($B$2&amp;"!"&amp;C753&amp;"15")</f>
        <v>sortOrder</v>
      </c>
      <c r="B753" s="130" t="str" cm="1">
        <f t="array" aca="1" ref="B753" ca="1">IFERROR(INDIRECT($B$2&amp;"!"&amp;C753&amp;D753),"")</f>
        <v/>
      </c>
      <c r="C753" s="350" t="s">
        <v>119</v>
      </c>
      <c r="D753" s="351">
        <f t="shared" ca="1" si="68"/>
        <v>21</v>
      </c>
      <c r="F753" s="169" t="str">
        <f ca="1">IF(OR(B753="",B753=0),"","   "&amp;A753&amp;":"&amp;CHAR(34)&amp;B753&amp;CHAR(34)&amp;",")</f>
        <v/>
      </c>
    </row>
    <row r="754" spans="1:6" hidden="1">
      <c r="A754" s="150" t="str" cm="1">
        <f t="array" aca="1" ref="A754" ca="1">INDIRECT($B$2&amp;"!"&amp;C754&amp;"15")</f>
        <v>groupIndex</v>
      </c>
      <c r="B754" s="130" cm="1">
        <f t="array" aca="1" ref="B754" ca="1">IFERROR(INDIRECT($B$2&amp;"!"&amp;C754&amp;D754),"")</f>
        <v>0</v>
      </c>
      <c r="C754" s="355" t="s">
        <v>113</v>
      </c>
      <c r="D754" s="351">
        <f t="shared" ca="1" si="68"/>
        <v>21</v>
      </c>
      <c r="F754" s="126" t="str">
        <f ca="1">IF(OR(B754="",B754=0),"","            "&amp;A754&amp;": "&amp;B754-1&amp;",")</f>
        <v/>
      </c>
    </row>
    <row r="755" spans="1:6" hidden="1">
      <c r="A755" s="150" t="str" cm="1">
        <f t="array" aca="1" ref="A755" ca="1">INDIRECT($B$2&amp;"!"&amp;C755&amp;"15")</f>
        <v>dataType</v>
      </c>
      <c r="B755" s="130" cm="1">
        <f t="array" aca="1" ref="B755" ca="1">IFERROR(INDIRECT($B$2&amp;"!"&amp;C755&amp;D755),"")</f>
        <v>0</v>
      </c>
      <c r="C755" s="355" t="s">
        <v>114</v>
      </c>
      <c r="D755" s="351">
        <f t="shared" ca="1" si="68"/>
        <v>21</v>
      </c>
      <c r="F755" s="169" t="str">
        <f ca="1">IF(OR(B755="",B755=0),"","   "&amp;A755&amp;":"&amp;CHAR(34)&amp;B755&amp;CHAR(34)&amp;",")</f>
        <v/>
      </c>
    </row>
    <row r="756" spans="1:6" hidden="1">
      <c r="A756" s="150" t="str" cm="1">
        <f t="array" aca="1" ref="A756" ca="1">INDIRECT($B$2&amp;"!"&amp;C756&amp;"15")</f>
        <v>format</v>
      </c>
      <c r="B756" s="130" cm="1">
        <f t="array" aca="1" ref="B756" ca="1">IFERROR(INDIRECT($B$2&amp;"!"&amp;C756&amp;D756),"")</f>
        <v>0</v>
      </c>
      <c r="C756" s="355" t="s">
        <v>115</v>
      </c>
      <c r="D756" s="351">
        <f t="shared" ca="1" si="68"/>
        <v>21</v>
      </c>
      <c r="F756" s="169" t="str">
        <f ca="1">IF(OR(B756="",B756=0),"","   "&amp;A756&amp;":"&amp;IF(B756="fixedPoint",D755,CHAR(34)&amp;B756&amp;CHAR(34)&amp;","))</f>
        <v/>
      </c>
    </row>
    <row r="757" spans="1:6" hidden="1">
      <c r="A757" s="150" t="str" cm="1">
        <f t="array" aca="1" ref="A757" ca="1">INDIRECT($B$2&amp;"!"&amp;C757&amp;"15")</f>
        <v>validationRules</v>
      </c>
      <c r="B757" s="130" cm="1">
        <f t="array" aca="1" ref="B757" ca="1">IFERROR(INDIRECT($B$2&amp;"!"&amp;C757&amp;D757),"")</f>
        <v>0</v>
      </c>
      <c r="C757" s="350" t="s">
        <v>116</v>
      </c>
      <c r="D757" s="351">
        <f t="shared" ca="1" si="68"/>
        <v>21</v>
      </c>
      <c r="F757" s="169" t="str">
        <f ca="1">IF(B757,"   "&amp;A757&amp;": [{type: 'required',message: '"&amp;B752&amp;" is required' }],","")</f>
        <v/>
      </c>
    </row>
    <row r="758" spans="1:6" hidden="1">
      <c r="A758" s="150" t="str" cm="1">
        <f t="array" aca="1" ref="A758" ca="1">INDIRECT($B$2&amp;"!"&amp;C758&amp;"15")</f>
        <v>allowHiding</v>
      </c>
      <c r="B758" s="130" cm="1">
        <f t="array" aca="1" ref="B758" ca="1">IFERROR(INDIRECT($B$2&amp;"!"&amp;C758&amp;D758),"")</f>
        <v>0</v>
      </c>
      <c r="C758" s="360" t="s">
        <v>117</v>
      </c>
      <c r="D758" s="351">
        <f t="shared" ca="1" si="68"/>
        <v>21</v>
      </c>
      <c r="F758" s="169" t="str">
        <f ca="1">IF(OR(B758="",B758=0),"","   "&amp;A758&amp;": "&amp;B758&amp;",")</f>
        <v/>
      </c>
    </row>
    <row r="759" spans="1:6" hidden="1">
      <c r="A759" s="150" t="str" cm="1">
        <f t="array" aca="1" ref="A759" ca="1">INDIRECT($B$2&amp;"!"&amp;C759&amp;"15")</f>
        <v>width</v>
      </c>
      <c r="B759" s="130" cm="1">
        <f t="array" aca="1" ref="B759" ca="1">IFERROR(INDIRECT($B$2&amp;"!"&amp;C759&amp;D759),"")</f>
        <v>0</v>
      </c>
      <c r="C759" s="360" t="s">
        <v>61</v>
      </c>
      <c r="D759" s="351">
        <f t="shared" ca="1" si="68"/>
        <v>21</v>
      </c>
      <c r="F759" s="169" t="str">
        <f ca="1">IF(OR(B759="",B759=0),"","   "&amp;A759&amp;": "&amp;B759&amp;",")</f>
        <v/>
      </c>
    </row>
    <row r="760" spans="1:6" hidden="1">
      <c r="A760" s="150" t="str" cm="1">
        <f t="array" aca="1" ref="A760" ca="1">INDIRECT($B$2&amp;"!"&amp;C760&amp;"15")</f>
        <v>visible</v>
      </c>
      <c r="B760" s="323" t="str" cm="1">
        <f t="array" aca="1" ref="B760" ca="1">IFERROR(INDIRECT($B$2&amp;"!"&amp;C760&amp;D760),"")</f>
        <v/>
      </c>
      <c r="C760" s="360" t="s">
        <v>118</v>
      </c>
      <c r="D760" s="351">
        <f t="shared" ca="1" si="68"/>
        <v>21</v>
      </c>
      <c r="F760" s="126" t="str">
        <f ca="1">IF(OR(B760="",B760,B760=0),"","          "&amp;A760&amp;": "&amp;B760&amp;",")</f>
        <v/>
      </c>
    </row>
    <row r="761" spans="1:6" hidden="1">
      <c r="A761" s="156" t="s">
        <v>1399</v>
      </c>
      <c r="B761" s="156"/>
      <c r="D761" s="351">
        <f t="shared" ca="1" si="68"/>
        <v>21</v>
      </c>
      <c r="F761" s="169" t="str">
        <f ca="1">IF(D760&gt;$O$2,"","},")</f>
        <v/>
      </c>
    </row>
    <row r="762" spans="1:6" hidden="1">
      <c r="A762" s="475" t="s">
        <v>1400</v>
      </c>
      <c r="B762" s="130" cm="1">
        <f t="array" aca="1" ref="B762" ca="1">IFERROR(INDIRECT($B$2&amp;"!"&amp;C762&amp;D762),"")</f>
        <v>0</v>
      </c>
      <c r="C762" s="350" t="s">
        <v>97</v>
      </c>
      <c r="D762" s="351">
        <f ca="1">IF(D761&gt;$O$2,0,IF(A762="eNd",1,0))+D761</f>
        <v>21</v>
      </c>
      <c r="F762" s="169" t="str">
        <f ca="1">IF(OR(B762="",B762=0),"","{  "&amp;A762&amp;": "&amp;CHAR(34)&amp;$B762&amp;CHAR(34)&amp;",")</f>
        <v/>
      </c>
    </row>
    <row r="763" spans="1:6" hidden="1">
      <c r="A763" s="150" t="str" cm="1">
        <f t="array" aca="1" ref="A763" ca="1">INDIRECT($B$2&amp;"!"&amp;C763&amp;"15")</f>
        <v>caption</v>
      </c>
      <c r="B763" s="130" t="str" cm="1">
        <f t="array" aca="1" ref="B763" ca="1">IFERROR(INDIRECT($B$2&amp;"!"&amp;C763&amp;D763),"")</f>
        <v/>
      </c>
      <c r="C763" s="350" t="s">
        <v>112</v>
      </c>
      <c r="D763" s="351">
        <f t="shared" ref="D763:D772" ca="1" si="69">IF(D762&gt;$O$2,0,IF(A763="eNd",1,0))+D762</f>
        <v>21</v>
      </c>
      <c r="F763" s="169" t="str">
        <f ca="1">IF(OR(B763="",B763=0),"","   "&amp;A763&amp;":"&amp;CHAR(34)&amp;B763&amp;CHAR(34)&amp;",")</f>
        <v/>
      </c>
    </row>
    <row r="764" spans="1:6" hidden="1">
      <c r="A764" s="150" t="str" cm="1">
        <f t="array" aca="1" ref="A764" ca="1">INDIRECT($B$2&amp;"!"&amp;C764&amp;"15")</f>
        <v>sortOrder</v>
      </c>
      <c r="B764" s="130" t="str" cm="1">
        <f t="array" aca="1" ref="B764" ca="1">IFERROR(INDIRECT($B$2&amp;"!"&amp;C764&amp;D764),"")</f>
        <v/>
      </c>
      <c r="C764" s="350" t="s">
        <v>119</v>
      </c>
      <c r="D764" s="351">
        <f t="shared" ca="1" si="69"/>
        <v>21</v>
      </c>
      <c r="F764" s="169" t="str">
        <f ca="1">IF(OR(B764="",B764=0),"","   "&amp;A764&amp;":"&amp;CHAR(34)&amp;B764&amp;CHAR(34)&amp;",")</f>
        <v/>
      </c>
    </row>
    <row r="765" spans="1:6" hidden="1">
      <c r="A765" s="150" t="str" cm="1">
        <f t="array" aca="1" ref="A765" ca="1">INDIRECT($B$2&amp;"!"&amp;C765&amp;"15")</f>
        <v>groupIndex</v>
      </c>
      <c r="B765" s="130" cm="1">
        <f t="array" aca="1" ref="B765" ca="1">IFERROR(INDIRECT($B$2&amp;"!"&amp;C765&amp;D765),"")</f>
        <v>0</v>
      </c>
      <c r="C765" s="355" t="s">
        <v>113</v>
      </c>
      <c r="D765" s="351">
        <f t="shared" ca="1" si="69"/>
        <v>21</v>
      </c>
      <c r="F765" s="126" t="str">
        <f ca="1">IF(OR(B765="",B765=0),"","            "&amp;A765&amp;": "&amp;B765-1&amp;",")</f>
        <v/>
      </c>
    </row>
    <row r="766" spans="1:6" hidden="1">
      <c r="A766" s="150" t="str" cm="1">
        <f t="array" aca="1" ref="A766" ca="1">INDIRECT($B$2&amp;"!"&amp;C766&amp;"15")</f>
        <v>dataType</v>
      </c>
      <c r="B766" s="130" cm="1">
        <f t="array" aca="1" ref="B766" ca="1">IFERROR(INDIRECT($B$2&amp;"!"&amp;C766&amp;D766),"")</f>
        <v>0</v>
      </c>
      <c r="C766" s="355" t="s">
        <v>114</v>
      </c>
      <c r="D766" s="351">
        <f t="shared" ca="1" si="69"/>
        <v>21</v>
      </c>
      <c r="F766" s="169" t="str">
        <f ca="1">IF(OR(B766="",B766=0),"","   "&amp;A766&amp;":"&amp;CHAR(34)&amp;B766&amp;CHAR(34)&amp;",")</f>
        <v/>
      </c>
    </row>
    <row r="767" spans="1:6" hidden="1">
      <c r="A767" s="150" t="str" cm="1">
        <f t="array" aca="1" ref="A767" ca="1">INDIRECT($B$2&amp;"!"&amp;C767&amp;"15")</f>
        <v>format</v>
      </c>
      <c r="B767" s="130" cm="1">
        <f t="array" aca="1" ref="B767" ca="1">IFERROR(INDIRECT($B$2&amp;"!"&amp;C767&amp;D767),"")</f>
        <v>0</v>
      </c>
      <c r="C767" s="355" t="s">
        <v>115</v>
      </c>
      <c r="D767" s="351">
        <f t="shared" ca="1" si="69"/>
        <v>21</v>
      </c>
      <c r="F767" s="169" t="str">
        <f ca="1">IF(OR(B767="",B767=0),"","   "&amp;A767&amp;":"&amp;IF(B767="fixedPoint",D766,CHAR(34)&amp;B767&amp;CHAR(34)&amp;","))</f>
        <v/>
      </c>
    </row>
    <row r="768" spans="1:6" hidden="1">
      <c r="A768" s="150" t="str" cm="1">
        <f t="array" aca="1" ref="A768" ca="1">INDIRECT($B$2&amp;"!"&amp;C768&amp;"15")</f>
        <v>validationRules</v>
      </c>
      <c r="B768" s="130" cm="1">
        <f t="array" aca="1" ref="B768" ca="1">IFERROR(INDIRECT($B$2&amp;"!"&amp;C768&amp;D768),"")</f>
        <v>0</v>
      </c>
      <c r="C768" s="350" t="s">
        <v>116</v>
      </c>
      <c r="D768" s="351">
        <f t="shared" ca="1" si="69"/>
        <v>21</v>
      </c>
      <c r="F768" s="169" t="str">
        <f ca="1">IF(B768,"   "&amp;A768&amp;": [{type: 'required',message: '"&amp;B763&amp;" is required' }],","")</f>
        <v/>
      </c>
    </row>
    <row r="769" spans="1:6" hidden="1">
      <c r="A769" s="150" t="str" cm="1">
        <f t="array" aca="1" ref="A769" ca="1">INDIRECT($B$2&amp;"!"&amp;C769&amp;"15")</f>
        <v>allowHiding</v>
      </c>
      <c r="B769" s="130" cm="1">
        <f t="array" aca="1" ref="B769" ca="1">IFERROR(INDIRECT($B$2&amp;"!"&amp;C769&amp;D769),"")</f>
        <v>0</v>
      </c>
      <c r="C769" s="360" t="s">
        <v>117</v>
      </c>
      <c r="D769" s="351">
        <f t="shared" ca="1" si="69"/>
        <v>21</v>
      </c>
      <c r="F769" s="169" t="str">
        <f ca="1">IF(OR(B769="",B769=0),"","   "&amp;A769&amp;": "&amp;B769&amp;",")</f>
        <v/>
      </c>
    </row>
    <row r="770" spans="1:6" hidden="1">
      <c r="A770" s="150" t="str" cm="1">
        <f t="array" aca="1" ref="A770" ca="1">INDIRECT($B$2&amp;"!"&amp;C770&amp;"15")</f>
        <v>width</v>
      </c>
      <c r="B770" s="130" cm="1">
        <f t="array" aca="1" ref="B770" ca="1">IFERROR(INDIRECT($B$2&amp;"!"&amp;C770&amp;D770),"")</f>
        <v>0</v>
      </c>
      <c r="C770" s="360" t="s">
        <v>61</v>
      </c>
      <c r="D770" s="351">
        <f t="shared" ca="1" si="69"/>
        <v>21</v>
      </c>
      <c r="F770" s="169" t="str">
        <f ca="1">IF(OR(B770="",B770=0),"","   "&amp;A770&amp;": "&amp;B770&amp;",")</f>
        <v/>
      </c>
    </row>
    <row r="771" spans="1:6" hidden="1">
      <c r="A771" s="150" t="str" cm="1">
        <f t="array" aca="1" ref="A771" ca="1">INDIRECT($B$2&amp;"!"&amp;C771&amp;"15")</f>
        <v>visible</v>
      </c>
      <c r="B771" s="323" t="str" cm="1">
        <f t="array" aca="1" ref="B771" ca="1">IFERROR(INDIRECT($B$2&amp;"!"&amp;C771&amp;D771),"")</f>
        <v/>
      </c>
      <c r="C771" s="360" t="s">
        <v>118</v>
      </c>
      <c r="D771" s="351">
        <f t="shared" ca="1" si="69"/>
        <v>21</v>
      </c>
      <c r="F771" s="126" t="str">
        <f ca="1">IF(OR(B771="",B771,B771=0),"","          "&amp;A771&amp;": "&amp;B771&amp;",")</f>
        <v/>
      </c>
    </row>
    <row r="772" spans="1:6" hidden="1">
      <c r="A772" s="156" t="s">
        <v>1399</v>
      </c>
      <c r="B772" s="156"/>
      <c r="D772" s="351">
        <f t="shared" ca="1" si="69"/>
        <v>21</v>
      </c>
      <c r="F772" s="169" t="str">
        <f ca="1">IF(D771&gt;$O$2,"","},")</f>
        <v/>
      </c>
    </row>
    <row r="773" spans="1:6" hidden="1">
      <c r="A773" s="475" t="s">
        <v>1400</v>
      </c>
      <c r="B773" s="130" cm="1">
        <f t="array" aca="1" ref="B773" ca="1">IFERROR(INDIRECT($B$2&amp;"!"&amp;C773&amp;D773),"")</f>
        <v>0</v>
      </c>
      <c r="C773" s="350" t="s">
        <v>97</v>
      </c>
      <c r="D773" s="351">
        <f ca="1">IF(D772&gt;$O$2,0,IF(A773="eNd",1,0))+D772</f>
        <v>21</v>
      </c>
      <c r="F773" s="169" t="str">
        <f ca="1">IF(OR(B773="",B773=0),"","{  "&amp;A773&amp;": "&amp;CHAR(34)&amp;$B773&amp;CHAR(34)&amp;",")</f>
        <v/>
      </c>
    </row>
    <row r="774" spans="1:6" hidden="1">
      <c r="A774" s="150" t="str" cm="1">
        <f t="array" aca="1" ref="A774" ca="1">INDIRECT($B$2&amp;"!"&amp;C774&amp;"15")</f>
        <v>caption</v>
      </c>
      <c r="B774" s="130" t="str" cm="1">
        <f t="array" aca="1" ref="B774" ca="1">IFERROR(INDIRECT($B$2&amp;"!"&amp;C774&amp;D774),"")</f>
        <v/>
      </c>
      <c r="C774" s="350" t="s">
        <v>112</v>
      </c>
      <c r="D774" s="351">
        <f t="shared" ref="D774:D783" ca="1" si="70">IF(D773&gt;$O$2,0,IF(A774="eNd",1,0))+D773</f>
        <v>21</v>
      </c>
      <c r="F774" s="169" t="str">
        <f ca="1">IF(OR(B774="",B774=0),"","   "&amp;A774&amp;":"&amp;CHAR(34)&amp;B774&amp;CHAR(34)&amp;",")</f>
        <v/>
      </c>
    </row>
    <row r="775" spans="1:6" hidden="1">
      <c r="A775" s="150" t="str" cm="1">
        <f t="array" aca="1" ref="A775" ca="1">INDIRECT($B$2&amp;"!"&amp;C775&amp;"15")</f>
        <v>sortOrder</v>
      </c>
      <c r="B775" s="130" t="str" cm="1">
        <f t="array" aca="1" ref="B775" ca="1">IFERROR(INDIRECT($B$2&amp;"!"&amp;C775&amp;D775),"")</f>
        <v/>
      </c>
      <c r="C775" s="350" t="s">
        <v>119</v>
      </c>
      <c r="D775" s="351">
        <f t="shared" ca="1" si="70"/>
        <v>21</v>
      </c>
      <c r="F775" s="169" t="str">
        <f ca="1">IF(OR(B775="",B775=0),"","   "&amp;A775&amp;":"&amp;CHAR(34)&amp;B775&amp;CHAR(34)&amp;",")</f>
        <v/>
      </c>
    </row>
    <row r="776" spans="1:6" hidden="1">
      <c r="A776" s="150" t="str" cm="1">
        <f t="array" aca="1" ref="A776" ca="1">INDIRECT($B$2&amp;"!"&amp;C776&amp;"15")</f>
        <v>groupIndex</v>
      </c>
      <c r="B776" s="130" cm="1">
        <f t="array" aca="1" ref="B776" ca="1">IFERROR(INDIRECT($B$2&amp;"!"&amp;C776&amp;D776),"")</f>
        <v>0</v>
      </c>
      <c r="C776" s="355" t="s">
        <v>113</v>
      </c>
      <c r="D776" s="351">
        <f t="shared" ca="1" si="70"/>
        <v>21</v>
      </c>
      <c r="F776" s="126" t="str">
        <f ca="1">IF(OR(B776="",B776=0),"","            "&amp;A776&amp;": "&amp;B776-1&amp;",")</f>
        <v/>
      </c>
    </row>
    <row r="777" spans="1:6" hidden="1">
      <c r="A777" s="150" t="str" cm="1">
        <f t="array" aca="1" ref="A777" ca="1">INDIRECT($B$2&amp;"!"&amp;C777&amp;"15")</f>
        <v>dataType</v>
      </c>
      <c r="B777" s="130" cm="1">
        <f t="array" aca="1" ref="B777" ca="1">IFERROR(INDIRECT($B$2&amp;"!"&amp;C777&amp;D777),"")</f>
        <v>0</v>
      </c>
      <c r="C777" s="355" t="s">
        <v>114</v>
      </c>
      <c r="D777" s="351">
        <f t="shared" ca="1" si="70"/>
        <v>21</v>
      </c>
      <c r="F777" s="169" t="str">
        <f ca="1">IF(OR(B777="",B777=0),"","   "&amp;A777&amp;":"&amp;CHAR(34)&amp;B777&amp;CHAR(34)&amp;",")</f>
        <v/>
      </c>
    </row>
    <row r="778" spans="1:6" hidden="1">
      <c r="A778" s="150" t="str" cm="1">
        <f t="array" aca="1" ref="A778" ca="1">INDIRECT($B$2&amp;"!"&amp;C778&amp;"15")</f>
        <v>format</v>
      </c>
      <c r="B778" s="130" cm="1">
        <f t="array" aca="1" ref="B778" ca="1">IFERROR(INDIRECT($B$2&amp;"!"&amp;C778&amp;D778),"")</f>
        <v>0</v>
      </c>
      <c r="C778" s="355" t="s">
        <v>115</v>
      </c>
      <c r="D778" s="351">
        <f t="shared" ca="1" si="70"/>
        <v>21</v>
      </c>
      <c r="F778" s="169" t="str">
        <f ca="1">IF(OR(B778="",B778=0),"","   "&amp;A778&amp;":"&amp;IF(B778="fixedPoint",D777,CHAR(34)&amp;B778&amp;CHAR(34)&amp;","))</f>
        <v/>
      </c>
    </row>
    <row r="779" spans="1:6" hidden="1">
      <c r="A779" s="150" t="str" cm="1">
        <f t="array" aca="1" ref="A779" ca="1">INDIRECT($B$2&amp;"!"&amp;C779&amp;"15")</f>
        <v>validationRules</v>
      </c>
      <c r="B779" s="130" cm="1">
        <f t="array" aca="1" ref="B779" ca="1">IFERROR(INDIRECT($B$2&amp;"!"&amp;C779&amp;D779),"")</f>
        <v>0</v>
      </c>
      <c r="C779" s="350" t="s">
        <v>116</v>
      </c>
      <c r="D779" s="351">
        <f t="shared" ca="1" si="70"/>
        <v>21</v>
      </c>
      <c r="F779" s="169" t="str">
        <f ca="1">IF(B779,"   "&amp;A779&amp;": [{type: 'required',message: '"&amp;B774&amp;" is required' }],","")</f>
        <v/>
      </c>
    </row>
    <row r="780" spans="1:6" hidden="1">
      <c r="A780" s="150" t="str" cm="1">
        <f t="array" aca="1" ref="A780" ca="1">INDIRECT($B$2&amp;"!"&amp;C780&amp;"15")</f>
        <v>allowHiding</v>
      </c>
      <c r="B780" s="130" cm="1">
        <f t="array" aca="1" ref="B780" ca="1">IFERROR(INDIRECT($B$2&amp;"!"&amp;C780&amp;D780),"")</f>
        <v>0</v>
      </c>
      <c r="C780" s="360" t="s">
        <v>117</v>
      </c>
      <c r="D780" s="351">
        <f t="shared" ca="1" si="70"/>
        <v>21</v>
      </c>
      <c r="F780" s="169" t="str">
        <f ca="1">IF(OR(B780="",B780=0),"","   "&amp;A780&amp;": "&amp;B780&amp;",")</f>
        <v/>
      </c>
    </row>
    <row r="781" spans="1:6" hidden="1">
      <c r="A781" s="150" t="str" cm="1">
        <f t="array" aca="1" ref="A781" ca="1">INDIRECT($B$2&amp;"!"&amp;C781&amp;"15")</f>
        <v>width</v>
      </c>
      <c r="B781" s="130" cm="1">
        <f t="array" aca="1" ref="B781" ca="1">IFERROR(INDIRECT($B$2&amp;"!"&amp;C781&amp;D781),"")</f>
        <v>0</v>
      </c>
      <c r="C781" s="360" t="s">
        <v>61</v>
      </c>
      <c r="D781" s="351">
        <f t="shared" ca="1" si="70"/>
        <v>21</v>
      </c>
      <c r="F781" s="169" t="str">
        <f ca="1">IF(OR(B781="",B781=0),"","   "&amp;A781&amp;": "&amp;B781&amp;",")</f>
        <v/>
      </c>
    </row>
    <row r="782" spans="1:6" hidden="1">
      <c r="A782" s="150" t="str" cm="1">
        <f t="array" aca="1" ref="A782" ca="1">INDIRECT($B$2&amp;"!"&amp;C782&amp;"15")</f>
        <v>visible</v>
      </c>
      <c r="B782" s="323" t="str" cm="1">
        <f t="array" aca="1" ref="B782" ca="1">IFERROR(INDIRECT($B$2&amp;"!"&amp;C782&amp;D782),"")</f>
        <v/>
      </c>
      <c r="C782" s="360" t="s">
        <v>118</v>
      </c>
      <c r="D782" s="351">
        <f t="shared" ca="1" si="70"/>
        <v>21</v>
      </c>
      <c r="F782" s="126" t="str">
        <f ca="1">IF(OR(B782="",B782,B782=0),"","          "&amp;A782&amp;": "&amp;B782&amp;",")</f>
        <v/>
      </c>
    </row>
    <row r="783" spans="1:6" hidden="1">
      <c r="A783" s="156" t="s">
        <v>1399</v>
      </c>
      <c r="B783" s="156"/>
      <c r="D783" s="351">
        <f t="shared" ca="1" si="70"/>
        <v>21</v>
      </c>
      <c r="F783" s="169" t="str">
        <f ca="1">IF(D782&gt;$O$2,"","},")</f>
        <v/>
      </c>
    </row>
    <row r="784" spans="1:6" hidden="1">
      <c r="A784" s="475" t="s">
        <v>1400</v>
      </c>
      <c r="B784" s="130" cm="1">
        <f t="array" aca="1" ref="B784" ca="1">IFERROR(INDIRECT($B$2&amp;"!"&amp;C784&amp;D784),"")</f>
        <v>0</v>
      </c>
      <c r="C784" s="350" t="s">
        <v>97</v>
      </c>
      <c r="D784" s="351">
        <f ca="1">IF(D783&gt;$O$2,0,IF(A784="eNd",1,0))+D783</f>
        <v>21</v>
      </c>
      <c r="F784" s="169" t="str">
        <f ca="1">IF(OR(B784="",B784=0),"","{  "&amp;A784&amp;": "&amp;CHAR(34)&amp;$B784&amp;CHAR(34)&amp;",")</f>
        <v/>
      </c>
    </row>
    <row r="785" spans="1:6" hidden="1">
      <c r="A785" s="150" t="str" cm="1">
        <f t="array" aca="1" ref="A785" ca="1">INDIRECT($B$2&amp;"!"&amp;C785&amp;"15")</f>
        <v>caption</v>
      </c>
      <c r="B785" s="130" t="str" cm="1">
        <f t="array" aca="1" ref="B785" ca="1">IFERROR(INDIRECT($B$2&amp;"!"&amp;C785&amp;D785),"")</f>
        <v/>
      </c>
      <c r="C785" s="350" t="s">
        <v>112</v>
      </c>
      <c r="D785" s="351">
        <f t="shared" ref="D785:D794" ca="1" si="71">IF(D784&gt;$O$2,0,IF(A785="eNd",1,0))+D784</f>
        <v>21</v>
      </c>
      <c r="F785" s="169" t="str">
        <f ca="1">IF(OR(B785="",B785=0),"","   "&amp;A785&amp;":"&amp;CHAR(34)&amp;B785&amp;CHAR(34)&amp;",")</f>
        <v/>
      </c>
    </row>
    <row r="786" spans="1:6" hidden="1">
      <c r="A786" s="150" t="str" cm="1">
        <f t="array" aca="1" ref="A786" ca="1">INDIRECT($B$2&amp;"!"&amp;C786&amp;"15")</f>
        <v>sortOrder</v>
      </c>
      <c r="B786" s="130" t="str" cm="1">
        <f t="array" aca="1" ref="B786" ca="1">IFERROR(INDIRECT($B$2&amp;"!"&amp;C786&amp;D786),"")</f>
        <v/>
      </c>
      <c r="C786" s="350" t="s">
        <v>119</v>
      </c>
      <c r="D786" s="351">
        <f t="shared" ca="1" si="71"/>
        <v>21</v>
      </c>
      <c r="F786" s="169" t="str">
        <f ca="1">IF(OR(B786="",B786=0),"","   "&amp;A786&amp;":"&amp;CHAR(34)&amp;B786&amp;CHAR(34)&amp;",")</f>
        <v/>
      </c>
    </row>
    <row r="787" spans="1:6" hidden="1">
      <c r="A787" s="150" t="str" cm="1">
        <f t="array" aca="1" ref="A787" ca="1">INDIRECT($B$2&amp;"!"&amp;C787&amp;"15")</f>
        <v>groupIndex</v>
      </c>
      <c r="B787" s="130" cm="1">
        <f t="array" aca="1" ref="B787" ca="1">IFERROR(INDIRECT($B$2&amp;"!"&amp;C787&amp;D787),"")</f>
        <v>0</v>
      </c>
      <c r="C787" s="355" t="s">
        <v>113</v>
      </c>
      <c r="D787" s="351">
        <f t="shared" ca="1" si="71"/>
        <v>21</v>
      </c>
      <c r="F787" s="126" t="str">
        <f ca="1">IF(OR(B787="",B787=0),"","            "&amp;A787&amp;": "&amp;B787-1&amp;",")</f>
        <v/>
      </c>
    </row>
    <row r="788" spans="1:6" hidden="1">
      <c r="A788" s="150" t="str" cm="1">
        <f t="array" aca="1" ref="A788" ca="1">INDIRECT($B$2&amp;"!"&amp;C788&amp;"15")</f>
        <v>dataType</v>
      </c>
      <c r="B788" s="130" cm="1">
        <f t="array" aca="1" ref="B788" ca="1">IFERROR(INDIRECT($B$2&amp;"!"&amp;C788&amp;D788),"")</f>
        <v>0</v>
      </c>
      <c r="C788" s="355" t="s">
        <v>114</v>
      </c>
      <c r="D788" s="351">
        <f t="shared" ca="1" si="71"/>
        <v>21</v>
      </c>
      <c r="F788" s="169" t="str">
        <f ca="1">IF(OR(B788="",B788=0),"","   "&amp;A788&amp;":"&amp;CHAR(34)&amp;B788&amp;CHAR(34)&amp;",")</f>
        <v/>
      </c>
    </row>
    <row r="789" spans="1:6" hidden="1">
      <c r="A789" s="150" t="str" cm="1">
        <f t="array" aca="1" ref="A789" ca="1">INDIRECT($B$2&amp;"!"&amp;C789&amp;"15")</f>
        <v>format</v>
      </c>
      <c r="B789" s="130" cm="1">
        <f t="array" aca="1" ref="B789" ca="1">IFERROR(INDIRECT($B$2&amp;"!"&amp;C789&amp;D789),"")</f>
        <v>0</v>
      </c>
      <c r="C789" s="355" t="s">
        <v>115</v>
      </c>
      <c r="D789" s="351">
        <f t="shared" ca="1" si="71"/>
        <v>21</v>
      </c>
      <c r="F789" s="169" t="str">
        <f ca="1">IF(OR(B789="",B789=0),"","   "&amp;A789&amp;":"&amp;IF(B789="fixedPoint",D788,CHAR(34)&amp;B789&amp;CHAR(34)&amp;","))</f>
        <v/>
      </c>
    </row>
    <row r="790" spans="1:6" hidden="1">
      <c r="A790" s="150" t="str" cm="1">
        <f t="array" aca="1" ref="A790" ca="1">INDIRECT($B$2&amp;"!"&amp;C790&amp;"15")</f>
        <v>validationRules</v>
      </c>
      <c r="B790" s="130" cm="1">
        <f t="array" aca="1" ref="B790" ca="1">IFERROR(INDIRECT($B$2&amp;"!"&amp;C790&amp;D790),"")</f>
        <v>0</v>
      </c>
      <c r="C790" s="350" t="s">
        <v>116</v>
      </c>
      <c r="D790" s="351">
        <f t="shared" ca="1" si="71"/>
        <v>21</v>
      </c>
      <c r="F790" s="169" t="str">
        <f ca="1">IF(B790,"   "&amp;A790&amp;": [{type: 'required',message: '"&amp;B785&amp;" is required' }],","")</f>
        <v/>
      </c>
    </row>
    <row r="791" spans="1:6" hidden="1">
      <c r="A791" s="150" t="str" cm="1">
        <f t="array" aca="1" ref="A791" ca="1">INDIRECT($B$2&amp;"!"&amp;C791&amp;"15")</f>
        <v>allowHiding</v>
      </c>
      <c r="B791" s="130" cm="1">
        <f t="array" aca="1" ref="B791" ca="1">IFERROR(INDIRECT($B$2&amp;"!"&amp;C791&amp;D791),"")</f>
        <v>0</v>
      </c>
      <c r="C791" s="360" t="s">
        <v>117</v>
      </c>
      <c r="D791" s="351">
        <f t="shared" ca="1" si="71"/>
        <v>21</v>
      </c>
      <c r="F791" s="169" t="str">
        <f ca="1">IF(OR(B791="",B791=0),"","   "&amp;A791&amp;": "&amp;B791&amp;",")</f>
        <v/>
      </c>
    </row>
    <row r="792" spans="1:6" hidden="1">
      <c r="A792" s="150" t="str" cm="1">
        <f t="array" aca="1" ref="A792" ca="1">INDIRECT($B$2&amp;"!"&amp;C792&amp;"15")</f>
        <v>width</v>
      </c>
      <c r="B792" s="130" cm="1">
        <f t="array" aca="1" ref="B792" ca="1">IFERROR(INDIRECT($B$2&amp;"!"&amp;C792&amp;D792),"")</f>
        <v>0</v>
      </c>
      <c r="C792" s="360" t="s">
        <v>61</v>
      </c>
      <c r="D792" s="351">
        <f t="shared" ca="1" si="71"/>
        <v>21</v>
      </c>
      <c r="F792" s="169" t="str">
        <f ca="1">IF(OR(B792="",B792=0),"","   "&amp;A792&amp;": "&amp;B792&amp;",")</f>
        <v/>
      </c>
    </row>
    <row r="793" spans="1:6" hidden="1">
      <c r="A793" s="150" t="str" cm="1">
        <f t="array" aca="1" ref="A793" ca="1">INDIRECT($B$2&amp;"!"&amp;C793&amp;"15")</f>
        <v>visible</v>
      </c>
      <c r="B793" s="323" t="str" cm="1">
        <f t="array" aca="1" ref="B793" ca="1">IFERROR(INDIRECT($B$2&amp;"!"&amp;C793&amp;D793),"")</f>
        <v/>
      </c>
      <c r="C793" s="360" t="s">
        <v>118</v>
      </c>
      <c r="D793" s="351">
        <f t="shared" ca="1" si="71"/>
        <v>21</v>
      </c>
      <c r="F793" s="126" t="str">
        <f ca="1">IF(OR(B793="",B793,B793=0),"","          "&amp;A793&amp;": "&amp;B793&amp;",")</f>
        <v/>
      </c>
    </row>
    <row r="794" spans="1:6" hidden="1">
      <c r="A794" s="156" t="s">
        <v>1399</v>
      </c>
      <c r="B794" s="156"/>
      <c r="D794" s="351">
        <f t="shared" ca="1" si="71"/>
        <v>21</v>
      </c>
      <c r="F794" s="169" t="str">
        <f ca="1">IF(D793&gt;$O$2,"","},")</f>
        <v/>
      </c>
    </row>
    <row r="795" spans="1:6" hidden="1">
      <c r="A795" s="475" t="s">
        <v>1400</v>
      </c>
      <c r="B795" s="130" cm="1">
        <f t="array" aca="1" ref="B795" ca="1">IFERROR(INDIRECT($B$2&amp;"!"&amp;C795&amp;D795),"")</f>
        <v>0</v>
      </c>
      <c r="C795" s="350" t="s">
        <v>97</v>
      </c>
      <c r="D795" s="351">
        <f ca="1">IF(D794&gt;$O$2,0,IF(A795="eNd",1,0))+D794</f>
        <v>21</v>
      </c>
      <c r="F795" s="169" t="str">
        <f ca="1">IF(OR(B795="",B795=0),"","{  "&amp;A795&amp;": "&amp;CHAR(34)&amp;$B795&amp;CHAR(34)&amp;",")</f>
        <v/>
      </c>
    </row>
    <row r="796" spans="1:6" hidden="1">
      <c r="A796" s="150" t="str" cm="1">
        <f t="array" aca="1" ref="A796" ca="1">INDIRECT($B$2&amp;"!"&amp;C796&amp;"15")</f>
        <v>caption</v>
      </c>
      <c r="B796" s="130" t="str" cm="1">
        <f t="array" aca="1" ref="B796" ca="1">IFERROR(INDIRECT($B$2&amp;"!"&amp;C796&amp;D796),"")</f>
        <v/>
      </c>
      <c r="C796" s="350" t="s">
        <v>112</v>
      </c>
      <c r="D796" s="351">
        <f t="shared" ref="D796:D805" ca="1" si="72">IF(D795&gt;$O$2,0,IF(A796="eNd",1,0))+D795</f>
        <v>21</v>
      </c>
      <c r="F796" s="169" t="str">
        <f ca="1">IF(OR(B796="",B796=0),"","   "&amp;A796&amp;":"&amp;CHAR(34)&amp;B796&amp;CHAR(34)&amp;",")</f>
        <v/>
      </c>
    </row>
    <row r="797" spans="1:6" hidden="1">
      <c r="A797" s="150" t="str" cm="1">
        <f t="array" aca="1" ref="A797" ca="1">INDIRECT($B$2&amp;"!"&amp;C797&amp;"15")</f>
        <v>sortOrder</v>
      </c>
      <c r="B797" s="130" t="str" cm="1">
        <f t="array" aca="1" ref="B797" ca="1">IFERROR(INDIRECT($B$2&amp;"!"&amp;C797&amp;D797),"")</f>
        <v/>
      </c>
      <c r="C797" s="350" t="s">
        <v>119</v>
      </c>
      <c r="D797" s="351">
        <f t="shared" ca="1" si="72"/>
        <v>21</v>
      </c>
      <c r="F797" s="169" t="str">
        <f ca="1">IF(OR(B797="",B797=0),"","   "&amp;A797&amp;":"&amp;CHAR(34)&amp;B797&amp;CHAR(34)&amp;",")</f>
        <v/>
      </c>
    </row>
    <row r="798" spans="1:6" hidden="1">
      <c r="A798" s="150" t="str" cm="1">
        <f t="array" aca="1" ref="A798" ca="1">INDIRECT($B$2&amp;"!"&amp;C798&amp;"15")</f>
        <v>groupIndex</v>
      </c>
      <c r="B798" s="130" cm="1">
        <f t="array" aca="1" ref="B798" ca="1">IFERROR(INDIRECT($B$2&amp;"!"&amp;C798&amp;D798),"")</f>
        <v>0</v>
      </c>
      <c r="C798" s="355" t="s">
        <v>113</v>
      </c>
      <c r="D798" s="351">
        <f t="shared" ca="1" si="72"/>
        <v>21</v>
      </c>
      <c r="F798" s="126" t="str">
        <f ca="1">IF(OR(B798="",B798=0),"","            "&amp;A798&amp;": "&amp;B798-1&amp;",")</f>
        <v/>
      </c>
    </row>
    <row r="799" spans="1:6" hidden="1">
      <c r="A799" s="150" t="str" cm="1">
        <f t="array" aca="1" ref="A799" ca="1">INDIRECT($B$2&amp;"!"&amp;C799&amp;"15")</f>
        <v>dataType</v>
      </c>
      <c r="B799" s="130" cm="1">
        <f t="array" aca="1" ref="B799" ca="1">IFERROR(INDIRECT($B$2&amp;"!"&amp;C799&amp;D799),"")</f>
        <v>0</v>
      </c>
      <c r="C799" s="355" t="s">
        <v>114</v>
      </c>
      <c r="D799" s="351">
        <f t="shared" ca="1" si="72"/>
        <v>21</v>
      </c>
      <c r="F799" s="169" t="str">
        <f ca="1">IF(OR(B799="",B799=0),"","   "&amp;A799&amp;":"&amp;CHAR(34)&amp;B799&amp;CHAR(34)&amp;",")</f>
        <v/>
      </c>
    </row>
    <row r="800" spans="1:6" hidden="1">
      <c r="A800" s="150" t="str" cm="1">
        <f t="array" aca="1" ref="A800" ca="1">INDIRECT($B$2&amp;"!"&amp;C800&amp;"15")</f>
        <v>format</v>
      </c>
      <c r="B800" s="130" cm="1">
        <f t="array" aca="1" ref="B800" ca="1">IFERROR(INDIRECT($B$2&amp;"!"&amp;C800&amp;D800),"")</f>
        <v>0</v>
      </c>
      <c r="C800" s="355" t="s">
        <v>115</v>
      </c>
      <c r="D800" s="351">
        <f t="shared" ca="1" si="72"/>
        <v>21</v>
      </c>
      <c r="F800" s="169" t="str">
        <f ca="1">IF(OR(B800="",B800=0),"","   "&amp;A800&amp;":"&amp;IF(B800="fixedPoint",D799,CHAR(34)&amp;B800&amp;CHAR(34)&amp;","))</f>
        <v/>
      </c>
    </row>
    <row r="801" spans="1:6" hidden="1">
      <c r="A801" s="150" t="str" cm="1">
        <f t="array" aca="1" ref="A801" ca="1">INDIRECT($B$2&amp;"!"&amp;C801&amp;"15")</f>
        <v>validationRules</v>
      </c>
      <c r="B801" s="130" cm="1">
        <f t="array" aca="1" ref="B801" ca="1">IFERROR(INDIRECT($B$2&amp;"!"&amp;C801&amp;D801),"")</f>
        <v>0</v>
      </c>
      <c r="C801" s="350" t="s">
        <v>116</v>
      </c>
      <c r="D801" s="351">
        <f t="shared" ca="1" si="72"/>
        <v>21</v>
      </c>
      <c r="F801" s="169" t="str">
        <f ca="1">IF(B801,"   "&amp;A801&amp;": [{type: 'required',message: '"&amp;B796&amp;" is required' }],","")</f>
        <v/>
      </c>
    </row>
    <row r="802" spans="1:6" hidden="1">
      <c r="A802" s="150" t="str" cm="1">
        <f t="array" aca="1" ref="A802" ca="1">INDIRECT($B$2&amp;"!"&amp;C802&amp;"15")</f>
        <v>allowHiding</v>
      </c>
      <c r="B802" s="130" cm="1">
        <f t="array" aca="1" ref="B802" ca="1">IFERROR(INDIRECT($B$2&amp;"!"&amp;C802&amp;D802),"")</f>
        <v>0</v>
      </c>
      <c r="C802" s="360" t="s">
        <v>117</v>
      </c>
      <c r="D802" s="351">
        <f t="shared" ca="1" si="72"/>
        <v>21</v>
      </c>
      <c r="F802" s="169" t="str">
        <f ca="1">IF(OR(B802="",B802=0),"","   "&amp;A802&amp;": "&amp;B802&amp;",")</f>
        <v/>
      </c>
    </row>
    <row r="803" spans="1:6" hidden="1">
      <c r="A803" s="150" t="str" cm="1">
        <f t="array" aca="1" ref="A803" ca="1">INDIRECT($B$2&amp;"!"&amp;C803&amp;"15")</f>
        <v>width</v>
      </c>
      <c r="B803" s="130" cm="1">
        <f t="array" aca="1" ref="B803" ca="1">IFERROR(INDIRECT($B$2&amp;"!"&amp;C803&amp;D803),"")</f>
        <v>0</v>
      </c>
      <c r="C803" s="360" t="s">
        <v>61</v>
      </c>
      <c r="D803" s="351">
        <f t="shared" ca="1" si="72"/>
        <v>21</v>
      </c>
      <c r="F803" s="169" t="str">
        <f ca="1">IF(OR(B803="",B803=0),"","   "&amp;A803&amp;": "&amp;B803&amp;",")</f>
        <v/>
      </c>
    </row>
    <row r="804" spans="1:6" hidden="1">
      <c r="A804" s="150" t="str" cm="1">
        <f t="array" aca="1" ref="A804" ca="1">INDIRECT($B$2&amp;"!"&amp;C804&amp;"15")</f>
        <v>visible</v>
      </c>
      <c r="B804" s="323" t="str" cm="1">
        <f t="array" aca="1" ref="B804" ca="1">IFERROR(INDIRECT($B$2&amp;"!"&amp;C804&amp;D804),"")</f>
        <v/>
      </c>
      <c r="C804" s="360" t="s">
        <v>118</v>
      </c>
      <c r="D804" s="351">
        <f t="shared" ca="1" si="72"/>
        <v>21</v>
      </c>
      <c r="F804" s="126" t="str">
        <f ca="1">IF(OR(B804="",B804,B804=0),"","          "&amp;A804&amp;": "&amp;B804&amp;",")</f>
        <v/>
      </c>
    </row>
    <row r="805" spans="1:6" hidden="1">
      <c r="A805" s="156" t="s">
        <v>1399</v>
      </c>
      <c r="B805" s="156"/>
      <c r="D805" s="351">
        <f t="shared" ca="1" si="72"/>
        <v>21</v>
      </c>
      <c r="F805" s="169" t="str">
        <f ca="1">IF(D804&gt;$O$2,"","},")</f>
        <v/>
      </c>
    </row>
    <row r="806" spans="1:6" hidden="1">
      <c r="A806" s="475" t="s">
        <v>1400</v>
      </c>
      <c r="B806" s="130" cm="1">
        <f t="array" aca="1" ref="B806" ca="1">IFERROR(INDIRECT($B$2&amp;"!"&amp;C806&amp;D806),"")</f>
        <v>0</v>
      </c>
      <c r="C806" s="350" t="s">
        <v>97</v>
      </c>
      <c r="D806" s="351">
        <f ca="1">IF(D805&gt;$O$2,0,IF(A806="eNd",1,0))+D805</f>
        <v>21</v>
      </c>
      <c r="F806" s="169" t="str">
        <f ca="1">IF(OR(B806="",B806=0),"","{  "&amp;A806&amp;": "&amp;CHAR(34)&amp;$B806&amp;CHAR(34)&amp;",")</f>
        <v/>
      </c>
    </row>
    <row r="807" spans="1:6" hidden="1">
      <c r="A807" s="150" t="str" cm="1">
        <f t="array" aca="1" ref="A807" ca="1">INDIRECT($B$2&amp;"!"&amp;C807&amp;"15")</f>
        <v>caption</v>
      </c>
      <c r="B807" s="130" t="str" cm="1">
        <f t="array" aca="1" ref="B807" ca="1">IFERROR(INDIRECT($B$2&amp;"!"&amp;C807&amp;D807),"")</f>
        <v/>
      </c>
      <c r="C807" s="350" t="s">
        <v>112</v>
      </c>
      <c r="D807" s="351">
        <f t="shared" ref="D807:D816" ca="1" si="73">IF(D806&gt;$O$2,0,IF(A807="eNd",1,0))+D806</f>
        <v>21</v>
      </c>
      <c r="F807" s="169" t="str">
        <f ca="1">IF(OR(B807="",B807=0),"","   "&amp;A807&amp;":"&amp;CHAR(34)&amp;B807&amp;CHAR(34)&amp;",")</f>
        <v/>
      </c>
    </row>
    <row r="808" spans="1:6" hidden="1">
      <c r="A808" s="150" t="str" cm="1">
        <f t="array" aca="1" ref="A808" ca="1">INDIRECT($B$2&amp;"!"&amp;C808&amp;"15")</f>
        <v>sortOrder</v>
      </c>
      <c r="B808" s="130" t="str" cm="1">
        <f t="array" aca="1" ref="B808" ca="1">IFERROR(INDIRECT($B$2&amp;"!"&amp;C808&amp;D808),"")</f>
        <v/>
      </c>
      <c r="C808" s="350" t="s">
        <v>119</v>
      </c>
      <c r="D808" s="351">
        <f t="shared" ca="1" si="73"/>
        <v>21</v>
      </c>
      <c r="F808" s="169" t="str">
        <f ca="1">IF(OR(B808="",B808=0),"","   "&amp;A808&amp;":"&amp;CHAR(34)&amp;B808&amp;CHAR(34)&amp;",")</f>
        <v/>
      </c>
    </row>
    <row r="809" spans="1:6" hidden="1">
      <c r="A809" s="150" t="str" cm="1">
        <f t="array" aca="1" ref="A809" ca="1">INDIRECT($B$2&amp;"!"&amp;C809&amp;"15")</f>
        <v>groupIndex</v>
      </c>
      <c r="B809" s="130" cm="1">
        <f t="array" aca="1" ref="B809" ca="1">IFERROR(INDIRECT($B$2&amp;"!"&amp;C809&amp;D809),"")</f>
        <v>0</v>
      </c>
      <c r="C809" s="355" t="s">
        <v>113</v>
      </c>
      <c r="D809" s="351">
        <f t="shared" ca="1" si="73"/>
        <v>21</v>
      </c>
      <c r="F809" s="126" t="str">
        <f ca="1">IF(OR(B809="",B809=0),"","            "&amp;A809&amp;": "&amp;B809-1&amp;",")</f>
        <v/>
      </c>
    </row>
    <row r="810" spans="1:6" hidden="1">
      <c r="A810" s="150" t="str" cm="1">
        <f t="array" aca="1" ref="A810" ca="1">INDIRECT($B$2&amp;"!"&amp;C810&amp;"15")</f>
        <v>dataType</v>
      </c>
      <c r="B810" s="130" cm="1">
        <f t="array" aca="1" ref="B810" ca="1">IFERROR(INDIRECT($B$2&amp;"!"&amp;C810&amp;D810),"")</f>
        <v>0</v>
      </c>
      <c r="C810" s="355" t="s">
        <v>114</v>
      </c>
      <c r="D810" s="351">
        <f t="shared" ca="1" si="73"/>
        <v>21</v>
      </c>
      <c r="F810" s="169" t="str">
        <f ca="1">IF(OR(B810="",B810=0),"","   "&amp;A810&amp;":"&amp;CHAR(34)&amp;B810&amp;CHAR(34)&amp;",")</f>
        <v/>
      </c>
    </row>
    <row r="811" spans="1:6" hidden="1">
      <c r="A811" s="150" t="str" cm="1">
        <f t="array" aca="1" ref="A811" ca="1">INDIRECT($B$2&amp;"!"&amp;C811&amp;"15")</f>
        <v>format</v>
      </c>
      <c r="B811" s="130" cm="1">
        <f t="array" aca="1" ref="B811" ca="1">IFERROR(INDIRECT($B$2&amp;"!"&amp;C811&amp;D811),"")</f>
        <v>0</v>
      </c>
      <c r="C811" s="355" t="s">
        <v>115</v>
      </c>
      <c r="D811" s="351">
        <f t="shared" ca="1" si="73"/>
        <v>21</v>
      </c>
      <c r="F811" s="169" t="str">
        <f ca="1">IF(OR(B811="",B811=0),"","   "&amp;A811&amp;":"&amp;IF(B811="fixedPoint",D810,CHAR(34)&amp;B811&amp;CHAR(34)&amp;","))</f>
        <v/>
      </c>
    </row>
    <row r="812" spans="1:6" hidden="1">
      <c r="A812" s="150" t="str" cm="1">
        <f t="array" aca="1" ref="A812" ca="1">INDIRECT($B$2&amp;"!"&amp;C812&amp;"15")</f>
        <v>validationRules</v>
      </c>
      <c r="B812" s="130" cm="1">
        <f t="array" aca="1" ref="B812" ca="1">IFERROR(INDIRECT($B$2&amp;"!"&amp;C812&amp;D812),"")</f>
        <v>0</v>
      </c>
      <c r="C812" s="350" t="s">
        <v>116</v>
      </c>
      <c r="D812" s="351">
        <f t="shared" ca="1" si="73"/>
        <v>21</v>
      </c>
      <c r="F812" s="169" t="str">
        <f ca="1">IF(B812,"   "&amp;A812&amp;": [{type: 'required',message: '"&amp;B807&amp;" is required' }],","")</f>
        <v/>
      </c>
    </row>
    <row r="813" spans="1:6" hidden="1">
      <c r="A813" s="150" t="str" cm="1">
        <f t="array" aca="1" ref="A813" ca="1">INDIRECT($B$2&amp;"!"&amp;C813&amp;"15")</f>
        <v>allowHiding</v>
      </c>
      <c r="B813" s="130" cm="1">
        <f t="array" aca="1" ref="B813" ca="1">IFERROR(INDIRECT($B$2&amp;"!"&amp;C813&amp;D813),"")</f>
        <v>0</v>
      </c>
      <c r="C813" s="360" t="s">
        <v>117</v>
      </c>
      <c r="D813" s="351">
        <f t="shared" ca="1" si="73"/>
        <v>21</v>
      </c>
      <c r="F813" s="169" t="str">
        <f ca="1">IF(OR(B813="",B813=0),"","   "&amp;A813&amp;": "&amp;B813&amp;",")</f>
        <v/>
      </c>
    </row>
    <row r="814" spans="1:6" hidden="1">
      <c r="A814" s="150" t="str" cm="1">
        <f t="array" aca="1" ref="A814" ca="1">INDIRECT($B$2&amp;"!"&amp;C814&amp;"15")</f>
        <v>width</v>
      </c>
      <c r="B814" s="130" cm="1">
        <f t="array" aca="1" ref="B814" ca="1">IFERROR(INDIRECT($B$2&amp;"!"&amp;C814&amp;D814),"")</f>
        <v>0</v>
      </c>
      <c r="C814" s="360" t="s">
        <v>61</v>
      </c>
      <c r="D814" s="351">
        <f t="shared" ca="1" si="73"/>
        <v>21</v>
      </c>
      <c r="F814" s="169" t="str">
        <f ca="1">IF(OR(B814="",B814=0),"","   "&amp;A814&amp;": "&amp;B814&amp;",")</f>
        <v/>
      </c>
    </row>
    <row r="815" spans="1:6" hidden="1">
      <c r="A815" s="150" t="str" cm="1">
        <f t="array" aca="1" ref="A815" ca="1">INDIRECT($B$2&amp;"!"&amp;C815&amp;"15")</f>
        <v>visible</v>
      </c>
      <c r="B815" s="323" t="str" cm="1">
        <f t="array" aca="1" ref="B815" ca="1">IFERROR(INDIRECT($B$2&amp;"!"&amp;C815&amp;D815),"")</f>
        <v/>
      </c>
      <c r="C815" s="360" t="s">
        <v>118</v>
      </c>
      <c r="D815" s="351">
        <f t="shared" ca="1" si="73"/>
        <v>21</v>
      </c>
      <c r="F815" s="126" t="str">
        <f ca="1">IF(OR(B815="",B815,B815=0),"","          "&amp;A815&amp;": "&amp;B815&amp;",")</f>
        <v/>
      </c>
    </row>
    <row r="816" spans="1:6" hidden="1">
      <c r="A816" s="156" t="s">
        <v>1399</v>
      </c>
      <c r="B816" s="156"/>
      <c r="D816" s="351">
        <f t="shared" ca="1" si="73"/>
        <v>21</v>
      </c>
      <c r="F816" s="169" t="str">
        <f ca="1">IF(D815&gt;$O$2,"","},")</f>
        <v/>
      </c>
    </row>
    <row r="817" spans="1:6" hidden="1">
      <c r="A817" s="475" t="s">
        <v>1400</v>
      </c>
      <c r="B817" s="130" cm="1">
        <f t="array" aca="1" ref="B817" ca="1">IFERROR(INDIRECT($B$2&amp;"!"&amp;C817&amp;D817),"")</f>
        <v>0</v>
      </c>
      <c r="C817" s="350" t="s">
        <v>97</v>
      </c>
      <c r="D817" s="351">
        <f ca="1">IF(D816&gt;$O$2,0,IF(A817="eNd",1,0))+D816</f>
        <v>21</v>
      </c>
      <c r="F817" s="169" t="str">
        <f ca="1">IF(OR(B817="",B817=0),"","{  "&amp;A817&amp;": "&amp;CHAR(34)&amp;$B817&amp;CHAR(34)&amp;",")</f>
        <v/>
      </c>
    </row>
    <row r="818" spans="1:6" hidden="1">
      <c r="A818" s="150" t="str" cm="1">
        <f t="array" aca="1" ref="A818" ca="1">INDIRECT($B$2&amp;"!"&amp;C818&amp;"15")</f>
        <v>caption</v>
      </c>
      <c r="B818" s="130" t="str" cm="1">
        <f t="array" aca="1" ref="B818" ca="1">IFERROR(INDIRECT($B$2&amp;"!"&amp;C818&amp;D818),"")</f>
        <v/>
      </c>
      <c r="C818" s="350" t="s">
        <v>112</v>
      </c>
      <c r="D818" s="351">
        <f t="shared" ref="D818:D827" ca="1" si="74">IF(D817&gt;$O$2,0,IF(A818="eNd",1,0))+D817</f>
        <v>21</v>
      </c>
      <c r="F818" s="169" t="str">
        <f ca="1">IF(OR(B818="",B818=0),"","   "&amp;A818&amp;":"&amp;CHAR(34)&amp;B818&amp;CHAR(34)&amp;",")</f>
        <v/>
      </c>
    </row>
    <row r="819" spans="1:6" hidden="1">
      <c r="A819" s="150" t="str" cm="1">
        <f t="array" aca="1" ref="A819" ca="1">INDIRECT($B$2&amp;"!"&amp;C819&amp;"15")</f>
        <v>sortOrder</v>
      </c>
      <c r="B819" s="130" t="str" cm="1">
        <f t="array" aca="1" ref="B819" ca="1">IFERROR(INDIRECT($B$2&amp;"!"&amp;C819&amp;D819),"")</f>
        <v/>
      </c>
      <c r="C819" s="350" t="s">
        <v>119</v>
      </c>
      <c r="D819" s="351">
        <f t="shared" ca="1" si="74"/>
        <v>21</v>
      </c>
      <c r="F819" s="169" t="str">
        <f ca="1">IF(OR(B819="",B819=0),"","   "&amp;A819&amp;":"&amp;CHAR(34)&amp;B819&amp;CHAR(34)&amp;",")</f>
        <v/>
      </c>
    </row>
    <row r="820" spans="1:6" hidden="1">
      <c r="A820" s="150" t="str" cm="1">
        <f t="array" aca="1" ref="A820" ca="1">INDIRECT($B$2&amp;"!"&amp;C820&amp;"15")</f>
        <v>groupIndex</v>
      </c>
      <c r="B820" s="130" cm="1">
        <f t="array" aca="1" ref="B820" ca="1">IFERROR(INDIRECT($B$2&amp;"!"&amp;C820&amp;D820),"")</f>
        <v>0</v>
      </c>
      <c r="C820" s="355" t="s">
        <v>113</v>
      </c>
      <c r="D820" s="351">
        <f t="shared" ca="1" si="74"/>
        <v>21</v>
      </c>
      <c r="F820" s="126" t="str">
        <f ca="1">IF(OR(B820="",B820=0),"","            "&amp;A820&amp;": "&amp;B820-1&amp;",")</f>
        <v/>
      </c>
    </row>
    <row r="821" spans="1:6" hidden="1">
      <c r="A821" s="150" t="str" cm="1">
        <f t="array" aca="1" ref="A821" ca="1">INDIRECT($B$2&amp;"!"&amp;C821&amp;"15")</f>
        <v>dataType</v>
      </c>
      <c r="B821" s="130" cm="1">
        <f t="array" aca="1" ref="B821" ca="1">IFERROR(INDIRECT($B$2&amp;"!"&amp;C821&amp;D821),"")</f>
        <v>0</v>
      </c>
      <c r="C821" s="355" t="s">
        <v>114</v>
      </c>
      <c r="D821" s="351">
        <f t="shared" ca="1" si="74"/>
        <v>21</v>
      </c>
      <c r="F821" s="169" t="str">
        <f ca="1">IF(OR(B821="",B821=0),"","   "&amp;A821&amp;":"&amp;CHAR(34)&amp;B821&amp;CHAR(34)&amp;",")</f>
        <v/>
      </c>
    </row>
    <row r="822" spans="1:6" hidden="1">
      <c r="A822" s="150" t="str" cm="1">
        <f t="array" aca="1" ref="A822" ca="1">INDIRECT($B$2&amp;"!"&amp;C822&amp;"15")</f>
        <v>format</v>
      </c>
      <c r="B822" s="130" cm="1">
        <f t="array" aca="1" ref="B822" ca="1">IFERROR(INDIRECT($B$2&amp;"!"&amp;C822&amp;D822),"")</f>
        <v>0</v>
      </c>
      <c r="C822" s="355" t="s">
        <v>115</v>
      </c>
      <c r="D822" s="351">
        <f t="shared" ca="1" si="74"/>
        <v>21</v>
      </c>
      <c r="F822" s="169" t="str">
        <f ca="1">IF(OR(B822="",B822=0),"","   "&amp;A822&amp;":"&amp;IF(B822="fixedPoint",D821,CHAR(34)&amp;B822&amp;CHAR(34)&amp;","))</f>
        <v/>
      </c>
    </row>
    <row r="823" spans="1:6" hidden="1">
      <c r="A823" s="150" t="str" cm="1">
        <f t="array" aca="1" ref="A823" ca="1">INDIRECT($B$2&amp;"!"&amp;C823&amp;"15")</f>
        <v>validationRules</v>
      </c>
      <c r="B823" s="130" cm="1">
        <f t="array" aca="1" ref="B823" ca="1">IFERROR(INDIRECT($B$2&amp;"!"&amp;C823&amp;D823),"")</f>
        <v>0</v>
      </c>
      <c r="C823" s="350" t="s">
        <v>116</v>
      </c>
      <c r="D823" s="351">
        <f t="shared" ca="1" si="74"/>
        <v>21</v>
      </c>
      <c r="F823" s="169" t="str">
        <f ca="1">IF(B823,"   "&amp;A823&amp;": [{type: 'required',message: '"&amp;B818&amp;" is required' }],","")</f>
        <v/>
      </c>
    </row>
    <row r="824" spans="1:6" hidden="1">
      <c r="A824" s="150" t="str" cm="1">
        <f t="array" aca="1" ref="A824" ca="1">INDIRECT($B$2&amp;"!"&amp;C824&amp;"15")</f>
        <v>allowHiding</v>
      </c>
      <c r="B824" s="130" cm="1">
        <f t="array" aca="1" ref="B824" ca="1">IFERROR(INDIRECT($B$2&amp;"!"&amp;C824&amp;D824),"")</f>
        <v>0</v>
      </c>
      <c r="C824" s="360" t="s">
        <v>117</v>
      </c>
      <c r="D824" s="351">
        <f t="shared" ca="1" si="74"/>
        <v>21</v>
      </c>
      <c r="F824" s="169" t="str">
        <f ca="1">IF(OR(B824="",B824=0),"","   "&amp;A824&amp;": "&amp;B824&amp;",")</f>
        <v/>
      </c>
    </row>
    <row r="825" spans="1:6" hidden="1">
      <c r="A825" s="150" t="str" cm="1">
        <f t="array" aca="1" ref="A825" ca="1">INDIRECT($B$2&amp;"!"&amp;C825&amp;"15")</f>
        <v>width</v>
      </c>
      <c r="B825" s="130" cm="1">
        <f t="array" aca="1" ref="B825" ca="1">IFERROR(INDIRECT($B$2&amp;"!"&amp;C825&amp;D825),"")</f>
        <v>0</v>
      </c>
      <c r="C825" s="360" t="s">
        <v>61</v>
      </c>
      <c r="D825" s="351">
        <f t="shared" ca="1" si="74"/>
        <v>21</v>
      </c>
      <c r="F825" s="169" t="str">
        <f ca="1">IF(OR(B825="",B825=0),"","   "&amp;A825&amp;": "&amp;B825&amp;",")</f>
        <v/>
      </c>
    </row>
    <row r="826" spans="1:6" hidden="1">
      <c r="A826" s="150" t="str" cm="1">
        <f t="array" aca="1" ref="A826" ca="1">INDIRECT($B$2&amp;"!"&amp;C826&amp;"15")</f>
        <v>visible</v>
      </c>
      <c r="B826" s="323" t="str" cm="1">
        <f t="array" aca="1" ref="B826" ca="1">IFERROR(INDIRECT($B$2&amp;"!"&amp;C826&amp;D826),"")</f>
        <v/>
      </c>
      <c r="C826" s="360" t="s">
        <v>118</v>
      </c>
      <c r="D826" s="351">
        <f t="shared" ca="1" si="74"/>
        <v>21</v>
      </c>
      <c r="F826" s="126" t="str">
        <f ca="1">IF(OR(B826="",B826,B826=0),"","          "&amp;A826&amp;": "&amp;B826&amp;",")</f>
        <v/>
      </c>
    </row>
    <row r="827" spans="1:6" hidden="1">
      <c r="A827" s="156" t="s">
        <v>1399</v>
      </c>
      <c r="B827" s="156"/>
      <c r="D827" s="351">
        <f t="shared" ca="1" si="74"/>
        <v>21</v>
      </c>
      <c r="F827" s="169" t="str">
        <f ca="1">IF(D826&gt;$O$2,"","},")</f>
        <v/>
      </c>
    </row>
    <row r="828" spans="1:6" hidden="1">
      <c r="A828" s="475" t="s">
        <v>1400</v>
      </c>
      <c r="B828" s="130" cm="1">
        <f t="array" aca="1" ref="B828" ca="1">IFERROR(INDIRECT($B$2&amp;"!"&amp;C828&amp;D828),"")</f>
        <v>0</v>
      </c>
      <c r="C828" s="350" t="s">
        <v>97</v>
      </c>
      <c r="D828" s="351">
        <f ca="1">IF(D827&gt;$O$2,0,IF(A828="eNd",1,0))+D827</f>
        <v>21</v>
      </c>
      <c r="F828" s="169" t="str">
        <f ca="1">IF(OR(B828="",B828=0),"","{  "&amp;A828&amp;": "&amp;CHAR(34)&amp;$B828&amp;CHAR(34)&amp;",")</f>
        <v/>
      </c>
    </row>
    <row r="829" spans="1:6" hidden="1">
      <c r="A829" s="150" t="str" cm="1">
        <f t="array" aca="1" ref="A829" ca="1">INDIRECT($B$2&amp;"!"&amp;C829&amp;"15")</f>
        <v>caption</v>
      </c>
      <c r="B829" s="130" t="str" cm="1">
        <f t="array" aca="1" ref="B829" ca="1">IFERROR(INDIRECT($B$2&amp;"!"&amp;C829&amp;D829),"")</f>
        <v/>
      </c>
      <c r="C829" s="350" t="s">
        <v>112</v>
      </c>
      <c r="D829" s="351">
        <f t="shared" ref="D829:D838" ca="1" si="75">IF(D828&gt;$O$2,0,IF(A829="eNd",1,0))+D828</f>
        <v>21</v>
      </c>
      <c r="F829" s="169" t="str">
        <f ca="1">IF(OR(B829="",B829=0),"","   "&amp;A829&amp;":"&amp;CHAR(34)&amp;B829&amp;CHAR(34)&amp;",")</f>
        <v/>
      </c>
    </row>
    <row r="830" spans="1:6" hidden="1">
      <c r="A830" s="150" t="str" cm="1">
        <f t="array" aca="1" ref="A830" ca="1">INDIRECT($B$2&amp;"!"&amp;C830&amp;"15")</f>
        <v>sortOrder</v>
      </c>
      <c r="B830" s="130" t="str" cm="1">
        <f t="array" aca="1" ref="B830" ca="1">IFERROR(INDIRECT($B$2&amp;"!"&amp;C830&amp;D830),"")</f>
        <v/>
      </c>
      <c r="C830" s="350" t="s">
        <v>119</v>
      </c>
      <c r="D830" s="351">
        <f t="shared" ca="1" si="75"/>
        <v>21</v>
      </c>
      <c r="F830" s="169" t="str">
        <f ca="1">IF(OR(B830="",B830=0),"","   "&amp;A830&amp;":"&amp;CHAR(34)&amp;B830&amp;CHAR(34)&amp;",")</f>
        <v/>
      </c>
    </row>
    <row r="831" spans="1:6" hidden="1">
      <c r="A831" s="150" t="str" cm="1">
        <f t="array" aca="1" ref="A831" ca="1">INDIRECT($B$2&amp;"!"&amp;C831&amp;"15")</f>
        <v>groupIndex</v>
      </c>
      <c r="B831" s="130" cm="1">
        <f t="array" aca="1" ref="B831" ca="1">IFERROR(INDIRECT($B$2&amp;"!"&amp;C831&amp;D831),"")</f>
        <v>0</v>
      </c>
      <c r="C831" s="355" t="s">
        <v>113</v>
      </c>
      <c r="D831" s="351">
        <f t="shared" ca="1" si="75"/>
        <v>21</v>
      </c>
      <c r="F831" s="126" t="str">
        <f ca="1">IF(OR(B831="",B831=0),"","            "&amp;A831&amp;": "&amp;B831-1&amp;",")</f>
        <v/>
      </c>
    </row>
    <row r="832" spans="1:6" hidden="1">
      <c r="A832" s="150" t="str" cm="1">
        <f t="array" aca="1" ref="A832" ca="1">INDIRECT($B$2&amp;"!"&amp;C832&amp;"15")</f>
        <v>dataType</v>
      </c>
      <c r="B832" s="130" cm="1">
        <f t="array" aca="1" ref="B832" ca="1">IFERROR(INDIRECT($B$2&amp;"!"&amp;C832&amp;D832),"")</f>
        <v>0</v>
      </c>
      <c r="C832" s="355" t="s">
        <v>114</v>
      </c>
      <c r="D832" s="351">
        <f t="shared" ca="1" si="75"/>
        <v>21</v>
      </c>
      <c r="F832" s="169" t="str">
        <f ca="1">IF(OR(B832="",B832=0),"","   "&amp;A832&amp;":"&amp;CHAR(34)&amp;B832&amp;CHAR(34)&amp;",")</f>
        <v/>
      </c>
    </row>
    <row r="833" spans="1:6" hidden="1">
      <c r="A833" s="150" t="str" cm="1">
        <f t="array" aca="1" ref="A833" ca="1">INDIRECT($B$2&amp;"!"&amp;C833&amp;"15")</f>
        <v>format</v>
      </c>
      <c r="B833" s="130" cm="1">
        <f t="array" aca="1" ref="B833" ca="1">IFERROR(INDIRECT($B$2&amp;"!"&amp;C833&amp;D833),"")</f>
        <v>0</v>
      </c>
      <c r="C833" s="355" t="s">
        <v>115</v>
      </c>
      <c r="D833" s="351">
        <f t="shared" ca="1" si="75"/>
        <v>21</v>
      </c>
      <c r="F833" s="169" t="str">
        <f ca="1">IF(OR(B833="",B833=0),"","   "&amp;A833&amp;":"&amp;IF(B833="fixedPoint",D832,CHAR(34)&amp;B833&amp;CHAR(34)&amp;","))</f>
        <v/>
      </c>
    </row>
    <row r="834" spans="1:6" hidden="1">
      <c r="A834" s="150" t="str" cm="1">
        <f t="array" aca="1" ref="A834" ca="1">INDIRECT($B$2&amp;"!"&amp;C834&amp;"15")</f>
        <v>validationRules</v>
      </c>
      <c r="B834" s="130" cm="1">
        <f t="array" aca="1" ref="B834" ca="1">IFERROR(INDIRECT($B$2&amp;"!"&amp;C834&amp;D834),"")</f>
        <v>0</v>
      </c>
      <c r="C834" s="350" t="s">
        <v>116</v>
      </c>
      <c r="D834" s="351">
        <f t="shared" ca="1" si="75"/>
        <v>21</v>
      </c>
      <c r="F834" s="169" t="str">
        <f ca="1">IF(B834,"   "&amp;A834&amp;": [{type: 'required',message: '"&amp;B829&amp;" is required' }],","")</f>
        <v/>
      </c>
    </row>
    <row r="835" spans="1:6" hidden="1">
      <c r="A835" s="150" t="str" cm="1">
        <f t="array" aca="1" ref="A835" ca="1">INDIRECT($B$2&amp;"!"&amp;C835&amp;"15")</f>
        <v>allowHiding</v>
      </c>
      <c r="B835" s="130" cm="1">
        <f t="array" aca="1" ref="B835" ca="1">IFERROR(INDIRECT($B$2&amp;"!"&amp;C835&amp;D835),"")</f>
        <v>0</v>
      </c>
      <c r="C835" s="360" t="s">
        <v>117</v>
      </c>
      <c r="D835" s="351">
        <f t="shared" ca="1" si="75"/>
        <v>21</v>
      </c>
      <c r="F835" s="169" t="str">
        <f ca="1">IF(OR(B835="",B835=0),"","   "&amp;A835&amp;": "&amp;B835&amp;",")</f>
        <v/>
      </c>
    </row>
    <row r="836" spans="1:6" hidden="1">
      <c r="A836" s="150" t="str" cm="1">
        <f t="array" aca="1" ref="A836" ca="1">INDIRECT($B$2&amp;"!"&amp;C836&amp;"15")</f>
        <v>width</v>
      </c>
      <c r="B836" s="130" cm="1">
        <f t="array" aca="1" ref="B836" ca="1">IFERROR(INDIRECT($B$2&amp;"!"&amp;C836&amp;D836),"")</f>
        <v>0</v>
      </c>
      <c r="C836" s="360" t="s">
        <v>61</v>
      </c>
      <c r="D836" s="351">
        <f t="shared" ca="1" si="75"/>
        <v>21</v>
      </c>
      <c r="F836" s="169" t="str">
        <f ca="1">IF(OR(B836="",B836=0),"","   "&amp;A836&amp;": "&amp;B836&amp;",")</f>
        <v/>
      </c>
    </row>
    <row r="837" spans="1:6" hidden="1">
      <c r="A837" s="150" t="str" cm="1">
        <f t="array" aca="1" ref="A837" ca="1">INDIRECT($B$2&amp;"!"&amp;C837&amp;"15")</f>
        <v>visible</v>
      </c>
      <c r="B837" s="323" t="str" cm="1">
        <f t="array" aca="1" ref="B837" ca="1">IFERROR(INDIRECT($B$2&amp;"!"&amp;C837&amp;D837),"")</f>
        <v/>
      </c>
      <c r="C837" s="360" t="s">
        <v>118</v>
      </c>
      <c r="D837" s="351">
        <f t="shared" ca="1" si="75"/>
        <v>21</v>
      </c>
      <c r="F837" s="126" t="str">
        <f ca="1">IF(OR(B837="",B837,B837=0),"","          "&amp;A837&amp;": "&amp;B837&amp;",")</f>
        <v/>
      </c>
    </row>
    <row r="838" spans="1:6" hidden="1">
      <c r="A838" s="156" t="s">
        <v>1399</v>
      </c>
      <c r="B838" s="156"/>
      <c r="D838" s="351">
        <f t="shared" ca="1" si="75"/>
        <v>21</v>
      </c>
      <c r="F838" s="169" t="str">
        <f ca="1">IF(D837&gt;$O$2,"","},")</f>
        <v/>
      </c>
    </row>
    <row r="839" spans="1:6">
      <c r="A839" s="346"/>
      <c r="B839" s="346"/>
      <c r="E839" s="352">
        <v>9</v>
      </c>
      <c r="F839" s="326" t="str">
        <f>REPT(" ",E839)&amp;"{ type: "&amp;CHAR(34)&amp;"buttons"&amp;CHAR(34)&amp;","</f>
        <v xml:space="preserve">         { type: "buttons",</v>
      </c>
    </row>
    <row r="840" spans="1:6">
      <c r="A840" s="346"/>
      <c r="B840" s="346"/>
      <c r="E840" s="352">
        <v>15</v>
      </c>
      <c r="F840" s="126" t="str">
        <f>REPT(" ",E840)&amp;"width: 110,"</f>
        <v xml:space="preserve">               width: 110,</v>
      </c>
    </row>
    <row r="841" spans="1:6">
      <c r="A841" s="346"/>
      <c r="B841" s="346"/>
      <c r="E841" s="352">
        <v>15</v>
      </c>
      <c r="F841" s="126" t="str">
        <f>REPT(" ",E841)&amp;"buttons: ["&amp;CHAR(34)&amp;"edit"&amp;CHAR(34)&amp;", "&amp;CHAR(34)&amp;"delete"&amp;CHAR(34)&amp;"]"</f>
        <v xml:space="preserve">               buttons: ["edit", "delete"]</v>
      </c>
    </row>
    <row r="842" spans="1:6">
      <c r="A842" s="346"/>
      <c r="B842" s="346"/>
      <c r="E842" s="352">
        <v>9</v>
      </c>
      <c r="F842" s="126" t="str">
        <f>REPT(" ",E842)&amp;"}"</f>
        <v xml:space="preserve">         }</v>
      </c>
    </row>
    <row r="843" spans="1:6">
      <c r="A843" s="346"/>
      <c r="B843" s="346"/>
      <c r="E843" s="352">
        <v>0</v>
      </c>
      <c r="F843" s="126" t="str">
        <f>REPT(" ",E843)&amp;"],"</f>
        <v>],</v>
      </c>
    </row>
    <row r="844" spans="1:6">
      <c r="A844" s="361" t="s">
        <v>1027</v>
      </c>
      <c r="B844" s="362">
        <v>200</v>
      </c>
      <c r="D844" s="351">
        <v>14</v>
      </c>
      <c r="F844" s="126" t="str" cm="1">
        <f t="array" aca="1" ref="F844" ca="1">IF(INDIRECT($B$2&amp;"!AO14")=$B$844,"",REPT(" ",E844)&amp;"// summary")</f>
        <v>// summary</v>
      </c>
    </row>
    <row r="845" spans="1:6">
      <c r="A845" s="361" t="s">
        <v>1045</v>
      </c>
      <c r="B845" s="362">
        <v>100</v>
      </c>
      <c r="C845" s="355" t="s">
        <v>120</v>
      </c>
      <c r="D845" s="351">
        <v>15</v>
      </c>
      <c r="E845" s="352">
        <v>2</v>
      </c>
      <c r="F845" s="126" t="str" cm="1">
        <f t="array" aca="1" ref="F845" ca="1">IF(INDIRECT($B$2&amp;"!AO14")=$B$844,"",REPT(" ",E845)&amp;"summary: {")</f>
        <v xml:space="preserve">  summary: {</v>
      </c>
    </row>
    <row r="846" spans="1:6">
      <c r="A846" s="349" t="s">
        <v>1041</v>
      </c>
      <c r="B846" s="130"/>
      <c r="C846" s="355" t="s">
        <v>130</v>
      </c>
      <c r="D846" s="351">
        <v>11</v>
      </c>
      <c r="E846" s="352">
        <v>6</v>
      </c>
      <c r="F846" s="126" t="str" cm="1">
        <f t="array" aca="1" ref="F846" ca="1">IF(INDIRECT($B$2&amp;"!AO14")=$B$844,"",REPT(" ",E846)&amp;A846&amp;INDIRECT($B$2&amp;"!"&amp;C846&amp;D846)&amp;",")</f>
        <v xml:space="preserve">      recalculateWhileEditing: true,</v>
      </c>
    </row>
    <row r="847" spans="1:6">
      <c r="A847" s="349" t="s">
        <v>1042</v>
      </c>
      <c r="B847" s="130"/>
      <c r="C847" s="355" t="s">
        <v>130</v>
      </c>
      <c r="D847" s="351">
        <v>12</v>
      </c>
      <c r="E847" s="352">
        <v>6</v>
      </c>
      <c r="F847" s="126" t="str" cm="1">
        <f t="array" aca="1" ref="F847" ca="1">IF(INDIRECT($B$2&amp;"!AO14")=$B$844,"",REPT(" ",E847)&amp;A847&amp;INDIRECT($B$2&amp;"!"&amp;C847&amp;D847)&amp;",")</f>
        <v xml:space="preserve">      skipEmptyValues: false,</v>
      </c>
    </row>
    <row r="848" spans="1:6">
      <c r="A848" s="150" t="s">
        <v>1040</v>
      </c>
      <c r="B848" s="130"/>
      <c r="C848" s="355"/>
      <c r="D848" s="351">
        <v>16</v>
      </c>
      <c r="E848" s="352">
        <v>6</v>
      </c>
      <c r="F848" s="126" t="str" cm="1">
        <f t="array" aca="1" ref="F848" ca="1">IF(INDIRECT($B$2&amp;"!AJ14")=$B$845,"",REPT(" ",E848)&amp;"totalItems: [")</f>
        <v xml:space="preserve">      totalItems: [</v>
      </c>
    </row>
    <row r="849" spans="1:6">
      <c r="A849" s="150" t="str">
        <f ca="1">IFERROR(INDIRECT($B$2&amp;"!"&amp;"C"&amp;D849),"")</f>
        <v>Code</v>
      </c>
      <c r="B849" s="130" t="str">
        <f ca="1">IFERROR(INDIRECT($B$2&amp;"!"&amp;C849&amp;D849),"")</f>
        <v>count</v>
      </c>
      <c r="C849" s="355" t="s">
        <v>128</v>
      </c>
      <c r="D849" s="351">
        <f>IF(TRIM(A848)="N",1,0)+D848</f>
        <v>16</v>
      </c>
      <c r="E849" s="352">
        <v>9</v>
      </c>
      <c r="F849" s="126" t="str">
        <f ca="1">IF(B849=0,"",REPT(" ",E849)&amp;"{ column: "&amp;CHAR(34)&amp;A849&amp;CHAR(34)&amp;",")</f>
        <v xml:space="preserve">         { column: "Code",</v>
      </c>
    </row>
    <row r="850" spans="1:6">
      <c r="A850" s="150"/>
      <c r="B850" s="130" t="str" cm="1">
        <f t="array" aca="1" ref="B850" ca="1">INDIRECT($B$2&amp;"!"&amp;C850&amp;D850)</f>
        <v>count</v>
      </c>
      <c r="C850" s="350" t="s">
        <v>128</v>
      </c>
      <c r="D850" s="351">
        <f t="shared" ref="D850:D913" ca="1" si="76">IF(TRIM(A849)="N",1,0)+D849</f>
        <v>16</v>
      </c>
      <c r="E850" s="352">
        <v>12</v>
      </c>
      <c r="F850" s="126" t="str" cm="1">
        <f t="array" aca="1" ref="F850" ca="1">IF(OR(INDIRECT($B$2&amp;"!AJ14")=$B$845,B850=0),"",REPT(" ",E850)&amp;"summaryType: "&amp;CHAR(34)&amp;B850&amp;CHAR(34)&amp;",")</f>
        <v xml:space="preserve">            summaryType: "count",</v>
      </c>
    </row>
    <row r="851" spans="1:6">
      <c r="A851" s="150"/>
      <c r="B851" s="130" t="str">
        <f ca="1">IFERROR(INDIRECT($B$2&amp;"!"&amp;C851&amp;D851),"")</f>
        <v>count</v>
      </c>
      <c r="C851" s="350" t="s">
        <v>128</v>
      </c>
      <c r="D851" s="351">
        <f t="shared" ca="1" si="76"/>
        <v>16</v>
      </c>
      <c r="E851" s="352">
        <v>12</v>
      </c>
      <c r="F851" s="126" t="str" cm="1">
        <f t="array" aca="1" ref="F851" ca="1">IF(OR(INDIRECT($B$2&amp;"!AJ14")=$B$845,B851=0),"",REPT(" ",E851)&amp;"displayFormat: "&amp;CHAR(34)&amp;"{0} Items"&amp;CHAR(34)&amp;",")</f>
        <v xml:space="preserve">            displayFormat: "{0} Items",</v>
      </c>
    </row>
    <row r="852" spans="1:6" hidden="1">
      <c r="A852" s="150" t="s">
        <v>1037</v>
      </c>
      <c r="B852" s="130">
        <f ca="1">IFERROR(INDIRECT($B$2&amp;"!"&amp;C852&amp;D852),"")</f>
        <v>0</v>
      </c>
      <c r="C852" s="350" t="s">
        <v>130</v>
      </c>
      <c r="D852" s="351">
        <f t="shared" ca="1" si="76"/>
        <v>16</v>
      </c>
      <c r="E852" s="352">
        <v>12</v>
      </c>
      <c r="F852" s="126" t="str" cm="1">
        <f t="array" aca="1" ref="F852" ca="1">IF(OR(INDIRECT($B$2&amp;"!AJ14")=$B$845,B852=0),"",REPT(" ",E852)&amp;A852&amp;CHAR(34)&amp;B852&amp;CHAR(34)&amp;",")</f>
        <v/>
      </c>
    </row>
    <row r="853" spans="1:6">
      <c r="A853" s="150" t="s">
        <v>65</v>
      </c>
      <c r="B853" s="130" t="str">
        <f ca="1">IFERROR(INDIRECT($B$2&amp;"!"&amp;C853&amp;D853),"")</f>
        <v>count</v>
      </c>
      <c r="C853" s="350" t="s">
        <v>128</v>
      </c>
      <c r="D853" s="351">
        <f t="shared" ca="1" si="76"/>
        <v>16</v>
      </c>
      <c r="E853" s="352">
        <v>9</v>
      </c>
      <c r="F853" s="126" t="str" cm="1">
        <f t="array" aca="1" ref="F853" ca="1">IF(OR(INDIRECT($B$2&amp;"!AJ14")=$B$845,B853=0),"",REPT(" ",E853)&amp;"},")</f>
        <v xml:space="preserve">         },</v>
      </c>
    </row>
    <row r="854" spans="1:6" hidden="1">
      <c r="A854" s="150" t="str">
        <f ca="1">IFERROR(INDIRECT($B$2&amp;"!"&amp;"C"&amp;D854),"")</f>
        <v>NextNo</v>
      </c>
      <c r="B854" s="130">
        <f ca="1">IFERROR(INDIRECT($B$2&amp;"!"&amp;C854&amp;D854),"")</f>
        <v>0</v>
      </c>
      <c r="C854" s="355" t="s">
        <v>128</v>
      </c>
      <c r="D854" s="351">
        <f t="shared" ca="1" si="76"/>
        <v>17</v>
      </c>
      <c r="E854" s="352">
        <v>9</v>
      </c>
      <c r="F854" s="126" t="str">
        <f ca="1">IF(B854=0,"",REPT(" ",E854)&amp;"{ column: "&amp;CHAR(34)&amp;A854&amp;CHAR(34)&amp;",")</f>
        <v/>
      </c>
    </row>
    <row r="855" spans="1:6" hidden="1">
      <c r="A855" s="150"/>
      <c r="B855" s="130" cm="1">
        <f t="array" aca="1" ref="B855" ca="1">INDIRECT($B$2&amp;"!"&amp;C855&amp;D855)</f>
        <v>0</v>
      </c>
      <c r="C855" s="350" t="s">
        <v>128</v>
      </c>
      <c r="D855" s="351">
        <f t="shared" ca="1" si="76"/>
        <v>17</v>
      </c>
      <c r="E855" s="352">
        <v>12</v>
      </c>
      <c r="F855" s="126" t="str" cm="1">
        <f t="array" aca="1" ref="F855" ca="1">IF(OR(INDIRECT($B$2&amp;"!AJ14")=$B$845,B855=0),"",REPT(" ",E855)&amp;"summaryType: "&amp;CHAR(34)&amp;B855&amp;CHAR(34)&amp;",")</f>
        <v/>
      </c>
    </row>
    <row r="856" spans="1:6" hidden="1">
      <c r="A856" s="150"/>
      <c r="B856" s="130">
        <f ca="1">IFERROR(INDIRECT($B$2&amp;"!"&amp;C856&amp;D856),"")</f>
        <v>0</v>
      </c>
      <c r="C856" s="350" t="s">
        <v>128</v>
      </c>
      <c r="D856" s="351">
        <f t="shared" ca="1" si="76"/>
        <v>17</v>
      </c>
      <c r="E856" s="352">
        <v>12</v>
      </c>
      <c r="F856" s="126" t="str" cm="1">
        <f t="array" aca="1" ref="F856" ca="1">IF(OR(INDIRECT($B$2&amp;"!AJ14")=$B$845,B856=0),"",REPT(" ",E856)&amp;"displayFormat: "&amp;CHAR(34)&amp;"{0} Items"&amp;CHAR(34)&amp;",")</f>
        <v/>
      </c>
    </row>
    <row r="857" spans="1:6" hidden="1">
      <c r="A857" s="150" t="s">
        <v>1037</v>
      </c>
      <c r="B857" s="130">
        <f ca="1">IFERROR(INDIRECT($B$2&amp;"!"&amp;C857&amp;D857),"")</f>
        <v>0</v>
      </c>
      <c r="C857" s="350" t="s">
        <v>130</v>
      </c>
      <c r="D857" s="351">
        <f t="shared" ca="1" si="76"/>
        <v>17</v>
      </c>
      <c r="E857" s="352">
        <v>12</v>
      </c>
      <c r="F857" s="126" t="str" cm="1">
        <f t="array" aca="1" ref="F857" ca="1">IF(OR(INDIRECT($B$2&amp;"!AJ14")=$B$845,B857=0),"",REPT(" ",E857)&amp;A857&amp;CHAR(34)&amp;B857&amp;CHAR(34)&amp;",")</f>
        <v/>
      </c>
    </row>
    <row r="858" spans="1:6" hidden="1">
      <c r="A858" s="150" t="s">
        <v>65</v>
      </c>
      <c r="B858" s="130">
        <f ca="1">IFERROR(INDIRECT($B$2&amp;"!"&amp;C858&amp;D858),"")</f>
        <v>0</v>
      </c>
      <c r="C858" s="350" t="s">
        <v>128</v>
      </c>
      <c r="D858" s="351">
        <f t="shared" ca="1" si="76"/>
        <v>17</v>
      </c>
      <c r="E858" s="352">
        <v>9</v>
      </c>
      <c r="F858" s="126" t="str" cm="1">
        <f t="array" aca="1" ref="F858" ca="1">IF(OR(INDIRECT($B$2&amp;"!AJ14")=$B$845,B858=0),"",REPT(" ",E858)&amp;"},")</f>
        <v/>
      </c>
    </row>
    <row r="859" spans="1:6" hidden="1">
      <c r="A859" s="150" t="str">
        <f ca="1">IFERROR(INDIRECT($B$2&amp;"!"&amp;"C"&amp;D859),"")</f>
        <v>ConstantValue</v>
      </c>
      <c r="B859" s="130">
        <f ca="1">IFERROR(INDIRECT($B$2&amp;"!"&amp;C859&amp;D859),"")</f>
        <v>0</v>
      </c>
      <c r="C859" s="355" t="s">
        <v>128</v>
      </c>
      <c r="D859" s="351">
        <f t="shared" ca="1" si="76"/>
        <v>18</v>
      </c>
      <c r="E859" s="352">
        <v>9</v>
      </c>
      <c r="F859" s="126" t="str">
        <f ca="1">IF(B859=0,"",REPT(" ",E859)&amp;"{ column: "&amp;CHAR(34)&amp;A859&amp;CHAR(34)&amp;",")</f>
        <v/>
      </c>
    </row>
    <row r="860" spans="1:6" hidden="1">
      <c r="A860" s="150"/>
      <c r="B860" s="130" cm="1">
        <f t="array" aca="1" ref="B860" ca="1">INDIRECT($B$2&amp;"!"&amp;C860&amp;D860)</f>
        <v>0</v>
      </c>
      <c r="C860" s="350" t="s">
        <v>128</v>
      </c>
      <c r="D860" s="351">
        <f t="shared" ca="1" si="76"/>
        <v>18</v>
      </c>
      <c r="E860" s="352">
        <v>12</v>
      </c>
      <c r="F860" s="126" t="str" cm="1">
        <f t="array" aca="1" ref="F860" ca="1">IF(OR(INDIRECT($B$2&amp;"!AJ14")=$B$845,B860=0),"",REPT(" ",E860)&amp;"summaryType: "&amp;CHAR(34)&amp;B860&amp;CHAR(34)&amp;",")</f>
        <v/>
      </c>
    </row>
    <row r="861" spans="1:6" hidden="1">
      <c r="A861" s="150"/>
      <c r="B861" s="130">
        <f ca="1">IFERROR(INDIRECT($B$2&amp;"!"&amp;C861&amp;D861),"")</f>
        <v>0</v>
      </c>
      <c r="C861" s="350" t="s">
        <v>128</v>
      </c>
      <c r="D861" s="351">
        <f t="shared" ca="1" si="76"/>
        <v>18</v>
      </c>
      <c r="E861" s="352">
        <v>12</v>
      </c>
      <c r="F861" s="126" t="str" cm="1">
        <f t="array" aca="1" ref="F861" ca="1">IF(OR(INDIRECT($B$2&amp;"!AJ14")=$B$845,B861=0),"",REPT(" ",E861)&amp;"displayFormat: "&amp;CHAR(34)&amp;"{0} Items"&amp;CHAR(34)&amp;",")</f>
        <v/>
      </c>
    </row>
    <row r="862" spans="1:6" hidden="1">
      <c r="A862" s="150" t="s">
        <v>1037</v>
      </c>
      <c r="B862" s="130">
        <f ca="1">IFERROR(INDIRECT($B$2&amp;"!"&amp;C862&amp;D862),"")</f>
        <v>0</v>
      </c>
      <c r="C862" s="350" t="s">
        <v>130</v>
      </c>
      <c r="D862" s="351">
        <f t="shared" ca="1" si="76"/>
        <v>18</v>
      </c>
      <c r="E862" s="352">
        <v>12</v>
      </c>
      <c r="F862" s="126" t="str" cm="1">
        <f t="array" aca="1" ref="F862" ca="1">IF(OR(INDIRECT($B$2&amp;"!AJ14")=$B$845,B862=0),"",REPT(" ",E862)&amp;A862&amp;CHAR(34)&amp;B862&amp;CHAR(34)&amp;",")</f>
        <v/>
      </c>
    </row>
    <row r="863" spans="1:6" hidden="1">
      <c r="A863" s="150" t="s">
        <v>65</v>
      </c>
      <c r="B863" s="130">
        <f ca="1">IFERROR(INDIRECT($B$2&amp;"!"&amp;C863&amp;D863),"")</f>
        <v>0</v>
      </c>
      <c r="C863" s="350" t="s">
        <v>128</v>
      </c>
      <c r="D863" s="351">
        <f t="shared" ca="1" si="76"/>
        <v>18</v>
      </c>
      <c r="E863" s="352">
        <v>9</v>
      </c>
      <c r="F863" s="126" t="str" cm="1">
        <f t="array" aca="1" ref="F863" ca="1">IF(OR(INDIRECT($B$2&amp;"!AJ14")=$B$845,B863=0),"",REPT(" ",E863)&amp;"},")</f>
        <v/>
      </c>
    </row>
    <row r="864" spans="1:6" hidden="1">
      <c r="A864" s="150" t="str">
        <f ca="1">IFERROR(INDIRECT($B$2&amp;"!"&amp;"C"&amp;D864),"")</f>
        <v>BooleanFlag</v>
      </c>
      <c r="B864" s="130">
        <f ca="1">IFERROR(INDIRECT($B$2&amp;"!"&amp;C864&amp;D864),"")</f>
        <v>0</v>
      </c>
      <c r="C864" s="355" t="s">
        <v>128</v>
      </c>
      <c r="D864" s="351">
        <f t="shared" ca="1" si="76"/>
        <v>19</v>
      </c>
      <c r="E864" s="352">
        <v>9</v>
      </c>
      <c r="F864" s="126" t="str">
        <f ca="1">IF(B864=0,"",REPT(" ",E864)&amp;"{ column: "&amp;CHAR(34)&amp;A864&amp;CHAR(34)&amp;",")</f>
        <v/>
      </c>
    </row>
    <row r="865" spans="1:6" hidden="1">
      <c r="A865" s="150"/>
      <c r="B865" s="130" cm="1">
        <f t="array" aca="1" ref="B865" ca="1">INDIRECT($B$2&amp;"!"&amp;C865&amp;D865)</f>
        <v>0</v>
      </c>
      <c r="C865" s="350" t="s">
        <v>128</v>
      </c>
      <c r="D865" s="351">
        <f t="shared" ca="1" si="76"/>
        <v>19</v>
      </c>
      <c r="E865" s="352">
        <v>12</v>
      </c>
      <c r="F865" s="126" t="str" cm="1">
        <f t="array" aca="1" ref="F865" ca="1">IF(OR(INDIRECT($B$2&amp;"!AJ14")=$B$845,B865=0),"",REPT(" ",E865)&amp;"summaryType: "&amp;CHAR(34)&amp;B865&amp;CHAR(34)&amp;",")</f>
        <v/>
      </c>
    </row>
    <row r="866" spans="1:6" hidden="1">
      <c r="A866" s="150"/>
      <c r="B866" s="130">
        <f ca="1">IFERROR(INDIRECT($B$2&amp;"!"&amp;C866&amp;D866),"")</f>
        <v>0</v>
      </c>
      <c r="C866" s="350" t="s">
        <v>128</v>
      </c>
      <c r="D866" s="351">
        <f t="shared" ca="1" si="76"/>
        <v>19</v>
      </c>
      <c r="E866" s="352">
        <v>12</v>
      </c>
      <c r="F866" s="126" t="str" cm="1">
        <f t="array" aca="1" ref="F866" ca="1">IF(OR(INDIRECT($B$2&amp;"!AJ14")=$B$845,B866=0),"",REPT(" ",E866)&amp;"displayFormat: "&amp;CHAR(34)&amp;"{0} Items"&amp;CHAR(34)&amp;",")</f>
        <v/>
      </c>
    </row>
    <row r="867" spans="1:6" hidden="1">
      <c r="A867" s="150" t="s">
        <v>1037</v>
      </c>
      <c r="B867" s="130">
        <f ca="1">IFERROR(INDIRECT($B$2&amp;"!"&amp;C867&amp;D867),"")</f>
        <v>0</v>
      </c>
      <c r="C867" s="350" t="s">
        <v>130</v>
      </c>
      <c r="D867" s="351">
        <f t="shared" ca="1" si="76"/>
        <v>19</v>
      </c>
      <c r="E867" s="352">
        <v>12</v>
      </c>
      <c r="F867" s="126" t="str" cm="1">
        <f t="array" aca="1" ref="F867" ca="1">IF(OR(INDIRECT($B$2&amp;"!AJ14")=$B$845,B867=0),"",REPT(" ",E867)&amp;A867&amp;CHAR(34)&amp;B867&amp;CHAR(34)&amp;",")</f>
        <v/>
      </c>
    </row>
    <row r="868" spans="1:6" hidden="1">
      <c r="A868" s="150" t="s">
        <v>65</v>
      </c>
      <c r="B868" s="130">
        <f ca="1">IFERROR(INDIRECT($B$2&amp;"!"&amp;C868&amp;D868),"")</f>
        <v>0</v>
      </c>
      <c r="C868" s="350" t="s">
        <v>128</v>
      </c>
      <c r="D868" s="351">
        <f t="shared" ca="1" si="76"/>
        <v>19</v>
      </c>
      <c r="E868" s="352">
        <v>9</v>
      </c>
      <c r="F868" s="126" t="str" cm="1">
        <f t="array" aca="1" ref="F868" ca="1">IF(OR(INDIRECT($B$2&amp;"!AJ14")=$B$845,B868=0),"",REPT(" ",E868)&amp;"},")</f>
        <v/>
      </c>
    </row>
    <row r="869" spans="1:6" hidden="1">
      <c r="A869" s="150" t="str">
        <f ca="1">IFERROR(INDIRECT($B$2&amp;"!"&amp;"C"&amp;D869),"")</f>
        <v>Remark</v>
      </c>
      <c r="B869" s="130">
        <f ca="1">IFERROR(INDIRECT($B$2&amp;"!"&amp;C869&amp;D869),"")</f>
        <v>0</v>
      </c>
      <c r="C869" s="355" t="s">
        <v>128</v>
      </c>
      <c r="D869" s="351">
        <f t="shared" ca="1" si="76"/>
        <v>20</v>
      </c>
      <c r="E869" s="352">
        <v>9</v>
      </c>
      <c r="F869" s="126" t="str">
        <f ca="1">IF(B869=0,"",REPT(" ",E869)&amp;"{ column: "&amp;CHAR(34)&amp;A869&amp;CHAR(34)&amp;",")</f>
        <v/>
      </c>
    </row>
    <row r="870" spans="1:6" hidden="1">
      <c r="A870" s="150"/>
      <c r="B870" s="130" cm="1">
        <f t="array" aca="1" ref="B870" ca="1">INDIRECT($B$2&amp;"!"&amp;C870&amp;D870)</f>
        <v>0</v>
      </c>
      <c r="C870" s="350" t="s">
        <v>128</v>
      </c>
      <c r="D870" s="351">
        <f t="shared" ca="1" si="76"/>
        <v>20</v>
      </c>
      <c r="E870" s="352">
        <v>12</v>
      </c>
      <c r="F870" s="126" t="str" cm="1">
        <f t="array" aca="1" ref="F870" ca="1">IF(OR(INDIRECT($B$2&amp;"!AJ14")=$B$845,B870=0),"",REPT(" ",E870)&amp;"summaryType: "&amp;CHAR(34)&amp;B870&amp;CHAR(34)&amp;",")</f>
        <v/>
      </c>
    </row>
    <row r="871" spans="1:6" hidden="1">
      <c r="A871" s="150"/>
      <c r="B871" s="130">
        <f ca="1">IFERROR(INDIRECT($B$2&amp;"!"&amp;C871&amp;D871),"")</f>
        <v>0</v>
      </c>
      <c r="C871" s="350" t="s">
        <v>128</v>
      </c>
      <c r="D871" s="351">
        <f t="shared" ca="1" si="76"/>
        <v>20</v>
      </c>
      <c r="E871" s="352">
        <v>12</v>
      </c>
      <c r="F871" s="126" t="str" cm="1">
        <f t="array" aca="1" ref="F871" ca="1">IF(OR(INDIRECT($B$2&amp;"!AJ14")=$B$845,B871=0),"",REPT(" ",E871)&amp;"displayFormat: "&amp;CHAR(34)&amp;"{0} Items"&amp;CHAR(34)&amp;",")</f>
        <v/>
      </c>
    </row>
    <row r="872" spans="1:6" hidden="1">
      <c r="A872" s="150" t="s">
        <v>1037</v>
      </c>
      <c r="B872" s="130">
        <f ca="1">IFERROR(INDIRECT($B$2&amp;"!"&amp;C872&amp;D872),"")</f>
        <v>0</v>
      </c>
      <c r="C872" s="350" t="s">
        <v>130</v>
      </c>
      <c r="D872" s="351">
        <f t="shared" ca="1" si="76"/>
        <v>20</v>
      </c>
      <c r="E872" s="352">
        <v>12</v>
      </c>
      <c r="F872" s="126" t="str" cm="1">
        <f t="array" aca="1" ref="F872" ca="1">IF(OR(INDIRECT($B$2&amp;"!AJ14")=$B$845,B872=0),"",REPT(" ",E872)&amp;A872&amp;CHAR(34)&amp;B872&amp;CHAR(34)&amp;",")</f>
        <v/>
      </c>
    </row>
    <row r="873" spans="1:6" hidden="1">
      <c r="A873" s="150" t="s">
        <v>65</v>
      </c>
      <c r="B873" s="130">
        <f ca="1">IFERROR(INDIRECT($B$2&amp;"!"&amp;C873&amp;D873),"")</f>
        <v>0</v>
      </c>
      <c r="C873" s="350" t="s">
        <v>128</v>
      </c>
      <c r="D873" s="351">
        <f t="shared" ca="1" si="76"/>
        <v>20</v>
      </c>
      <c r="E873" s="352">
        <v>9</v>
      </c>
      <c r="F873" s="126" t="str" cm="1">
        <f t="array" aca="1" ref="F873" ca="1">IF(OR(INDIRECT($B$2&amp;"!AJ14")=$B$845,B873=0),"",REPT(" ",E873)&amp;"},")</f>
        <v/>
      </c>
    </row>
    <row r="874" spans="1:6" hidden="1">
      <c r="A874" s="150">
        <f ca="1">IFERROR(INDIRECT($B$2&amp;"!"&amp;"C"&amp;D874),"")</f>
        <v>0</v>
      </c>
      <c r="B874" s="130">
        <f ca="1">IFERROR(INDIRECT($B$2&amp;"!"&amp;C874&amp;D874),"")</f>
        <v>0</v>
      </c>
      <c r="C874" s="355" t="s">
        <v>128</v>
      </c>
      <c r="D874" s="351">
        <f t="shared" ca="1" si="76"/>
        <v>21</v>
      </c>
      <c r="E874" s="352">
        <v>9</v>
      </c>
      <c r="F874" s="126" t="str">
        <f ca="1">IF(B874=0,"",REPT(" ",E874)&amp;"{ column: "&amp;CHAR(34)&amp;A874&amp;CHAR(34)&amp;",")</f>
        <v/>
      </c>
    </row>
    <row r="875" spans="1:6" hidden="1">
      <c r="A875" s="150"/>
      <c r="B875" s="130" cm="1">
        <f t="array" aca="1" ref="B875" ca="1">INDIRECT($B$2&amp;"!"&amp;C875&amp;D875)</f>
        <v>0</v>
      </c>
      <c r="C875" s="350" t="s">
        <v>128</v>
      </c>
      <c r="D875" s="351">
        <f t="shared" ca="1" si="76"/>
        <v>21</v>
      </c>
      <c r="E875" s="352">
        <v>12</v>
      </c>
      <c r="F875" s="126" t="str" cm="1">
        <f t="array" aca="1" ref="F875" ca="1">IF(OR(INDIRECT($B$2&amp;"!AJ14")=$B$845,B875=0),"",REPT(" ",E875)&amp;"summaryType: "&amp;CHAR(34)&amp;B875&amp;CHAR(34)&amp;",")</f>
        <v/>
      </c>
    </row>
    <row r="876" spans="1:6" hidden="1">
      <c r="A876" s="150"/>
      <c r="B876" s="130">
        <f ca="1">IFERROR(INDIRECT($B$2&amp;"!"&amp;C876&amp;D876),"")</f>
        <v>0</v>
      </c>
      <c r="C876" s="350" t="s">
        <v>128</v>
      </c>
      <c r="D876" s="351">
        <f t="shared" ca="1" si="76"/>
        <v>21</v>
      </c>
      <c r="E876" s="352">
        <v>12</v>
      </c>
      <c r="F876" s="126" t="str" cm="1">
        <f t="array" aca="1" ref="F876" ca="1">IF(OR(INDIRECT($B$2&amp;"!AJ14")=$B$845,B876=0),"",REPT(" ",E876)&amp;"displayFormat: "&amp;CHAR(34)&amp;"{0} Items"&amp;CHAR(34)&amp;",")</f>
        <v/>
      </c>
    </row>
    <row r="877" spans="1:6" hidden="1">
      <c r="A877" s="150" t="s">
        <v>1037</v>
      </c>
      <c r="B877" s="130">
        <f ca="1">IFERROR(INDIRECT($B$2&amp;"!"&amp;C877&amp;D877),"")</f>
        <v>0</v>
      </c>
      <c r="C877" s="350" t="s">
        <v>130</v>
      </c>
      <c r="D877" s="351">
        <f t="shared" ca="1" si="76"/>
        <v>21</v>
      </c>
      <c r="E877" s="352">
        <v>12</v>
      </c>
      <c r="F877" s="126" t="str" cm="1">
        <f t="array" aca="1" ref="F877" ca="1">IF(OR(INDIRECT($B$2&amp;"!AJ14")=$B$845,B877=0),"",REPT(" ",E877)&amp;A877&amp;CHAR(34)&amp;B877&amp;CHAR(34)&amp;",")</f>
        <v/>
      </c>
    </row>
    <row r="878" spans="1:6" hidden="1">
      <c r="A878" s="150" t="s">
        <v>65</v>
      </c>
      <c r="B878" s="130">
        <f ca="1">IFERROR(INDIRECT($B$2&amp;"!"&amp;C878&amp;D878),"")</f>
        <v>0</v>
      </c>
      <c r="C878" s="350" t="s">
        <v>128</v>
      </c>
      <c r="D878" s="351">
        <f t="shared" ca="1" si="76"/>
        <v>21</v>
      </c>
      <c r="E878" s="352">
        <v>9</v>
      </c>
      <c r="F878" s="126" t="str" cm="1">
        <f t="array" aca="1" ref="F878" ca="1">IF(OR(INDIRECT($B$2&amp;"!AJ14")=$B$845,B878=0),"",REPT(" ",E878)&amp;"},")</f>
        <v/>
      </c>
    </row>
    <row r="879" spans="1:6" hidden="1">
      <c r="A879" s="150">
        <f ca="1">IFERROR(INDIRECT($B$2&amp;"!"&amp;"C"&amp;D879),"")</f>
        <v>0</v>
      </c>
      <c r="B879" s="130">
        <f ca="1">IFERROR(INDIRECT($B$2&amp;"!"&amp;C879&amp;D879),"")</f>
        <v>0</v>
      </c>
      <c r="C879" s="355" t="s">
        <v>128</v>
      </c>
      <c r="D879" s="351">
        <f t="shared" ca="1" si="76"/>
        <v>22</v>
      </c>
      <c r="E879" s="352">
        <v>9</v>
      </c>
      <c r="F879" s="126" t="str">
        <f ca="1">IF(B879=0,"",REPT(" ",E879)&amp;"{ column: "&amp;CHAR(34)&amp;A879&amp;CHAR(34)&amp;",")</f>
        <v/>
      </c>
    </row>
    <row r="880" spans="1:6" hidden="1">
      <c r="A880" s="150"/>
      <c r="B880" s="130" cm="1">
        <f t="array" aca="1" ref="B880" ca="1">INDIRECT($B$2&amp;"!"&amp;C880&amp;D880)</f>
        <v>0</v>
      </c>
      <c r="C880" s="350" t="s">
        <v>128</v>
      </c>
      <c r="D880" s="351">
        <f t="shared" ca="1" si="76"/>
        <v>22</v>
      </c>
      <c r="E880" s="352">
        <v>12</v>
      </c>
      <c r="F880" s="126" t="str" cm="1">
        <f t="array" aca="1" ref="F880" ca="1">IF(OR(INDIRECT($B$2&amp;"!AJ14")=$B$845,B880=0),"",REPT(" ",E880)&amp;"summaryType: "&amp;CHAR(34)&amp;B880&amp;CHAR(34)&amp;",")</f>
        <v/>
      </c>
    </row>
    <row r="881" spans="1:6" hidden="1">
      <c r="A881" s="150"/>
      <c r="B881" s="130">
        <f ca="1">IFERROR(INDIRECT($B$2&amp;"!"&amp;C881&amp;D881),"")</f>
        <v>0</v>
      </c>
      <c r="C881" s="350" t="s">
        <v>128</v>
      </c>
      <c r="D881" s="351">
        <f t="shared" ca="1" si="76"/>
        <v>22</v>
      </c>
      <c r="E881" s="352">
        <v>12</v>
      </c>
      <c r="F881" s="126" t="str" cm="1">
        <f t="array" aca="1" ref="F881" ca="1">IF(OR(INDIRECT($B$2&amp;"!AJ14")=$B$845,B881=0),"",REPT(" ",E881)&amp;"displayFormat: "&amp;CHAR(34)&amp;"{0} Items"&amp;CHAR(34)&amp;",")</f>
        <v/>
      </c>
    </row>
    <row r="882" spans="1:6" hidden="1">
      <c r="A882" s="150" t="s">
        <v>1037</v>
      </c>
      <c r="B882" s="130">
        <f ca="1">IFERROR(INDIRECT($B$2&amp;"!"&amp;C882&amp;D882),"")</f>
        <v>0</v>
      </c>
      <c r="C882" s="350" t="s">
        <v>130</v>
      </c>
      <c r="D882" s="351">
        <f t="shared" ca="1" si="76"/>
        <v>22</v>
      </c>
      <c r="E882" s="352">
        <v>12</v>
      </c>
      <c r="F882" s="126" t="str" cm="1">
        <f t="array" aca="1" ref="F882" ca="1">IF(OR(INDIRECT($B$2&amp;"!AJ14")=$B$845,B882=0),"",REPT(" ",E882)&amp;A882&amp;CHAR(34)&amp;B882&amp;CHAR(34)&amp;",")</f>
        <v/>
      </c>
    </row>
    <row r="883" spans="1:6" hidden="1">
      <c r="A883" s="150" t="s">
        <v>65</v>
      </c>
      <c r="B883" s="130">
        <f ca="1">IFERROR(INDIRECT($B$2&amp;"!"&amp;C883&amp;D883),"")</f>
        <v>0</v>
      </c>
      <c r="C883" s="350" t="s">
        <v>128</v>
      </c>
      <c r="D883" s="351">
        <f t="shared" ca="1" si="76"/>
        <v>22</v>
      </c>
      <c r="E883" s="352">
        <v>9</v>
      </c>
      <c r="F883" s="126" t="str" cm="1">
        <f t="array" aca="1" ref="F883" ca="1">IF(OR(INDIRECT($B$2&amp;"!AJ14")=$B$845,B883=0),"",REPT(" ",E883)&amp;"},")</f>
        <v/>
      </c>
    </row>
    <row r="884" spans="1:6" hidden="1">
      <c r="A884" s="150">
        <f ca="1">IFERROR(INDIRECT($B$2&amp;"!"&amp;"C"&amp;D884),"")</f>
        <v>0</v>
      </c>
      <c r="B884" s="130">
        <f ca="1">IFERROR(INDIRECT($B$2&amp;"!"&amp;C884&amp;D884),"")</f>
        <v>0</v>
      </c>
      <c r="C884" s="355" t="s">
        <v>128</v>
      </c>
      <c r="D884" s="351">
        <f t="shared" ca="1" si="76"/>
        <v>23</v>
      </c>
      <c r="E884" s="352">
        <v>9</v>
      </c>
      <c r="F884" s="126" t="str">
        <f ca="1">IF(B884=0,"",REPT(" ",E884)&amp;"{ column: "&amp;CHAR(34)&amp;A884&amp;CHAR(34)&amp;",")</f>
        <v/>
      </c>
    </row>
    <row r="885" spans="1:6" hidden="1">
      <c r="A885" s="150"/>
      <c r="B885" s="130" cm="1">
        <f t="array" aca="1" ref="B885" ca="1">INDIRECT($B$2&amp;"!"&amp;C885&amp;D885)</f>
        <v>0</v>
      </c>
      <c r="C885" s="350" t="s">
        <v>128</v>
      </c>
      <c r="D885" s="351">
        <f t="shared" ca="1" si="76"/>
        <v>23</v>
      </c>
      <c r="E885" s="352">
        <v>12</v>
      </c>
      <c r="F885" s="126" t="str" cm="1">
        <f t="array" aca="1" ref="F885" ca="1">IF(OR(INDIRECT($B$2&amp;"!AJ14")=$B$845,B885=0),"",REPT(" ",E885)&amp;"summaryType: "&amp;CHAR(34)&amp;B885&amp;CHAR(34)&amp;",")</f>
        <v/>
      </c>
    </row>
    <row r="886" spans="1:6" hidden="1">
      <c r="A886" s="150"/>
      <c r="B886" s="130">
        <f ca="1">IFERROR(INDIRECT($B$2&amp;"!"&amp;C886&amp;D886),"")</f>
        <v>0</v>
      </c>
      <c r="C886" s="350" t="s">
        <v>128</v>
      </c>
      <c r="D886" s="351">
        <f t="shared" ca="1" si="76"/>
        <v>23</v>
      </c>
      <c r="E886" s="352">
        <v>12</v>
      </c>
      <c r="F886" s="126" t="str" cm="1">
        <f t="array" aca="1" ref="F886" ca="1">IF(OR(INDIRECT($B$2&amp;"!AJ14")=$B$845,B886=0),"",REPT(" ",E886)&amp;"displayFormat: "&amp;CHAR(34)&amp;"{0} Items"&amp;CHAR(34)&amp;",")</f>
        <v/>
      </c>
    </row>
    <row r="887" spans="1:6" hidden="1">
      <c r="A887" s="150" t="s">
        <v>1037</v>
      </c>
      <c r="B887" s="130">
        <f ca="1">IFERROR(INDIRECT($B$2&amp;"!"&amp;C887&amp;D887),"")</f>
        <v>0</v>
      </c>
      <c r="C887" s="350" t="s">
        <v>130</v>
      </c>
      <c r="D887" s="351">
        <f t="shared" ca="1" si="76"/>
        <v>23</v>
      </c>
      <c r="E887" s="352">
        <v>12</v>
      </c>
      <c r="F887" s="126" t="str" cm="1">
        <f t="array" aca="1" ref="F887" ca="1">IF(OR(INDIRECT($B$2&amp;"!AJ14")=$B$845,B887=0),"",REPT(" ",E887)&amp;A887&amp;CHAR(34)&amp;B887&amp;CHAR(34)&amp;",")</f>
        <v/>
      </c>
    </row>
    <row r="888" spans="1:6" hidden="1">
      <c r="A888" s="150" t="s">
        <v>65</v>
      </c>
      <c r="B888" s="130">
        <f ca="1">IFERROR(INDIRECT($B$2&amp;"!"&amp;C888&amp;D888),"")</f>
        <v>0</v>
      </c>
      <c r="C888" s="350" t="s">
        <v>128</v>
      </c>
      <c r="D888" s="351">
        <f t="shared" ca="1" si="76"/>
        <v>23</v>
      </c>
      <c r="E888" s="352">
        <v>9</v>
      </c>
      <c r="F888" s="126" t="str" cm="1">
        <f t="array" aca="1" ref="F888" ca="1">IF(OR(INDIRECT($B$2&amp;"!AJ14")=$B$845,B888=0),"",REPT(" ",E888)&amp;"},")</f>
        <v/>
      </c>
    </row>
    <row r="889" spans="1:6" hidden="1">
      <c r="A889" s="150">
        <f ca="1">IFERROR(INDIRECT($B$2&amp;"!"&amp;"C"&amp;D889),"")</f>
        <v>0</v>
      </c>
      <c r="B889" s="130">
        <f ca="1">IFERROR(INDIRECT($B$2&amp;"!"&amp;C889&amp;D889),"")</f>
        <v>0</v>
      </c>
      <c r="C889" s="355" t="s">
        <v>128</v>
      </c>
      <c r="D889" s="351">
        <f t="shared" ca="1" si="76"/>
        <v>24</v>
      </c>
      <c r="E889" s="352">
        <v>9</v>
      </c>
      <c r="F889" s="126" t="str">
        <f ca="1">IF(B889=0,"",REPT(" ",E889)&amp;"{ column: "&amp;CHAR(34)&amp;A889&amp;CHAR(34)&amp;",")</f>
        <v/>
      </c>
    </row>
    <row r="890" spans="1:6" hidden="1">
      <c r="A890" s="150"/>
      <c r="B890" s="130" cm="1">
        <f t="array" aca="1" ref="B890" ca="1">INDIRECT($B$2&amp;"!"&amp;C890&amp;D890)</f>
        <v>0</v>
      </c>
      <c r="C890" s="350" t="s">
        <v>128</v>
      </c>
      <c r="D890" s="351">
        <f t="shared" ca="1" si="76"/>
        <v>24</v>
      </c>
      <c r="E890" s="352">
        <v>12</v>
      </c>
      <c r="F890" s="126" t="str" cm="1">
        <f t="array" aca="1" ref="F890" ca="1">IF(OR(INDIRECT($B$2&amp;"!AJ14")=$B$845,B890=0),"",REPT(" ",E890)&amp;"summaryType: "&amp;CHAR(34)&amp;B890&amp;CHAR(34)&amp;",")</f>
        <v/>
      </c>
    </row>
    <row r="891" spans="1:6" hidden="1">
      <c r="A891" s="150"/>
      <c r="B891" s="130">
        <f ca="1">IFERROR(INDIRECT($B$2&amp;"!"&amp;C891&amp;D891),"")</f>
        <v>0</v>
      </c>
      <c r="C891" s="350" t="s">
        <v>128</v>
      </c>
      <c r="D891" s="351">
        <f t="shared" ca="1" si="76"/>
        <v>24</v>
      </c>
      <c r="E891" s="352">
        <v>12</v>
      </c>
      <c r="F891" s="126" t="str" cm="1">
        <f t="array" aca="1" ref="F891" ca="1">IF(OR(INDIRECT($B$2&amp;"!AJ14")=$B$845,B891=0),"",REPT(" ",E891)&amp;"displayFormat: "&amp;CHAR(34)&amp;"{0} Items"&amp;CHAR(34)&amp;",")</f>
        <v/>
      </c>
    </row>
    <row r="892" spans="1:6" hidden="1">
      <c r="A892" s="150" t="s">
        <v>1037</v>
      </c>
      <c r="B892" s="130">
        <f ca="1">IFERROR(INDIRECT($B$2&amp;"!"&amp;C892&amp;D892),"")</f>
        <v>0</v>
      </c>
      <c r="C892" s="350" t="s">
        <v>130</v>
      </c>
      <c r="D892" s="351">
        <f t="shared" ca="1" si="76"/>
        <v>24</v>
      </c>
      <c r="E892" s="352">
        <v>12</v>
      </c>
      <c r="F892" s="126" t="str" cm="1">
        <f t="array" aca="1" ref="F892" ca="1">IF(OR(INDIRECT($B$2&amp;"!AJ14")=$B$845,B892=0),"",REPT(" ",E892)&amp;A892&amp;CHAR(34)&amp;B892&amp;CHAR(34)&amp;",")</f>
        <v/>
      </c>
    </row>
    <row r="893" spans="1:6" hidden="1">
      <c r="A893" s="150" t="s">
        <v>65</v>
      </c>
      <c r="B893" s="130">
        <f ca="1">IFERROR(INDIRECT($B$2&amp;"!"&amp;C893&amp;D893),"")</f>
        <v>0</v>
      </c>
      <c r="C893" s="350" t="s">
        <v>128</v>
      </c>
      <c r="D893" s="351">
        <f t="shared" ca="1" si="76"/>
        <v>24</v>
      </c>
      <c r="E893" s="352">
        <v>9</v>
      </c>
      <c r="F893" s="126" t="str" cm="1">
        <f t="array" aca="1" ref="F893" ca="1">IF(OR(INDIRECT($B$2&amp;"!AJ14")=$B$845,B893=0),"",REPT(" ",E893)&amp;"},")</f>
        <v/>
      </c>
    </row>
    <row r="894" spans="1:6" hidden="1">
      <c r="A894" s="150">
        <f ca="1">IFERROR(INDIRECT($B$2&amp;"!"&amp;"C"&amp;D894),"")</f>
        <v>0</v>
      </c>
      <c r="B894" s="130">
        <f ca="1">IFERROR(INDIRECT($B$2&amp;"!"&amp;C894&amp;D894),"")</f>
        <v>0</v>
      </c>
      <c r="C894" s="355" t="s">
        <v>128</v>
      </c>
      <c r="D894" s="351">
        <f t="shared" ca="1" si="76"/>
        <v>25</v>
      </c>
      <c r="E894" s="352">
        <v>9</v>
      </c>
      <c r="F894" s="126" t="str">
        <f ca="1">IF(B894=0,"",REPT(" ",E894)&amp;"{ column: "&amp;CHAR(34)&amp;A894&amp;CHAR(34)&amp;",")</f>
        <v/>
      </c>
    </row>
    <row r="895" spans="1:6" hidden="1">
      <c r="A895" s="150"/>
      <c r="B895" s="130" cm="1">
        <f t="array" aca="1" ref="B895" ca="1">INDIRECT($B$2&amp;"!"&amp;C895&amp;D895)</f>
        <v>0</v>
      </c>
      <c r="C895" s="350" t="s">
        <v>128</v>
      </c>
      <c r="D895" s="351">
        <f t="shared" ca="1" si="76"/>
        <v>25</v>
      </c>
      <c r="E895" s="352">
        <v>12</v>
      </c>
      <c r="F895" s="126" t="str" cm="1">
        <f t="array" aca="1" ref="F895" ca="1">IF(OR(INDIRECT($B$2&amp;"!AJ14")=$B$845,B895=0),"",REPT(" ",E895)&amp;"summaryType: "&amp;CHAR(34)&amp;B895&amp;CHAR(34)&amp;",")</f>
        <v/>
      </c>
    </row>
    <row r="896" spans="1:6" hidden="1">
      <c r="A896" s="150"/>
      <c r="B896" s="130">
        <f ca="1">IFERROR(INDIRECT($B$2&amp;"!"&amp;C896&amp;D896),"")</f>
        <v>0</v>
      </c>
      <c r="C896" s="350" t="s">
        <v>128</v>
      </c>
      <c r="D896" s="351">
        <f t="shared" ca="1" si="76"/>
        <v>25</v>
      </c>
      <c r="E896" s="352">
        <v>12</v>
      </c>
      <c r="F896" s="126" t="str" cm="1">
        <f t="array" aca="1" ref="F896" ca="1">IF(OR(INDIRECT($B$2&amp;"!AJ14")=$B$845,B896=0),"",REPT(" ",E896)&amp;"displayFormat: "&amp;CHAR(34)&amp;"{0} Items"&amp;CHAR(34)&amp;",")</f>
        <v/>
      </c>
    </row>
    <row r="897" spans="1:6" hidden="1">
      <c r="A897" s="150" t="s">
        <v>1037</v>
      </c>
      <c r="B897" s="130">
        <f ca="1">IFERROR(INDIRECT($B$2&amp;"!"&amp;C897&amp;D897),"")</f>
        <v>0</v>
      </c>
      <c r="C897" s="350" t="s">
        <v>130</v>
      </c>
      <c r="D897" s="351">
        <f t="shared" ca="1" si="76"/>
        <v>25</v>
      </c>
      <c r="E897" s="352">
        <v>12</v>
      </c>
      <c r="F897" s="126" t="str" cm="1">
        <f t="array" aca="1" ref="F897" ca="1">IF(OR(INDIRECT($B$2&amp;"!AJ14")=$B$845,B897=0),"",REPT(" ",E897)&amp;A897&amp;CHAR(34)&amp;B897&amp;CHAR(34)&amp;",")</f>
        <v/>
      </c>
    </row>
    <row r="898" spans="1:6" hidden="1">
      <c r="A898" s="150" t="s">
        <v>65</v>
      </c>
      <c r="B898" s="130">
        <f ca="1">IFERROR(INDIRECT($B$2&amp;"!"&amp;C898&amp;D898),"")</f>
        <v>0</v>
      </c>
      <c r="C898" s="350" t="s">
        <v>128</v>
      </c>
      <c r="D898" s="351">
        <f t="shared" ca="1" si="76"/>
        <v>25</v>
      </c>
      <c r="E898" s="352">
        <v>9</v>
      </c>
      <c r="F898" s="126" t="str" cm="1">
        <f t="array" aca="1" ref="F898" ca="1">IF(OR(INDIRECT($B$2&amp;"!AJ14")=$B$845,B898=0),"",REPT(" ",E898)&amp;"},")</f>
        <v/>
      </c>
    </row>
    <row r="899" spans="1:6" hidden="1">
      <c r="A899" s="150">
        <f ca="1">IFERROR(INDIRECT($B$2&amp;"!"&amp;"C"&amp;D899),"")</f>
        <v>0</v>
      </c>
      <c r="B899" s="130">
        <f ca="1">IFERROR(INDIRECT($B$2&amp;"!"&amp;C899&amp;D899),"")</f>
        <v>0</v>
      </c>
      <c r="C899" s="355" t="s">
        <v>128</v>
      </c>
      <c r="D899" s="351">
        <f t="shared" ca="1" si="76"/>
        <v>26</v>
      </c>
      <c r="E899" s="352">
        <v>9</v>
      </c>
      <c r="F899" s="126" t="str">
        <f ca="1">IF(B899=0,"",REPT(" ",E899)&amp;"{ column: "&amp;CHAR(34)&amp;A899&amp;CHAR(34)&amp;",")</f>
        <v/>
      </c>
    </row>
    <row r="900" spans="1:6" hidden="1">
      <c r="A900" s="150"/>
      <c r="B900" s="130" cm="1">
        <f t="array" aca="1" ref="B900" ca="1">INDIRECT($B$2&amp;"!"&amp;C900&amp;D900)</f>
        <v>0</v>
      </c>
      <c r="C900" s="350" t="s">
        <v>128</v>
      </c>
      <c r="D900" s="351">
        <f t="shared" ca="1" si="76"/>
        <v>26</v>
      </c>
      <c r="E900" s="352">
        <v>12</v>
      </c>
      <c r="F900" s="126" t="str" cm="1">
        <f t="array" aca="1" ref="F900" ca="1">IF(OR(INDIRECT($B$2&amp;"!AJ14")=$B$845,B900=0),"",REPT(" ",E900)&amp;"summaryType: "&amp;CHAR(34)&amp;B900&amp;CHAR(34)&amp;",")</f>
        <v/>
      </c>
    </row>
    <row r="901" spans="1:6" hidden="1">
      <c r="A901" s="150"/>
      <c r="B901" s="130">
        <f ca="1">IFERROR(INDIRECT($B$2&amp;"!"&amp;C901&amp;D901),"")</f>
        <v>0</v>
      </c>
      <c r="C901" s="350" t="s">
        <v>128</v>
      </c>
      <c r="D901" s="351">
        <f t="shared" ca="1" si="76"/>
        <v>26</v>
      </c>
      <c r="E901" s="352">
        <v>12</v>
      </c>
      <c r="F901" s="126" t="str" cm="1">
        <f t="array" aca="1" ref="F901" ca="1">IF(OR(INDIRECT($B$2&amp;"!AJ14")=$B$845,B901=0),"",REPT(" ",E901)&amp;"displayFormat: "&amp;CHAR(34)&amp;"{0} Items"&amp;CHAR(34)&amp;",")</f>
        <v/>
      </c>
    </row>
    <row r="902" spans="1:6" hidden="1">
      <c r="A902" s="150" t="s">
        <v>1037</v>
      </c>
      <c r="B902" s="130">
        <f ca="1">IFERROR(INDIRECT($B$2&amp;"!"&amp;C902&amp;D902),"")</f>
        <v>0</v>
      </c>
      <c r="C902" s="350" t="s">
        <v>130</v>
      </c>
      <c r="D902" s="351">
        <f t="shared" ca="1" si="76"/>
        <v>26</v>
      </c>
      <c r="E902" s="352">
        <v>12</v>
      </c>
      <c r="F902" s="126" t="str" cm="1">
        <f t="array" aca="1" ref="F902" ca="1">IF(OR(INDIRECT($B$2&amp;"!AJ14")=$B$845,B902=0),"",REPT(" ",E902)&amp;A902&amp;CHAR(34)&amp;B902&amp;CHAR(34)&amp;",")</f>
        <v/>
      </c>
    </row>
    <row r="903" spans="1:6" hidden="1">
      <c r="A903" s="150" t="s">
        <v>65</v>
      </c>
      <c r="B903" s="130">
        <f ca="1">IFERROR(INDIRECT($B$2&amp;"!"&amp;C903&amp;D903),"")</f>
        <v>0</v>
      </c>
      <c r="C903" s="350" t="s">
        <v>128</v>
      </c>
      <c r="D903" s="351">
        <f t="shared" ca="1" si="76"/>
        <v>26</v>
      </c>
      <c r="E903" s="352">
        <v>9</v>
      </c>
      <c r="F903" s="126" t="str" cm="1">
        <f t="array" aca="1" ref="F903" ca="1">IF(OR(INDIRECT($B$2&amp;"!AJ14")=$B$845,B903=0),"",REPT(" ",E903)&amp;"},")</f>
        <v/>
      </c>
    </row>
    <row r="904" spans="1:6" hidden="1">
      <c r="A904" s="150">
        <f ca="1">IFERROR(INDIRECT($B$2&amp;"!"&amp;"C"&amp;D904),"")</f>
        <v>0</v>
      </c>
      <c r="B904" s="130">
        <f ca="1">IFERROR(INDIRECT($B$2&amp;"!"&amp;C904&amp;D904),"")</f>
        <v>0</v>
      </c>
      <c r="C904" s="355" t="s">
        <v>128</v>
      </c>
      <c r="D904" s="351">
        <f t="shared" ca="1" si="76"/>
        <v>27</v>
      </c>
      <c r="E904" s="352">
        <v>9</v>
      </c>
      <c r="F904" s="126" t="str">
        <f ca="1">IF(B904=0,"",REPT(" ",E904)&amp;"{ column: "&amp;CHAR(34)&amp;A904&amp;CHAR(34)&amp;",")</f>
        <v/>
      </c>
    </row>
    <row r="905" spans="1:6" hidden="1">
      <c r="A905" s="150"/>
      <c r="B905" s="130" cm="1">
        <f t="array" aca="1" ref="B905" ca="1">INDIRECT($B$2&amp;"!"&amp;C905&amp;D905)</f>
        <v>0</v>
      </c>
      <c r="C905" s="350" t="s">
        <v>128</v>
      </c>
      <c r="D905" s="351">
        <f t="shared" ca="1" si="76"/>
        <v>27</v>
      </c>
      <c r="E905" s="352">
        <v>12</v>
      </c>
      <c r="F905" s="126" t="str" cm="1">
        <f t="array" aca="1" ref="F905" ca="1">IF(OR(INDIRECT($B$2&amp;"!AJ14")=$B$845,B905=0),"",REPT(" ",E905)&amp;"summaryType: "&amp;CHAR(34)&amp;B905&amp;CHAR(34)&amp;",")</f>
        <v/>
      </c>
    </row>
    <row r="906" spans="1:6" hidden="1">
      <c r="A906" s="150"/>
      <c r="B906" s="130">
        <f ca="1">IFERROR(INDIRECT($B$2&amp;"!"&amp;C906&amp;D906),"")</f>
        <v>0</v>
      </c>
      <c r="C906" s="350" t="s">
        <v>128</v>
      </c>
      <c r="D906" s="351">
        <f t="shared" ca="1" si="76"/>
        <v>27</v>
      </c>
      <c r="E906" s="352">
        <v>12</v>
      </c>
      <c r="F906" s="126" t="str" cm="1">
        <f t="array" aca="1" ref="F906" ca="1">IF(OR(INDIRECT($B$2&amp;"!AJ14")=$B$845,B906=0),"",REPT(" ",E906)&amp;"displayFormat: "&amp;CHAR(34)&amp;"{0} Items"&amp;CHAR(34)&amp;",")</f>
        <v/>
      </c>
    </row>
    <row r="907" spans="1:6" hidden="1">
      <c r="A907" s="150" t="s">
        <v>1037</v>
      </c>
      <c r="B907" s="130">
        <f ca="1">IFERROR(INDIRECT($B$2&amp;"!"&amp;C907&amp;D907),"")</f>
        <v>0</v>
      </c>
      <c r="C907" s="350" t="s">
        <v>130</v>
      </c>
      <c r="D907" s="351">
        <f t="shared" ca="1" si="76"/>
        <v>27</v>
      </c>
      <c r="E907" s="352">
        <v>12</v>
      </c>
      <c r="F907" s="126" t="str" cm="1">
        <f t="array" aca="1" ref="F907" ca="1">IF(OR(INDIRECT($B$2&amp;"!AJ14")=$B$845,B907=0),"",REPT(" ",E907)&amp;A907&amp;CHAR(34)&amp;B907&amp;CHAR(34)&amp;",")</f>
        <v/>
      </c>
    </row>
    <row r="908" spans="1:6" hidden="1">
      <c r="A908" s="150" t="s">
        <v>65</v>
      </c>
      <c r="B908" s="130">
        <f ca="1">IFERROR(INDIRECT($B$2&amp;"!"&amp;C908&amp;D908),"")</f>
        <v>0</v>
      </c>
      <c r="C908" s="350" t="s">
        <v>128</v>
      </c>
      <c r="D908" s="351">
        <f t="shared" ca="1" si="76"/>
        <v>27</v>
      </c>
      <c r="E908" s="352">
        <v>9</v>
      </c>
      <c r="F908" s="126" t="str" cm="1">
        <f t="array" aca="1" ref="F908" ca="1">IF(OR(INDIRECT($B$2&amp;"!AJ14")=$B$845,B908=0),"",REPT(" ",E908)&amp;"},")</f>
        <v/>
      </c>
    </row>
    <row r="909" spans="1:6" hidden="1">
      <c r="A909" s="150">
        <f ca="1">IFERROR(INDIRECT($B$2&amp;"!"&amp;"C"&amp;D909),"")</f>
        <v>0</v>
      </c>
      <c r="B909" s="130">
        <f ca="1">IFERROR(INDIRECT($B$2&amp;"!"&amp;C909&amp;D909),"")</f>
        <v>0</v>
      </c>
      <c r="C909" s="355" t="s">
        <v>128</v>
      </c>
      <c r="D909" s="351">
        <f t="shared" ca="1" si="76"/>
        <v>28</v>
      </c>
      <c r="E909" s="352">
        <v>9</v>
      </c>
      <c r="F909" s="126" t="str">
        <f ca="1">IF(B909=0,"",REPT(" ",E909)&amp;"{ column: "&amp;CHAR(34)&amp;A909&amp;CHAR(34)&amp;",")</f>
        <v/>
      </c>
    </row>
    <row r="910" spans="1:6" hidden="1">
      <c r="A910" s="150"/>
      <c r="B910" s="130" cm="1">
        <f t="array" aca="1" ref="B910" ca="1">INDIRECT($B$2&amp;"!"&amp;C910&amp;D910)</f>
        <v>0</v>
      </c>
      <c r="C910" s="350" t="s">
        <v>128</v>
      </c>
      <c r="D910" s="351">
        <f t="shared" ca="1" si="76"/>
        <v>28</v>
      </c>
      <c r="E910" s="352">
        <v>12</v>
      </c>
      <c r="F910" s="126" t="str" cm="1">
        <f t="array" aca="1" ref="F910" ca="1">IF(OR(INDIRECT($B$2&amp;"!AJ14")=$B$845,B910=0),"",REPT(" ",E910)&amp;"summaryType: "&amp;CHAR(34)&amp;B910&amp;CHAR(34)&amp;",")</f>
        <v/>
      </c>
    </row>
    <row r="911" spans="1:6" hidden="1">
      <c r="A911" s="150"/>
      <c r="B911" s="130">
        <f ca="1">IFERROR(INDIRECT($B$2&amp;"!"&amp;C911&amp;D911),"")</f>
        <v>0</v>
      </c>
      <c r="C911" s="350" t="s">
        <v>128</v>
      </c>
      <c r="D911" s="351">
        <f t="shared" ca="1" si="76"/>
        <v>28</v>
      </c>
      <c r="E911" s="352">
        <v>12</v>
      </c>
      <c r="F911" s="126" t="str" cm="1">
        <f t="array" aca="1" ref="F911" ca="1">IF(OR(INDIRECT($B$2&amp;"!AJ14")=$B$845,B911=0),"",REPT(" ",E911)&amp;"displayFormat: "&amp;CHAR(34)&amp;"{0} Items"&amp;CHAR(34)&amp;",")</f>
        <v/>
      </c>
    </row>
    <row r="912" spans="1:6" hidden="1">
      <c r="A912" s="150" t="s">
        <v>1037</v>
      </c>
      <c r="B912" s="130">
        <f ca="1">IFERROR(INDIRECT($B$2&amp;"!"&amp;C912&amp;D912),"")</f>
        <v>0</v>
      </c>
      <c r="C912" s="350" t="s">
        <v>130</v>
      </c>
      <c r="D912" s="351">
        <f t="shared" ca="1" si="76"/>
        <v>28</v>
      </c>
      <c r="E912" s="352">
        <v>12</v>
      </c>
      <c r="F912" s="126" t="str" cm="1">
        <f t="array" aca="1" ref="F912" ca="1">IF(OR(INDIRECT($B$2&amp;"!AJ14")=$B$845,B912=0),"",REPT(" ",E912)&amp;A912&amp;CHAR(34)&amp;B912&amp;CHAR(34)&amp;",")</f>
        <v/>
      </c>
    </row>
    <row r="913" spans="1:6" hidden="1">
      <c r="A913" s="150" t="s">
        <v>65</v>
      </c>
      <c r="B913" s="130">
        <f ca="1">IFERROR(INDIRECT($B$2&amp;"!"&amp;C913&amp;D913),"")</f>
        <v>0</v>
      </c>
      <c r="C913" s="350" t="s">
        <v>128</v>
      </c>
      <c r="D913" s="351">
        <f t="shared" ca="1" si="76"/>
        <v>28</v>
      </c>
      <c r="E913" s="352">
        <v>9</v>
      </c>
      <c r="F913" s="126" t="str" cm="1">
        <f t="array" aca="1" ref="F913" ca="1">IF(OR(INDIRECT($B$2&amp;"!AJ14")=$B$845,B913=0),"",REPT(" ",E913)&amp;"},")</f>
        <v/>
      </c>
    </row>
    <row r="914" spans="1:6" hidden="1">
      <c r="A914" s="150">
        <f ca="1">IFERROR(INDIRECT($B$2&amp;"!"&amp;"C"&amp;D914),"")</f>
        <v>0</v>
      </c>
      <c r="B914" s="130">
        <f ca="1">IFERROR(INDIRECT($B$2&amp;"!"&amp;C914&amp;D914),"")</f>
        <v>0</v>
      </c>
      <c r="C914" s="355" t="s">
        <v>128</v>
      </c>
      <c r="D914" s="351">
        <f t="shared" ref="D914:D977" ca="1" si="77">IF(TRIM(A913)="N",1,0)+D913</f>
        <v>29</v>
      </c>
      <c r="E914" s="352">
        <v>9</v>
      </c>
      <c r="F914" s="126" t="str">
        <f ca="1">IF(B914=0,"",REPT(" ",E914)&amp;"{ column: "&amp;CHAR(34)&amp;A914&amp;CHAR(34)&amp;",")</f>
        <v/>
      </c>
    </row>
    <row r="915" spans="1:6" hidden="1">
      <c r="A915" s="150"/>
      <c r="B915" s="130" cm="1">
        <f t="array" aca="1" ref="B915" ca="1">INDIRECT($B$2&amp;"!"&amp;C915&amp;D915)</f>
        <v>0</v>
      </c>
      <c r="C915" s="350" t="s">
        <v>128</v>
      </c>
      <c r="D915" s="351">
        <f t="shared" ca="1" si="77"/>
        <v>29</v>
      </c>
      <c r="E915" s="352">
        <v>12</v>
      </c>
      <c r="F915" s="126" t="str" cm="1">
        <f t="array" aca="1" ref="F915" ca="1">IF(OR(INDIRECT($B$2&amp;"!AJ14")=$B$845,B915=0),"",REPT(" ",E915)&amp;"summaryType: "&amp;CHAR(34)&amp;B915&amp;CHAR(34)&amp;",")</f>
        <v/>
      </c>
    </row>
    <row r="916" spans="1:6" hidden="1">
      <c r="A916" s="150"/>
      <c r="B916" s="130">
        <f ca="1">IFERROR(INDIRECT($B$2&amp;"!"&amp;C916&amp;D916),"")</f>
        <v>0</v>
      </c>
      <c r="C916" s="350" t="s">
        <v>128</v>
      </c>
      <c r="D916" s="351">
        <f t="shared" ca="1" si="77"/>
        <v>29</v>
      </c>
      <c r="E916" s="352">
        <v>12</v>
      </c>
      <c r="F916" s="126" t="str" cm="1">
        <f t="array" aca="1" ref="F916" ca="1">IF(OR(INDIRECT($B$2&amp;"!AJ14")=$B$845,B916=0),"",REPT(" ",E916)&amp;"displayFormat: "&amp;CHAR(34)&amp;"{0} Items"&amp;CHAR(34)&amp;",")</f>
        <v/>
      </c>
    </row>
    <row r="917" spans="1:6" hidden="1">
      <c r="A917" s="150" t="s">
        <v>1037</v>
      </c>
      <c r="B917" s="130">
        <f ca="1">IFERROR(INDIRECT($B$2&amp;"!"&amp;C917&amp;D917),"")</f>
        <v>0</v>
      </c>
      <c r="C917" s="350" t="s">
        <v>130</v>
      </c>
      <c r="D917" s="351">
        <f t="shared" ca="1" si="77"/>
        <v>29</v>
      </c>
      <c r="E917" s="352">
        <v>12</v>
      </c>
      <c r="F917" s="126" t="str" cm="1">
        <f t="array" aca="1" ref="F917" ca="1">IF(OR(INDIRECT($B$2&amp;"!AJ14")=$B$845,B917=0),"",REPT(" ",E917)&amp;A917&amp;CHAR(34)&amp;B917&amp;CHAR(34)&amp;",")</f>
        <v/>
      </c>
    </row>
    <row r="918" spans="1:6" hidden="1">
      <c r="A918" s="150" t="s">
        <v>65</v>
      </c>
      <c r="B918" s="130">
        <f ca="1">IFERROR(INDIRECT($B$2&amp;"!"&amp;C918&amp;D918),"")</f>
        <v>0</v>
      </c>
      <c r="C918" s="350" t="s">
        <v>128</v>
      </c>
      <c r="D918" s="351">
        <f t="shared" ca="1" si="77"/>
        <v>29</v>
      </c>
      <c r="E918" s="352">
        <v>9</v>
      </c>
      <c r="F918" s="126" t="str" cm="1">
        <f t="array" aca="1" ref="F918" ca="1">IF(OR(INDIRECT($B$2&amp;"!AJ14")=$B$845,B918=0),"",REPT(" ",E918)&amp;"},")</f>
        <v/>
      </c>
    </row>
    <row r="919" spans="1:6" hidden="1">
      <c r="A919" s="150">
        <f ca="1">IFERROR(INDIRECT($B$2&amp;"!"&amp;"C"&amp;D919),"")</f>
        <v>0</v>
      </c>
      <c r="B919" s="130">
        <f ca="1">IFERROR(INDIRECT($B$2&amp;"!"&amp;C919&amp;D919),"")</f>
        <v>0</v>
      </c>
      <c r="C919" s="355" t="s">
        <v>128</v>
      </c>
      <c r="D919" s="351">
        <f t="shared" ca="1" si="77"/>
        <v>30</v>
      </c>
      <c r="E919" s="352">
        <v>9</v>
      </c>
      <c r="F919" s="126" t="str">
        <f ca="1">IF(B919=0,"",REPT(" ",E919)&amp;"{ column: "&amp;CHAR(34)&amp;A919&amp;CHAR(34)&amp;",")</f>
        <v/>
      </c>
    </row>
    <row r="920" spans="1:6" hidden="1">
      <c r="A920" s="150"/>
      <c r="B920" s="130" cm="1">
        <f t="array" aca="1" ref="B920" ca="1">INDIRECT($B$2&amp;"!"&amp;C920&amp;D920)</f>
        <v>0</v>
      </c>
      <c r="C920" s="350" t="s">
        <v>128</v>
      </c>
      <c r="D920" s="351">
        <f t="shared" ca="1" si="77"/>
        <v>30</v>
      </c>
      <c r="E920" s="352">
        <v>12</v>
      </c>
      <c r="F920" s="126" t="str" cm="1">
        <f t="array" aca="1" ref="F920" ca="1">IF(OR(INDIRECT($B$2&amp;"!AJ14")=$B$845,B920=0),"",REPT(" ",E920)&amp;"summaryType: "&amp;CHAR(34)&amp;B920&amp;CHAR(34)&amp;",")</f>
        <v/>
      </c>
    </row>
    <row r="921" spans="1:6" hidden="1">
      <c r="A921" s="150"/>
      <c r="B921" s="130">
        <f ca="1">IFERROR(INDIRECT($B$2&amp;"!"&amp;C921&amp;D921),"")</f>
        <v>0</v>
      </c>
      <c r="C921" s="350" t="s">
        <v>128</v>
      </c>
      <c r="D921" s="351">
        <f t="shared" ca="1" si="77"/>
        <v>30</v>
      </c>
      <c r="E921" s="352">
        <v>12</v>
      </c>
      <c r="F921" s="126" t="str" cm="1">
        <f t="array" aca="1" ref="F921" ca="1">IF(OR(INDIRECT($B$2&amp;"!AJ14")=$B$845,B921=0),"",REPT(" ",E921)&amp;"displayFormat: "&amp;CHAR(34)&amp;"{0} Items"&amp;CHAR(34)&amp;",")</f>
        <v/>
      </c>
    </row>
    <row r="922" spans="1:6" hidden="1">
      <c r="A922" s="150" t="s">
        <v>1037</v>
      </c>
      <c r="B922" s="130">
        <f ca="1">IFERROR(INDIRECT($B$2&amp;"!"&amp;C922&amp;D922),"")</f>
        <v>0</v>
      </c>
      <c r="C922" s="350" t="s">
        <v>130</v>
      </c>
      <c r="D922" s="351">
        <f t="shared" ca="1" si="77"/>
        <v>30</v>
      </c>
      <c r="E922" s="352">
        <v>12</v>
      </c>
      <c r="F922" s="126" t="str" cm="1">
        <f t="array" aca="1" ref="F922" ca="1">IF(OR(INDIRECT($B$2&amp;"!AJ14")=$B$845,B922=0),"",REPT(" ",E922)&amp;A922&amp;CHAR(34)&amp;B922&amp;CHAR(34)&amp;",")</f>
        <v/>
      </c>
    </row>
    <row r="923" spans="1:6" hidden="1">
      <c r="A923" s="150" t="s">
        <v>65</v>
      </c>
      <c r="B923" s="130">
        <f ca="1">IFERROR(INDIRECT($B$2&amp;"!"&amp;C923&amp;D923),"")</f>
        <v>0</v>
      </c>
      <c r="C923" s="350" t="s">
        <v>128</v>
      </c>
      <c r="D923" s="351">
        <f t="shared" ca="1" si="77"/>
        <v>30</v>
      </c>
      <c r="E923" s="352">
        <v>9</v>
      </c>
      <c r="F923" s="126" t="str" cm="1">
        <f t="array" aca="1" ref="F923" ca="1">IF(OR(INDIRECT($B$2&amp;"!AJ14")=$B$845,B923=0),"",REPT(" ",E923)&amp;"},")</f>
        <v/>
      </c>
    </row>
    <row r="924" spans="1:6" hidden="1">
      <c r="A924" s="150">
        <f ca="1">IFERROR(INDIRECT($B$2&amp;"!"&amp;"C"&amp;D924),"")</f>
        <v>0</v>
      </c>
      <c r="B924" s="130">
        <f ca="1">IFERROR(INDIRECT($B$2&amp;"!"&amp;C924&amp;D924),"")</f>
        <v>0</v>
      </c>
      <c r="C924" s="355" t="s">
        <v>128</v>
      </c>
      <c r="D924" s="351">
        <f t="shared" ca="1" si="77"/>
        <v>31</v>
      </c>
      <c r="E924" s="352">
        <v>9</v>
      </c>
      <c r="F924" s="126" t="str">
        <f ca="1">IF(B924=0,"",REPT(" ",E924)&amp;"{ column: "&amp;CHAR(34)&amp;A924&amp;CHAR(34)&amp;",")</f>
        <v/>
      </c>
    </row>
    <row r="925" spans="1:6" hidden="1">
      <c r="A925" s="150"/>
      <c r="B925" s="130" cm="1">
        <f t="array" aca="1" ref="B925" ca="1">INDIRECT($B$2&amp;"!"&amp;C925&amp;D925)</f>
        <v>0</v>
      </c>
      <c r="C925" s="350" t="s">
        <v>128</v>
      </c>
      <c r="D925" s="351">
        <f t="shared" ca="1" si="77"/>
        <v>31</v>
      </c>
      <c r="E925" s="352">
        <v>12</v>
      </c>
      <c r="F925" s="126" t="str" cm="1">
        <f t="array" aca="1" ref="F925" ca="1">IF(OR(INDIRECT($B$2&amp;"!AJ14")=$B$845,B925=0),"",REPT(" ",E925)&amp;"summaryType: "&amp;CHAR(34)&amp;B925&amp;CHAR(34)&amp;",")</f>
        <v/>
      </c>
    </row>
    <row r="926" spans="1:6" hidden="1">
      <c r="A926" s="150"/>
      <c r="B926" s="130">
        <f ca="1">IFERROR(INDIRECT($B$2&amp;"!"&amp;C926&amp;D926),"")</f>
        <v>0</v>
      </c>
      <c r="C926" s="350" t="s">
        <v>128</v>
      </c>
      <c r="D926" s="351">
        <f t="shared" ca="1" si="77"/>
        <v>31</v>
      </c>
      <c r="E926" s="352">
        <v>12</v>
      </c>
      <c r="F926" s="126" t="str" cm="1">
        <f t="array" aca="1" ref="F926" ca="1">IF(OR(INDIRECT($B$2&amp;"!AJ14")=$B$845,B926=0),"",REPT(" ",E926)&amp;"displayFormat: "&amp;CHAR(34)&amp;"{0} Items"&amp;CHAR(34)&amp;",")</f>
        <v/>
      </c>
    </row>
    <row r="927" spans="1:6" hidden="1">
      <c r="A927" s="150" t="s">
        <v>1037</v>
      </c>
      <c r="B927" s="130">
        <f ca="1">IFERROR(INDIRECT($B$2&amp;"!"&amp;C927&amp;D927),"")</f>
        <v>0</v>
      </c>
      <c r="C927" s="350" t="s">
        <v>130</v>
      </c>
      <c r="D927" s="351">
        <f t="shared" ca="1" si="77"/>
        <v>31</v>
      </c>
      <c r="E927" s="352">
        <v>12</v>
      </c>
      <c r="F927" s="126" t="str" cm="1">
        <f t="array" aca="1" ref="F927" ca="1">IF(OR(INDIRECT($B$2&amp;"!AJ14")=$B$845,B927=0),"",REPT(" ",E927)&amp;A927&amp;CHAR(34)&amp;B927&amp;CHAR(34)&amp;",")</f>
        <v/>
      </c>
    </row>
    <row r="928" spans="1:6" hidden="1">
      <c r="A928" s="150" t="s">
        <v>65</v>
      </c>
      <c r="B928" s="130">
        <f ca="1">IFERROR(INDIRECT($B$2&amp;"!"&amp;C928&amp;D928),"")</f>
        <v>0</v>
      </c>
      <c r="C928" s="350" t="s">
        <v>128</v>
      </c>
      <c r="D928" s="351">
        <f t="shared" ca="1" si="77"/>
        <v>31</v>
      </c>
      <c r="E928" s="352">
        <v>9</v>
      </c>
      <c r="F928" s="126" t="str" cm="1">
        <f t="array" aca="1" ref="F928" ca="1">IF(OR(INDIRECT($B$2&amp;"!AJ14")=$B$845,B928=0),"",REPT(" ",E928)&amp;"},")</f>
        <v/>
      </c>
    </row>
    <row r="929" spans="1:6" hidden="1">
      <c r="A929" s="150">
        <f ca="1">IFERROR(INDIRECT($B$2&amp;"!"&amp;"C"&amp;D929),"")</f>
        <v>0</v>
      </c>
      <c r="B929" s="130">
        <f ca="1">IFERROR(INDIRECT($B$2&amp;"!"&amp;C929&amp;D929),"")</f>
        <v>0</v>
      </c>
      <c r="C929" s="355" t="s">
        <v>128</v>
      </c>
      <c r="D929" s="351">
        <f t="shared" ca="1" si="77"/>
        <v>32</v>
      </c>
      <c r="E929" s="352">
        <v>9</v>
      </c>
      <c r="F929" s="126" t="str">
        <f ca="1">IF(B929=0,"",REPT(" ",E929)&amp;"{ column: "&amp;CHAR(34)&amp;A929&amp;CHAR(34)&amp;",")</f>
        <v/>
      </c>
    </row>
    <row r="930" spans="1:6" hidden="1">
      <c r="A930" s="150"/>
      <c r="B930" s="130" cm="1">
        <f t="array" aca="1" ref="B930" ca="1">INDIRECT($B$2&amp;"!"&amp;C930&amp;D930)</f>
        <v>0</v>
      </c>
      <c r="C930" s="350" t="s">
        <v>128</v>
      </c>
      <c r="D930" s="351">
        <f t="shared" ca="1" si="77"/>
        <v>32</v>
      </c>
      <c r="E930" s="352">
        <v>12</v>
      </c>
      <c r="F930" s="126" t="str" cm="1">
        <f t="array" aca="1" ref="F930" ca="1">IF(OR(INDIRECT($B$2&amp;"!AJ14")=$B$845,B930=0),"",REPT(" ",E930)&amp;"summaryType: "&amp;CHAR(34)&amp;B930&amp;CHAR(34)&amp;",")</f>
        <v/>
      </c>
    </row>
    <row r="931" spans="1:6" hidden="1">
      <c r="A931" s="150"/>
      <c r="B931" s="130">
        <f ca="1">IFERROR(INDIRECT($B$2&amp;"!"&amp;C931&amp;D931),"")</f>
        <v>0</v>
      </c>
      <c r="C931" s="350" t="s">
        <v>128</v>
      </c>
      <c r="D931" s="351">
        <f t="shared" ca="1" si="77"/>
        <v>32</v>
      </c>
      <c r="E931" s="352">
        <v>12</v>
      </c>
      <c r="F931" s="126" t="str" cm="1">
        <f t="array" aca="1" ref="F931" ca="1">IF(OR(INDIRECT($B$2&amp;"!AJ14")=$B$845,B931=0),"",REPT(" ",E931)&amp;"displayFormat: "&amp;CHAR(34)&amp;"{0} Items"&amp;CHAR(34)&amp;",")</f>
        <v/>
      </c>
    </row>
    <row r="932" spans="1:6" hidden="1">
      <c r="A932" s="150" t="s">
        <v>1037</v>
      </c>
      <c r="B932" s="130">
        <f ca="1">IFERROR(INDIRECT($B$2&amp;"!"&amp;C932&amp;D932),"")</f>
        <v>0</v>
      </c>
      <c r="C932" s="350" t="s">
        <v>130</v>
      </c>
      <c r="D932" s="351">
        <f t="shared" ca="1" si="77"/>
        <v>32</v>
      </c>
      <c r="E932" s="352">
        <v>12</v>
      </c>
      <c r="F932" s="126" t="str" cm="1">
        <f t="array" aca="1" ref="F932" ca="1">IF(OR(INDIRECT($B$2&amp;"!AJ14")=$B$845,B932=0),"",REPT(" ",E932)&amp;A932&amp;CHAR(34)&amp;B932&amp;CHAR(34)&amp;",")</f>
        <v/>
      </c>
    </row>
    <row r="933" spans="1:6" hidden="1">
      <c r="A933" s="150" t="s">
        <v>65</v>
      </c>
      <c r="B933" s="130">
        <f ca="1">IFERROR(INDIRECT($B$2&amp;"!"&amp;C933&amp;D933),"")</f>
        <v>0</v>
      </c>
      <c r="C933" s="350" t="s">
        <v>128</v>
      </c>
      <c r="D933" s="351">
        <f t="shared" ca="1" si="77"/>
        <v>32</v>
      </c>
      <c r="E933" s="352">
        <v>9</v>
      </c>
      <c r="F933" s="126" t="str" cm="1">
        <f t="array" aca="1" ref="F933" ca="1">IF(OR(INDIRECT($B$2&amp;"!AJ14")=$B$845,B933=0),"",REPT(" ",E933)&amp;"},")</f>
        <v/>
      </c>
    </row>
    <row r="934" spans="1:6" hidden="1">
      <c r="A934" s="150">
        <f ca="1">IFERROR(INDIRECT($B$2&amp;"!"&amp;"C"&amp;D934),"")</f>
        <v>0</v>
      </c>
      <c r="B934" s="130">
        <f ca="1">IFERROR(INDIRECT($B$2&amp;"!"&amp;C934&amp;D934),"")</f>
        <v>0</v>
      </c>
      <c r="C934" s="355" t="s">
        <v>128</v>
      </c>
      <c r="D934" s="351">
        <f t="shared" ca="1" si="77"/>
        <v>33</v>
      </c>
      <c r="E934" s="352">
        <v>9</v>
      </c>
      <c r="F934" s="126" t="str">
        <f ca="1">IF(B934=0,"",REPT(" ",E934)&amp;"{ column: "&amp;CHAR(34)&amp;A934&amp;CHAR(34)&amp;",")</f>
        <v/>
      </c>
    </row>
    <row r="935" spans="1:6" hidden="1">
      <c r="A935" s="150"/>
      <c r="B935" s="130" cm="1">
        <f t="array" aca="1" ref="B935" ca="1">INDIRECT($B$2&amp;"!"&amp;C935&amp;D935)</f>
        <v>0</v>
      </c>
      <c r="C935" s="350" t="s">
        <v>128</v>
      </c>
      <c r="D935" s="351">
        <f t="shared" ca="1" si="77"/>
        <v>33</v>
      </c>
      <c r="E935" s="352">
        <v>12</v>
      </c>
      <c r="F935" s="126" t="str" cm="1">
        <f t="array" aca="1" ref="F935" ca="1">IF(OR(INDIRECT($B$2&amp;"!AJ14")=$B$845,B935=0),"",REPT(" ",E935)&amp;"summaryType: "&amp;CHAR(34)&amp;B935&amp;CHAR(34)&amp;",")</f>
        <v/>
      </c>
    </row>
    <row r="936" spans="1:6" hidden="1">
      <c r="A936" s="150"/>
      <c r="B936" s="130">
        <f ca="1">IFERROR(INDIRECT($B$2&amp;"!"&amp;C936&amp;D936),"")</f>
        <v>0</v>
      </c>
      <c r="C936" s="350" t="s">
        <v>128</v>
      </c>
      <c r="D936" s="351">
        <f t="shared" ca="1" si="77"/>
        <v>33</v>
      </c>
      <c r="E936" s="352">
        <v>12</v>
      </c>
      <c r="F936" s="126" t="str" cm="1">
        <f t="array" aca="1" ref="F936" ca="1">IF(OR(INDIRECT($B$2&amp;"!AJ14")=$B$845,B936=0),"",REPT(" ",E936)&amp;"displayFormat: "&amp;CHAR(34)&amp;"{0} Items"&amp;CHAR(34)&amp;",")</f>
        <v/>
      </c>
    </row>
    <row r="937" spans="1:6" hidden="1">
      <c r="A937" s="150" t="s">
        <v>1037</v>
      </c>
      <c r="B937" s="130">
        <f ca="1">IFERROR(INDIRECT($B$2&amp;"!"&amp;C937&amp;D937),"")</f>
        <v>0</v>
      </c>
      <c r="C937" s="350" t="s">
        <v>130</v>
      </c>
      <c r="D937" s="351">
        <f t="shared" ca="1" si="77"/>
        <v>33</v>
      </c>
      <c r="E937" s="352">
        <v>12</v>
      </c>
      <c r="F937" s="126" t="str" cm="1">
        <f t="array" aca="1" ref="F937" ca="1">IF(OR(INDIRECT($B$2&amp;"!AJ14")=$B$845,B937=0),"",REPT(" ",E937)&amp;A937&amp;CHAR(34)&amp;B937&amp;CHAR(34)&amp;",")</f>
        <v/>
      </c>
    </row>
    <row r="938" spans="1:6" hidden="1">
      <c r="A938" s="150" t="s">
        <v>65</v>
      </c>
      <c r="B938" s="130">
        <f ca="1">IFERROR(INDIRECT($B$2&amp;"!"&amp;C938&amp;D938),"")</f>
        <v>0</v>
      </c>
      <c r="C938" s="350" t="s">
        <v>128</v>
      </c>
      <c r="D938" s="351">
        <f t="shared" ca="1" si="77"/>
        <v>33</v>
      </c>
      <c r="E938" s="352">
        <v>9</v>
      </c>
      <c r="F938" s="126" t="str" cm="1">
        <f t="array" aca="1" ref="F938" ca="1">IF(OR(INDIRECT($B$2&amp;"!AJ14")=$B$845,B938=0),"",REPT(" ",E938)&amp;"},")</f>
        <v/>
      </c>
    </row>
    <row r="939" spans="1:6" hidden="1">
      <c r="A939" s="150">
        <f ca="1">IFERROR(INDIRECT($B$2&amp;"!"&amp;"C"&amp;D939),"")</f>
        <v>0</v>
      </c>
      <c r="B939" s="130">
        <f ca="1">IFERROR(INDIRECT($B$2&amp;"!"&amp;C939&amp;D939),"")</f>
        <v>0</v>
      </c>
      <c r="C939" s="355" t="s">
        <v>128</v>
      </c>
      <c r="D939" s="351">
        <f t="shared" ca="1" si="77"/>
        <v>34</v>
      </c>
      <c r="E939" s="352">
        <v>9</v>
      </c>
      <c r="F939" s="126" t="str">
        <f ca="1">IF(B939=0,"",REPT(" ",E939)&amp;"{ column: "&amp;CHAR(34)&amp;A939&amp;CHAR(34)&amp;",")</f>
        <v/>
      </c>
    </row>
    <row r="940" spans="1:6" hidden="1">
      <c r="A940" s="150"/>
      <c r="B940" s="130" cm="1">
        <f t="array" aca="1" ref="B940" ca="1">INDIRECT($B$2&amp;"!"&amp;C940&amp;D940)</f>
        <v>0</v>
      </c>
      <c r="C940" s="350" t="s">
        <v>128</v>
      </c>
      <c r="D940" s="351">
        <f t="shared" ca="1" si="77"/>
        <v>34</v>
      </c>
      <c r="E940" s="352">
        <v>12</v>
      </c>
      <c r="F940" s="126" t="str" cm="1">
        <f t="array" aca="1" ref="F940" ca="1">IF(OR(INDIRECT($B$2&amp;"!AJ14")=$B$845,B940=0),"",REPT(" ",E940)&amp;"summaryType: "&amp;CHAR(34)&amp;B940&amp;CHAR(34)&amp;",")</f>
        <v/>
      </c>
    </row>
    <row r="941" spans="1:6" hidden="1">
      <c r="A941" s="150"/>
      <c r="B941" s="130">
        <f ca="1">IFERROR(INDIRECT($B$2&amp;"!"&amp;C941&amp;D941),"")</f>
        <v>0</v>
      </c>
      <c r="C941" s="350" t="s">
        <v>128</v>
      </c>
      <c r="D941" s="351">
        <f t="shared" ca="1" si="77"/>
        <v>34</v>
      </c>
      <c r="E941" s="352">
        <v>12</v>
      </c>
      <c r="F941" s="126" t="str" cm="1">
        <f t="array" aca="1" ref="F941" ca="1">IF(OR(INDIRECT($B$2&amp;"!AJ14")=$B$845,B941=0),"",REPT(" ",E941)&amp;"displayFormat: "&amp;CHAR(34)&amp;"{0} Items"&amp;CHAR(34)&amp;",")</f>
        <v/>
      </c>
    </row>
    <row r="942" spans="1:6" hidden="1">
      <c r="A942" s="150" t="s">
        <v>1037</v>
      </c>
      <c r="B942" s="130">
        <f ca="1">IFERROR(INDIRECT($B$2&amp;"!"&amp;C942&amp;D942),"")</f>
        <v>0</v>
      </c>
      <c r="C942" s="350" t="s">
        <v>130</v>
      </c>
      <c r="D942" s="351">
        <f t="shared" ca="1" si="77"/>
        <v>34</v>
      </c>
      <c r="E942" s="352">
        <v>12</v>
      </c>
      <c r="F942" s="126" t="str" cm="1">
        <f t="array" aca="1" ref="F942" ca="1">IF(OR(INDIRECT($B$2&amp;"!AJ14")=$B$845,B942=0),"",REPT(" ",E942)&amp;A942&amp;CHAR(34)&amp;B942&amp;CHAR(34)&amp;",")</f>
        <v/>
      </c>
    </row>
    <row r="943" spans="1:6" hidden="1">
      <c r="A943" s="150" t="s">
        <v>65</v>
      </c>
      <c r="B943" s="130">
        <f ca="1">IFERROR(INDIRECT($B$2&amp;"!"&amp;C943&amp;D943),"")</f>
        <v>0</v>
      </c>
      <c r="C943" s="350" t="s">
        <v>128</v>
      </c>
      <c r="D943" s="351">
        <f t="shared" ca="1" si="77"/>
        <v>34</v>
      </c>
      <c r="E943" s="352">
        <v>9</v>
      </c>
      <c r="F943" s="126" t="str" cm="1">
        <f t="array" aca="1" ref="F943" ca="1">IF(OR(INDIRECT($B$2&amp;"!AJ14")=$B$845,B943=0),"",REPT(" ",E943)&amp;"},")</f>
        <v/>
      </c>
    </row>
    <row r="944" spans="1:6" hidden="1">
      <c r="A944" s="150">
        <f ca="1">IFERROR(INDIRECT($B$2&amp;"!"&amp;"C"&amp;D944),"")</f>
        <v>0</v>
      </c>
      <c r="B944" s="130">
        <f ca="1">IFERROR(INDIRECT($B$2&amp;"!"&amp;C944&amp;D944),"")</f>
        <v>0</v>
      </c>
      <c r="C944" s="355" t="s">
        <v>128</v>
      </c>
      <c r="D944" s="351">
        <f t="shared" ca="1" si="77"/>
        <v>35</v>
      </c>
      <c r="E944" s="352">
        <v>9</v>
      </c>
      <c r="F944" s="126" t="str">
        <f ca="1">IF(B944=0,"",REPT(" ",E944)&amp;"{ column: "&amp;CHAR(34)&amp;A944&amp;CHAR(34)&amp;",")</f>
        <v/>
      </c>
    </row>
    <row r="945" spans="1:6" hidden="1">
      <c r="A945" s="150"/>
      <c r="B945" s="130" cm="1">
        <f t="array" aca="1" ref="B945" ca="1">INDIRECT($B$2&amp;"!"&amp;C945&amp;D945)</f>
        <v>0</v>
      </c>
      <c r="C945" s="350" t="s">
        <v>128</v>
      </c>
      <c r="D945" s="351">
        <f t="shared" ca="1" si="77"/>
        <v>35</v>
      </c>
      <c r="E945" s="352">
        <v>12</v>
      </c>
      <c r="F945" s="126" t="str" cm="1">
        <f t="array" aca="1" ref="F945" ca="1">IF(OR(INDIRECT($B$2&amp;"!AJ14")=$B$845,B945=0),"",REPT(" ",E945)&amp;"summaryType: "&amp;CHAR(34)&amp;B945&amp;CHAR(34)&amp;",")</f>
        <v/>
      </c>
    </row>
    <row r="946" spans="1:6" hidden="1">
      <c r="A946" s="150"/>
      <c r="B946" s="130">
        <f ca="1">IFERROR(INDIRECT($B$2&amp;"!"&amp;C946&amp;D946),"")</f>
        <v>0</v>
      </c>
      <c r="C946" s="350" t="s">
        <v>128</v>
      </c>
      <c r="D946" s="351">
        <f t="shared" ca="1" si="77"/>
        <v>35</v>
      </c>
      <c r="E946" s="352">
        <v>12</v>
      </c>
      <c r="F946" s="126" t="str" cm="1">
        <f t="array" aca="1" ref="F946" ca="1">IF(OR(INDIRECT($B$2&amp;"!AJ14")=$B$845,B946=0),"",REPT(" ",E946)&amp;"displayFormat: "&amp;CHAR(34)&amp;"{0} Items"&amp;CHAR(34)&amp;",")</f>
        <v/>
      </c>
    </row>
    <row r="947" spans="1:6" hidden="1">
      <c r="A947" s="150" t="s">
        <v>1037</v>
      </c>
      <c r="B947" s="130">
        <f ca="1">IFERROR(INDIRECT($B$2&amp;"!"&amp;C947&amp;D947),"")</f>
        <v>0</v>
      </c>
      <c r="C947" s="350" t="s">
        <v>130</v>
      </c>
      <c r="D947" s="351">
        <f t="shared" ca="1" si="77"/>
        <v>35</v>
      </c>
      <c r="E947" s="352">
        <v>12</v>
      </c>
      <c r="F947" s="126" t="str" cm="1">
        <f t="array" aca="1" ref="F947" ca="1">IF(OR(INDIRECT($B$2&amp;"!AJ14")=$B$845,B947=0),"",REPT(" ",E947)&amp;A947&amp;CHAR(34)&amp;B947&amp;CHAR(34)&amp;",")</f>
        <v/>
      </c>
    </row>
    <row r="948" spans="1:6" hidden="1">
      <c r="A948" s="150" t="s">
        <v>65</v>
      </c>
      <c r="B948" s="130">
        <f ca="1">IFERROR(INDIRECT($B$2&amp;"!"&amp;C948&amp;D948),"")</f>
        <v>0</v>
      </c>
      <c r="C948" s="350" t="s">
        <v>128</v>
      </c>
      <c r="D948" s="351">
        <f t="shared" ca="1" si="77"/>
        <v>35</v>
      </c>
      <c r="E948" s="352">
        <v>9</v>
      </c>
      <c r="F948" s="126" t="str" cm="1">
        <f t="array" aca="1" ref="F948" ca="1">IF(OR(INDIRECT($B$2&amp;"!AJ14")=$B$845,B948=0),"",REPT(" ",E948)&amp;"},")</f>
        <v/>
      </c>
    </row>
    <row r="949" spans="1:6" hidden="1">
      <c r="A949" s="150">
        <f ca="1">IFERROR(INDIRECT($B$2&amp;"!"&amp;"C"&amp;D949),"")</f>
        <v>0</v>
      </c>
      <c r="B949" s="130">
        <f ca="1">IFERROR(INDIRECT($B$2&amp;"!"&amp;C949&amp;D949),"")</f>
        <v>0</v>
      </c>
      <c r="C949" s="355" t="s">
        <v>128</v>
      </c>
      <c r="D949" s="351">
        <f t="shared" ca="1" si="77"/>
        <v>36</v>
      </c>
      <c r="E949" s="352">
        <v>9</v>
      </c>
      <c r="F949" s="126" t="str">
        <f ca="1">IF(B949=0,"",REPT(" ",E949)&amp;"{ column: "&amp;CHAR(34)&amp;A949&amp;CHAR(34)&amp;",")</f>
        <v/>
      </c>
    </row>
    <row r="950" spans="1:6" hidden="1">
      <c r="A950" s="150"/>
      <c r="B950" s="130" cm="1">
        <f t="array" aca="1" ref="B950" ca="1">INDIRECT($B$2&amp;"!"&amp;C950&amp;D950)</f>
        <v>0</v>
      </c>
      <c r="C950" s="350" t="s">
        <v>128</v>
      </c>
      <c r="D950" s="351">
        <f t="shared" ca="1" si="77"/>
        <v>36</v>
      </c>
      <c r="E950" s="352">
        <v>12</v>
      </c>
      <c r="F950" s="126" t="str" cm="1">
        <f t="array" aca="1" ref="F950" ca="1">IF(OR(INDIRECT($B$2&amp;"!AJ14")=$B$845,B950=0),"",REPT(" ",E950)&amp;"summaryType: "&amp;CHAR(34)&amp;B950&amp;CHAR(34)&amp;",")</f>
        <v/>
      </c>
    </row>
    <row r="951" spans="1:6" hidden="1">
      <c r="A951" s="150"/>
      <c r="B951" s="130">
        <f ca="1">IFERROR(INDIRECT($B$2&amp;"!"&amp;C951&amp;D951),"")</f>
        <v>0</v>
      </c>
      <c r="C951" s="350" t="s">
        <v>128</v>
      </c>
      <c r="D951" s="351">
        <f t="shared" ca="1" si="77"/>
        <v>36</v>
      </c>
      <c r="E951" s="352">
        <v>12</v>
      </c>
      <c r="F951" s="126" t="str" cm="1">
        <f t="array" aca="1" ref="F951" ca="1">IF(OR(INDIRECT($B$2&amp;"!AJ14")=$B$845,B951=0),"",REPT(" ",E951)&amp;"displayFormat: "&amp;CHAR(34)&amp;"{0} Items"&amp;CHAR(34)&amp;",")</f>
        <v/>
      </c>
    </row>
    <row r="952" spans="1:6" hidden="1">
      <c r="A952" s="150" t="s">
        <v>1037</v>
      </c>
      <c r="B952" s="130">
        <f ca="1">IFERROR(INDIRECT($B$2&amp;"!"&amp;C952&amp;D952),"")</f>
        <v>0</v>
      </c>
      <c r="C952" s="350" t="s">
        <v>130</v>
      </c>
      <c r="D952" s="351">
        <f t="shared" ca="1" si="77"/>
        <v>36</v>
      </c>
      <c r="E952" s="352">
        <v>12</v>
      </c>
      <c r="F952" s="126" t="str" cm="1">
        <f t="array" aca="1" ref="F952" ca="1">IF(OR(INDIRECT($B$2&amp;"!AJ14")=$B$845,B952=0),"",REPT(" ",E952)&amp;A952&amp;CHAR(34)&amp;B952&amp;CHAR(34)&amp;",")</f>
        <v/>
      </c>
    </row>
    <row r="953" spans="1:6" hidden="1">
      <c r="A953" s="150" t="s">
        <v>65</v>
      </c>
      <c r="B953" s="130">
        <f ca="1">IFERROR(INDIRECT($B$2&amp;"!"&amp;C953&amp;D953),"")</f>
        <v>0</v>
      </c>
      <c r="C953" s="350" t="s">
        <v>128</v>
      </c>
      <c r="D953" s="351">
        <f t="shared" ca="1" si="77"/>
        <v>36</v>
      </c>
      <c r="E953" s="352">
        <v>9</v>
      </c>
      <c r="F953" s="126" t="str" cm="1">
        <f t="array" aca="1" ref="F953" ca="1">IF(OR(INDIRECT($B$2&amp;"!AJ14")=$B$845,B953=0),"",REPT(" ",E953)&amp;"},")</f>
        <v/>
      </c>
    </row>
    <row r="954" spans="1:6" hidden="1">
      <c r="A954" s="150">
        <f ca="1">IFERROR(INDIRECT($B$2&amp;"!"&amp;"C"&amp;D954),"")</f>
        <v>0</v>
      </c>
      <c r="B954" s="130">
        <f ca="1">IFERROR(INDIRECT($B$2&amp;"!"&amp;C954&amp;D954),"")</f>
        <v>0</v>
      </c>
      <c r="C954" s="355" t="s">
        <v>128</v>
      </c>
      <c r="D954" s="351">
        <f t="shared" ca="1" si="77"/>
        <v>37</v>
      </c>
      <c r="E954" s="352">
        <v>9</v>
      </c>
      <c r="F954" s="126" t="str">
        <f ca="1">IF(B954=0,"",REPT(" ",E954)&amp;"{ column: "&amp;CHAR(34)&amp;A954&amp;CHAR(34)&amp;",")</f>
        <v/>
      </c>
    </row>
    <row r="955" spans="1:6" hidden="1">
      <c r="A955" s="150"/>
      <c r="B955" s="130" cm="1">
        <f t="array" aca="1" ref="B955" ca="1">INDIRECT($B$2&amp;"!"&amp;C955&amp;D955)</f>
        <v>0</v>
      </c>
      <c r="C955" s="350" t="s">
        <v>128</v>
      </c>
      <c r="D955" s="351">
        <f t="shared" ca="1" si="77"/>
        <v>37</v>
      </c>
      <c r="E955" s="352">
        <v>12</v>
      </c>
      <c r="F955" s="126" t="str" cm="1">
        <f t="array" aca="1" ref="F955" ca="1">IF(OR(INDIRECT($B$2&amp;"!AJ14")=$B$845,B955=0),"",REPT(" ",E955)&amp;"summaryType: "&amp;CHAR(34)&amp;B955&amp;CHAR(34)&amp;",")</f>
        <v/>
      </c>
    </row>
    <row r="956" spans="1:6" hidden="1">
      <c r="A956" s="150"/>
      <c r="B956" s="130">
        <f ca="1">IFERROR(INDIRECT($B$2&amp;"!"&amp;C956&amp;D956),"")</f>
        <v>0</v>
      </c>
      <c r="C956" s="350" t="s">
        <v>128</v>
      </c>
      <c r="D956" s="351">
        <f t="shared" ca="1" si="77"/>
        <v>37</v>
      </c>
      <c r="E956" s="352">
        <v>12</v>
      </c>
      <c r="F956" s="126" t="str" cm="1">
        <f t="array" aca="1" ref="F956" ca="1">IF(OR(INDIRECT($B$2&amp;"!AJ14")=$B$845,B956=0),"",REPT(" ",E956)&amp;"displayFormat: "&amp;CHAR(34)&amp;"{0} Items"&amp;CHAR(34)&amp;",")</f>
        <v/>
      </c>
    </row>
    <row r="957" spans="1:6" hidden="1">
      <c r="A957" s="150" t="s">
        <v>1037</v>
      </c>
      <c r="B957" s="130">
        <f ca="1">IFERROR(INDIRECT($B$2&amp;"!"&amp;C957&amp;D957),"")</f>
        <v>0</v>
      </c>
      <c r="C957" s="350" t="s">
        <v>130</v>
      </c>
      <c r="D957" s="351">
        <f t="shared" ca="1" si="77"/>
        <v>37</v>
      </c>
      <c r="E957" s="352">
        <v>12</v>
      </c>
      <c r="F957" s="126" t="str" cm="1">
        <f t="array" aca="1" ref="F957" ca="1">IF(OR(INDIRECT($B$2&amp;"!AJ14")=$B$845,B957=0),"",REPT(" ",E957)&amp;A957&amp;CHAR(34)&amp;B957&amp;CHAR(34)&amp;",")</f>
        <v/>
      </c>
    </row>
    <row r="958" spans="1:6" hidden="1">
      <c r="A958" s="150" t="s">
        <v>65</v>
      </c>
      <c r="B958" s="130">
        <f ca="1">IFERROR(INDIRECT($B$2&amp;"!"&amp;C958&amp;D958),"")</f>
        <v>0</v>
      </c>
      <c r="C958" s="350" t="s">
        <v>128</v>
      </c>
      <c r="D958" s="351">
        <f t="shared" ca="1" si="77"/>
        <v>37</v>
      </c>
      <c r="E958" s="352">
        <v>9</v>
      </c>
      <c r="F958" s="126" t="str" cm="1">
        <f t="array" aca="1" ref="F958" ca="1">IF(OR(INDIRECT($B$2&amp;"!AJ14")=$B$845,B958=0),"",REPT(" ",E958)&amp;"},")</f>
        <v/>
      </c>
    </row>
    <row r="959" spans="1:6" hidden="1">
      <c r="A959" s="150">
        <f ca="1">IFERROR(INDIRECT($B$2&amp;"!"&amp;"C"&amp;D959),"")</f>
        <v>0</v>
      </c>
      <c r="B959" s="130">
        <f ca="1">IFERROR(INDIRECT($B$2&amp;"!"&amp;C959&amp;D959),"")</f>
        <v>0</v>
      </c>
      <c r="C959" s="355" t="s">
        <v>128</v>
      </c>
      <c r="D959" s="351">
        <f t="shared" ca="1" si="77"/>
        <v>38</v>
      </c>
      <c r="E959" s="352">
        <v>9</v>
      </c>
      <c r="F959" s="126" t="str">
        <f ca="1">IF(B959=0,"",REPT(" ",E959)&amp;"{ column: "&amp;CHAR(34)&amp;A959&amp;CHAR(34)&amp;",")</f>
        <v/>
      </c>
    </row>
    <row r="960" spans="1:6" hidden="1">
      <c r="A960" s="150"/>
      <c r="B960" s="130" cm="1">
        <f t="array" aca="1" ref="B960" ca="1">INDIRECT($B$2&amp;"!"&amp;C960&amp;D960)</f>
        <v>0</v>
      </c>
      <c r="C960" s="350" t="s">
        <v>128</v>
      </c>
      <c r="D960" s="351">
        <f t="shared" ca="1" si="77"/>
        <v>38</v>
      </c>
      <c r="E960" s="352">
        <v>12</v>
      </c>
      <c r="F960" s="126" t="str" cm="1">
        <f t="array" aca="1" ref="F960" ca="1">IF(OR(INDIRECT($B$2&amp;"!AJ14")=$B$845,B960=0),"",REPT(" ",E960)&amp;"summaryType: "&amp;CHAR(34)&amp;B960&amp;CHAR(34)&amp;",")</f>
        <v/>
      </c>
    </row>
    <row r="961" spans="1:6" hidden="1">
      <c r="A961" s="150"/>
      <c r="B961" s="130">
        <f ca="1">IFERROR(INDIRECT($B$2&amp;"!"&amp;C961&amp;D961),"")</f>
        <v>0</v>
      </c>
      <c r="C961" s="350" t="s">
        <v>128</v>
      </c>
      <c r="D961" s="351">
        <f t="shared" ca="1" si="77"/>
        <v>38</v>
      </c>
      <c r="E961" s="352">
        <v>12</v>
      </c>
      <c r="F961" s="126" t="str" cm="1">
        <f t="array" aca="1" ref="F961" ca="1">IF(OR(INDIRECT($B$2&amp;"!AJ14")=$B$845,B961=0),"",REPT(" ",E961)&amp;"displayFormat: "&amp;CHAR(34)&amp;"{0} Items"&amp;CHAR(34)&amp;",")</f>
        <v/>
      </c>
    </row>
    <row r="962" spans="1:6" hidden="1">
      <c r="A962" s="150" t="s">
        <v>1037</v>
      </c>
      <c r="B962" s="130">
        <f ca="1">IFERROR(INDIRECT($B$2&amp;"!"&amp;C962&amp;D962),"")</f>
        <v>0</v>
      </c>
      <c r="C962" s="350" t="s">
        <v>130</v>
      </c>
      <c r="D962" s="351">
        <f t="shared" ca="1" si="77"/>
        <v>38</v>
      </c>
      <c r="E962" s="352">
        <v>12</v>
      </c>
      <c r="F962" s="126" t="str" cm="1">
        <f t="array" aca="1" ref="F962" ca="1">IF(OR(INDIRECT($B$2&amp;"!AJ14")=$B$845,B962=0),"",REPT(" ",E962)&amp;A962&amp;CHAR(34)&amp;B962&amp;CHAR(34)&amp;",")</f>
        <v/>
      </c>
    </row>
    <row r="963" spans="1:6" hidden="1">
      <c r="A963" s="150" t="s">
        <v>65</v>
      </c>
      <c r="B963" s="130">
        <f ca="1">IFERROR(INDIRECT($B$2&amp;"!"&amp;C963&amp;D963),"")</f>
        <v>0</v>
      </c>
      <c r="C963" s="350" t="s">
        <v>128</v>
      </c>
      <c r="D963" s="351">
        <f t="shared" ca="1" si="77"/>
        <v>38</v>
      </c>
      <c r="E963" s="352">
        <v>9</v>
      </c>
      <c r="F963" s="126" t="str" cm="1">
        <f t="array" aca="1" ref="F963" ca="1">IF(OR(INDIRECT($B$2&amp;"!AJ14")=$B$845,B963=0),"",REPT(" ",E963)&amp;"},")</f>
        <v/>
      </c>
    </row>
    <row r="964" spans="1:6" hidden="1">
      <c r="A964" s="150">
        <f ca="1">IFERROR(INDIRECT($B$2&amp;"!"&amp;"C"&amp;D964),"")</f>
        <v>0</v>
      </c>
      <c r="B964" s="130">
        <f ca="1">IFERROR(INDIRECT($B$2&amp;"!"&amp;C964&amp;D964),"")</f>
        <v>0</v>
      </c>
      <c r="C964" s="355" t="s">
        <v>128</v>
      </c>
      <c r="D964" s="351">
        <f t="shared" ca="1" si="77"/>
        <v>39</v>
      </c>
      <c r="E964" s="352">
        <v>9</v>
      </c>
      <c r="F964" s="126" t="str">
        <f ca="1">IF(B964=0,"",REPT(" ",E964)&amp;"{ column: "&amp;CHAR(34)&amp;A964&amp;CHAR(34)&amp;",")</f>
        <v/>
      </c>
    </row>
    <row r="965" spans="1:6" hidden="1">
      <c r="A965" s="150"/>
      <c r="B965" s="130" cm="1">
        <f t="array" aca="1" ref="B965" ca="1">INDIRECT($B$2&amp;"!"&amp;C965&amp;D965)</f>
        <v>0</v>
      </c>
      <c r="C965" s="350" t="s">
        <v>128</v>
      </c>
      <c r="D965" s="351">
        <f t="shared" ca="1" si="77"/>
        <v>39</v>
      </c>
      <c r="E965" s="352">
        <v>12</v>
      </c>
      <c r="F965" s="126" t="str" cm="1">
        <f t="array" aca="1" ref="F965" ca="1">IF(OR(INDIRECT($B$2&amp;"!AJ14")=$B$845,B965=0),"",REPT(" ",E965)&amp;"summaryType: "&amp;CHAR(34)&amp;B965&amp;CHAR(34)&amp;",")</f>
        <v/>
      </c>
    </row>
    <row r="966" spans="1:6" hidden="1">
      <c r="A966" s="150"/>
      <c r="B966" s="130">
        <f ca="1">IFERROR(INDIRECT($B$2&amp;"!"&amp;C966&amp;D966),"")</f>
        <v>0</v>
      </c>
      <c r="C966" s="350" t="s">
        <v>128</v>
      </c>
      <c r="D966" s="351">
        <f t="shared" ca="1" si="77"/>
        <v>39</v>
      </c>
      <c r="E966" s="352">
        <v>12</v>
      </c>
      <c r="F966" s="126" t="str" cm="1">
        <f t="array" aca="1" ref="F966" ca="1">IF(OR(INDIRECT($B$2&amp;"!AJ14")=$B$845,B966=0),"",REPT(" ",E966)&amp;"displayFormat: "&amp;CHAR(34)&amp;"{0} Items"&amp;CHAR(34)&amp;",")</f>
        <v/>
      </c>
    </row>
    <row r="967" spans="1:6" hidden="1">
      <c r="A967" s="150" t="s">
        <v>1037</v>
      </c>
      <c r="B967" s="130">
        <f ca="1">IFERROR(INDIRECT($B$2&amp;"!"&amp;C967&amp;D967),"")</f>
        <v>0</v>
      </c>
      <c r="C967" s="350" t="s">
        <v>130</v>
      </c>
      <c r="D967" s="351">
        <f t="shared" ca="1" si="77"/>
        <v>39</v>
      </c>
      <c r="E967" s="352">
        <v>12</v>
      </c>
      <c r="F967" s="126" t="str" cm="1">
        <f t="array" aca="1" ref="F967" ca="1">IF(OR(INDIRECT($B$2&amp;"!AJ14")=$B$845,B967=0),"",REPT(" ",E967)&amp;A967&amp;CHAR(34)&amp;B967&amp;CHAR(34)&amp;",")</f>
        <v/>
      </c>
    </row>
    <row r="968" spans="1:6" hidden="1">
      <c r="A968" s="150" t="s">
        <v>65</v>
      </c>
      <c r="B968" s="130">
        <f ca="1">IFERROR(INDIRECT($B$2&amp;"!"&amp;C968&amp;D968),"")</f>
        <v>0</v>
      </c>
      <c r="C968" s="350" t="s">
        <v>128</v>
      </c>
      <c r="D968" s="351">
        <f t="shared" ca="1" si="77"/>
        <v>39</v>
      </c>
      <c r="E968" s="352">
        <v>9</v>
      </c>
      <c r="F968" s="126" t="str" cm="1">
        <f t="array" aca="1" ref="F968" ca="1">IF(OR(INDIRECT($B$2&amp;"!AJ14")=$B$845,B968=0),"",REPT(" ",E968)&amp;"},")</f>
        <v/>
      </c>
    </row>
    <row r="969" spans="1:6" hidden="1">
      <c r="A969" s="150">
        <f ca="1">IFERROR(INDIRECT($B$2&amp;"!"&amp;"C"&amp;D969),"")</f>
        <v>0</v>
      </c>
      <c r="B969" s="130">
        <f ca="1">IFERROR(INDIRECT($B$2&amp;"!"&amp;C969&amp;D969),"")</f>
        <v>0</v>
      </c>
      <c r="C969" s="355" t="s">
        <v>128</v>
      </c>
      <c r="D969" s="351">
        <f t="shared" ca="1" si="77"/>
        <v>40</v>
      </c>
      <c r="E969" s="352">
        <v>9</v>
      </c>
      <c r="F969" s="126" t="str">
        <f ca="1">IF(B969=0,"",REPT(" ",E969)&amp;"{ column: "&amp;CHAR(34)&amp;A969&amp;CHAR(34)&amp;",")</f>
        <v/>
      </c>
    </row>
    <row r="970" spans="1:6" hidden="1">
      <c r="A970" s="150"/>
      <c r="B970" s="130" cm="1">
        <f t="array" aca="1" ref="B970" ca="1">INDIRECT($B$2&amp;"!"&amp;C970&amp;D970)</f>
        <v>0</v>
      </c>
      <c r="C970" s="350" t="s">
        <v>128</v>
      </c>
      <c r="D970" s="351">
        <f t="shared" ca="1" si="77"/>
        <v>40</v>
      </c>
      <c r="E970" s="352">
        <v>12</v>
      </c>
      <c r="F970" s="126" t="str" cm="1">
        <f t="array" aca="1" ref="F970" ca="1">IF(OR(INDIRECT($B$2&amp;"!AJ14")=$B$845,B970=0),"",REPT(" ",E970)&amp;"summaryType: "&amp;CHAR(34)&amp;B970&amp;CHAR(34)&amp;",")</f>
        <v/>
      </c>
    </row>
    <row r="971" spans="1:6" hidden="1">
      <c r="A971" s="150"/>
      <c r="B971" s="130">
        <f ca="1">IFERROR(INDIRECT($B$2&amp;"!"&amp;C971&amp;D971),"")</f>
        <v>0</v>
      </c>
      <c r="C971" s="350" t="s">
        <v>128</v>
      </c>
      <c r="D971" s="351">
        <f t="shared" ca="1" si="77"/>
        <v>40</v>
      </c>
      <c r="E971" s="352">
        <v>12</v>
      </c>
      <c r="F971" s="126" t="str" cm="1">
        <f t="array" aca="1" ref="F971" ca="1">IF(OR(INDIRECT($B$2&amp;"!AJ14")=$B$845,B971=0),"",REPT(" ",E971)&amp;"displayFormat: "&amp;CHAR(34)&amp;"{0} Items"&amp;CHAR(34)&amp;",")</f>
        <v/>
      </c>
    </row>
    <row r="972" spans="1:6" hidden="1">
      <c r="A972" s="150" t="s">
        <v>1037</v>
      </c>
      <c r="B972" s="130">
        <f ca="1">IFERROR(INDIRECT($B$2&amp;"!"&amp;C972&amp;D972),"")</f>
        <v>0</v>
      </c>
      <c r="C972" s="350" t="s">
        <v>130</v>
      </c>
      <c r="D972" s="351">
        <f t="shared" ca="1" si="77"/>
        <v>40</v>
      </c>
      <c r="E972" s="352">
        <v>12</v>
      </c>
      <c r="F972" s="126" t="str" cm="1">
        <f t="array" aca="1" ref="F972" ca="1">IF(OR(INDIRECT($B$2&amp;"!AJ14")=$B$845,B972=0),"",REPT(" ",E972)&amp;A972&amp;CHAR(34)&amp;B972&amp;CHAR(34)&amp;",")</f>
        <v/>
      </c>
    </row>
    <row r="973" spans="1:6" hidden="1">
      <c r="A973" s="150" t="s">
        <v>65</v>
      </c>
      <c r="B973" s="130">
        <f ca="1">IFERROR(INDIRECT($B$2&amp;"!"&amp;C973&amp;D973),"")</f>
        <v>0</v>
      </c>
      <c r="C973" s="350" t="s">
        <v>128</v>
      </c>
      <c r="D973" s="351">
        <f t="shared" ca="1" si="77"/>
        <v>40</v>
      </c>
      <c r="E973" s="352">
        <v>9</v>
      </c>
      <c r="F973" s="126" t="str" cm="1">
        <f t="array" aca="1" ref="F973" ca="1">IF(OR(INDIRECT($B$2&amp;"!AJ14")=$B$845,B973=0),"",REPT(" ",E973)&amp;"},")</f>
        <v/>
      </c>
    </row>
    <row r="974" spans="1:6" hidden="1">
      <c r="A974" s="150">
        <f ca="1">IFERROR(INDIRECT($B$2&amp;"!"&amp;"C"&amp;D974),"")</f>
        <v>0</v>
      </c>
      <c r="B974" s="130">
        <f ca="1">IFERROR(INDIRECT($B$2&amp;"!"&amp;C974&amp;D974),"")</f>
        <v>0</v>
      </c>
      <c r="C974" s="355" t="s">
        <v>128</v>
      </c>
      <c r="D974" s="351">
        <f t="shared" ca="1" si="77"/>
        <v>41</v>
      </c>
      <c r="E974" s="352">
        <v>9</v>
      </c>
      <c r="F974" s="126" t="str">
        <f ca="1">IF(B974=0,"",REPT(" ",E974)&amp;"{ column: "&amp;CHAR(34)&amp;A974&amp;CHAR(34)&amp;",")</f>
        <v/>
      </c>
    </row>
    <row r="975" spans="1:6" hidden="1">
      <c r="A975" s="150"/>
      <c r="B975" s="130" cm="1">
        <f t="array" aca="1" ref="B975" ca="1">INDIRECT($B$2&amp;"!"&amp;C975&amp;D975)</f>
        <v>0</v>
      </c>
      <c r="C975" s="350" t="s">
        <v>128</v>
      </c>
      <c r="D975" s="351">
        <f t="shared" ca="1" si="77"/>
        <v>41</v>
      </c>
      <c r="E975" s="352">
        <v>12</v>
      </c>
      <c r="F975" s="126" t="str" cm="1">
        <f t="array" aca="1" ref="F975" ca="1">IF(OR(INDIRECT($B$2&amp;"!AJ14")=$B$845,B975=0),"",REPT(" ",E975)&amp;"summaryType: "&amp;CHAR(34)&amp;B975&amp;CHAR(34)&amp;",")</f>
        <v/>
      </c>
    </row>
    <row r="976" spans="1:6" hidden="1">
      <c r="A976" s="150"/>
      <c r="B976" s="130">
        <f ca="1">IFERROR(INDIRECT($B$2&amp;"!"&amp;C976&amp;D976),"")</f>
        <v>0</v>
      </c>
      <c r="C976" s="350" t="s">
        <v>128</v>
      </c>
      <c r="D976" s="351">
        <f t="shared" ca="1" si="77"/>
        <v>41</v>
      </c>
      <c r="E976" s="352">
        <v>12</v>
      </c>
      <c r="F976" s="126" t="str" cm="1">
        <f t="array" aca="1" ref="F976" ca="1">IF(OR(INDIRECT($B$2&amp;"!AJ14")=$B$845,B976=0),"",REPT(" ",E976)&amp;"displayFormat: "&amp;CHAR(34)&amp;"{0} Items"&amp;CHAR(34)&amp;",")</f>
        <v/>
      </c>
    </row>
    <row r="977" spans="1:6" hidden="1">
      <c r="A977" s="150" t="s">
        <v>1037</v>
      </c>
      <c r="B977" s="130">
        <f ca="1">IFERROR(INDIRECT($B$2&amp;"!"&amp;C977&amp;D977),"")</f>
        <v>0</v>
      </c>
      <c r="C977" s="350" t="s">
        <v>130</v>
      </c>
      <c r="D977" s="351">
        <f t="shared" ca="1" si="77"/>
        <v>41</v>
      </c>
      <c r="E977" s="352">
        <v>12</v>
      </c>
      <c r="F977" s="126" t="str" cm="1">
        <f t="array" aca="1" ref="F977" ca="1">IF(OR(INDIRECT($B$2&amp;"!AJ14")=$B$845,B977=0),"",REPT(" ",E977)&amp;A977&amp;CHAR(34)&amp;B977&amp;CHAR(34)&amp;",")</f>
        <v/>
      </c>
    </row>
    <row r="978" spans="1:6" hidden="1">
      <c r="A978" s="150" t="s">
        <v>65</v>
      </c>
      <c r="B978" s="130">
        <f ca="1">IFERROR(INDIRECT($B$2&amp;"!"&amp;C978&amp;D978),"")</f>
        <v>0</v>
      </c>
      <c r="C978" s="350" t="s">
        <v>128</v>
      </c>
      <c r="D978" s="351">
        <f t="shared" ref="D978:D1041" ca="1" si="78">IF(TRIM(A977)="N",1,0)+D977</f>
        <v>41</v>
      </c>
      <c r="E978" s="352">
        <v>9</v>
      </c>
      <c r="F978" s="126" t="str" cm="1">
        <f t="array" aca="1" ref="F978" ca="1">IF(OR(INDIRECT($B$2&amp;"!AJ14")=$B$845,B978=0),"",REPT(" ",E978)&amp;"},")</f>
        <v/>
      </c>
    </row>
    <row r="979" spans="1:6" hidden="1">
      <c r="A979" s="150">
        <f ca="1">IFERROR(INDIRECT($B$2&amp;"!"&amp;"C"&amp;D979),"")</f>
        <v>0</v>
      </c>
      <c r="B979" s="130">
        <f ca="1">IFERROR(INDIRECT($B$2&amp;"!"&amp;C979&amp;D979),"")</f>
        <v>0</v>
      </c>
      <c r="C979" s="355" t="s">
        <v>128</v>
      </c>
      <c r="D979" s="351">
        <f t="shared" ca="1" si="78"/>
        <v>42</v>
      </c>
      <c r="E979" s="352">
        <v>9</v>
      </c>
      <c r="F979" s="126" t="str">
        <f ca="1">IF(B979=0,"",REPT(" ",E979)&amp;"{ column: "&amp;CHAR(34)&amp;A979&amp;CHAR(34)&amp;",")</f>
        <v/>
      </c>
    </row>
    <row r="980" spans="1:6" hidden="1">
      <c r="A980" s="150"/>
      <c r="B980" s="130" cm="1">
        <f t="array" aca="1" ref="B980" ca="1">INDIRECT($B$2&amp;"!"&amp;C980&amp;D980)</f>
        <v>0</v>
      </c>
      <c r="C980" s="350" t="s">
        <v>128</v>
      </c>
      <c r="D980" s="351">
        <f t="shared" ca="1" si="78"/>
        <v>42</v>
      </c>
      <c r="E980" s="352">
        <v>12</v>
      </c>
      <c r="F980" s="126" t="str" cm="1">
        <f t="array" aca="1" ref="F980" ca="1">IF(OR(INDIRECT($B$2&amp;"!AJ14")=$B$845,B980=0),"",REPT(" ",E980)&amp;"summaryType: "&amp;CHAR(34)&amp;B980&amp;CHAR(34)&amp;",")</f>
        <v/>
      </c>
    </row>
    <row r="981" spans="1:6" hidden="1">
      <c r="A981" s="150"/>
      <c r="B981" s="130">
        <f ca="1">IFERROR(INDIRECT($B$2&amp;"!"&amp;C981&amp;D981),"")</f>
        <v>0</v>
      </c>
      <c r="C981" s="350" t="s">
        <v>128</v>
      </c>
      <c r="D981" s="351">
        <f t="shared" ca="1" si="78"/>
        <v>42</v>
      </c>
      <c r="E981" s="352">
        <v>12</v>
      </c>
      <c r="F981" s="126" t="str" cm="1">
        <f t="array" aca="1" ref="F981" ca="1">IF(OR(INDIRECT($B$2&amp;"!AJ14")=$B$845,B981=0),"",REPT(" ",E981)&amp;"displayFormat: "&amp;CHAR(34)&amp;"{0} Items"&amp;CHAR(34)&amp;",")</f>
        <v/>
      </c>
    </row>
    <row r="982" spans="1:6" hidden="1">
      <c r="A982" s="150" t="s">
        <v>1037</v>
      </c>
      <c r="B982" s="130">
        <f ca="1">IFERROR(INDIRECT($B$2&amp;"!"&amp;C982&amp;D982),"")</f>
        <v>0</v>
      </c>
      <c r="C982" s="350" t="s">
        <v>130</v>
      </c>
      <c r="D982" s="351">
        <f t="shared" ca="1" si="78"/>
        <v>42</v>
      </c>
      <c r="E982" s="352">
        <v>12</v>
      </c>
      <c r="F982" s="126" t="str" cm="1">
        <f t="array" aca="1" ref="F982" ca="1">IF(OR(INDIRECT($B$2&amp;"!AJ14")=$B$845,B982=0),"",REPT(" ",E982)&amp;A982&amp;CHAR(34)&amp;B982&amp;CHAR(34)&amp;",")</f>
        <v/>
      </c>
    </row>
    <row r="983" spans="1:6" hidden="1">
      <c r="A983" s="150" t="s">
        <v>65</v>
      </c>
      <c r="B983" s="130">
        <f ca="1">IFERROR(INDIRECT($B$2&amp;"!"&amp;C983&amp;D983),"")</f>
        <v>0</v>
      </c>
      <c r="C983" s="350" t="s">
        <v>128</v>
      </c>
      <c r="D983" s="351">
        <f t="shared" ca="1" si="78"/>
        <v>42</v>
      </c>
      <c r="E983" s="352">
        <v>9</v>
      </c>
      <c r="F983" s="126" t="str" cm="1">
        <f t="array" aca="1" ref="F983" ca="1">IF(OR(INDIRECT($B$2&amp;"!AJ14")=$B$845,B983=0),"",REPT(" ",E983)&amp;"},")</f>
        <v/>
      </c>
    </row>
    <row r="984" spans="1:6" hidden="1">
      <c r="A984" s="150">
        <f ca="1">IFERROR(INDIRECT($B$2&amp;"!"&amp;"C"&amp;D984),"")</f>
        <v>0</v>
      </c>
      <c r="B984" s="130">
        <f ca="1">IFERROR(INDIRECT($B$2&amp;"!"&amp;C984&amp;D984),"")</f>
        <v>0</v>
      </c>
      <c r="C984" s="355" t="s">
        <v>128</v>
      </c>
      <c r="D984" s="351">
        <f t="shared" ca="1" si="78"/>
        <v>43</v>
      </c>
      <c r="E984" s="352">
        <v>9</v>
      </c>
      <c r="F984" s="126" t="str">
        <f ca="1">IF(B984=0,"",REPT(" ",E984)&amp;"{ column: "&amp;CHAR(34)&amp;A984&amp;CHAR(34)&amp;",")</f>
        <v/>
      </c>
    </row>
    <row r="985" spans="1:6" hidden="1">
      <c r="A985" s="150"/>
      <c r="B985" s="130" cm="1">
        <f t="array" aca="1" ref="B985" ca="1">INDIRECT($B$2&amp;"!"&amp;C985&amp;D985)</f>
        <v>0</v>
      </c>
      <c r="C985" s="350" t="s">
        <v>128</v>
      </c>
      <c r="D985" s="351">
        <f t="shared" ca="1" si="78"/>
        <v>43</v>
      </c>
      <c r="E985" s="352">
        <v>12</v>
      </c>
      <c r="F985" s="126" t="str" cm="1">
        <f t="array" aca="1" ref="F985" ca="1">IF(OR(INDIRECT($B$2&amp;"!AJ14")=$B$845,B985=0),"",REPT(" ",E985)&amp;"summaryType: "&amp;CHAR(34)&amp;B985&amp;CHAR(34)&amp;",")</f>
        <v/>
      </c>
    </row>
    <row r="986" spans="1:6" hidden="1">
      <c r="A986" s="150"/>
      <c r="B986" s="130">
        <f ca="1">IFERROR(INDIRECT($B$2&amp;"!"&amp;C986&amp;D986),"")</f>
        <v>0</v>
      </c>
      <c r="C986" s="350" t="s">
        <v>128</v>
      </c>
      <c r="D986" s="351">
        <f t="shared" ca="1" si="78"/>
        <v>43</v>
      </c>
      <c r="E986" s="352">
        <v>12</v>
      </c>
      <c r="F986" s="126" t="str" cm="1">
        <f t="array" aca="1" ref="F986" ca="1">IF(OR(INDIRECT($B$2&amp;"!AJ14")=$B$845,B986=0),"",REPT(" ",E986)&amp;"displayFormat: "&amp;CHAR(34)&amp;"{0} Items"&amp;CHAR(34)&amp;",")</f>
        <v/>
      </c>
    </row>
    <row r="987" spans="1:6" hidden="1">
      <c r="A987" s="150" t="s">
        <v>1037</v>
      </c>
      <c r="B987" s="130">
        <f ca="1">IFERROR(INDIRECT($B$2&amp;"!"&amp;C987&amp;D987),"")</f>
        <v>0</v>
      </c>
      <c r="C987" s="350" t="s">
        <v>130</v>
      </c>
      <c r="D987" s="351">
        <f t="shared" ca="1" si="78"/>
        <v>43</v>
      </c>
      <c r="E987" s="352">
        <v>12</v>
      </c>
      <c r="F987" s="126" t="str" cm="1">
        <f t="array" aca="1" ref="F987" ca="1">IF(OR(INDIRECT($B$2&amp;"!AJ14")=$B$845,B987=0),"",REPT(" ",E987)&amp;A987&amp;CHAR(34)&amp;B987&amp;CHAR(34)&amp;",")</f>
        <v/>
      </c>
    </row>
    <row r="988" spans="1:6" hidden="1">
      <c r="A988" s="150" t="s">
        <v>65</v>
      </c>
      <c r="B988" s="130">
        <f ca="1">IFERROR(INDIRECT($B$2&amp;"!"&amp;C988&amp;D988),"")</f>
        <v>0</v>
      </c>
      <c r="C988" s="350" t="s">
        <v>128</v>
      </c>
      <c r="D988" s="351">
        <f t="shared" ca="1" si="78"/>
        <v>43</v>
      </c>
      <c r="E988" s="352">
        <v>9</v>
      </c>
      <c r="F988" s="126" t="str" cm="1">
        <f t="array" aca="1" ref="F988" ca="1">IF(OR(INDIRECT($B$2&amp;"!AJ14")=$B$845,B988=0),"",REPT(" ",E988)&amp;"},")</f>
        <v/>
      </c>
    </row>
    <row r="989" spans="1:6" hidden="1">
      <c r="A989" s="150">
        <f ca="1">IFERROR(INDIRECT($B$2&amp;"!"&amp;"C"&amp;D989),"")</f>
        <v>0</v>
      </c>
      <c r="B989" s="130">
        <f ca="1">IFERROR(INDIRECT($B$2&amp;"!"&amp;C989&amp;D989),"")</f>
        <v>0</v>
      </c>
      <c r="C989" s="355" t="s">
        <v>128</v>
      </c>
      <c r="D989" s="351">
        <f t="shared" ca="1" si="78"/>
        <v>44</v>
      </c>
      <c r="E989" s="352">
        <v>9</v>
      </c>
      <c r="F989" s="126" t="str">
        <f ca="1">IF(B989=0,"",REPT(" ",E989)&amp;"{ column: "&amp;CHAR(34)&amp;A989&amp;CHAR(34)&amp;",")</f>
        <v/>
      </c>
    </row>
    <row r="990" spans="1:6" hidden="1">
      <c r="A990" s="150"/>
      <c r="B990" s="130" cm="1">
        <f t="array" aca="1" ref="B990" ca="1">INDIRECT($B$2&amp;"!"&amp;C990&amp;D990)</f>
        <v>0</v>
      </c>
      <c r="C990" s="350" t="s">
        <v>128</v>
      </c>
      <c r="D990" s="351">
        <f t="shared" ca="1" si="78"/>
        <v>44</v>
      </c>
      <c r="E990" s="352">
        <v>12</v>
      </c>
      <c r="F990" s="126" t="str" cm="1">
        <f t="array" aca="1" ref="F990" ca="1">IF(OR(INDIRECT($B$2&amp;"!AJ14")=$B$845,B990=0),"",REPT(" ",E990)&amp;"summaryType: "&amp;CHAR(34)&amp;B990&amp;CHAR(34)&amp;",")</f>
        <v/>
      </c>
    </row>
    <row r="991" spans="1:6" hidden="1">
      <c r="A991" s="150"/>
      <c r="B991" s="130">
        <f ca="1">IFERROR(INDIRECT($B$2&amp;"!"&amp;C991&amp;D991),"")</f>
        <v>0</v>
      </c>
      <c r="C991" s="350" t="s">
        <v>128</v>
      </c>
      <c r="D991" s="351">
        <f t="shared" ca="1" si="78"/>
        <v>44</v>
      </c>
      <c r="E991" s="352">
        <v>12</v>
      </c>
      <c r="F991" s="126" t="str" cm="1">
        <f t="array" aca="1" ref="F991" ca="1">IF(OR(INDIRECT($B$2&amp;"!AJ14")=$B$845,B991=0),"",REPT(" ",E991)&amp;"displayFormat: "&amp;CHAR(34)&amp;"{0} Items"&amp;CHAR(34)&amp;",")</f>
        <v/>
      </c>
    </row>
    <row r="992" spans="1:6" hidden="1">
      <c r="A992" s="150" t="s">
        <v>1037</v>
      </c>
      <c r="B992" s="130">
        <f ca="1">IFERROR(INDIRECT($B$2&amp;"!"&amp;C992&amp;D992),"")</f>
        <v>0</v>
      </c>
      <c r="C992" s="350" t="s">
        <v>130</v>
      </c>
      <c r="D992" s="351">
        <f t="shared" ca="1" si="78"/>
        <v>44</v>
      </c>
      <c r="E992" s="352">
        <v>12</v>
      </c>
      <c r="F992" s="126" t="str" cm="1">
        <f t="array" aca="1" ref="F992" ca="1">IF(OR(INDIRECT($B$2&amp;"!AJ14")=$B$845,B992=0),"",REPT(" ",E992)&amp;A992&amp;CHAR(34)&amp;B992&amp;CHAR(34)&amp;",")</f>
        <v/>
      </c>
    </row>
    <row r="993" spans="1:6" hidden="1">
      <c r="A993" s="150" t="s">
        <v>65</v>
      </c>
      <c r="B993" s="130">
        <f ca="1">IFERROR(INDIRECT($B$2&amp;"!"&amp;C993&amp;D993),"")</f>
        <v>0</v>
      </c>
      <c r="C993" s="350" t="s">
        <v>128</v>
      </c>
      <c r="D993" s="351">
        <f t="shared" ca="1" si="78"/>
        <v>44</v>
      </c>
      <c r="E993" s="352">
        <v>9</v>
      </c>
      <c r="F993" s="126" t="str" cm="1">
        <f t="array" aca="1" ref="F993" ca="1">IF(OR(INDIRECT($B$2&amp;"!AJ14")=$B$845,B993=0),"",REPT(" ",E993)&amp;"},")</f>
        <v/>
      </c>
    </row>
    <row r="994" spans="1:6" hidden="1">
      <c r="A994" s="150">
        <f ca="1">IFERROR(INDIRECT($B$2&amp;"!"&amp;"C"&amp;D994),"")</f>
        <v>0</v>
      </c>
      <c r="B994" s="130">
        <f ca="1">IFERROR(INDIRECT($B$2&amp;"!"&amp;C994&amp;D994),"")</f>
        <v>0</v>
      </c>
      <c r="C994" s="355" t="s">
        <v>128</v>
      </c>
      <c r="D994" s="351">
        <f t="shared" ca="1" si="78"/>
        <v>45</v>
      </c>
      <c r="E994" s="352">
        <v>9</v>
      </c>
      <c r="F994" s="126" t="str">
        <f ca="1">IF(B994=0,"",REPT(" ",E994)&amp;"{ column: "&amp;CHAR(34)&amp;A994&amp;CHAR(34)&amp;",")</f>
        <v/>
      </c>
    </row>
    <row r="995" spans="1:6" hidden="1">
      <c r="A995" s="150"/>
      <c r="B995" s="130" cm="1">
        <f t="array" aca="1" ref="B995" ca="1">INDIRECT($B$2&amp;"!"&amp;C995&amp;D995)</f>
        <v>0</v>
      </c>
      <c r="C995" s="350" t="s">
        <v>128</v>
      </c>
      <c r="D995" s="351">
        <f t="shared" ca="1" si="78"/>
        <v>45</v>
      </c>
      <c r="E995" s="352">
        <v>12</v>
      </c>
      <c r="F995" s="126" t="str" cm="1">
        <f t="array" aca="1" ref="F995" ca="1">IF(OR(INDIRECT($B$2&amp;"!AJ14")=$B$845,B995=0),"",REPT(" ",E995)&amp;"summaryType: "&amp;CHAR(34)&amp;B995&amp;CHAR(34)&amp;",")</f>
        <v/>
      </c>
    </row>
    <row r="996" spans="1:6" hidden="1">
      <c r="A996" s="150"/>
      <c r="B996" s="130">
        <f ca="1">IFERROR(INDIRECT($B$2&amp;"!"&amp;C996&amp;D996),"")</f>
        <v>0</v>
      </c>
      <c r="C996" s="350" t="s">
        <v>128</v>
      </c>
      <c r="D996" s="351">
        <f t="shared" ca="1" si="78"/>
        <v>45</v>
      </c>
      <c r="E996" s="352">
        <v>12</v>
      </c>
      <c r="F996" s="126" t="str" cm="1">
        <f t="array" aca="1" ref="F996" ca="1">IF(OR(INDIRECT($B$2&amp;"!AJ14")=$B$845,B996=0),"",REPT(" ",E996)&amp;"displayFormat: "&amp;CHAR(34)&amp;"{0} Items"&amp;CHAR(34)&amp;",")</f>
        <v/>
      </c>
    </row>
    <row r="997" spans="1:6" hidden="1">
      <c r="A997" s="150" t="s">
        <v>1037</v>
      </c>
      <c r="B997" s="130">
        <f ca="1">IFERROR(INDIRECT($B$2&amp;"!"&amp;C997&amp;D997),"")</f>
        <v>0</v>
      </c>
      <c r="C997" s="350" t="s">
        <v>130</v>
      </c>
      <c r="D997" s="351">
        <f t="shared" ca="1" si="78"/>
        <v>45</v>
      </c>
      <c r="E997" s="352">
        <v>12</v>
      </c>
      <c r="F997" s="126" t="str" cm="1">
        <f t="array" aca="1" ref="F997" ca="1">IF(OR(INDIRECT($B$2&amp;"!AJ14")=$B$845,B997=0),"",REPT(" ",E997)&amp;A997&amp;CHAR(34)&amp;B997&amp;CHAR(34)&amp;",")</f>
        <v/>
      </c>
    </row>
    <row r="998" spans="1:6" hidden="1">
      <c r="A998" s="150" t="s">
        <v>65</v>
      </c>
      <c r="B998" s="130">
        <f ca="1">IFERROR(INDIRECT($B$2&amp;"!"&amp;C998&amp;D998),"")</f>
        <v>0</v>
      </c>
      <c r="C998" s="350" t="s">
        <v>128</v>
      </c>
      <c r="D998" s="351">
        <f t="shared" ca="1" si="78"/>
        <v>45</v>
      </c>
      <c r="E998" s="352">
        <v>9</v>
      </c>
      <c r="F998" s="126" t="str" cm="1">
        <f t="array" aca="1" ref="F998" ca="1">IF(OR(INDIRECT($B$2&amp;"!AJ14")=$B$845,B998=0),"",REPT(" ",E998)&amp;"},")</f>
        <v/>
      </c>
    </row>
    <row r="999" spans="1:6" hidden="1">
      <c r="A999" s="150">
        <f ca="1">IFERROR(INDIRECT($B$2&amp;"!"&amp;"C"&amp;D999),"")</f>
        <v>0</v>
      </c>
      <c r="B999" s="130">
        <f ca="1">IFERROR(INDIRECT($B$2&amp;"!"&amp;C999&amp;D999),"")</f>
        <v>0</v>
      </c>
      <c r="C999" s="355" t="s">
        <v>128</v>
      </c>
      <c r="D999" s="351">
        <f t="shared" ca="1" si="78"/>
        <v>46</v>
      </c>
      <c r="E999" s="352">
        <v>9</v>
      </c>
      <c r="F999" s="126" t="str">
        <f ca="1">IF(B999=0,"",REPT(" ",E999)&amp;"{ column: "&amp;CHAR(34)&amp;A999&amp;CHAR(34)&amp;",")</f>
        <v/>
      </c>
    </row>
    <row r="1000" spans="1:6" hidden="1">
      <c r="A1000" s="150"/>
      <c r="B1000" s="130" cm="1">
        <f t="array" aca="1" ref="B1000" ca="1">INDIRECT($B$2&amp;"!"&amp;C1000&amp;D1000)</f>
        <v>0</v>
      </c>
      <c r="C1000" s="350" t="s">
        <v>128</v>
      </c>
      <c r="D1000" s="351">
        <f t="shared" ca="1" si="78"/>
        <v>46</v>
      </c>
      <c r="E1000" s="352">
        <v>12</v>
      </c>
      <c r="F1000" s="126" t="str" cm="1">
        <f t="array" aca="1" ref="F1000" ca="1">IF(OR(INDIRECT($B$2&amp;"!AJ14")=$B$845,B1000=0),"",REPT(" ",E1000)&amp;"summaryType: "&amp;CHAR(34)&amp;B1000&amp;CHAR(34)&amp;",")</f>
        <v/>
      </c>
    </row>
    <row r="1001" spans="1:6" hidden="1">
      <c r="A1001" s="150"/>
      <c r="B1001" s="130">
        <f ca="1">IFERROR(INDIRECT($B$2&amp;"!"&amp;C1001&amp;D1001),"")</f>
        <v>0</v>
      </c>
      <c r="C1001" s="350" t="s">
        <v>128</v>
      </c>
      <c r="D1001" s="351">
        <f t="shared" ca="1" si="78"/>
        <v>46</v>
      </c>
      <c r="E1001" s="352">
        <v>12</v>
      </c>
      <c r="F1001" s="126" t="str" cm="1">
        <f t="array" aca="1" ref="F1001" ca="1">IF(OR(INDIRECT($B$2&amp;"!AJ14")=$B$845,B1001=0),"",REPT(" ",E1001)&amp;"displayFormat: "&amp;CHAR(34)&amp;"{0} Items"&amp;CHAR(34)&amp;",")</f>
        <v/>
      </c>
    </row>
    <row r="1002" spans="1:6" hidden="1">
      <c r="A1002" s="150" t="s">
        <v>1037</v>
      </c>
      <c r="B1002" s="130">
        <f ca="1">IFERROR(INDIRECT($B$2&amp;"!"&amp;C1002&amp;D1002),"")</f>
        <v>0</v>
      </c>
      <c r="C1002" s="350" t="s">
        <v>130</v>
      </c>
      <c r="D1002" s="351">
        <f t="shared" ca="1" si="78"/>
        <v>46</v>
      </c>
      <c r="E1002" s="352">
        <v>12</v>
      </c>
      <c r="F1002" s="126" t="str" cm="1">
        <f t="array" aca="1" ref="F1002" ca="1">IF(OR(INDIRECT($B$2&amp;"!AJ14")=$B$845,B1002=0),"",REPT(" ",E1002)&amp;A1002&amp;CHAR(34)&amp;B1002&amp;CHAR(34)&amp;",")</f>
        <v/>
      </c>
    </row>
    <row r="1003" spans="1:6" hidden="1">
      <c r="A1003" s="150" t="s">
        <v>65</v>
      </c>
      <c r="B1003" s="130">
        <f ca="1">IFERROR(INDIRECT($B$2&amp;"!"&amp;C1003&amp;D1003),"")</f>
        <v>0</v>
      </c>
      <c r="C1003" s="350" t="s">
        <v>128</v>
      </c>
      <c r="D1003" s="351">
        <f t="shared" ca="1" si="78"/>
        <v>46</v>
      </c>
      <c r="E1003" s="352">
        <v>9</v>
      </c>
      <c r="F1003" s="126" t="str" cm="1">
        <f t="array" aca="1" ref="F1003" ca="1">IF(OR(INDIRECT($B$2&amp;"!AJ14")=$B$845,B1003=0),"",REPT(" ",E1003)&amp;"},")</f>
        <v/>
      </c>
    </row>
    <row r="1004" spans="1:6" hidden="1">
      <c r="A1004" s="150">
        <f ca="1">IFERROR(INDIRECT($B$2&amp;"!"&amp;"C"&amp;D1004),"")</f>
        <v>0</v>
      </c>
      <c r="B1004" s="130">
        <f ca="1">IFERROR(INDIRECT($B$2&amp;"!"&amp;C1004&amp;D1004),"")</f>
        <v>0</v>
      </c>
      <c r="C1004" s="355" t="s">
        <v>128</v>
      </c>
      <c r="D1004" s="351">
        <f t="shared" ca="1" si="78"/>
        <v>47</v>
      </c>
      <c r="E1004" s="352">
        <v>9</v>
      </c>
      <c r="F1004" s="126" t="str">
        <f ca="1">IF(B1004=0,"",REPT(" ",E1004)&amp;"{ column: "&amp;CHAR(34)&amp;A1004&amp;CHAR(34)&amp;",")</f>
        <v/>
      </c>
    </row>
    <row r="1005" spans="1:6" hidden="1">
      <c r="A1005" s="150"/>
      <c r="B1005" s="130" cm="1">
        <f t="array" aca="1" ref="B1005" ca="1">INDIRECT($B$2&amp;"!"&amp;C1005&amp;D1005)</f>
        <v>0</v>
      </c>
      <c r="C1005" s="350" t="s">
        <v>128</v>
      </c>
      <c r="D1005" s="351">
        <f t="shared" ca="1" si="78"/>
        <v>47</v>
      </c>
      <c r="E1005" s="352">
        <v>12</v>
      </c>
      <c r="F1005" s="126" t="str" cm="1">
        <f t="array" aca="1" ref="F1005" ca="1">IF(OR(INDIRECT($B$2&amp;"!AJ14")=$B$845,B1005=0),"",REPT(" ",E1005)&amp;"summaryType: "&amp;CHAR(34)&amp;B1005&amp;CHAR(34)&amp;",")</f>
        <v/>
      </c>
    </row>
    <row r="1006" spans="1:6" hidden="1">
      <c r="A1006" s="150"/>
      <c r="B1006" s="130">
        <f ca="1">IFERROR(INDIRECT($B$2&amp;"!"&amp;C1006&amp;D1006),"")</f>
        <v>0</v>
      </c>
      <c r="C1006" s="350" t="s">
        <v>128</v>
      </c>
      <c r="D1006" s="351">
        <f t="shared" ca="1" si="78"/>
        <v>47</v>
      </c>
      <c r="E1006" s="352">
        <v>12</v>
      </c>
      <c r="F1006" s="126" t="str" cm="1">
        <f t="array" aca="1" ref="F1006" ca="1">IF(OR(INDIRECT($B$2&amp;"!AJ14")=$B$845,B1006=0),"",REPT(" ",E1006)&amp;"displayFormat: "&amp;CHAR(34)&amp;"{0} Items"&amp;CHAR(34)&amp;",")</f>
        <v/>
      </c>
    </row>
    <row r="1007" spans="1:6" hidden="1">
      <c r="A1007" s="150" t="s">
        <v>1037</v>
      </c>
      <c r="B1007" s="130">
        <f ca="1">IFERROR(INDIRECT($B$2&amp;"!"&amp;C1007&amp;D1007),"")</f>
        <v>0</v>
      </c>
      <c r="C1007" s="350" t="s">
        <v>130</v>
      </c>
      <c r="D1007" s="351">
        <f t="shared" ca="1" si="78"/>
        <v>47</v>
      </c>
      <c r="E1007" s="352">
        <v>12</v>
      </c>
      <c r="F1007" s="126" t="str" cm="1">
        <f t="array" aca="1" ref="F1007" ca="1">IF(OR(INDIRECT($B$2&amp;"!AJ14")=$B$845,B1007=0),"",REPT(" ",E1007)&amp;A1007&amp;CHAR(34)&amp;B1007&amp;CHAR(34)&amp;",")</f>
        <v/>
      </c>
    </row>
    <row r="1008" spans="1:6" hidden="1">
      <c r="A1008" s="150" t="s">
        <v>65</v>
      </c>
      <c r="B1008" s="130">
        <f ca="1">IFERROR(INDIRECT($B$2&amp;"!"&amp;C1008&amp;D1008),"")</f>
        <v>0</v>
      </c>
      <c r="C1008" s="350" t="s">
        <v>128</v>
      </c>
      <c r="D1008" s="351">
        <f t="shared" ca="1" si="78"/>
        <v>47</v>
      </c>
      <c r="E1008" s="352">
        <v>9</v>
      </c>
      <c r="F1008" s="126" t="str" cm="1">
        <f t="array" aca="1" ref="F1008" ca="1">IF(OR(INDIRECT($B$2&amp;"!AJ14")=$B$845,B1008=0),"",REPT(" ",E1008)&amp;"},")</f>
        <v/>
      </c>
    </row>
    <row r="1009" spans="1:6" hidden="1">
      <c r="A1009" s="150">
        <f ca="1">IFERROR(INDIRECT($B$2&amp;"!"&amp;"C"&amp;D1009),"")</f>
        <v>0</v>
      </c>
      <c r="B1009" s="130">
        <f ca="1">IFERROR(INDIRECT($B$2&amp;"!"&amp;C1009&amp;D1009),"")</f>
        <v>0</v>
      </c>
      <c r="C1009" s="355" t="s">
        <v>128</v>
      </c>
      <c r="D1009" s="351">
        <f t="shared" ca="1" si="78"/>
        <v>48</v>
      </c>
      <c r="E1009" s="352">
        <v>9</v>
      </c>
      <c r="F1009" s="126" t="str">
        <f ca="1">IF(B1009=0,"",REPT(" ",E1009)&amp;"{ column: "&amp;CHAR(34)&amp;A1009&amp;CHAR(34)&amp;",")</f>
        <v/>
      </c>
    </row>
    <row r="1010" spans="1:6" hidden="1">
      <c r="A1010" s="150"/>
      <c r="B1010" s="130" cm="1">
        <f t="array" aca="1" ref="B1010" ca="1">INDIRECT($B$2&amp;"!"&amp;C1010&amp;D1010)</f>
        <v>0</v>
      </c>
      <c r="C1010" s="350" t="s">
        <v>128</v>
      </c>
      <c r="D1010" s="351">
        <f t="shared" ca="1" si="78"/>
        <v>48</v>
      </c>
      <c r="E1010" s="352">
        <v>12</v>
      </c>
      <c r="F1010" s="126" t="str" cm="1">
        <f t="array" aca="1" ref="F1010" ca="1">IF(OR(INDIRECT($B$2&amp;"!AJ14")=$B$845,B1010=0),"",REPT(" ",E1010)&amp;"summaryType: "&amp;CHAR(34)&amp;B1010&amp;CHAR(34)&amp;",")</f>
        <v/>
      </c>
    </row>
    <row r="1011" spans="1:6" hidden="1">
      <c r="A1011" s="150"/>
      <c r="B1011" s="130">
        <f ca="1">IFERROR(INDIRECT($B$2&amp;"!"&amp;C1011&amp;D1011),"")</f>
        <v>0</v>
      </c>
      <c r="C1011" s="350" t="s">
        <v>128</v>
      </c>
      <c r="D1011" s="351">
        <f t="shared" ca="1" si="78"/>
        <v>48</v>
      </c>
      <c r="E1011" s="352">
        <v>12</v>
      </c>
      <c r="F1011" s="126" t="str" cm="1">
        <f t="array" aca="1" ref="F1011" ca="1">IF(OR(INDIRECT($B$2&amp;"!AJ14")=$B$845,B1011=0),"",REPT(" ",E1011)&amp;"displayFormat: "&amp;CHAR(34)&amp;"{0} Items"&amp;CHAR(34)&amp;",")</f>
        <v/>
      </c>
    </row>
    <row r="1012" spans="1:6" hidden="1">
      <c r="A1012" s="150" t="s">
        <v>1037</v>
      </c>
      <c r="B1012" s="130">
        <f ca="1">IFERROR(INDIRECT($B$2&amp;"!"&amp;C1012&amp;D1012),"")</f>
        <v>0</v>
      </c>
      <c r="C1012" s="350" t="s">
        <v>130</v>
      </c>
      <c r="D1012" s="351">
        <f t="shared" ca="1" si="78"/>
        <v>48</v>
      </c>
      <c r="E1012" s="352">
        <v>12</v>
      </c>
      <c r="F1012" s="126" t="str" cm="1">
        <f t="array" aca="1" ref="F1012" ca="1">IF(OR(INDIRECT($B$2&amp;"!AJ14")=$B$845,B1012=0),"",REPT(" ",E1012)&amp;A1012&amp;CHAR(34)&amp;B1012&amp;CHAR(34)&amp;",")</f>
        <v/>
      </c>
    </row>
    <row r="1013" spans="1:6" hidden="1">
      <c r="A1013" s="150" t="s">
        <v>65</v>
      </c>
      <c r="B1013" s="130">
        <f ca="1">IFERROR(INDIRECT($B$2&amp;"!"&amp;C1013&amp;D1013),"")</f>
        <v>0</v>
      </c>
      <c r="C1013" s="350" t="s">
        <v>128</v>
      </c>
      <c r="D1013" s="351">
        <f t="shared" ca="1" si="78"/>
        <v>48</v>
      </c>
      <c r="E1013" s="352">
        <v>9</v>
      </c>
      <c r="F1013" s="126" t="str" cm="1">
        <f t="array" aca="1" ref="F1013" ca="1">IF(OR(INDIRECT($B$2&amp;"!AJ14")=$B$845,B1013=0),"",REPT(" ",E1013)&amp;"},")</f>
        <v/>
      </c>
    </row>
    <row r="1014" spans="1:6" hidden="1">
      <c r="A1014" s="150">
        <f ca="1">IFERROR(INDIRECT($B$2&amp;"!"&amp;"C"&amp;D1014),"")</f>
        <v>0</v>
      </c>
      <c r="B1014" s="130">
        <f ca="1">IFERROR(INDIRECT($B$2&amp;"!"&amp;C1014&amp;D1014),"")</f>
        <v>0</v>
      </c>
      <c r="C1014" s="355" t="s">
        <v>128</v>
      </c>
      <c r="D1014" s="351">
        <f t="shared" ca="1" si="78"/>
        <v>49</v>
      </c>
      <c r="E1014" s="352">
        <v>9</v>
      </c>
      <c r="F1014" s="126" t="str">
        <f ca="1">IF(B1014=0,"",REPT(" ",E1014)&amp;"{ column: "&amp;CHAR(34)&amp;A1014&amp;CHAR(34)&amp;",")</f>
        <v/>
      </c>
    </row>
    <row r="1015" spans="1:6" hidden="1">
      <c r="A1015" s="150"/>
      <c r="B1015" s="130" cm="1">
        <f t="array" aca="1" ref="B1015" ca="1">INDIRECT($B$2&amp;"!"&amp;C1015&amp;D1015)</f>
        <v>0</v>
      </c>
      <c r="C1015" s="350" t="s">
        <v>128</v>
      </c>
      <c r="D1015" s="351">
        <f t="shared" ca="1" si="78"/>
        <v>49</v>
      </c>
      <c r="E1015" s="352">
        <v>12</v>
      </c>
      <c r="F1015" s="126" t="str" cm="1">
        <f t="array" aca="1" ref="F1015" ca="1">IF(OR(INDIRECT($B$2&amp;"!AJ14")=$B$845,B1015=0),"",REPT(" ",E1015)&amp;"summaryType: "&amp;CHAR(34)&amp;B1015&amp;CHAR(34)&amp;",")</f>
        <v/>
      </c>
    </row>
    <row r="1016" spans="1:6" hidden="1">
      <c r="A1016" s="150"/>
      <c r="B1016" s="130">
        <f ca="1">IFERROR(INDIRECT($B$2&amp;"!"&amp;C1016&amp;D1016),"")</f>
        <v>0</v>
      </c>
      <c r="C1016" s="350" t="s">
        <v>128</v>
      </c>
      <c r="D1016" s="351">
        <f t="shared" ca="1" si="78"/>
        <v>49</v>
      </c>
      <c r="E1016" s="352">
        <v>12</v>
      </c>
      <c r="F1016" s="126" t="str" cm="1">
        <f t="array" aca="1" ref="F1016" ca="1">IF(OR(INDIRECT($B$2&amp;"!AJ14")=$B$845,B1016=0),"",REPT(" ",E1016)&amp;"displayFormat: "&amp;CHAR(34)&amp;"{0} Items"&amp;CHAR(34)&amp;",")</f>
        <v/>
      </c>
    </row>
    <row r="1017" spans="1:6" hidden="1">
      <c r="A1017" s="150" t="s">
        <v>1037</v>
      </c>
      <c r="B1017" s="130">
        <f ca="1">IFERROR(INDIRECT($B$2&amp;"!"&amp;C1017&amp;D1017),"")</f>
        <v>0</v>
      </c>
      <c r="C1017" s="350" t="s">
        <v>130</v>
      </c>
      <c r="D1017" s="351">
        <f t="shared" ca="1" si="78"/>
        <v>49</v>
      </c>
      <c r="E1017" s="352">
        <v>12</v>
      </c>
      <c r="F1017" s="126" t="str" cm="1">
        <f t="array" aca="1" ref="F1017" ca="1">IF(OR(INDIRECT($B$2&amp;"!AJ14")=$B$845,B1017=0),"",REPT(" ",E1017)&amp;A1017&amp;CHAR(34)&amp;B1017&amp;CHAR(34)&amp;",")</f>
        <v/>
      </c>
    </row>
    <row r="1018" spans="1:6" hidden="1">
      <c r="A1018" s="150" t="s">
        <v>65</v>
      </c>
      <c r="B1018" s="130">
        <f ca="1">IFERROR(INDIRECT($B$2&amp;"!"&amp;C1018&amp;D1018),"")</f>
        <v>0</v>
      </c>
      <c r="C1018" s="350" t="s">
        <v>128</v>
      </c>
      <c r="D1018" s="351">
        <f t="shared" ca="1" si="78"/>
        <v>49</v>
      </c>
      <c r="E1018" s="352">
        <v>9</v>
      </c>
      <c r="F1018" s="126" t="str" cm="1">
        <f t="array" aca="1" ref="F1018" ca="1">IF(OR(INDIRECT($B$2&amp;"!AJ14")=$B$845,B1018=0),"",REPT(" ",E1018)&amp;"},")</f>
        <v/>
      </c>
    </row>
    <row r="1019" spans="1:6" hidden="1">
      <c r="A1019" s="150">
        <f ca="1">IFERROR(INDIRECT($B$2&amp;"!"&amp;"C"&amp;D1019),"")</f>
        <v>0</v>
      </c>
      <c r="B1019" s="130">
        <f ca="1">IFERROR(INDIRECT($B$2&amp;"!"&amp;C1019&amp;D1019),"")</f>
        <v>0</v>
      </c>
      <c r="C1019" s="355" t="s">
        <v>128</v>
      </c>
      <c r="D1019" s="351">
        <f t="shared" ca="1" si="78"/>
        <v>50</v>
      </c>
      <c r="E1019" s="352">
        <v>9</v>
      </c>
      <c r="F1019" s="126" t="str">
        <f ca="1">IF(B1019=0,"",REPT(" ",E1019)&amp;"{ column: "&amp;CHAR(34)&amp;A1019&amp;CHAR(34)&amp;",")</f>
        <v/>
      </c>
    </row>
    <row r="1020" spans="1:6" hidden="1">
      <c r="A1020" s="150"/>
      <c r="B1020" s="130" cm="1">
        <f t="array" aca="1" ref="B1020" ca="1">INDIRECT($B$2&amp;"!"&amp;C1020&amp;D1020)</f>
        <v>0</v>
      </c>
      <c r="C1020" s="350" t="s">
        <v>128</v>
      </c>
      <c r="D1020" s="351">
        <f t="shared" ca="1" si="78"/>
        <v>50</v>
      </c>
      <c r="E1020" s="352">
        <v>12</v>
      </c>
      <c r="F1020" s="126" t="str" cm="1">
        <f t="array" aca="1" ref="F1020" ca="1">IF(OR(INDIRECT($B$2&amp;"!AJ14")=$B$845,B1020=0),"",REPT(" ",E1020)&amp;"summaryType: "&amp;CHAR(34)&amp;B1020&amp;CHAR(34)&amp;",")</f>
        <v/>
      </c>
    </row>
    <row r="1021" spans="1:6" hidden="1">
      <c r="A1021" s="150"/>
      <c r="B1021" s="130">
        <f ca="1">IFERROR(INDIRECT($B$2&amp;"!"&amp;C1021&amp;D1021),"")</f>
        <v>0</v>
      </c>
      <c r="C1021" s="350" t="s">
        <v>128</v>
      </c>
      <c r="D1021" s="351">
        <f t="shared" ca="1" si="78"/>
        <v>50</v>
      </c>
      <c r="E1021" s="352">
        <v>12</v>
      </c>
      <c r="F1021" s="126" t="str" cm="1">
        <f t="array" aca="1" ref="F1021" ca="1">IF(OR(INDIRECT($B$2&amp;"!AJ14")=$B$845,B1021=0),"",REPT(" ",E1021)&amp;"displayFormat: "&amp;CHAR(34)&amp;"{0} Items"&amp;CHAR(34)&amp;",")</f>
        <v/>
      </c>
    </row>
    <row r="1022" spans="1:6" hidden="1">
      <c r="A1022" s="150" t="s">
        <v>1037</v>
      </c>
      <c r="B1022" s="130">
        <f ca="1">IFERROR(INDIRECT($B$2&amp;"!"&amp;C1022&amp;D1022),"")</f>
        <v>0</v>
      </c>
      <c r="C1022" s="350" t="s">
        <v>130</v>
      </c>
      <c r="D1022" s="351">
        <f t="shared" ca="1" si="78"/>
        <v>50</v>
      </c>
      <c r="E1022" s="352">
        <v>12</v>
      </c>
      <c r="F1022" s="126" t="str" cm="1">
        <f t="array" aca="1" ref="F1022" ca="1">IF(OR(INDIRECT($B$2&amp;"!AJ14")=$B$845,B1022=0),"",REPT(" ",E1022)&amp;A1022&amp;CHAR(34)&amp;B1022&amp;CHAR(34)&amp;",")</f>
        <v/>
      </c>
    </row>
    <row r="1023" spans="1:6" hidden="1">
      <c r="A1023" s="150" t="s">
        <v>65</v>
      </c>
      <c r="B1023" s="130">
        <f ca="1">IFERROR(INDIRECT($B$2&amp;"!"&amp;C1023&amp;D1023),"")</f>
        <v>0</v>
      </c>
      <c r="C1023" s="350" t="s">
        <v>128</v>
      </c>
      <c r="D1023" s="351">
        <f t="shared" ca="1" si="78"/>
        <v>50</v>
      </c>
      <c r="E1023" s="352">
        <v>9</v>
      </c>
      <c r="F1023" s="126" t="str" cm="1">
        <f t="array" aca="1" ref="F1023" ca="1">IF(OR(INDIRECT($B$2&amp;"!AJ14")=$B$845,B1023=0),"",REPT(" ",E1023)&amp;"},")</f>
        <v/>
      </c>
    </row>
    <row r="1024" spans="1:6" hidden="1">
      <c r="A1024" s="150">
        <f ca="1">IFERROR(INDIRECT($B$2&amp;"!"&amp;"C"&amp;D1024),"")</f>
        <v>0</v>
      </c>
      <c r="B1024" s="130">
        <f ca="1">IFERROR(INDIRECT($B$2&amp;"!"&amp;C1024&amp;D1024),"")</f>
        <v>0</v>
      </c>
      <c r="C1024" s="355" t="s">
        <v>128</v>
      </c>
      <c r="D1024" s="351">
        <f t="shared" ca="1" si="78"/>
        <v>51</v>
      </c>
      <c r="E1024" s="352">
        <v>9</v>
      </c>
      <c r="F1024" s="126" t="str">
        <f ca="1">IF(B1024=0,"",REPT(" ",E1024)&amp;"{ column: "&amp;CHAR(34)&amp;A1024&amp;CHAR(34)&amp;",")</f>
        <v/>
      </c>
    </row>
    <row r="1025" spans="1:6" hidden="1">
      <c r="A1025" s="150"/>
      <c r="B1025" s="130" cm="1">
        <f t="array" aca="1" ref="B1025" ca="1">INDIRECT($B$2&amp;"!"&amp;C1025&amp;D1025)</f>
        <v>0</v>
      </c>
      <c r="C1025" s="350" t="s">
        <v>128</v>
      </c>
      <c r="D1025" s="351">
        <f t="shared" ca="1" si="78"/>
        <v>51</v>
      </c>
      <c r="E1025" s="352">
        <v>12</v>
      </c>
      <c r="F1025" s="126" t="str" cm="1">
        <f t="array" aca="1" ref="F1025" ca="1">IF(OR(INDIRECT($B$2&amp;"!AJ14")=$B$845,B1025=0),"",REPT(" ",E1025)&amp;"summaryType: "&amp;CHAR(34)&amp;B1025&amp;CHAR(34)&amp;",")</f>
        <v/>
      </c>
    </row>
    <row r="1026" spans="1:6" hidden="1">
      <c r="A1026" s="150"/>
      <c r="B1026" s="130">
        <f ca="1">IFERROR(INDIRECT($B$2&amp;"!"&amp;C1026&amp;D1026),"")</f>
        <v>0</v>
      </c>
      <c r="C1026" s="350" t="s">
        <v>128</v>
      </c>
      <c r="D1026" s="351">
        <f t="shared" ca="1" si="78"/>
        <v>51</v>
      </c>
      <c r="E1026" s="352">
        <v>12</v>
      </c>
      <c r="F1026" s="126" t="str" cm="1">
        <f t="array" aca="1" ref="F1026" ca="1">IF(OR(INDIRECT($B$2&amp;"!AJ14")=$B$845,B1026=0),"",REPT(" ",E1026)&amp;"displayFormat: "&amp;CHAR(34)&amp;"{0} Items"&amp;CHAR(34)&amp;",")</f>
        <v/>
      </c>
    </row>
    <row r="1027" spans="1:6" hidden="1">
      <c r="A1027" s="150" t="s">
        <v>1037</v>
      </c>
      <c r="B1027" s="130">
        <f ca="1">IFERROR(INDIRECT($B$2&amp;"!"&amp;C1027&amp;D1027),"")</f>
        <v>0</v>
      </c>
      <c r="C1027" s="350" t="s">
        <v>130</v>
      </c>
      <c r="D1027" s="351">
        <f t="shared" ca="1" si="78"/>
        <v>51</v>
      </c>
      <c r="E1027" s="352">
        <v>12</v>
      </c>
      <c r="F1027" s="126" t="str" cm="1">
        <f t="array" aca="1" ref="F1027" ca="1">IF(OR(INDIRECT($B$2&amp;"!AJ14")=$B$845,B1027=0),"",REPT(" ",E1027)&amp;A1027&amp;CHAR(34)&amp;B1027&amp;CHAR(34)&amp;",")</f>
        <v/>
      </c>
    </row>
    <row r="1028" spans="1:6" hidden="1">
      <c r="A1028" s="150" t="s">
        <v>65</v>
      </c>
      <c r="B1028" s="130">
        <f ca="1">IFERROR(INDIRECT($B$2&amp;"!"&amp;C1028&amp;D1028),"")</f>
        <v>0</v>
      </c>
      <c r="C1028" s="350" t="s">
        <v>128</v>
      </c>
      <c r="D1028" s="351">
        <f t="shared" ca="1" si="78"/>
        <v>51</v>
      </c>
      <c r="E1028" s="352">
        <v>9</v>
      </c>
      <c r="F1028" s="126" t="str" cm="1">
        <f t="array" aca="1" ref="F1028" ca="1">IF(OR(INDIRECT($B$2&amp;"!AJ14")=$B$845,B1028=0),"",REPT(" ",E1028)&amp;"},")</f>
        <v/>
      </c>
    </row>
    <row r="1029" spans="1:6" hidden="1">
      <c r="A1029" s="150">
        <f ca="1">IFERROR(INDIRECT($B$2&amp;"!"&amp;"C"&amp;D1029),"")</f>
        <v>0</v>
      </c>
      <c r="B1029" s="130">
        <f ca="1">IFERROR(INDIRECT($B$2&amp;"!"&amp;C1029&amp;D1029),"")</f>
        <v>0</v>
      </c>
      <c r="C1029" s="355" t="s">
        <v>128</v>
      </c>
      <c r="D1029" s="351">
        <f t="shared" ca="1" si="78"/>
        <v>52</v>
      </c>
      <c r="E1029" s="352">
        <v>9</v>
      </c>
      <c r="F1029" s="126" t="str">
        <f ca="1">IF(B1029=0,"",REPT(" ",E1029)&amp;"{ column: "&amp;CHAR(34)&amp;A1029&amp;CHAR(34)&amp;",")</f>
        <v/>
      </c>
    </row>
    <row r="1030" spans="1:6" hidden="1">
      <c r="A1030" s="150"/>
      <c r="B1030" s="130" cm="1">
        <f t="array" aca="1" ref="B1030" ca="1">INDIRECT($B$2&amp;"!"&amp;C1030&amp;D1030)</f>
        <v>0</v>
      </c>
      <c r="C1030" s="350" t="s">
        <v>128</v>
      </c>
      <c r="D1030" s="351">
        <f t="shared" ca="1" si="78"/>
        <v>52</v>
      </c>
      <c r="E1030" s="352">
        <v>12</v>
      </c>
      <c r="F1030" s="126" t="str" cm="1">
        <f t="array" aca="1" ref="F1030" ca="1">IF(OR(INDIRECT($B$2&amp;"!AJ14")=$B$845,B1030=0),"",REPT(" ",E1030)&amp;"summaryType: "&amp;CHAR(34)&amp;B1030&amp;CHAR(34)&amp;",")</f>
        <v/>
      </c>
    </row>
    <row r="1031" spans="1:6" hidden="1">
      <c r="A1031" s="150"/>
      <c r="B1031" s="130">
        <f ca="1">IFERROR(INDIRECT($B$2&amp;"!"&amp;C1031&amp;D1031),"")</f>
        <v>0</v>
      </c>
      <c r="C1031" s="350" t="s">
        <v>128</v>
      </c>
      <c r="D1031" s="351">
        <f t="shared" ca="1" si="78"/>
        <v>52</v>
      </c>
      <c r="E1031" s="352">
        <v>12</v>
      </c>
      <c r="F1031" s="126" t="str" cm="1">
        <f t="array" aca="1" ref="F1031" ca="1">IF(OR(INDIRECT($B$2&amp;"!AJ14")=$B$845,B1031=0),"",REPT(" ",E1031)&amp;"displayFormat: "&amp;CHAR(34)&amp;"{0} Items"&amp;CHAR(34)&amp;",")</f>
        <v/>
      </c>
    </row>
    <row r="1032" spans="1:6" hidden="1">
      <c r="A1032" s="150" t="s">
        <v>1037</v>
      </c>
      <c r="B1032" s="130">
        <f ca="1">IFERROR(INDIRECT($B$2&amp;"!"&amp;C1032&amp;D1032),"")</f>
        <v>0</v>
      </c>
      <c r="C1032" s="350" t="s">
        <v>130</v>
      </c>
      <c r="D1032" s="351">
        <f t="shared" ca="1" si="78"/>
        <v>52</v>
      </c>
      <c r="E1032" s="352">
        <v>12</v>
      </c>
      <c r="F1032" s="126" t="str" cm="1">
        <f t="array" aca="1" ref="F1032" ca="1">IF(OR(INDIRECT($B$2&amp;"!AJ14")=$B$845,B1032=0),"",REPT(" ",E1032)&amp;A1032&amp;CHAR(34)&amp;B1032&amp;CHAR(34)&amp;",")</f>
        <v/>
      </c>
    </row>
    <row r="1033" spans="1:6" hidden="1">
      <c r="A1033" s="150" t="s">
        <v>65</v>
      </c>
      <c r="B1033" s="130">
        <f ca="1">IFERROR(INDIRECT($B$2&amp;"!"&amp;C1033&amp;D1033),"")</f>
        <v>0</v>
      </c>
      <c r="C1033" s="350" t="s">
        <v>128</v>
      </c>
      <c r="D1033" s="351">
        <f t="shared" ca="1" si="78"/>
        <v>52</v>
      </c>
      <c r="E1033" s="352">
        <v>9</v>
      </c>
      <c r="F1033" s="126" t="str" cm="1">
        <f t="array" aca="1" ref="F1033" ca="1">IF(OR(INDIRECT($B$2&amp;"!AJ14")=$B$845,B1033=0),"",REPT(" ",E1033)&amp;"},")</f>
        <v/>
      </c>
    </row>
    <row r="1034" spans="1:6" hidden="1">
      <c r="A1034" s="150">
        <f ca="1">IFERROR(INDIRECT($B$2&amp;"!"&amp;"C"&amp;D1034),"")</f>
        <v>0</v>
      </c>
      <c r="B1034" s="130">
        <f ca="1">IFERROR(INDIRECT($B$2&amp;"!"&amp;C1034&amp;D1034),"")</f>
        <v>0</v>
      </c>
      <c r="C1034" s="355" t="s">
        <v>128</v>
      </c>
      <c r="D1034" s="351">
        <f t="shared" ca="1" si="78"/>
        <v>53</v>
      </c>
      <c r="E1034" s="352">
        <v>9</v>
      </c>
      <c r="F1034" s="126" t="str">
        <f ca="1">IF(B1034=0,"",REPT(" ",E1034)&amp;"{ column: "&amp;CHAR(34)&amp;A1034&amp;CHAR(34)&amp;",")</f>
        <v/>
      </c>
    </row>
    <row r="1035" spans="1:6" hidden="1">
      <c r="A1035" s="150"/>
      <c r="B1035" s="130" cm="1">
        <f t="array" aca="1" ref="B1035" ca="1">INDIRECT($B$2&amp;"!"&amp;C1035&amp;D1035)</f>
        <v>0</v>
      </c>
      <c r="C1035" s="350" t="s">
        <v>128</v>
      </c>
      <c r="D1035" s="351">
        <f t="shared" ca="1" si="78"/>
        <v>53</v>
      </c>
      <c r="E1035" s="352">
        <v>12</v>
      </c>
      <c r="F1035" s="126" t="str" cm="1">
        <f t="array" aca="1" ref="F1035" ca="1">IF(OR(INDIRECT($B$2&amp;"!AJ14")=$B$845,B1035=0),"",REPT(" ",E1035)&amp;"summaryType: "&amp;CHAR(34)&amp;B1035&amp;CHAR(34)&amp;",")</f>
        <v/>
      </c>
    </row>
    <row r="1036" spans="1:6" hidden="1">
      <c r="A1036" s="150"/>
      <c r="B1036" s="130">
        <f ca="1">IFERROR(INDIRECT($B$2&amp;"!"&amp;C1036&amp;D1036),"")</f>
        <v>0</v>
      </c>
      <c r="C1036" s="350" t="s">
        <v>128</v>
      </c>
      <c r="D1036" s="351">
        <f t="shared" ca="1" si="78"/>
        <v>53</v>
      </c>
      <c r="E1036" s="352">
        <v>12</v>
      </c>
      <c r="F1036" s="126" t="str" cm="1">
        <f t="array" aca="1" ref="F1036" ca="1">IF(OR(INDIRECT($B$2&amp;"!AJ14")=$B$845,B1036=0),"",REPT(" ",E1036)&amp;"displayFormat: "&amp;CHAR(34)&amp;"{0} Items"&amp;CHAR(34)&amp;",")</f>
        <v/>
      </c>
    </row>
    <row r="1037" spans="1:6" hidden="1">
      <c r="A1037" s="150" t="s">
        <v>1037</v>
      </c>
      <c r="B1037" s="130">
        <f ca="1">IFERROR(INDIRECT($B$2&amp;"!"&amp;C1037&amp;D1037),"")</f>
        <v>0</v>
      </c>
      <c r="C1037" s="350" t="s">
        <v>130</v>
      </c>
      <c r="D1037" s="351">
        <f t="shared" ca="1" si="78"/>
        <v>53</v>
      </c>
      <c r="E1037" s="352">
        <v>12</v>
      </c>
      <c r="F1037" s="126" t="str" cm="1">
        <f t="array" aca="1" ref="F1037" ca="1">IF(OR(INDIRECT($B$2&amp;"!AJ14")=$B$845,B1037=0),"",REPT(" ",E1037)&amp;A1037&amp;CHAR(34)&amp;B1037&amp;CHAR(34)&amp;",")</f>
        <v/>
      </c>
    </row>
    <row r="1038" spans="1:6" hidden="1">
      <c r="A1038" s="150" t="s">
        <v>65</v>
      </c>
      <c r="B1038" s="130">
        <f ca="1">IFERROR(INDIRECT($B$2&amp;"!"&amp;C1038&amp;D1038),"")</f>
        <v>0</v>
      </c>
      <c r="C1038" s="350" t="s">
        <v>128</v>
      </c>
      <c r="D1038" s="351">
        <f t="shared" ca="1" si="78"/>
        <v>53</v>
      </c>
      <c r="E1038" s="352">
        <v>9</v>
      </c>
      <c r="F1038" s="126" t="str" cm="1">
        <f t="array" aca="1" ref="F1038" ca="1">IF(OR(INDIRECT($B$2&amp;"!AJ14")=$B$845,B1038=0),"",REPT(" ",E1038)&amp;"},")</f>
        <v/>
      </c>
    </row>
    <row r="1039" spans="1:6" hidden="1">
      <c r="A1039" s="150">
        <f ca="1">IFERROR(INDIRECT($B$2&amp;"!"&amp;"C"&amp;D1039),"")</f>
        <v>0</v>
      </c>
      <c r="B1039" s="130">
        <f ca="1">IFERROR(INDIRECT($B$2&amp;"!"&amp;C1039&amp;D1039),"")</f>
        <v>0</v>
      </c>
      <c r="C1039" s="355" t="s">
        <v>128</v>
      </c>
      <c r="D1039" s="351">
        <f t="shared" ca="1" si="78"/>
        <v>54</v>
      </c>
      <c r="E1039" s="352">
        <v>9</v>
      </c>
      <c r="F1039" s="126" t="str">
        <f ca="1">IF(B1039=0,"",REPT(" ",E1039)&amp;"{ column: "&amp;CHAR(34)&amp;A1039&amp;CHAR(34)&amp;",")</f>
        <v/>
      </c>
    </row>
    <row r="1040" spans="1:6" hidden="1">
      <c r="A1040" s="150"/>
      <c r="B1040" s="130" cm="1">
        <f t="array" aca="1" ref="B1040" ca="1">INDIRECT($B$2&amp;"!"&amp;C1040&amp;D1040)</f>
        <v>0</v>
      </c>
      <c r="C1040" s="350" t="s">
        <v>128</v>
      </c>
      <c r="D1040" s="351">
        <f t="shared" ca="1" si="78"/>
        <v>54</v>
      </c>
      <c r="E1040" s="352">
        <v>12</v>
      </c>
      <c r="F1040" s="126" t="str" cm="1">
        <f t="array" aca="1" ref="F1040" ca="1">IF(OR(INDIRECT($B$2&amp;"!AJ14")=$B$845,B1040=0),"",REPT(" ",E1040)&amp;"summaryType: "&amp;CHAR(34)&amp;B1040&amp;CHAR(34)&amp;",")</f>
        <v/>
      </c>
    </row>
    <row r="1041" spans="1:6" hidden="1">
      <c r="A1041" s="150"/>
      <c r="B1041" s="130">
        <f ca="1">IFERROR(INDIRECT($B$2&amp;"!"&amp;C1041&amp;D1041),"")</f>
        <v>0</v>
      </c>
      <c r="C1041" s="350" t="s">
        <v>128</v>
      </c>
      <c r="D1041" s="351">
        <f t="shared" ca="1" si="78"/>
        <v>54</v>
      </c>
      <c r="E1041" s="352">
        <v>12</v>
      </c>
      <c r="F1041" s="126" t="str" cm="1">
        <f t="array" aca="1" ref="F1041" ca="1">IF(OR(INDIRECT($B$2&amp;"!AJ14")=$B$845,B1041=0),"",REPT(" ",E1041)&amp;"displayFormat: "&amp;CHAR(34)&amp;"{0} Items"&amp;CHAR(34)&amp;",")</f>
        <v/>
      </c>
    </row>
    <row r="1042" spans="1:6" hidden="1">
      <c r="A1042" s="150" t="s">
        <v>1037</v>
      </c>
      <c r="B1042" s="130">
        <f ca="1">IFERROR(INDIRECT($B$2&amp;"!"&amp;C1042&amp;D1042),"")</f>
        <v>0</v>
      </c>
      <c r="C1042" s="350" t="s">
        <v>130</v>
      </c>
      <c r="D1042" s="351">
        <f t="shared" ref="D1042:D1105" ca="1" si="79">IF(TRIM(A1041)="N",1,0)+D1041</f>
        <v>54</v>
      </c>
      <c r="E1042" s="352">
        <v>12</v>
      </c>
      <c r="F1042" s="126" t="str" cm="1">
        <f t="array" aca="1" ref="F1042" ca="1">IF(OR(INDIRECT($B$2&amp;"!AJ14")=$B$845,B1042=0),"",REPT(" ",E1042)&amp;A1042&amp;CHAR(34)&amp;B1042&amp;CHAR(34)&amp;",")</f>
        <v/>
      </c>
    </row>
    <row r="1043" spans="1:6" hidden="1">
      <c r="A1043" s="150" t="s">
        <v>65</v>
      </c>
      <c r="B1043" s="130">
        <f ca="1">IFERROR(INDIRECT($B$2&amp;"!"&amp;C1043&amp;D1043),"")</f>
        <v>0</v>
      </c>
      <c r="C1043" s="350" t="s">
        <v>128</v>
      </c>
      <c r="D1043" s="351">
        <f t="shared" ca="1" si="79"/>
        <v>54</v>
      </c>
      <c r="E1043" s="352">
        <v>9</v>
      </c>
      <c r="F1043" s="126" t="str" cm="1">
        <f t="array" aca="1" ref="F1043" ca="1">IF(OR(INDIRECT($B$2&amp;"!AJ14")=$B$845,B1043=0),"",REPT(" ",E1043)&amp;"},")</f>
        <v/>
      </c>
    </row>
    <row r="1044" spans="1:6" hidden="1">
      <c r="A1044" s="150">
        <f ca="1">IFERROR(INDIRECT($B$2&amp;"!"&amp;"C"&amp;D1044),"")</f>
        <v>0</v>
      </c>
      <c r="B1044" s="130">
        <f ca="1">IFERROR(INDIRECT($B$2&amp;"!"&amp;C1044&amp;D1044),"")</f>
        <v>0</v>
      </c>
      <c r="C1044" s="355" t="s">
        <v>128</v>
      </c>
      <c r="D1044" s="351">
        <f t="shared" ca="1" si="79"/>
        <v>55</v>
      </c>
      <c r="E1044" s="352">
        <v>9</v>
      </c>
      <c r="F1044" s="126" t="str">
        <f ca="1">IF(B1044=0,"",REPT(" ",E1044)&amp;"{ column: "&amp;CHAR(34)&amp;A1044&amp;CHAR(34)&amp;",")</f>
        <v/>
      </c>
    </row>
    <row r="1045" spans="1:6" hidden="1">
      <c r="A1045" s="150"/>
      <c r="B1045" s="130" cm="1">
        <f t="array" aca="1" ref="B1045" ca="1">INDIRECT($B$2&amp;"!"&amp;C1045&amp;D1045)</f>
        <v>0</v>
      </c>
      <c r="C1045" s="350" t="s">
        <v>128</v>
      </c>
      <c r="D1045" s="351">
        <f t="shared" ca="1" si="79"/>
        <v>55</v>
      </c>
      <c r="E1045" s="352">
        <v>12</v>
      </c>
      <c r="F1045" s="126" t="str" cm="1">
        <f t="array" aca="1" ref="F1045" ca="1">IF(OR(INDIRECT($B$2&amp;"!AJ14")=$B$845,B1045=0),"",REPT(" ",E1045)&amp;"summaryType: "&amp;CHAR(34)&amp;B1045&amp;CHAR(34)&amp;",")</f>
        <v/>
      </c>
    </row>
    <row r="1046" spans="1:6" hidden="1">
      <c r="A1046" s="150"/>
      <c r="B1046" s="130">
        <f ca="1">IFERROR(INDIRECT($B$2&amp;"!"&amp;C1046&amp;D1046),"")</f>
        <v>0</v>
      </c>
      <c r="C1046" s="350" t="s">
        <v>128</v>
      </c>
      <c r="D1046" s="351">
        <f t="shared" ca="1" si="79"/>
        <v>55</v>
      </c>
      <c r="E1046" s="352">
        <v>12</v>
      </c>
      <c r="F1046" s="126" t="str" cm="1">
        <f t="array" aca="1" ref="F1046" ca="1">IF(OR(INDIRECT($B$2&amp;"!AJ14")=$B$845,B1046=0),"",REPT(" ",E1046)&amp;"displayFormat: "&amp;CHAR(34)&amp;"{0} Items"&amp;CHAR(34)&amp;",")</f>
        <v/>
      </c>
    </row>
    <row r="1047" spans="1:6" hidden="1">
      <c r="A1047" s="150" t="s">
        <v>1037</v>
      </c>
      <c r="B1047" s="130">
        <f ca="1">IFERROR(INDIRECT($B$2&amp;"!"&amp;C1047&amp;D1047),"")</f>
        <v>0</v>
      </c>
      <c r="C1047" s="350" t="s">
        <v>130</v>
      </c>
      <c r="D1047" s="351">
        <f t="shared" ca="1" si="79"/>
        <v>55</v>
      </c>
      <c r="E1047" s="352">
        <v>12</v>
      </c>
      <c r="F1047" s="126" t="str" cm="1">
        <f t="array" aca="1" ref="F1047" ca="1">IF(OR(INDIRECT($B$2&amp;"!AJ14")=$B$845,B1047=0),"",REPT(" ",E1047)&amp;A1047&amp;CHAR(34)&amp;B1047&amp;CHAR(34)&amp;",")</f>
        <v/>
      </c>
    </row>
    <row r="1048" spans="1:6" hidden="1">
      <c r="A1048" s="150" t="s">
        <v>65</v>
      </c>
      <c r="B1048" s="130">
        <f ca="1">IFERROR(INDIRECT($B$2&amp;"!"&amp;C1048&amp;D1048),"")</f>
        <v>0</v>
      </c>
      <c r="C1048" s="350" t="s">
        <v>128</v>
      </c>
      <c r="D1048" s="351">
        <f t="shared" ca="1" si="79"/>
        <v>55</v>
      </c>
      <c r="E1048" s="352">
        <v>9</v>
      </c>
      <c r="F1048" s="126" t="str" cm="1">
        <f t="array" aca="1" ref="F1048" ca="1">IF(OR(INDIRECT($B$2&amp;"!AJ14")=$B$845,B1048=0),"",REPT(" ",E1048)&amp;"},")</f>
        <v/>
      </c>
    </row>
    <row r="1049" spans="1:6" hidden="1">
      <c r="A1049" s="150">
        <f ca="1">IFERROR(INDIRECT($B$2&amp;"!"&amp;"C"&amp;D1049),"")</f>
        <v>0</v>
      </c>
      <c r="B1049" s="130">
        <f ca="1">IFERROR(INDIRECT($B$2&amp;"!"&amp;C1049&amp;D1049),"")</f>
        <v>0</v>
      </c>
      <c r="C1049" s="355" t="s">
        <v>128</v>
      </c>
      <c r="D1049" s="351">
        <f t="shared" ca="1" si="79"/>
        <v>56</v>
      </c>
      <c r="E1049" s="352">
        <v>9</v>
      </c>
      <c r="F1049" s="126" t="str">
        <f ca="1">IF(B1049=0,"",REPT(" ",E1049)&amp;"{ column: "&amp;CHAR(34)&amp;A1049&amp;CHAR(34)&amp;",")</f>
        <v/>
      </c>
    </row>
    <row r="1050" spans="1:6" hidden="1">
      <c r="A1050" s="150"/>
      <c r="B1050" s="130" cm="1">
        <f t="array" aca="1" ref="B1050" ca="1">INDIRECT($B$2&amp;"!"&amp;C1050&amp;D1050)</f>
        <v>0</v>
      </c>
      <c r="C1050" s="350" t="s">
        <v>128</v>
      </c>
      <c r="D1050" s="351">
        <f t="shared" ca="1" si="79"/>
        <v>56</v>
      </c>
      <c r="E1050" s="352">
        <v>12</v>
      </c>
      <c r="F1050" s="126" t="str" cm="1">
        <f t="array" aca="1" ref="F1050" ca="1">IF(OR(INDIRECT($B$2&amp;"!AJ14")=$B$845,B1050=0),"",REPT(" ",E1050)&amp;"summaryType: "&amp;CHAR(34)&amp;B1050&amp;CHAR(34)&amp;",")</f>
        <v/>
      </c>
    </row>
    <row r="1051" spans="1:6" hidden="1">
      <c r="A1051" s="150"/>
      <c r="B1051" s="130">
        <f ca="1">IFERROR(INDIRECT($B$2&amp;"!"&amp;C1051&amp;D1051),"")</f>
        <v>0</v>
      </c>
      <c r="C1051" s="350" t="s">
        <v>128</v>
      </c>
      <c r="D1051" s="351">
        <f t="shared" ca="1" si="79"/>
        <v>56</v>
      </c>
      <c r="E1051" s="352">
        <v>12</v>
      </c>
      <c r="F1051" s="126" t="str" cm="1">
        <f t="array" aca="1" ref="F1051" ca="1">IF(OR(INDIRECT($B$2&amp;"!AJ14")=$B$845,B1051=0),"",REPT(" ",E1051)&amp;"displayFormat: "&amp;CHAR(34)&amp;"{0} Items"&amp;CHAR(34)&amp;",")</f>
        <v/>
      </c>
    </row>
    <row r="1052" spans="1:6" hidden="1">
      <c r="A1052" s="150" t="s">
        <v>1037</v>
      </c>
      <c r="B1052" s="130">
        <f ca="1">IFERROR(INDIRECT($B$2&amp;"!"&amp;C1052&amp;D1052),"")</f>
        <v>0</v>
      </c>
      <c r="C1052" s="350" t="s">
        <v>130</v>
      </c>
      <c r="D1052" s="351">
        <f t="shared" ca="1" si="79"/>
        <v>56</v>
      </c>
      <c r="E1052" s="352">
        <v>12</v>
      </c>
      <c r="F1052" s="126" t="str" cm="1">
        <f t="array" aca="1" ref="F1052" ca="1">IF(OR(INDIRECT($B$2&amp;"!AJ14")=$B$845,B1052=0),"",REPT(" ",E1052)&amp;A1052&amp;CHAR(34)&amp;B1052&amp;CHAR(34)&amp;",")</f>
        <v/>
      </c>
    </row>
    <row r="1053" spans="1:6" hidden="1">
      <c r="A1053" s="150" t="s">
        <v>65</v>
      </c>
      <c r="B1053" s="130">
        <f ca="1">IFERROR(INDIRECT($B$2&amp;"!"&amp;C1053&amp;D1053),"")</f>
        <v>0</v>
      </c>
      <c r="C1053" s="350" t="s">
        <v>128</v>
      </c>
      <c r="D1053" s="351">
        <f t="shared" ca="1" si="79"/>
        <v>56</v>
      </c>
      <c r="E1053" s="352">
        <v>9</v>
      </c>
      <c r="F1053" s="126" t="str" cm="1">
        <f t="array" aca="1" ref="F1053" ca="1">IF(OR(INDIRECT($B$2&amp;"!AJ14")=$B$845,B1053=0),"",REPT(" ",E1053)&amp;"},")</f>
        <v/>
      </c>
    </row>
    <row r="1054" spans="1:6" hidden="1">
      <c r="A1054" s="150">
        <f ca="1">IFERROR(INDIRECT($B$2&amp;"!"&amp;"C"&amp;D1054),"")</f>
        <v>0</v>
      </c>
      <c r="B1054" s="130">
        <f ca="1">IFERROR(INDIRECT($B$2&amp;"!"&amp;C1054&amp;D1054),"")</f>
        <v>0</v>
      </c>
      <c r="C1054" s="355" t="s">
        <v>128</v>
      </c>
      <c r="D1054" s="351">
        <f t="shared" ca="1" si="79"/>
        <v>57</v>
      </c>
      <c r="E1054" s="352">
        <v>9</v>
      </c>
      <c r="F1054" s="126" t="str">
        <f ca="1">IF(B1054=0,"",REPT(" ",E1054)&amp;"{ column: "&amp;CHAR(34)&amp;A1054&amp;CHAR(34)&amp;",")</f>
        <v/>
      </c>
    </row>
    <row r="1055" spans="1:6" hidden="1">
      <c r="A1055" s="150"/>
      <c r="B1055" s="130" cm="1">
        <f t="array" aca="1" ref="B1055" ca="1">INDIRECT($B$2&amp;"!"&amp;C1055&amp;D1055)</f>
        <v>0</v>
      </c>
      <c r="C1055" s="350" t="s">
        <v>128</v>
      </c>
      <c r="D1055" s="351">
        <f t="shared" ca="1" si="79"/>
        <v>57</v>
      </c>
      <c r="E1055" s="352">
        <v>12</v>
      </c>
      <c r="F1055" s="126" t="str" cm="1">
        <f t="array" aca="1" ref="F1055" ca="1">IF(OR(INDIRECT($B$2&amp;"!AJ14")=$B$845,B1055=0),"",REPT(" ",E1055)&amp;"summaryType: "&amp;CHAR(34)&amp;B1055&amp;CHAR(34)&amp;",")</f>
        <v/>
      </c>
    </row>
    <row r="1056" spans="1:6" hidden="1">
      <c r="A1056" s="150"/>
      <c r="B1056" s="130">
        <f ca="1">IFERROR(INDIRECT($B$2&amp;"!"&amp;C1056&amp;D1056),"")</f>
        <v>0</v>
      </c>
      <c r="C1056" s="350" t="s">
        <v>128</v>
      </c>
      <c r="D1056" s="351">
        <f t="shared" ca="1" si="79"/>
        <v>57</v>
      </c>
      <c r="E1056" s="352">
        <v>12</v>
      </c>
      <c r="F1056" s="126" t="str" cm="1">
        <f t="array" aca="1" ref="F1056" ca="1">IF(OR(INDIRECT($B$2&amp;"!AJ14")=$B$845,B1056=0),"",REPT(" ",E1056)&amp;"displayFormat: "&amp;CHAR(34)&amp;"{0} Items"&amp;CHAR(34)&amp;",")</f>
        <v/>
      </c>
    </row>
    <row r="1057" spans="1:6" hidden="1">
      <c r="A1057" s="150" t="s">
        <v>1037</v>
      </c>
      <c r="B1057" s="130">
        <f ca="1">IFERROR(INDIRECT($B$2&amp;"!"&amp;C1057&amp;D1057),"")</f>
        <v>0</v>
      </c>
      <c r="C1057" s="350" t="s">
        <v>130</v>
      </c>
      <c r="D1057" s="351">
        <f t="shared" ca="1" si="79"/>
        <v>57</v>
      </c>
      <c r="E1057" s="352">
        <v>12</v>
      </c>
      <c r="F1057" s="126" t="str" cm="1">
        <f t="array" aca="1" ref="F1057" ca="1">IF(OR(INDIRECT($B$2&amp;"!AJ14")=$B$845,B1057=0),"",REPT(" ",E1057)&amp;A1057&amp;CHAR(34)&amp;B1057&amp;CHAR(34)&amp;",")</f>
        <v/>
      </c>
    </row>
    <row r="1058" spans="1:6" hidden="1">
      <c r="A1058" s="150" t="s">
        <v>65</v>
      </c>
      <c r="B1058" s="130">
        <f ca="1">IFERROR(INDIRECT($B$2&amp;"!"&amp;C1058&amp;D1058),"")</f>
        <v>0</v>
      </c>
      <c r="C1058" s="350" t="s">
        <v>128</v>
      </c>
      <c r="D1058" s="351">
        <f t="shared" ca="1" si="79"/>
        <v>57</v>
      </c>
      <c r="E1058" s="352">
        <v>9</v>
      </c>
      <c r="F1058" s="126" t="str" cm="1">
        <f t="array" aca="1" ref="F1058" ca="1">IF(OR(INDIRECT($B$2&amp;"!AJ14")=$B$845,B1058=0),"",REPT(" ",E1058)&amp;"},")</f>
        <v/>
      </c>
    </row>
    <row r="1059" spans="1:6" hidden="1">
      <c r="A1059" s="150">
        <f ca="1">IFERROR(INDIRECT($B$2&amp;"!"&amp;"C"&amp;D1059),"")</f>
        <v>0</v>
      </c>
      <c r="B1059" s="130">
        <f ca="1">IFERROR(INDIRECT($B$2&amp;"!"&amp;C1059&amp;D1059),"")</f>
        <v>0</v>
      </c>
      <c r="C1059" s="355" t="s">
        <v>128</v>
      </c>
      <c r="D1059" s="351">
        <f t="shared" ca="1" si="79"/>
        <v>58</v>
      </c>
      <c r="E1059" s="352">
        <v>9</v>
      </c>
      <c r="F1059" s="126" t="str">
        <f ca="1">IF(B1059=0,"",REPT(" ",E1059)&amp;"{ column: "&amp;CHAR(34)&amp;A1059&amp;CHAR(34)&amp;",")</f>
        <v/>
      </c>
    </row>
    <row r="1060" spans="1:6" hidden="1">
      <c r="A1060" s="150"/>
      <c r="B1060" s="130" cm="1">
        <f t="array" aca="1" ref="B1060" ca="1">INDIRECT($B$2&amp;"!"&amp;C1060&amp;D1060)</f>
        <v>0</v>
      </c>
      <c r="C1060" s="350" t="s">
        <v>128</v>
      </c>
      <c r="D1060" s="351">
        <f t="shared" ca="1" si="79"/>
        <v>58</v>
      </c>
      <c r="E1060" s="352">
        <v>12</v>
      </c>
      <c r="F1060" s="126" t="str" cm="1">
        <f t="array" aca="1" ref="F1060" ca="1">IF(OR(INDIRECT($B$2&amp;"!AJ14")=$B$845,B1060=0),"",REPT(" ",E1060)&amp;"summaryType: "&amp;CHAR(34)&amp;B1060&amp;CHAR(34)&amp;",")</f>
        <v/>
      </c>
    </row>
    <row r="1061" spans="1:6" hidden="1">
      <c r="A1061" s="150"/>
      <c r="B1061" s="130">
        <f ca="1">IFERROR(INDIRECT($B$2&amp;"!"&amp;C1061&amp;D1061),"")</f>
        <v>0</v>
      </c>
      <c r="C1061" s="350" t="s">
        <v>128</v>
      </c>
      <c r="D1061" s="351">
        <f t="shared" ca="1" si="79"/>
        <v>58</v>
      </c>
      <c r="E1061" s="352">
        <v>12</v>
      </c>
      <c r="F1061" s="126" t="str" cm="1">
        <f t="array" aca="1" ref="F1061" ca="1">IF(OR(INDIRECT($B$2&amp;"!AJ14")=$B$845,B1061=0),"",REPT(" ",E1061)&amp;"displayFormat: "&amp;CHAR(34)&amp;"{0} Items"&amp;CHAR(34)&amp;",")</f>
        <v/>
      </c>
    </row>
    <row r="1062" spans="1:6" hidden="1">
      <c r="A1062" s="150" t="s">
        <v>1037</v>
      </c>
      <c r="B1062" s="130">
        <f ca="1">IFERROR(INDIRECT($B$2&amp;"!"&amp;C1062&amp;D1062),"")</f>
        <v>0</v>
      </c>
      <c r="C1062" s="350" t="s">
        <v>130</v>
      </c>
      <c r="D1062" s="351">
        <f t="shared" ca="1" si="79"/>
        <v>58</v>
      </c>
      <c r="E1062" s="352">
        <v>12</v>
      </c>
      <c r="F1062" s="126" t="str" cm="1">
        <f t="array" aca="1" ref="F1062" ca="1">IF(OR(INDIRECT($B$2&amp;"!AJ14")=$B$845,B1062=0),"",REPT(" ",E1062)&amp;A1062&amp;CHAR(34)&amp;B1062&amp;CHAR(34)&amp;",")</f>
        <v/>
      </c>
    </row>
    <row r="1063" spans="1:6" hidden="1">
      <c r="A1063" s="150" t="s">
        <v>65</v>
      </c>
      <c r="B1063" s="130">
        <f ca="1">IFERROR(INDIRECT($B$2&amp;"!"&amp;C1063&amp;D1063),"")</f>
        <v>0</v>
      </c>
      <c r="C1063" s="350" t="s">
        <v>128</v>
      </c>
      <c r="D1063" s="351">
        <f t="shared" ca="1" si="79"/>
        <v>58</v>
      </c>
      <c r="E1063" s="352">
        <v>9</v>
      </c>
      <c r="F1063" s="126" t="str" cm="1">
        <f t="array" aca="1" ref="F1063" ca="1">IF(OR(INDIRECT($B$2&amp;"!AJ14")=$B$845,B1063=0),"",REPT(" ",E1063)&amp;"},")</f>
        <v/>
      </c>
    </row>
    <row r="1064" spans="1:6" hidden="1">
      <c r="A1064" s="150">
        <f ca="1">IFERROR(INDIRECT($B$2&amp;"!"&amp;"C"&amp;D1064),"")</f>
        <v>0</v>
      </c>
      <c r="B1064" s="130">
        <f ca="1">IFERROR(INDIRECT($B$2&amp;"!"&amp;C1064&amp;D1064),"")</f>
        <v>0</v>
      </c>
      <c r="C1064" s="355" t="s">
        <v>128</v>
      </c>
      <c r="D1064" s="351">
        <f t="shared" ca="1" si="79"/>
        <v>59</v>
      </c>
      <c r="E1064" s="352">
        <v>9</v>
      </c>
      <c r="F1064" s="126" t="str">
        <f ca="1">IF(B1064=0,"",REPT(" ",E1064)&amp;"{ column: "&amp;CHAR(34)&amp;A1064&amp;CHAR(34)&amp;",")</f>
        <v/>
      </c>
    </row>
    <row r="1065" spans="1:6" hidden="1">
      <c r="A1065" s="150"/>
      <c r="B1065" s="130" cm="1">
        <f t="array" aca="1" ref="B1065" ca="1">INDIRECT($B$2&amp;"!"&amp;C1065&amp;D1065)</f>
        <v>0</v>
      </c>
      <c r="C1065" s="350" t="s">
        <v>128</v>
      </c>
      <c r="D1065" s="351">
        <f t="shared" ca="1" si="79"/>
        <v>59</v>
      </c>
      <c r="E1065" s="352">
        <v>12</v>
      </c>
      <c r="F1065" s="126" t="str" cm="1">
        <f t="array" aca="1" ref="F1065" ca="1">IF(OR(INDIRECT($B$2&amp;"!AJ14")=$B$845,B1065=0),"",REPT(" ",E1065)&amp;"summaryType: "&amp;CHAR(34)&amp;B1065&amp;CHAR(34)&amp;",")</f>
        <v/>
      </c>
    </row>
    <row r="1066" spans="1:6" hidden="1">
      <c r="A1066" s="150"/>
      <c r="B1066" s="130">
        <f ca="1">IFERROR(INDIRECT($B$2&amp;"!"&amp;C1066&amp;D1066),"")</f>
        <v>0</v>
      </c>
      <c r="C1066" s="350" t="s">
        <v>128</v>
      </c>
      <c r="D1066" s="351">
        <f t="shared" ca="1" si="79"/>
        <v>59</v>
      </c>
      <c r="E1066" s="352">
        <v>12</v>
      </c>
      <c r="F1066" s="126" t="str" cm="1">
        <f t="array" aca="1" ref="F1066" ca="1">IF(OR(INDIRECT($B$2&amp;"!AJ14")=$B$845,B1066=0),"",REPT(" ",E1066)&amp;"displayFormat: "&amp;CHAR(34)&amp;"{0} Items"&amp;CHAR(34)&amp;",")</f>
        <v/>
      </c>
    </row>
    <row r="1067" spans="1:6" hidden="1">
      <c r="A1067" s="150" t="s">
        <v>1037</v>
      </c>
      <c r="B1067" s="130">
        <f ca="1">IFERROR(INDIRECT($B$2&amp;"!"&amp;C1067&amp;D1067),"")</f>
        <v>0</v>
      </c>
      <c r="C1067" s="350" t="s">
        <v>130</v>
      </c>
      <c r="D1067" s="351">
        <f t="shared" ca="1" si="79"/>
        <v>59</v>
      </c>
      <c r="E1067" s="352">
        <v>12</v>
      </c>
      <c r="F1067" s="126" t="str" cm="1">
        <f t="array" aca="1" ref="F1067" ca="1">IF(OR(INDIRECT($B$2&amp;"!AJ14")=$B$845,B1067=0),"",REPT(" ",E1067)&amp;A1067&amp;CHAR(34)&amp;B1067&amp;CHAR(34)&amp;",")</f>
        <v/>
      </c>
    </row>
    <row r="1068" spans="1:6" hidden="1">
      <c r="A1068" s="150" t="s">
        <v>65</v>
      </c>
      <c r="B1068" s="130">
        <f ca="1">IFERROR(INDIRECT($B$2&amp;"!"&amp;C1068&amp;D1068),"")</f>
        <v>0</v>
      </c>
      <c r="C1068" s="350" t="s">
        <v>128</v>
      </c>
      <c r="D1068" s="351">
        <f t="shared" ca="1" si="79"/>
        <v>59</v>
      </c>
      <c r="E1068" s="352">
        <v>9</v>
      </c>
      <c r="F1068" s="126" t="str" cm="1">
        <f t="array" aca="1" ref="F1068" ca="1">IF(OR(INDIRECT($B$2&amp;"!AJ14")=$B$845,B1068=0),"",REPT(" ",E1068)&amp;"},")</f>
        <v/>
      </c>
    </row>
    <row r="1069" spans="1:6" hidden="1">
      <c r="A1069" s="150">
        <f ca="1">IFERROR(INDIRECT($B$2&amp;"!"&amp;"C"&amp;D1069),"")</f>
        <v>0</v>
      </c>
      <c r="B1069" s="130">
        <f ca="1">IFERROR(INDIRECT($B$2&amp;"!"&amp;C1069&amp;D1069),"")</f>
        <v>0</v>
      </c>
      <c r="C1069" s="355" t="s">
        <v>128</v>
      </c>
      <c r="D1069" s="351">
        <f t="shared" ca="1" si="79"/>
        <v>60</v>
      </c>
      <c r="E1069" s="352">
        <v>9</v>
      </c>
      <c r="F1069" s="126" t="str">
        <f ca="1">IF(B1069=0,"",REPT(" ",E1069)&amp;"{ column: "&amp;CHAR(34)&amp;A1069&amp;CHAR(34)&amp;",")</f>
        <v/>
      </c>
    </row>
    <row r="1070" spans="1:6" hidden="1">
      <c r="A1070" s="150"/>
      <c r="B1070" s="130" cm="1">
        <f t="array" aca="1" ref="B1070" ca="1">INDIRECT($B$2&amp;"!"&amp;C1070&amp;D1070)</f>
        <v>0</v>
      </c>
      <c r="C1070" s="350" t="s">
        <v>128</v>
      </c>
      <c r="D1070" s="351">
        <f t="shared" ca="1" si="79"/>
        <v>60</v>
      </c>
      <c r="E1070" s="352">
        <v>12</v>
      </c>
      <c r="F1070" s="126" t="str" cm="1">
        <f t="array" aca="1" ref="F1070" ca="1">IF(OR(INDIRECT($B$2&amp;"!AJ14")=$B$845,B1070=0),"",REPT(" ",E1070)&amp;"summaryType: "&amp;CHAR(34)&amp;B1070&amp;CHAR(34)&amp;",")</f>
        <v/>
      </c>
    </row>
    <row r="1071" spans="1:6" hidden="1">
      <c r="A1071" s="150"/>
      <c r="B1071" s="130">
        <f ca="1">IFERROR(INDIRECT($B$2&amp;"!"&amp;C1071&amp;D1071),"")</f>
        <v>0</v>
      </c>
      <c r="C1071" s="350" t="s">
        <v>128</v>
      </c>
      <c r="D1071" s="351">
        <f t="shared" ca="1" si="79"/>
        <v>60</v>
      </c>
      <c r="E1071" s="352">
        <v>12</v>
      </c>
      <c r="F1071" s="126" t="str" cm="1">
        <f t="array" aca="1" ref="F1071" ca="1">IF(OR(INDIRECT($B$2&amp;"!AJ14")=$B$845,B1071=0),"",REPT(" ",E1071)&amp;"displayFormat: "&amp;CHAR(34)&amp;"{0} Items"&amp;CHAR(34)&amp;",")</f>
        <v/>
      </c>
    </row>
    <row r="1072" spans="1:6" hidden="1">
      <c r="A1072" s="150" t="s">
        <v>1037</v>
      </c>
      <c r="B1072" s="130">
        <f ca="1">IFERROR(INDIRECT($B$2&amp;"!"&amp;C1072&amp;D1072),"")</f>
        <v>0</v>
      </c>
      <c r="C1072" s="350" t="s">
        <v>130</v>
      </c>
      <c r="D1072" s="351">
        <f t="shared" ca="1" si="79"/>
        <v>60</v>
      </c>
      <c r="E1072" s="352">
        <v>12</v>
      </c>
      <c r="F1072" s="126" t="str" cm="1">
        <f t="array" aca="1" ref="F1072" ca="1">IF(OR(INDIRECT($B$2&amp;"!AJ14")=$B$845,B1072=0),"",REPT(" ",E1072)&amp;A1072&amp;CHAR(34)&amp;B1072&amp;CHAR(34)&amp;",")</f>
        <v/>
      </c>
    </row>
    <row r="1073" spans="1:6" hidden="1">
      <c r="A1073" s="150" t="s">
        <v>65</v>
      </c>
      <c r="B1073" s="130">
        <f ca="1">IFERROR(INDIRECT($B$2&amp;"!"&amp;C1073&amp;D1073),"")</f>
        <v>0</v>
      </c>
      <c r="C1073" s="350" t="s">
        <v>128</v>
      </c>
      <c r="D1073" s="351">
        <f t="shared" ca="1" si="79"/>
        <v>60</v>
      </c>
      <c r="E1073" s="352">
        <v>9</v>
      </c>
      <c r="F1073" s="126" t="str" cm="1">
        <f t="array" aca="1" ref="F1073" ca="1">IF(OR(INDIRECT($B$2&amp;"!AJ14")=$B$845,B1073=0),"",REPT(" ",E1073)&amp;"},")</f>
        <v/>
      </c>
    </row>
    <row r="1074" spans="1:6" hidden="1">
      <c r="A1074" s="150">
        <f ca="1">IFERROR(INDIRECT($B$2&amp;"!"&amp;"C"&amp;D1074),"")</f>
        <v>0</v>
      </c>
      <c r="B1074" s="130">
        <f ca="1">IFERROR(INDIRECT($B$2&amp;"!"&amp;C1074&amp;D1074),"")</f>
        <v>0</v>
      </c>
      <c r="C1074" s="355" t="s">
        <v>128</v>
      </c>
      <c r="D1074" s="351">
        <f t="shared" ca="1" si="79"/>
        <v>61</v>
      </c>
      <c r="E1074" s="352">
        <v>9</v>
      </c>
      <c r="F1074" s="126" t="str">
        <f ca="1">IF(B1074=0,"",REPT(" ",E1074)&amp;"{ column: "&amp;CHAR(34)&amp;A1074&amp;CHAR(34)&amp;",")</f>
        <v/>
      </c>
    </row>
    <row r="1075" spans="1:6" hidden="1">
      <c r="A1075" s="150"/>
      <c r="B1075" s="130" cm="1">
        <f t="array" aca="1" ref="B1075" ca="1">INDIRECT($B$2&amp;"!"&amp;C1075&amp;D1075)</f>
        <v>0</v>
      </c>
      <c r="C1075" s="350" t="s">
        <v>128</v>
      </c>
      <c r="D1075" s="351">
        <f t="shared" ca="1" si="79"/>
        <v>61</v>
      </c>
      <c r="E1075" s="352">
        <v>12</v>
      </c>
      <c r="F1075" s="126" t="str" cm="1">
        <f t="array" aca="1" ref="F1075" ca="1">IF(OR(INDIRECT($B$2&amp;"!AJ14")=$B$845,B1075=0),"",REPT(" ",E1075)&amp;"summaryType: "&amp;CHAR(34)&amp;B1075&amp;CHAR(34)&amp;",")</f>
        <v/>
      </c>
    </row>
    <row r="1076" spans="1:6" hidden="1">
      <c r="A1076" s="150"/>
      <c r="B1076" s="130">
        <f ca="1">IFERROR(INDIRECT($B$2&amp;"!"&amp;C1076&amp;D1076),"")</f>
        <v>0</v>
      </c>
      <c r="C1076" s="350" t="s">
        <v>128</v>
      </c>
      <c r="D1076" s="351">
        <f t="shared" ca="1" si="79"/>
        <v>61</v>
      </c>
      <c r="E1076" s="352">
        <v>12</v>
      </c>
      <c r="F1076" s="126" t="str" cm="1">
        <f t="array" aca="1" ref="F1076" ca="1">IF(OR(INDIRECT($B$2&amp;"!AJ14")=$B$845,B1076=0),"",REPT(" ",E1076)&amp;"displayFormat: "&amp;CHAR(34)&amp;"{0} Items"&amp;CHAR(34)&amp;",")</f>
        <v/>
      </c>
    </row>
    <row r="1077" spans="1:6" hidden="1">
      <c r="A1077" s="150" t="s">
        <v>1037</v>
      </c>
      <c r="B1077" s="130">
        <f ca="1">IFERROR(INDIRECT($B$2&amp;"!"&amp;C1077&amp;D1077),"")</f>
        <v>0</v>
      </c>
      <c r="C1077" s="350" t="s">
        <v>130</v>
      </c>
      <c r="D1077" s="351">
        <f t="shared" ca="1" si="79"/>
        <v>61</v>
      </c>
      <c r="E1077" s="352">
        <v>12</v>
      </c>
      <c r="F1077" s="126" t="str" cm="1">
        <f t="array" aca="1" ref="F1077" ca="1">IF(OR(INDIRECT($B$2&amp;"!AJ14")=$B$845,B1077=0),"",REPT(" ",E1077)&amp;A1077&amp;CHAR(34)&amp;B1077&amp;CHAR(34)&amp;",")</f>
        <v/>
      </c>
    </row>
    <row r="1078" spans="1:6" hidden="1">
      <c r="A1078" s="150" t="s">
        <v>65</v>
      </c>
      <c r="B1078" s="130">
        <f ca="1">IFERROR(INDIRECT($B$2&amp;"!"&amp;C1078&amp;D1078),"")</f>
        <v>0</v>
      </c>
      <c r="C1078" s="350" t="s">
        <v>128</v>
      </c>
      <c r="D1078" s="351">
        <f t="shared" ca="1" si="79"/>
        <v>61</v>
      </c>
      <c r="E1078" s="352">
        <v>9</v>
      </c>
      <c r="F1078" s="126" t="str" cm="1">
        <f t="array" aca="1" ref="F1078" ca="1">IF(OR(INDIRECT($B$2&amp;"!AJ14")=$B$845,B1078=0),"",REPT(" ",E1078)&amp;"},")</f>
        <v/>
      </c>
    </row>
    <row r="1079" spans="1:6" hidden="1">
      <c r="A1079" s="150">
        <f ca="1">IFERROR(INDIRECT($B$2&amp;"!"&amp;"C"&amp;D1079),"")</f>
        <v>0</v>
      </c>
      <c r="B1079" s="130">
        <f ca="1">IFERROR(INDIRECT($B$2&amp;"!"&amp;C1079&amp;D1079),"")</f>
        <v>0</v>
      </c>
      <c r="C1079" s="355" t="s">
        <v>128</v>
      </c>
      <c r="D1079" s="351">
        <f t="shared" ca="1" si="79"/>
        <v>62</v>
      </c>
      <c r="E1079" s="352">
        <v>9</v>
      </c>
      <c r="F1079" s="126" t="str">
        <f ca="1">IF(B1079=0,"",REPT(" ",E1079)&amp;"{ column: "&amp;CHAR(34)&amp;A1079&amp;CHAR(34)&amp;",")</f>
        <v/>
      </c>
    </row>
    <row r="1080" spans="1:6" hidden="1">
      <c r="A1080" s="150"/>
      <c r="B1080" s="130" cm="1">
        <f t="array" aca="1" ref="B1080" ca="1">INDIRECT($B$2&amp;"!"&amp;C1080&amp;D1080)</f>
        <v>0</v>
      </c>
      <c r="C1080" s="350" t="s">
        <v>128</v>
      </c>
      <c r="D1080" s="351">
        <f t="shared" ca="1" si="79"/>
        <v>62</v>
      </c>
      <c r="E1080" s="352">
        <v>12</v>
      </c>
      <c r="F1080" s="126" t="str" cm="1">
        <f t="array" aca="1" ref="F1080" ca="1">IF(OR(INDIRECT($B$2&amp;"!AJ14")=$B$845,B1080=0),"",REPT(" ",E1080)&amp;"summaryType: "&amp;CHAR(34)&amp;B1080&amp;CHAR(34)&amp;",")</f>
        <v/>
      </c>
    </row>
    <row r="1081" spans="1:6" hidden="1">
      <c r="A1081" s="150"/>
      <c r="B1081" s="130">
        <f ca="1">IFERROR(INDIRECT($B$2&amp;"!"&amp;C1081&amp;D1081),"")</f>
        <v>0</v>
      </c>
      <c r="C1081" s="350" t="s">
        <v>128</v>
      </c>
      <c r="D1081" s="351">
        <f t="shared" ca="1" si="79"/>
        <v>62</v>
      </c>
      <c r="E1081" s="352">
        <v>12</v>
      </c>
      <c r="F1081" s="126" t="str" cm="1">
        <f t="array" aca="1" ref="F1081" ca="1">IF(OR(INDIRECT($B$2&amp;"!AJ14")=$B$845,B1081=0),"",REPT(" ",E1081)&amp;"displayFormat: "&amp;CHAR(34)&amp;"{0} Items"&amp;CHAR(34)&amp;",")</f>
        <v/>
      </c>
    </row>
    <row r="1082" spans="1:6" hidden="1">
      <c r="A1082" s="150" t="s">
        <v>1037</v>
      </c>
      <c r="B1082" s="130">
        <f ca="1">IFERROR(INDIRECT($B$2&amp;"!"&amp;C1082&amp;D1082),"")</f>
        <v>0</v>
      </c>
      <c r="C1082" s="350" t="s">
        <v>130</v>
      </c>
      <c r="D1082" s="351">
        <f t="shared" ca="1" si="79"/>
        <v>62</v>
      </c>
      <c r="E1082" s="352">
        <v>12</v>
      </c>
      <c r="F1082" s="126" t="str" cm="1">
        <f t="array" aca="1" ref="F1082" ca="1">IF(OR(INDIRECT($B$2&amp;"!AJ14")=$B$845,B1082=0),"",REPT(" ",E1082)&amp;A1082&amp;CHAR(34)&amp;B1082&amp;CHAR(34)&amp;",")</f>
        <v/>
      </c>
    </row>
    <row r="1083" spans="1:6" hidden="1">
      <c r="A1083" s="150" t="s">
        <v>65</v>
      </c>
      <c r="B1083" s="130">
        <f ca="1">IFERROR(INDIRECT($B$2&amp;"!"&amp;C1083&amp;D1083),"")</f>
        <v>0</v>
      </c>
      <c r="C1083" s="350" t="s">
        <v>128</v>
      </c>
      <c r="D1083" s="351">
        <f t="shared" ca="1" si="79"/>
        <v>62</v>
      </c>
      <c r="E1083" s="352">
        <v>9</v>
      </c>
      <c r="F1083" s="126" t="str" cm="1">
        <f t="array" aca="1" ref="F1083" ca="1">IF(OR(INDIRECT($B$2&amp;"!AJ14")=$B$845,B1083=0),"",REPT(" ",E1083)&amp;"},")</f>
        <v/>
      </c>
    </row>
    <row r="1084" spans="1:6" hidden="1">
      <c r="A1084" s="150">
        <f ca="1">IFERROR(INDIRECT($B$2&amp;"!"&amp;"C"&amp;D1084),"")</f>
        <v>0</v>
      </c>
      <c r="B1084" s="130">
        <f ca="1">IFERROR(INDIRECT($B$2&amp;"!"&amp;C1084&amp;D1084),"")</f>
        <v>0</v>
      </c>
      <c r="C1084" s="355" t="s">
        <v>128</v>
      </c>
      <c r="D1084" s="351">
        <f t="shared" ca="1" si="79"/>
        <v>63</v>
      </c>
      <c r="E1084" s="352">
        <v>9</v>
      </c>
      <c r="F1084" s="126" t="str">
        <f ca="1">IF(B1084=0,"",REPT(" ",E1084)&amp;"{ column: "&amp;CHAR(34)&amp;A1084&amp;CHAR(34)&amp;",")</f>
        <v/>
      </c>
    </row>
    <row r="1085" spans="1:6" hidden="1">
      <c r="A1085" s="150"/>
      <c r="B1085" s="130" cm="1">
        <f t="array" aca="1" ref="B1085" ca="1">INDIRECT($B$2&amp;"!"&amp;C1085&amp;D1085)</f>
        <v>0</v>
      </c>
      <c r="C1085" s="350" t="s">
        <v>128</v>
      </c>
      <c r="D1085" s="351">
        <f t="shared" ca="1" si="79"/>
        <v>63</v>
      </c>
      <c r="E1085" s="352">
        <v>12</v>
      </c>
      <c r="F1085" s="126" t="str" cm="1">
        <f t="array" aca="1" ref="F1085" ca="1">IF(OR(INDIRECT($B$2&amp;"!AJ14")=$B$845,B1085=0),"",REPT(" ",E1085)&amp;"summaryType: "&amp;CHAR(34)&amp;B1085&amp;CHAR(34)&amp;",")</f>
        <v/>
      </c>
    </row>
    <row r="1086" spans="1:6" hidden="1">
      <c r="A1086" s="150"/>
      <c r="B1086" s="130">
        <f ca="1">IFERROR(INDIRECT($B$2&amp;"!"&amp;C1086&amp;D1086),"")</f>
        <v>0</v>
      </c>
      <c r="C1086" s="350" t="s">
        <v>128</v>
      </c>
      <c r="D1086" s="351">
        <f t="shared" ca="1" si="79"/>
        <v>63</v>
      </c>
      <c r="E1086" s="352">
        <v>12</v>
      </c>
      <c r="F1086" s="126" t="str" cm="1">
        <f t="array" aca="1" ref="F1086" ca="1">IF(OR(INDIRECT($B$2&amp;"!AJ14")=$B$845,B1086=0),"",REPT(" ",E1086)&amp;"displayFormat: "&amp;CHAR(34)&amp;"{0} Items"&amp;CHAR(34)&amp;",")</f>
        <v/>
      </c>
    </row>
    <row r="1087" spans="1:6" hidden="1">
      <c r="A1087" s="150" t="s">
        <v>1037</v>
      </c>
      <c r="B1087" s="130">
        <f ca="1">IFERROR(INDIRECT($B$2&amp;"!"&amp;C1087&amp;D1087),"")</f>
        <v>0</v>
      </c>
      <c r="C1087" s="350" t="s">
        <v>130</v>
      </c>
      <c r="D1087" s="351">
        <f t="shared" ca="1" si="79"/>
        <v>63</v>
      </c>
      <c r="E1087" s="352">
        <v>12</v>
      </c>
      <c r="F1087" s="126" t="str" cm="1">
        <f t="array" aca="1" ref="F1087" ca="1">IF(OR(INDIRECT($B$2&amp;"!AJ14")=$B$845,B1087=0),"",REPT(" ",E1087)&amp;A1087&amp;CHAR(34)&amp;B1087&amp;CHAR(34)&amp;",")</f>
        <v/>
      </c>
    </row>
    <row r="1088" spans="1:6" hidden="1">
      <c r="A1088" s="150" t="s">
        <v>65</v>
      </c>
      <c r="B1088" s="130">
        <f ca="1">IFERROR(INDIRECT($B$2&amp;"!"&amp;C1088&amp;D1088),"")</f>
        <v>0</v>
      </c>
      <c r="C1088" s="350" t="s">
        <v>128</v>
      </c>
      <c r="D1088" s="351">
        <f t="shared" ca="1" si="79"/>
        <v>63</v>
      </c>
      <c r="E1088" s="352">
        <v>9</v>
      </c>
      <c r="F1088" s="126" t="str" cm="1">
        <f t="array" aca="1" ref="F1088" ca="1">IF(OR(INDIRECT($B$2&amp;"!AJ14")=$B$845,B1088=0),"",REPT(" ",E1088)&amp;"},")</f>
        <v/>
      </c>
    </row>
    <row r="1089" spans="1:6" hidden="1">
      <c r="A1089" s="150">
        <f ca="1">IFERROR(INDIRECT($B$2&amp;"!"&amp;"C"&amp;D1089),"")</f>
        <v>0</v>
      </c>
      <c r="B1089" s="130">
        <f ca="1">IFERROR(INDIRECT($B$2&amp;"!"&amp;C1089&amp;D1089),"")</f>
        <v>0</v>
      </c>
      <c r="C1089" s="355" t="s">
        <v>128</v>
      </c>
      <c r="D1089" s="351">
        <f t="shared" ca="1" si="79"/>
        <v>64</v>
      </c>
      <c r="E1089" s="352">
        <v>9</v>
      </c>
      <c r="F1089" s="126" t="str">
        <f ca="1">IF(B1089=0,"",REPT(" ",E1089)&amp;"{ column: "&amp;CHAR(34)&amp;A1089&amp;CHAR(34)&amp;",")</f>
        <v/>
      </c>
    </row>
    <row r="1090" spans="1:6" hidden="1">
      <c r="A1090" s="150"/>
      <c r="B1090" s="130" cm="1">
        <f t="array" aca="1" ref="B1090" ca="1">INDIRECT($B$2&amp;"!"&amp;C1090&amp;D1090)</f>
        <v>0</v>
      </c>
      <c r="C1090" s="350" t="s">
        <v>128</v>
      </c>
      <c r="D1090" s="351">
        <f t="shared" ca="1" si="79"/>
        <v>64</v>
      </c>
      <c r="E1090" s="352">
        <v>12</v>
      </c>
      <c r="F1090" s="126" t="str" cm="1">
        <f t="array" aca="1" ref="F1090" ca="1">IF(OR(INDIRECT($B$2&amp;"!AJ14")=$B$845,B1090=0),"",REPT(" ",E1090)&amp;"summaryType: "&amp;CHAR(34)&amp;B1090&amp;CHAR(34)&amp;",")</f>
        <v/>
      </c>
    </row>
    <row r="1091" spans="1:6" hidden="1">
      <c r="A1091" s="150"/>
      <c r="B1091" s="130">
        <f ca="1">IFERROR(INDIRECT($B$2&amp;"!"&amp;C1091&amp;D1091),"")</f>
        <v>0</v>
      </c>
      <c r="C1091" s="350" t="s">
        <v>128</v>
      </c>
      <c r="D1091" s="351">
        <f t="shared" ca="1" si="79"/>
        <v>64</v>
      </c>
      <c r="E1091" s="352">
        <v>12</v>
      </c>
      <c r="F1091" s="126" t="str" cm="1">
        <f t="array" aca="1" ref="F1091" ca="1">IF(OR(INDIRECT($B$2&amp;"!AJ14")=$B$845,B1091=0),"",REPT(" ",E1091)&amp;"displayFormat: "&amp;CHAR(34)&amp;"{0} Items"&amp;CHAR(34)&amp;",")</f>
        <v/>
      </c>
    </row>
    <row r="1092" spans="1:6" hidden="1">
      <c r="A1092" s="150" t="s">
        <v>1037</v>
      </c>
      <c r="B1092" s="130">
        <f ca="1">IFERROR(INDIRECT($B$2&amp;"!"&amp;C1092&amp;D1092),"")</f>
        <v>0</v>
      </c>
      <c r="C1092" s="350" t="s">
        <v>130</v>
      </c>
      <c r="D1092" s="351">
        <f t="shared" ca="1" si="79"/>
        <v>64</v>
      </c>
      <c r="E1092" s="352">
        <v>12</v>
      </c>
      <c r="F1092" s="126" t="str" cm="1">
        <f t="array" aca="1" ref="F1092" ca="1">IF(OR(INDIRECT($B$2&amp;"!AJ14")=$B$845,B1092=0),"",REPT(" ",E1092)&amp;A1092&amp;CHAR(34)&amp;B1092&amp;CHAR(34)&amp;",")</f>
        <v/>
      </c>
    </row>
    <row r="1093" spans="1:6" hidden="1">
      <c r="A1093" s="150" t="s">
        <v>65</v>
      </c>
      <c r="B1093" s="130">
        <f ca="1">IFERROR(INDIRECT($B$2&amp;"!"&amp;C1093&amp;D1093),"")</f>
        <v>0</v>
      </c>
      <c r="C1093" s="350" t="s">
        <v>128</v>
      </c>
      <c r="D1093" s="351">
        <f t="shared" ca="1" si="79"/>
        <v>64</v>
      </c>
      <c r="E1093" s="352">
        <v>9</v>
      </c>
      <c r="F1093" s="126" t="str" cm="1">
        <f t="array" aca="1" ref="F1093" ca="1">IF(OR(INDIRECT($B$2&amp;"!AJ14")=$B$845,B1093=0),"",REPT(" ",E1093)&amp;"},")</f>
        <v/>
      </c>
    </row>
    <row r="1094" spans="1:6" hidden="1">
      <c r="A1094" s="150">
        <f ca="1">IFERROR(INDIRECT($B$2&amp;"!"&amp;"C"&amp;D1094),"")</f>
        <v>0</v>
      </c>
      <c r="B1094" s="130">
        <f ca="1">IFERROR(INDIRECT($B$2&amp;"!"&amp;C1094&amp;D1094),"")</f>
        <v>0</v>
      </c>
      <c r="C1094" s="355" t="s">
        <v>128</v>
      </c>
      <c r="D1094" s="351">
        <f t="shared" ca="1" si="79"/>
        <v>65</v>
      </c>
      <c r="E1094" s="352">
        <v>9</v>
      </c>
      <c r="F1094" s="126" t="str">
        <f ca="1">IF(B1094=0,"",REPT(" ",E1094)&amp;"{ column: "&amp;CHAR(34)&amp;A1094&amp;CHAR(34)&amp;",")</f>
        <v/>
      </c>
    </row>
    <row r="1095" spans="1:6" hidden="1">
      <c r="A1095" s="150"/>
      <c r="B1095" s="130" cm="1">
        <f t="array" aca="1" ref="B1095" ca="1">INDIRECT($B$2&amp;"!"&amp;C1095&amp;D1095)</f>
        <v>0</v>
      </c>
      <c r="C1095" s="350" t="s">
        <v>128</v>
      </c>
      <c r="D1095" s="351">
        <f t="shared" ca="1" si="79"/>
        <v>65</v>
      </c>
      <c r="E1095" s="352">
        <v>12</v>
      </c>
      <c r="F1095" s="126" t="str" cm="1">
        <f t="array" aca="1" ref="F1095" ca="1">IF(OR(INDIRECT($B$2&amp;"!AJ14")=$B$845,B1095=0),"",REPT(" ",E1095)&amp;"summaryType: "&amp;CHAR(34)&amp;B1095&amp;CHAR(34)&amp;",")</f>
        <v/>
      </c>
    </row>
    <row r="1096" spans="1:6" hidden="1">
      <c r="A1096" s="150"/>
      <c r="B1096" s="130">
        <f ca="1">IFERROR(INDIRECT($B$2&amp;"!"&amp;C1096&amp;D1096),"")</f>
        <v>0</v>
      </c>
      <c r="C1096" s="350" t="s">
        <v>128</v>
      </c>
      <c r="D1096" s="351">
        <f t="shared" ca="1" si="79"/>
        <v>65</v>
      </c>
      <c r="E1096" s="352">
        <v>12</v>
      </c>
      <c r="F1096" s="126" t="str" cm="1">
        <f t="array" aca="1" ref="F1096" ca="1">IF(OR(INDIRECT($B$2&amp;"!AJ14")=$B$845,B1096=0),"",REPT(" ",E1096)&amp;"displayFormat: "&amp;CHAR(34)&amp;"{0} Items"&amp;CHAR(34)&amp;",")</f>
        <v/>
      </c>
    </row>
    <row r="1097" spans="1:6" hidden="1">
      <c r="A1097" s="150" t="s">
        <v>1037</v>
      </c>
      <c r="B1097" s="130">
        <f ca="1">IFERROR(INDIRECT($B$2&amp;"!"&amp;C1097&amp;D1097),"")</f>
        <v>0</v>
      </c>
      <c r="C1097" s="350" t="s">
        <v>130</v>
      </c>
      <c r="D1097" s="351">
        <f t="shared" ca="1" si="79"/>
        <v>65</v>
      </c>
      <c r="E1097" s="352">
        <v>12</v>
      </c>
      <c r="F1097" s="126" t="str" cm="1">
        <f t="array" aca="1" ref="F1097" ca="1">IF(OR(INDIRECT($B$2&amp;"!AJ14")=$B$845,B1097=0),"",REPT(" ",E1097)&amp;A1097&amp;CHAR(34)&amp;B1097&amp;CHAR(34)&amp;",")</f>
        <v/>
      </c>
    </row>
    <row r="1098" spans="1:6" hidden="1">
      <c r="A1098" s="150" t="s">
        <v>65</v>
      </c>
      <c r="B1098" s="130">
        <f ca="1">IFERROR(INDIRECT($B$2&amp;"!"&amp;C1098&amp;D1098),"")</f>
        <v>0</v>
      </c>
      <c r="C1098" s="350" t="s">
        <v>128</v>
      </c>
      <c r="D1098" s="351">
        <f t="shared" ca="1" si="79"/>
        <v>65</v>
      </c>
      <c r="E1098" s="352">
        <v>9</v>
      </c>
      <c r="F1098" s="126" t="str" cm="1">
        <f t="array" aca="1" ref="F1098" ca="1">IF(OR(INDIRECT($B$2&amp;"!AJ14")=$B$845,B1098=0),"",REPT(" ",E1098)&amp;"},")</f>
        <v/>
      </c>
    </row>
    <row r="1099" spans="1:6" hidden="1">
      <c r="A1099" s="150">
        <f ca="1">IFERROR(INDIRECT($B$2&amp;"!"&amp;"C"&amp;D1099),"")</f>
        <v>0</v>
      </c>
      <c r="B1099" s="130">
        <f ca="1">IFERROR(INDIRECT($B$2&amp;"!"&amp;C1099&amp;D1099),"")</f>
        <v>0</v>
      </c>
      <c r="C1099" s="355" t="s">
        <v>128</v>
      </c>
      <c r="D1099" s="351">
        <f t="shared" ca="1" si="79"/>
        <v>66</v>
      </c>
      <c r="E1099" s="352">
        <v>9</v>
      </c>
      <c r="F1099" s="126" t="str">
        <f ca="1">IF(B1099=0,"",REPT(" ",E1099)&amp;"{ column: "&amp;CHAR(34)&amp;A1099&amp;CHAR(34)&amp;",")</f>
        <v/>
      </c>
    </row>
    <row r="1100" spans="1:6" hidden="1">
      <c r="A1100" s="150"/>
      <c r="B1100" s="130" cm="1">
        <f t="array" aca="1" ref="B1100" ca="1">INDIRECT($B$2&amp;"!"&amp;C1100&amp;D1100)</f>
        <v>0</v>
      </c>
      <c r="C1100" s="350" t="s">
        <v>128</v>
      </c>
      <c r="D1100" s="351">
        <f t="shared" ca="1" si="79"/>
        <v>66</v>
      </c>
      <c r="E1100" s="352">
        <v>12</v>
      </c>
      <c r="F1100" s="126" t="str" cm="1">
        <f t="array" aca="1" ref="F1100" ca="1">IF(OR(INDIRECT($B$2&amp;"!AJ14")=$B$845,B1100=0),"",REPT(" ",E1100)&amp;"summaryType: "&amp;CHAR(34)&amp;B1100&amp;CHAR(34)&amp;",")</f>
        <v/>
      </c>
    </row>
    <row r="1101" spans="1:6" hidden="1">
      <c r="A1101" s="150"/>
      <c r="B1101" s="130">
        <f ca="1">IFERROR(INDIRECT($B$2&amp;"!"&amp;C1101&amp;D1101),"")</f>
        <v>0</v>
      </c>
      <c r="C1101" s="350" t="s">
        <v>128</v>
      </c>
      <c r="D1101" s="351">
        <f t="shared" ca="1" si="79"/>
        <v>66</v>
      </c>
      <c r="E1101" s="352">
        <v>12</v>
      </c>
      <c r="F1101" s="126" t="str" cm="1">
        <f t="array" aca="1" ref="F1101" ca="1">IF(OR(INDIRECT($B$2&amp;"!AJ14")=$B$845,B1101=0),"",REPT(" ",E1101)&amp;"displayFormat: "&amp;CHAR(34)&amp;"{0} Items"&amp;CHAR(34)&amp;",")</f>
        <v/>
      </c>
    </row>
    <row r="1102" spans="1:6" hidden="1">
      <c r="A1102" s="150" t="s">
        <v>1037</v>
      </c>
      <c r="B1102" s="130">
        <f ca="1">IFERROR(INDIRECT($B$2&amp;"!"&amp;C1102&amp;D1102),"")</f>
        <v>0</v>
      </c>
      <c r="C1102" s="350" t="s">
        <v>130</v>
      </c>
      <c r="D1102" s="351">
        <f t="shared" ca="1" si="79"/>
        <v>66</v>
      </c>
      <c r="E1102" s="352">
        <v>12</v>
      </c>
      <c r="F1102" s="126" t="str" cm="1">
        <f t="array" aca="1" ref="F1102" ca="1">IF(OR(INDIRECT($B$2&amp;"!AJ14")=$B$845,B1102=0),"",REPT(" ",E1102)&amp;A1102&amp;CHAR(34)&amp;B1102&amp;CHAR(34)&amp;",")</f>
        <v/>
      </c>
    </row>
    <row r="1103" spans="1:6" hidden="1">
      <c r="A1103" s="150" t="s">
        <v>65</v>
      </c>
      <c r="B1103" s="130">
        <f ca="1">IFERROR(INDIRECT($B$2&amp;"!"&amp;C1103&amp;D1103),"")</f>
        <v>0</v>
      </c>
      <c r="C1103" s="350" t="s">
        <v>128</v>
      </c>
      <c r="D1103" s="351">
        <f t="shared" ca="1" si="79"/>
        <v>66</v>
      </c>
      <c r="E1103" s="352">
        <v>9</v>
      </c>
      <c r="F1103" s="126" t="str" cm="1">
        <f t="array" aca="1" ref="F1103" ca="1">IF(OR(INDIRECT($B$2&amp;"!AJ14")=$B$845,B1103=0),"",REPT(" ",E1103)&amp;"},")</f>
        <v/>
      </c>
    </row>
    <row r="1104" spans="1:6" hidden="1">
      <c r="A1104" s="150">
        <f ca="1">IFERROR(INDIRECT($B$2&amp;"!"&amp;"C"&amp;D1104),"")</f>
        <v>0</v>
      </c>
      <c r="B1104" s="130">
        <f ca="1">IFERROR(INDIRECT($B$2&amp;"!"&amp;C1104&amp;D1104),"")</f>
        <v>0</v>
      </c>
      <c r="C1104" s="355" t="s">
        <v>128</v>
      </c>
      <c r="D1104" s="351">
        <f t="shared" ca="1" si="79"/>
        <v>67</v>
      </c>
      <c r="E1104" s="352">
        <v>9</v>
      </c>
      <c r="F1104" s="126" t="str">
        <f ca="1">IF(B1104=0,"",REPT(" ",E1104)&amp;"{ column: "&amp;CHAR(34)&amp;A1104&amp;CHAR(34)&amp;",")</f>
        <v/>
      </c>
    </row>
    <row r="1105" spans="1:6" hidden="1">
      <c r="A1105" s="150"/>
      <c r="B1105" s="130" cm="1">
        <f t="array" aca="1" ref="B1105" ca="1">INDIRECT($B$2&amp;"!"&amp;C1105&amp;D1105)</f>
        <v>0</v>
      </c>
      <c r="C1105" s="350" t="s">
        <v>128</v>
      </c>
      <c r="D1105" s="351">
        <f t="shared" ca="1" si="79"/>
        <v>67</v>
      </c>
      <c r="E1105" s="352">
        <v>12</v>
      </c>
      <c r="F1105" s="126" t="str" cm="1">
        <f t="array" aca="1" ref="F1105" ca="1">IF(OR(INDIRECT($B$2&amp;"!AJ14")=$B$845,B1105=0),"",REPT(" ",E1105)&amp;"summaryType: "&amp;CHAR(34)&amp;B1105&amp;CHAR(34)&amp;",")</f>
        <v/>
      </c>
    </row>
    <row r="1106" spans="1:6" hidden="1">
      <c r="A1106" s="150"/>
      <c r="B1106" s="130">
        <f ca="1">IFERROR(INDIRECT($B$2&amp;"!"&amp;C1106&amp;D1106),"")</f>
        <v>0</v>
      </c>
      <c r="C1106" s="350" t="s">
        <v>128</v>
      </c>
      <c r="D1106" s="351">
        <f t="shared" ref="D1106:D1169" ca="1" si="80">IF(TRIM(A1105)="N",1,0)+D1105</f>
        <v>67</v>
      </c>
      <c r="E1106" s="352">
        <v>12</v>
      </c>
      <c r="F1106" s="126" t="str" cm="1">
        <f t="array" aca="1" ref="F1106" ca="1">IF(OR(INDIRECT($B$2&amp;"!AJ14")=$B$845,B1106=0),"",REPT(" ",E1106)&amp;"displayFormat: "&amp;CHAR(34)&amp;"{0} Items"&amp;CHAR(34)&amp;",")</f>
        <v/>
      </c>
    </row>
    <row r="1107" spans="1:6" hidden="1">
      <c r="A1107" s="150" t="s">
        <v>1037</v>
      </c>
      <c r="B1107" s="130">
        <f ca="1">IFERROR(INDIRECT($B$2&amp;"!"&amp;C1107&amp;D1107),"")</f>
        <v>0</v>
      </c>
      <c r="C1107" s="350" t="s">
        <v>130</v>
      </c>
      <c r="D1107" s="351">
        <f t="shared" ca="1" si="80"/>
        <v>67</v>
      </c>
      <c r="E1107" s="352">
        <v>12</v>
      </c>
      <c r="F1107" s="126" t="str" cm="1">
        <f t="array" aca="1" ref="F1107" ca="1">IF(OR(INDIRECT($B$2&amp;"!AJ14")=$B$845,B1107=0),"",REPT(" ",E1107)&amp;A1107&amp;CHAR(34)&amp;B1107&amp;CHAR(34)&amp;",")</f>
        <v/>
      </c>
    </row>
    <row r="1108" spans="1:6" hidden="1">
      <c r="A1108" s="150" t="s">
        <v>65</v>
      </c>
      <c r="B1108" s="130">
        <f ca="1">IFERROR(INDIRECT($B$2&amp;"!"&amp;C1108&amp;D1108),"")</f>
        <v>0</v>
      </c>
      <c r="C1108" s="350" t="s">
        <v>128</v>
      </c>
      <c r="D1108" s="351">
        <f t="shared" ca="1" si="80"/>
        <v>67</v>
      </c>
      <c r="E1108" s="352">
        <v>9</v>
      </c>
      <c r="F1108" s="126" t="str" cm="1">
        <f t="array" aca="1" ref="F1108" ca="1">IF(OR(INDIRECT($B$2&amp;"!AJ14")=$B$845,B1108=0),"",REPT(" ",E1108)&amp;"},")</f>
        <v/>
      </c>
    </row>
    <row r="1109" spans="1:6" hidden="1">
      <c r="A1109" s="150">
        <f ca="1">IFERROR(INDIRECT($B$2&amp;"!"&amp;"C"&amp;D1109),"")</f>
        <v>0</v>
      </c>
      <c r="B1109" s="130">
        <f ca="1">IFERROR(INDIRECT($B$2&amp;"!"&amp;C1109&amp;D1109),"")</f>
        <v>0</v>
      </c>
      <c r="C1109" s="355" t="s">
        <v>128</v>
      </c>
      <c r="D1109" s="351">
        <f t="shared" ca="1" si="80"/>
        <v>68</v>
      </c>
      <c r="E1109" s="352">
        <v>9</v>
      </c>
      <c r="F1109" s="126" t="str">
        <f ca="1">IF(B1109=0,"",REPT(" ",E1109)&amp;"{ column: "&amp;CHAR(34)&amp;A1109&amp;CHAR(34)&amp;",")</f>
        <v/>
      </c>
    </row>
    <row r="1110" spans="1:6" hidden="1">
      <c r="A1110" s="150"/>
      <c r="B1110" s="130" cm="1">
        <f t="array" aca="1" ref="B1110" ca="1">INDIRECT($B$2&amp;"!"&amp;C1110&amp;D1110)</f>
        <v>0</v>
      </c>
      <c r="C1110" s="350" t="s">
        <v>128</v>
      </c>
      <c r="D1110" s="351">
        <f t="shared" ca="1" si="80"/>
        <v>68</v>
      </c>
      <c r="E1110" s="352">
        <v>12</v>
      </c>
      <c r="F1110" s="126" t="str" cm="1">
        <f t="array" aca="1" ref="F1110" ca="1">IF(OR(INDIRECT($B$2&amp;"!AJ14")=$B$845,B1110=0),"",REPT(" ",E1110)&amp;"summaryType: "&amp;CHAR(34)&amp;B1110&amp;CHAR(34)&amp;",")</f>
        <v/>
      </c>
    </row>
    <row r="1111" spans="1:6" hidden="1">
      <c r="A1111" s="150"/>
      <c r="B1111" s="130">
        <f ca="1">IFERROR(INDIRECT($B$2&amp;"!"&amp;C1111&amp;D1111),"")</f>
        <v>0</v>
      </c>
      <c r="C1111" s="350" t="s">
        <v>128</v>
      </c>
      <c r="D1111" s="351">
        <f t="shared" ca="1" si="80"/>
        <v>68</v>
      </c>
      <c r="E1111" s="352">
        <v>12</v>
      </c>
      <c r="F1111" s="126" t="str" cm="1">
        <f t="array" aca="1" ref="F1111" ca="1">IF(OR(INDIRECT($B$2&amp;"!AJ14")=$B$845,B1111=0),"",REPT(" ",E1111)&amp;"displayFormat: "&amp;CHAR(34)&amp;"{0} Items"&amp;CHAR(34)&amp;",")</f>
        <v/>
      </c>
    </row>
    <row r="1112" spans="1:6" hidden="1">
      <c r="A1112" s="150" t="s">
        <v>1037</v>
      </c>
      <c r="B1112" s="130">
        <f ca="1">IFERROR(INDIRECT($B$2&amp;"!"&amp;C1112&amp;D1112),"")</f>
        <v>0</v>
      </c>
      <c r="C1112" s="350" t="s">
        <v>130</v>
      </c>
      <c r="D1112" s="351">
        <f t="shared" ca="1" si="80"/>
        <v>68</v>
      </c>
      <c r="E1112" s="352">
        <v>12</v>
      </c>
      <c r="F1112" s="126" t="str" cm="1">
        <f t="array" aca="1" ref="F1112" ca="1">IF(OR(INDIRECT($B$2&amp;"!AJ14")=$B$845,B1112=0),"",REPT(" ",E1112)&amp;A1112&amp;CHAR(34)&amp;B1112&amp;CHAR(34)&amp;",")</f>
        <v/>
      </c>
    </row>
    <row r="1113" spans="1:6" hidden="1">
      <c r="A1113" s="150" t="s">
        <v>65</v>
      </c>
      <c r="B1113" s="130">
        <f ca="1">IFERROR(INDIRECT($B$2&amp;"!"&amp;C1113&amp;D1113),"")</f>
        <v>0</v>
      </c>
      <c r="C1113" s="350" t="s">
        <v>128</v>
      </c>
      <c r="D1113" s="351">
        <f t="shared" ca="1" si="80"/>
        <v>68</v>
      </c>
      <c r="E1113" s="352">
        <v>9</v>
      </c>
      <c r="F1113" s="126" t="str" cm="1">
        <f t="array" aca="1" ref="F1113" ca="1">IF(OR(INDIRECT($B$2&amp;"!AJ14")=$B$845,B1113=0),"",REPT(" ",E1113)&amp;"},")</f>
        <v/>
      </c>
    </row>
    <row r="1114" spans="1:6" hidden="1">
      <c r="A1114" s="150">
        <f ca="1">IFERROR(INDIRECT($B$2&amp;"!"&amp;"C"&amp;D1114),"")</f>
        <v>0</v>
      </c>
      <c r="B1114" s="130">
        <f ca="1">IFERROR(INDIRECT($B$2&amp;"!"&amp;C1114&amp;D1114),"")</f>
        <v>0</v>
      </c>
      <c r="C1114" s="355" t="s">
        <v>128</v>
      </c>
      <c r="D1114" s="351">
        <f t="shared" ca="1" si="80"/>
        <v>69</v>
      </c>
      <c r="E1114" s="352">
        <v>9</v>
      </c>
      <c r="F1114" s="126" t="str">
        <f ca="1">IF(B1114=0,"",REPT(" ",E1114)&amp;"{ column: "&amp;CHAR(34)&amp;A1114&amp;CHAR(34)&amp;",")</f>
        <v/>
      </c>
    </row>
    <row r="1115" spans="1:6" hidden="1">
      <c r="A1115" s="150"/>
      <c r="B1115" s="130" cm="1">
        <f t="array" aca="1" ref="B1115" ca="1">INDIRECT($B$2&amp;"!"&amp;C1115&amp;D1115)</f>
        <v>0</v>
      </c>
      <c r="C1115" s="350" t="s">
        <v>128</v>
      </c>
      <c r="D1115" s="351">
        <f t="shared" ca="1" si="80"/>
        <v>69</v>
      </c>
      <c r="E1115" s="352">
        <v>12</v>
      </c>
      <c r="F1115" s="126" t="str" cm="1">
        <f t="array" aca="1" ref="F1115" ca="1">IF(OR(INDIRECT($B$2&amp;"!AJ14")=$B$845,B1115=0),"",REPT(" ",E1115)&amp;"summaryType: "&amp;CHAR(34)&amp;B1115&amp;CHAR(34)&amp;",")</f>
        <v/>
      </c>
    </row>
    <row r="1116" spans="1:6" hidden="1">
      <c r="A1116" s="150"/>
      <c r="B1116" s="130">
        <f ca="1">IFERROR(INDIRECT($B$2&amp;"!"&amp;C1116&amp;D1116),"")</f>
        <v>0</v>
      </c>
      <c r="C1116" s="350" t="s">
        <v>128</v>
      </c>
      <c r="D1116" s="351">
        <f t="shared" ca="1" si="80"/>
        <v>69</v>
      </c>
      <c r="E1116" s="352">
        <v>12</v>
      </c>
      <c r="F1116" s="126" t="str" cm="1">
        <f t="array" aca="1" ref="F1116" ca="1">IF(OR(INDIRECT($B$2&amp;"!AJ14")=$B$845,B1116=0),"",REPT(" ",E1116)&amp;"displayFormat: "&amp;CHAR(34)&amp;"{0} Items"&amp;CHAR(34)&amp;",")</f>
        <v/>
      </c>
    </row>
    <row r="1117" spans="1:6" hidden="1">
      <c r="A1117" s="150" t="s">
        <v>1037</v>
      </c>
      <c r="B1117" s="130">
        <f ca="1">IFERROR(INDIRECT($B$2&amp;"!"&amp;C1117&amp;D1117),"")</f>
        <v>0</v>
      </c>
      <c r="C1117" s="350" t="s">
        <v>130</v>
      </c>
      <c r="D1117" s="351">
        <f t="shared" ca="1" si="80"/>
        <v>69</v>
      </c>
      <c r="E1117" s="352">
        <v>12</v>
      </c>
      <c r="F1117" s="126" t="str" cm="1">
        <f t="array" aca="1" ref="F1117" ca="1">IF(OR(INDIRECT($B$2&amp;"!AJ14")=$B$845,B1117=0),"",REPT(" ",E1117)&amp;A1117&amp;CHAR(34)&amp;B1117&amp;CHAR(34)&amp;",")</f>
        <v/>
      </c>
    </row>
    <row r="1118" spans="1:6" hidden="1">
      <c r="A1118" s="150" t="s">
        <v>65</v>
      </c>
      <c r="B1118" s="130">
        <f ca="1">IFERROR(INDIRECT($B$2&amp;"!"&amp;C1118&amp;D1118),"")</f>
        <v>0</v>
      </c>
      <c r="C1118" s="350" t="s">
        <v>128</v>
      </c>
      <c r="D1118" s="351">
        <f t="shared" ca="1" si="80"/>
        <v>69</v>
      </c>
      <c r="E1118" s="352">
        <v>9</v>
      </c>
      <c r="F1118" s="126" t="str" cm="1">
        <f t="array" aca="1" ref="F1118" ca="1">IF(OR(INDIRECT($B$2&amp;"!AJ14")=$B$845,B1118=0),"",REPT(" ",E1118)&amp;"},")</f>
        <v/>
      </c>
    </row>
    <row r="1119" spans="1:6" hidden="1">
      <c r="A1119" s="150">
        <f ca="1">IFERROR(INDIRECT($B$2&amp;"!"&amp;"C"&amp;D1119),"")</f>
        <v>0</v>
      </c>
      <c r="B1119" s="130">
        <f ca="1">IFERROR(INDIRECT($B$2&amp;"!"&amp;C1119&amp;D1119),"")</f>
        <v>0</v>
      </c>
      <c r="C1119" s="355" t="s">
        <v>128</v>
      </c>
      <c r="D1119" s="351">
        <f t="shared" ca="1" si="80"/>
        <v>70</v>
      </c>
      <c r="E1119" s="352">
        <v>9</v>
      </c>
      <c r="F1119" s="126" t="str">
        <f ca="1">IF(B1119=0,"",REPT(" ",E1119)&amp;"{ column: "&amp;CHAR(34)&amp;A1119&amp;CHAR(34)&amp;",")</f>
        <v/>
      </c>
    </row>
    <row r="1120" spans="1:6" hidden="1">
      <c r="A1120" s="150"/>
      <c r="B1120" s="130" cm="1">
        <f t="array" aca="1" ref="B1120" ca="1">INDIRECT($B$2&amp;"!"&amp;C1120&amp;D1120)</f>
        <v>0</v>
      </c>
      <c r="C1120" s="350" t="s">
        <v>128</v>
      </c>
      <c r="D1120" s="351">
        <f t="shared" ca="1" si="80"/>
        <v>70</v>
      </c>
      <c r="E1120" s="352">
        <v>12</v>
      </c>
      <c r="F1120" s="126" t="str" cm="1">
        <f t="array" aca="1" ref="F1120" ca="1">IF(OR(INDIRECT($B$2&amp;"!AJ14")=$B$845,B1120=0),"",REPT(" ",E1120)&amp;"summaryType: "&amp;CHAR(34)&amp;B1120&amp;CHAR(34)&amp;",")</f>
        <v/>
      </c>
    </row>
    <row r="1121" spans="1:6" hidden="1">
      <c r="A1121" s="150"/>
      <c r="B1121" s="130">
        <f ca="1">IFERROR(INDIRECT($B$2&amp;"!"&amp;C1121&amp;D1121),"")</f>
        <v>0</v>
      </c>
      <c r="C1121" s="350" t="s">
        <v>128</v>
      </c>
      <c r="D1121" s="351">
        <f t="shared" ca="1" si="80"/>
        <v>70</v>
      </c>
      <c r="E1121" s="352">
        <v>12</v>
      </c>
      <c r="F1121" s="126" t="str" cm="1">
        <f t="array" aca="1" ref="F1121" ca="1">IF(OR(INDIRECT($B$2&amp;"!AJ14")=$B$845,B1121=0),"",REPT(" ",E1121)&amp;"displayFormat: "&amp;CHAR(34)&amp;"{0} Items"&amp;CHAR(34)&amp;",")</f>
        <v/>
      </c>
    </row>
    <row r="1122" spans="1:6" hidden="1">
      <c r="A1122" s="150" t="s">
        <v>1037</v>
      </c>
      <c r="B1122" s="130">
        <f ca="1">IFERROR(INDIRECT($B$2&amp;"!"&amp;C1122&amp;D1122),"")</f>
        <v>0</v>
      </c>
      <c r="C1122" s="350" t="s">
        <v>130</v>
      </c>
      <c r="D1122" s="351">
        <f t="shared" ca="1" si="80"/>
        <v>70</v>
      </c>
      <c r="E1122" s="352">
        <v>12</v>
      </c>
      <c r="F1122" s="126" t="str" cm="1">
        <f t="array" aca="1" ref="F1122" ca="1">IF(OR(INDIRECT($B$2&amp;"!AJ14")=$B$845,B1122=0),"",REPT(" ",E1122)&amp;A1122&amp;CHAR(34)&amp;B1122&amp;CHAR(34)&amp;",")</f>
        <v/>
      </c>
    </row>
    <row r="1123" spans="1:6" hidden="1">
      <c r="A1123" s="150" t="s">
        <v>65</v>
      </c>
      <c r="B1123" s="130">
        <f ca="1">IFERROR(INDIRECT($B$2&amp;"!"&amp;C1123&amp;D1123),"")</f>
        <v>0</v>
      </c>
      <c r="C1123" s="350" t="s">
        <v>128</v>
      </c>
      <c r="D1123" s="351">
        <f t="shared" ca="1" si="80"/>
        <v>70</v>
      </c>
      <c r="E1123" s="352">
        <v>9</v>
      </c>
      <c r="F1123" s="126" t="str" cm="1">
        <f t="array" aca="1" ref="F1123" ca="1">IF(OR(INDIRECT($B$2&amp;"!AJ14")=$B$845,B1123=0),"",REPT(" ",E1123)&amp;"},")</f>
        <v/>
      </c>
    </row>
    <row r="1124" spans="1:6" hidden="1">
      <c r="A1124" s="150">
        <f ca="1">IFERROR(INDIRECT($B$2&amp;"!"&amp;"C"&amp;D1124),"")</f>
        <v>0</v>
      </c>
      <c r="B1124" s="130">
        <f ca="1">IFERROR(INDIRECT($B$2&amp;"!"&amp;C1124&amp;D1124),"")</f>
        <v>0</v>
      </c>
      <c r="C1124" s="355" t="s">
        <v>128</v>
      </c>
      <c r="D1124" s="351">
        <f t="shared" ca="1" si="80"/>
        <v>71</v>
      </c>
      <c r="E1124" s="352">
        <v>9</v>
      </c>
      <c r="F1124" s="126" t="str">
        <f ca="1">IF(B1124=0,"",REPT(" ",E1124)&amp;"{ column: "&amp;CHAR(34)&amp;A1124&amp;CHAR(34)&amp;",")</f>
        <v/>
      </c>
    </row>
    <row r="1125" spans="1:6" hidden="1">
      <c r="A1125" s="150"/>
      <c r="B1125" s="130" cm="1">
        <f t="array" aca="1" ref="B1125" ca="1">INDIRECT($B$2&amp;"!"&amp;C1125&amp;D1125)</f>
        <v>0</v>
      </c>
      <c r="C1125" s="350" t="s">
        <v>128</v>
      </c>
      <c r="D1125" s="351">
        <f t="shared" ca="1" si="80"/>
        <v>71</v>
      </c>
      <c r="E1125" s="352">
        <v>12</v>
      </c>
      <c r="F1125" s="126" t="str" cm="1">
        <f t="array" aca="1" ref="F1125" ca="1">IF(OR(INDIRECT($B$2&amp;"!AJ14")=$B$845,B1125=0),"",REPT(" ",E1125)&amp;"summaryType: "&amp;CHAR(34)&amp;B1125&amp;CHAR(34)&amp;",")</f>
        <v/>
      </c>
    </row>
    <row r="1126" spans="1:6" hidden="1">
      <c r="A1126" s="150"/>
      <c r="B1126" s="130">
        <f ca="1">IFERROR(INDIRECT($B$2&amp;"!"&amp;C1126&amp;D1126),"")</f>
        <v>0</v>
      </c>
      <c r="C1126" s="350" t="s">
        <v>128</v>
      </c>
      <c r="D1126" s="351">
        <f t="shared" ca="1" si="80"/>
        <v>71</v>
      </c>
      <c r="E1126" s="352">
        <v>12</v>
      </c>
      <c r="F1126" s="126" t="str" cm="1">
        <f t="array" aca="1" ref="F1126" ca="1">IF(OR(INDIRECT($B$2&amp;"!AJ14")=$B$845,B1126=0),"",REPT(" ",E1126)&amp;"displayFormat: "&amp;CHAR(34)&amp;"{0} Items"&amp;CHAR(34)&amp;",")</f>
        <v/>
      </c>
    </row>
    <row r="1127" spans="1:6" hidden="1">
      <c r="A1127" s="150" t="s">
        <v>1037</v>
      </c>
      <c r="B1127" s="130">
        <f ca="1">IFERROR(INDIRECT($B$2&amp;"!"&amp;C1127&amp;D1127),"")</f>
        <v>0</v>
      </c>
      <c r="C1127" s="350" t="s">
        <v>130</v>
      </c>
      <c r="D1127" s="351">
        <f t="shared" ca="1" si="80"/>
        <v>71</v>
      </c>
      <c r="E1127" s="352">
        <v>12</v>
      </c>
      <c r="F1127" s="126" t="str" cm="1">
        <f t="array" aca="1" ref="F1127" ca="1">IF(OR(INDIRECT($B$2&amp;"!AJ14")=$B$845,B1127=0),"",REPT(" ",E1127)&amp;A1127&amp;CHAR(34)&amp;B1127&amp;CHAR(34)&amp;",")</f>
        <v/>
      </c>
    </row>
    <row r="1128" spans="1:6" hidden="1">
      <c r="A1128" s="150" t="s">
        <v>65</v>
      </c>
      <c r="B1128" s="130">
        <f ca="1">IFERROR(INDIRECT($B$2&amp;"!"&amp;C1128&amp;D1128),"")</f>
        <v>0</v>
      </c>
      <c r="C1128" s="350" t="s">
        <v>128</v>
      </c>
      <c r="D1128" s="351">
        <f t="shared" ca="1" si="80"/>
        <v>71</v>
      </c>
      <c r="E1128" s="352">
        <v>9</v>
      </c>
      <c r="F1128" s="126" t="str" cm="1">
        <f t="array" aca="1" ref="F1128" ca="1">IF(OR(INDIRECT($B$2&amp;"!AJ14")=$B$845,B1128=0),"",REPT(" ",E1128)&amp;"},")</f>
        <v/>
      </c>
    </row>
    <row r="1129" spans="1:6" hidden="1">
      <c r="A1129" s="150">
        <f ca="1">IFERROR(INDIRECT($B$2&amp;"!"&amp;"C"&amp;D1129),"")</f>
        <v>0</v>
      </c>
      <c r="B1129" s="130">
        <f ca="1">IFERROR(INDIRECT($B$2&amp;"!"&amp;C1129&amp;D1129),"")</f>
        <v>0</v>
      </c>
      <c r="C1129" s="355" t="s">
        <v>128</v>
      </c>
      <c r="D1129" s="351">
        <f t="shared" ca="1" si="80"/>
        <v>72</v>
      </c>
      <c r="E1129" s="352">
        <v>9</v>
      </c>
      <c r="F1129" s="126" t="str">
        <f ca="1">IF(B1129=0,"",REPT(" ",E1129)&amp;"{ column: "&amp;CHAR(34)&amp;A1129&amp;CHAR(34)&amp;",")</f>
        <v/>
      </c>
    </row>
    <row r="1130" spans="1:6" hidden="1">
      <c r="A1130" s="150"/>
      <c r="B1130" s="130" cm="1">
        <f t="array" aca="1" ref="B1130" ca="1">INDIRECT($B$2&amp;"!"&amp;C1130&amp;D1130)</f>
        <v>0</v>
      </c>
      <c r="C1130" s="350" t="s">
        <v>128</v>
      </c>
      <c r="D1130" s="351">
        <f t="shared" ca="1" si="80"/>
        <v>72</v>
      </c>
      <c r="E1130" s="352">
        <v>12</v>
      </c>
      <c r="F1130" s="126" t="str" cm="1">
        <f t="array" aca="1" ref="F1130" ca="1">IF(OR(INDIRECT($B$2&amp;"!AJ14")=$B$845,B1130=0),"",REPT(" ",E1130)&amp;"summaryType: "&amp;CHAR(34)&amp;B1130&amp;CHAR(34)&amp;",")</f>
        <v/>
      </c>
    </row>
    <row r="1131" spans="1:6" hidden="1">
      <c r="A1131" s="150"/>
      <c r="B1131" s="130">
        <f ca="1">IFERROR(INDIRECT($B$2&amp;"!"&amp;C1131&amp;D1131),"")</f>
        <v>0</v>
      </c>
      <c r="C1131" s="350" t="s">
        <v>128</v>
      </c>
      <c r="D1131" s="351">
        <f t="shared" ca="1" si="80"/>
        <v>72</v>
      </c>
      <c r="E1131" s="352">
        <v>12</v>
      </c>
      <c r="F1131" s="126" t="str" cm="1">
        <f t="array" aca="1" ref="F1131" ca="1">IF(OR(INDIRECT($B$2&amp;"!AJ14")=$B$845,B1131=0),"",REPT(" ",E1131)&amp;"displayFormat: "&amp;CHAR(34)&amp;"{0} Items"&amp;CHAR(34)&amp;",")</f>
        <v/>
      </c>
    </row>
    <row r="1132" spans="1:6" hidden="1">
      <c r="A1132" s="150" t="s">
        <v>1037</v>
      </c>
      <c r="B1132" s="130">
        <f ca="1">IFERROR(INDIRECT($B$2&amp;"!"&amp;C1132&amp;D1132),"")</f>
        <v>0</v>
      </c>
      <c r="C1132" s="350" t="s">
        <v>130</v>
      </c>
      <c r="D1132" s="351">
        <f t="shared" ca="1" si="80"/>
        <v>72</v>
      </c>
      <c r="E1132" s="352">
        <v>12</v>
      </c>
      <c r="F1132" s="126" t="str" cm="1">
        <f t="array" aca="1" ref="F1132" ca="1">IF(OR(INDIRECT($B$2&amp;"!AJ14")=$B$845,B1132=0),"",REPT(" ",E1132)&amp;A1132&amp;CHAR(34)&amp;B1132&amp;CHAR(34)&amp;",")</f>
        <v/>
      </c>
    </row>
    <row r="1133" spans="1:6" hidden="1">
      <c r="A1133" s="150" t="s">
        <v>65</v>
      </c>
      <c r="B1133" s="130">
        <f ca="1">IFERROR(INDIRECT($B$2&amp;"!"&amp;C1133&amp;D1133),"")</f>
        <v>0</v>
      </c>
      <c r="C1133" s="350" t="s">
        <v>128</v>
      </c>
      <c r="D1133" s="351">
        <f t="shared" ca="1" si="80"/>
        <v>72</v>
      </c>
      <c r="E1133" s="352">
        <v>9</v>
      </c>
      <c r="F1133" s="126" t="str" cm="1">
        <f t="array" aca="1" ref="F1133" ca="1">IF(OR(INDIRECT($B$2&amp;"!AJ14")=$B$845,B1133=0),"",REPT(" ",E1133)&amp;"},")</f>
        <v/>
      </c>
    </row>
    <row r="1134" spans="1:6" hidden="1">
      <c r="A1134" s="150">
        <f ca="1">IFERROR(INDIRECT($B$2&amp;"!"&amp;"C"&amp;D1134),"")</f>
        <v>0</v>
      </c>
      <c r="B1134" s="130">
        <f ca="1">IFERROR(INDIRECT($B$2&amp;"!"&amp;C1134&amp;D1134),"")</f>
        <v>0</v>
      </c>
      <c r="C1134" s="355" t="s">
        <v>128</v>
      </c>
      <c r="D1134" s="351">
        <f t="shared" ca="1" si="80"/>
        <v>73</v>
      </c>
      <c r="E1134" s="352">
        <v>9</v>
      </c>
      <c r="F1134" s="126" t="str">
        <f ca="1">IF(B1134=0,"",REPT(" ",E1134)&amp;"{ column: "&amp;CHAR(34)&amp;A1134&amp;CHAR(34)&amp;",")</f>
        <v/>
      </c>
    </row>
    <row r="1135" spans="1:6" hidden="1">
      <c r="A1135" s="150"/>
      <c r="B1135" s="130" cm="1">
        <f t="array" aca="1" ref="B1135" ca="1">INDIRECT($B$2&amp;"!"&amp;C1135&amp;D1135)</f>
        <v>0</v>
      </c>
      <c r="C1135" s="350" t="s">
        <v>128</v>
      </c>
      <c r="D1135" s="351">
        <f t="shared" ca="1" si="80"/>
        <v>73</v>
      </c>
      <c r="E1135" s="352">
        <v>12</v>
      </c>
      <c r="F1135" s="126" t="str" cm="1">
        <f t="array" aca="1" ref="F1135" ca="1">IF(OR(INDIRECT($B$2&amp;"!AJ14")=$B$845,B1135=0),"",REPT(" ",E1135)&amp;"summaryType: "&amp;CHAR(34)&amp;B1135&amp;CHAR(34)&amp;",")</f>
        <v/>
      </c>
    </row>
    <row r="1136" spans="1:6" hidden="1">
      <c r="A1136" s="150"/>
      <c r="B1136" s="130">
        <f ca="1">IFERROR(INDIRECT($B$2&amp;"!"&amp;C1136&amp;D1136),"")</f>
        <v>0</v>
      </c>
      <c r="C1136" s="350" t="s">
        <v>128</v>
      </c>
      <c r="D1136" s="351">
        <f t="shared" ca="1" si="80"/>
        <v>73</v>
      </c>
      <c r="E1136" s="352">
        <v>12</v>
      </c>
      <c r="F1136" s="126" t="str" cm="1">
        <f t="array" aca="1" ref="F1136" ca="1">IF(OR(INDIRECT($B$2&amp;"!AJ14")=$B$845,B1136=0),"",REPT(" ",E1136)&amp;"displayFormat: "&amp;CHAR(34)&amp;"{0} Items"&amp;CHAR(34)&amp;",")</f>
        <v/>
      </c>
    </row>
    <row r="1137" spans="1:6" hidden="1">
      <c r="A1137" s="150" t="s">
        <v>1037</v>
      </c>
      <c r="B1137" s="130">
        <f ca="1">IFERROR(INDIRECT($B$2&amp;"!"&amp;C1137&amp;D1137),"")</f>
        <v>0</v>
      </c>
      <c r="C1137" s="350" t="s">
        <v>130</v>
      </c>
      <c r="D1137" s="351">
        <f t="shared" ca="1" si="80"/>
        <v>73</v>
      </c>
      <c r="E1137" s="352">
        <v>12</v>
      </c>
      <c r="F1137" s="126" t="str" cm="1">
        <f t="array" aca="1" ref="F1137" ca="1">IF(OR(INDIRECT($B$2&amp;"!AJ14")=$B$845,B1137=0),"",REPT(" ",E1137)&amp;A1137&amp;CHAR(34)&amp;B1137&amp;CHAR(34)&amp;",")</f>
        <v/>
      </c>
    </row>
    <row r="1138" spans="1:6" hidden="1">
      <c r="A1138" s="150" t="s">
        <v>65</v>
      </c>
      <c r="B1138" s="130">
        <f ca="1">IFERROR(INDIRECT($B$2&amp;"!"&amp;C1138&amp;D1138),"")</f>
        <v>0</v>
      </c>
      <c r="C1138" s="350" t="s">
        <v>128</v>
      </c>
      <c r="D1138" s="351">
        <f t="shared" ca="1" si="80"/>
        <v>73</v>
      </c>
      <c r="E1138" s="352">
        <v>9</v>
      </c>
      <c r="F1138" s="126" t="str" cm="1">
        <f t="array" aca="1" ref="F1138" ca="1">IF(OR(INDIRECT($B$2&amp;"!AJ14")=$B$845,B1138=0),"",REPT(" ",E1138)&amp;"},")</f>
        <v/>
      </c>
    </row>
    <row r="1139" spans="1:6" hidden="1">
      <c r="A1139" s="150">
        <f ca="1">IFERROR(INDIRECT($B$2&amp;"!"&amp;"C"&amp;D1139),"")</f>
        <v>0</v>
      </c>
      <c r="B1139" s="130">
        <f ca="1">IFERROR(INDIRECT($B$2&amp;"!"&amp;C1139&amp;D1139),"")</f>
        <v>0</v>
      </c>
      <c r="C1139" s="355" t="s">
        <v>128</v>
      </c>
      <c r="D1139" s="351">
        <f t="shared" ca="1" si="80"/>
        <v>74</v>
      </c>
      <c r="E1139" s="352">
        <v>9</v>
      </c>
      <c r="F1139" s="126" t="str">
        <f ca="1">IF(B1139=0,"",REPT(" ",E1139)&amp;"{ column: "&amp;CHAR(34)&amp;A1139&amp;CHAR(34)&amp;",")</f>
        <v/>
      </c>
    </row>
    <row r="1140" spans="1:6" hidden="1">
      <c r="A1140" s="150"/>
      <c r="B1140" s="130" cm="1">
        <f t="array" aca="1" ref="B1140" ca="1">INDIRECT($B$2&amp;"!"&amp;C1140&amp;D1140)</f>
        <v>0</v>
      </c>
      <c r="C1140" s="350" t="s">
        <v>128</v>
      </c>
      <c r="D1140" s="351">
        <f t="shared" ca="1" si="80"/>
        <v>74</v>
      </c>
      <c r="E1140" s="352">
        <v>12</v>
      </c>
      <c r="F1140" s="126" t="str" cm="1">
        <f t="array" aca="1" ref="F1140" ca="1">IF(OR(INDIRECT($B$2&amp;"!AJ14")=$B$845,B1140=0),"",REPT(" ",E1140)&amp;"summaryType: "&amp;CHAR(34)&amp;B1140&amp;CHAR(34)&amp;",")</f>
        <v/>
      </c>
    </row>
    <row r="1141" spans="1:6" hidden="1">
      <c r="A1141" s="150"/>
      <c r="B1141" s="130">
        <f ca="1">IFERROR(INDIRECT($B$2&amp;"!"&amp;C1141&amp;D1141),"")</f>
        <v>0</v>
      </c>
      <c r="C1141" s="350" t="s">
        <v>128</v>
      </c>
      <c r="D1141" s="351">
        <f t="shared" ca="1" si="80"/>
        <v>74</v>
      </c>
      <c r="E1141" s="352">
        <v>12</v>
      </c>
      <c r="F1141" s="126" t="str" cm="1">
        <f t="array" aca="1" ref="F1141" ca="1">IF(OR(INDIRECT($B$2&amp;"!AJ14")=$B$845,B1141=0),"",REPT(" ",E1141)&amp;"displayFormat: "&amp;CHAR(34)&amp;"{0} Items"&amp;CHAR(34)&amp;",")</f>
        <v/>
      </c>
    </row>
    <row r="1142" spans="1:6" hidden="1">
      <c r="A1142" s="150" t="s">
        <v>1037</v>
      </c>
      <c r="B1142" s="130">
        <f ca="1">IFERROR(INDIRECT($B$2&amp;"!"&amp;C1142&amp;D1142),"")</f>
        <v>0</v>
      </c>
      <c r="C1142" s="350" t="s">
        <v>130</v>
      </c>
      <c r="D1142" s="351">
        <f t="shared" ca="1" si="80"/>
        <v>74</v>
      </c>
      <c r="E1142" s="352">
        <v>12</v>
      </c>
      <c r="F1142" s="126" t="str" cm="1">
        <f t="array" aca="1" ref="F1142" ca="1">IF(OR(INDIRECT($B$2&amp;"!AJ14")=$B$845,B1142=0),"",REPT(" ",E1142)&amp;A1142&amp;CHAR(34)&amp;B1142&amp;CHAR(34)&amp;",")</f>
        <v/>
      </c>
    </row>
    <row r="1143" spans="1:6" hidden="1">
      <c r="A1143" s="150" t="s">
        <v>65</v>
      </c>
      <c r="B1143" s="130">
        <f ca="1">IFERROR(INDIRECT($B$2&amp;"!"&amp;C1143&amp;D1143),"")</f>
        <v>0</v>
      </c>
      <c r="C1143" s="350" t="s">
        <v>128</v>
      </c>
      <c r="D1143" s="351">
        <f t="shared" ca="1" si="80"/>
        <v>74</v>
      </c>
      <c r="E1143" s="352">
        <v>9</v>
      </c>
      <c r="F1143" s="126" t="str" cm="1">
        <f t="array" aca="1" ref="F1143" ca="1">IF(OR(INDIRECT($B$2&amp;"!AJ14")=$B$845,B1143=0),"",REPT(" ",E1143)&amp;"},")</f>
        <v/>
      </c>
    </row>
    <row r="1144" spans="1:6" hidden="1">
      <c r="A1144" s="150">
        <f ca="1">IFERROR(INDIRECT($B$2&amp;"!"&amp;"C"&amp;D1144),"")</f>
        <v>0</v>
      </c>
      <c r="B1144" s="130">
        <f ca="1">IFERROR(INDIRECT($B$2&amp;"!"&amp;C1144&amp;D1144),"")</f>
        <v>0</v>
      </c>
      <c r="C1144" s="355" t="s">
        <v>128</v>
      </c>
      <c r="D1144" s="351">
        <f t="shared" ca="1" si="80"/>
        <v>75</v>
      </c>
      <c r="E1144" s="352">
        <v>9</v>
      </c>
      <c r="F1144" s="126" t="str">
        <f ca="1">IF(B1144=0,"",REPT(" ",E1144)&amp;"{ column: "&amp;CHAR(34)&amp;A1144&amp;CHAR(34)&amp;",")</f>
        <v/>
      </c>
    </row>
    <row r="1145" spans="1:6" hidden="1">
      <c r="A1145" s="150"/>
      <c r="B1145" s="130" cm="1">
        <f t="array" aca="1" ref="B1145" ca="1">INDIRECT($B$2&amp;"!"&amp;C1145&amp;D1145)</f>
        <v>0</v>
      </c>
      <c r="C1145" s="350" t="s">
        <v>128</v>
      </c>
      <c r="D1145" s="351">
        <f t="shared" ca="1" si="80"/>
        <v>75</v>
      </c>
      <c r="E1145" s="352">
        <v>12</v>
      </c>
      <c r="F1145" s="126" t="str" cm="1">
        <f t="array" aca="1" ref="F1145" ca="1">IF(OR(INDIRECT($B$2&amp;"!AJ14")=$B$845,B1145=0),"",REPT(" ",E1145)&amp;"summaryType: "&amp;CHAR(34)&amp;B1145&amp;CHAR(34)&amp;",")</f>
        <v/>
      </c>
    </row>
    <row r="1146" spans="1:6" hidden="1">
      <c r="A1146" s="150"/>
      <c r="B1146" s="130">
        <f ca="1">IFERROR(INDIRECT($B$2&amp;"!"&amp;C1146&amp;D1146),"")</f>
        <v>0</v>
      </c>
      <c r="C1146" s="350" t="s">
        <v>128</v>
      </c>
      <c r="D1146" s="351">
        <f t="shared" ca="1" si="80"/>
        <v>75</v>
      </c>
      <c r="E1146" s="352">
        <v>12</v>
      </c>
      <c r="F1146" s="126" t="str" cm="1">
        <f t="array" aca="1" ref="F1146" ca="1">IF(OR(INDIRECT($B$2&amp;"!AJ14")=$B$845,B1146=0),"",REPT(" ",E1146)&amp;"displayFormat: "&amp;CHAR(34)&amp;"{0} Items"&amp;CHAR(34)&amp;",")</f>
        <v/>
      </c>
    </row>
    <row r="1147" spans="1:6" hidden="1">
      <c r="A1147" s="150" t="s">
        <v>1037</v>
      </c>
      <c r="B1147" s="130">
        <f ca="1">IFERROR(INDIRECT($B$2&amp;"!"&amp;C1147&amp;D1147),"")</f>
        <v>0</v>
      </c>
      <c r="C1147" s="350" t="s">
        <v>130</v>
      </c>
      <c r="D1147" s="351">
        <f t="shared" ca="1" si="80"/>
        <v>75</v>
      </c>
      <c r="E1147" s="352">
        <v>12</v>
      </c>
      <c r="F1147" s="126" t="str" cm="1">
        <f t="array" aca="1" ref="F1147" ca="1">IF(OR(INDIRECT($B$2&amp;"!AJ14")=$B$845,B1147=0),"",REPT(" ",E1147)&amp;A1147&amp;CHAR(34)&amp;B1147&amp;CHAR(34)&amp;",")</f>
        <v/>
      </c>
    </row>
    <row r="1148" spans="1:6" hidden="1">
      <c r="A1148" s="150" t="s">
        <v>65</v>
      </c>
      <c r="B1148" s="130">
        <f ca="1">IFERROR(INDIRECT($B$2&amp;"!"&amp;C1148&amp;D1148),"")</f>
        <v>0</v>
      </c>
      <c r="C1148" s="350" t="s">
        <v>128</v>
      </c>
      <c r="D1148" s="351">
        <f t="shared" ca="1" si="80"/>
        <v>75</v>
      </c>
      <c r="E1148" s="352">
        <v>9</v>
      </c>
      <c r="F1148" s="126" t="str" cm="1">
        <f t="array" aca="1" ref="F1148" ca="1">IF(OR(INDIRECT($B$2&amp;"!AJ14")=$B$845,B1148=0),"",REPT(" ",E1148)&amp;"},")</f>
        <v/>
      </c>
    </row>
    <row r="1149" spans="1:6" hidden="1">
      <c r="A1149" s="150">
        <f ca="1">IFERROR(INDIRECT($B$2&amp;"!"&amp;"C"&amp;D1149),"")</f>
        <v>0</v>
      </c>
      <c r="B1149" s="130">
        <f ca="1">IFERROR(INDIRECT($B$2&amp;"!"&amp;C1149&amp;D1149),"")</f>
        <v>0</v>
      </c>
      <c r="C1149" s="355" t="s">
        <v>128</v>
      </c>
      <c r="D1149" s="351">
        <f t="shared" ca="1" si="80"/>
        <v>76</v>
      </c>
      <c r="E1149" s="352">
        <v>9</v>
      </c>
      <c r="F1149" s="126" t="str">
        <f ca="1">IF(B1149=0,"",REPT(" ",E1149)&amp;"{ column: "&amp;CHAR(34)&amp;A1149&amp;CHAR(34)&amp;",")</f>
        <v/>
      </c>
    </row>
    <row r="1150" spans="1:6" hidden="1">
      <c r="A1150" s="150"/>
      <c r="B1150" s="130" cm="1">
        <f t="array" aca="1" ref="B1150" ca="1">INDIRECT($B$2&amp;"!"&amp;C1150&amp;D1150)</f>
        <v>0</v>
      </c>
      <c r="C1150" s="350" t="s">
        <v>128</v>
      </c>
      <c r="D1150" s="351">
        <f t="shared" ca="1" si="80"/>
        <v>76</v>
      </c>
      <c r="E1150" s="352">
        <v>12</v>
      </c>
      <c r="F1150" s="126" t="str" cm="1">
        <f t="array" aca="1" ref="F1150" ca="1">IF(OR(INDIRECT($B$2&amp;"!AJ14")=$B$845,B1150=0),"",REPT(" ",E1150)&amp;"summaryType: "&amp;CHAR(34)&amp;B1150&amp;CHAR(34)&amp;",")</f>
        <v/>
      </c>
    </row>
    <row r="1151" spans="1:6" hidden="1">
      <c r="A1151" s="150"/>
      <c r="B1151" s="130">
        <f ca="1">IFERROR(INDIRECT($B$2&amp;"!"&amp;C1151&amp;D1151),"")</f>
        <v>0</v>
      </c>
      <c r="C1151" s="350" t="s">
        <v>128</v>
      </c>
      <c r="D1151" s="351">
        <f t="shared" ca="1" si="80"/>
        <v>76</v>
      </c>
      <c r="E1151" s="352">
        <v>12</v>
      </c>
      <c r="F1151" s="126" t="str" cm="1">
        <f t="array" aca="1" ref="F1151" ca="1">IF(OR(INDIRECT($B$2&amp;"!AJ14")=$B$845,B1151=0),"",REPT(" ",E1151)&amp;"displayFormat: "&amp;CHAR(34)&amp;"{0} Items"&amp;CHAR(34)&amp;",")</f>
        <v/>
      </c>
    </row>
    <row r="1152" spans="1:6" hidden="1">
      <c r="A1152" s="150" t="s">
        <v>1037</v>
      </c>
      <c r="B1152" s="130">
        <f ca="1">IFERROR(INDIRECT($B$2&amp;"!"&amp;C1152&amp;D1152),"")</f>
        <v>0</v>
      </c>
      <c r="C1152" s="350" t="s">
        <v>130</v>
      </c>
      <c r="D1152" s="351">
        <f t="shared" ca="1" si="80"/>
        <v>76</v>
      </c>
      <c r="E1152" s="352">
        <v>12</v>
      </c>
      <c r="F1152" s="126" t="str" cm="1">
        <f t="array" aca="1" ref="F1152" ca="1">IF(OR(INDIRECT($B$2&amp;"!AJ14")=$B$845,B1152=0),"",REPT(" ",E1152)&amp;A1152&amp;CHAR(34)&amp;B1152&amp;CHAR(34)&amp;",")</f>
        <v/>
      </c>
    </row>
    <row r="1153" spans="1:6" hidden="1">
      <c r="A1153" s="150" t="s">
        <v>65</v>
      </c>
      <c r="B1153" s="130">
        <f ca="1">IFERROR(INDIRECT($B$2&amp;"!"&amp;C1153&amp;D1153),"")</f>
        <v>0</v>
      </c>
      <c r="C1153" s="350" t="s">
        <v>128</v>
      </c>
      <c r="D1153" s="351">
        <f t="shared" ca="1" si="80"/>
        <v>76</v>
      </c>
      <c r="E1153" s="352">
        <v>9</v>
      </c>
      <c r="F1153" s="126" t="str" cm="1">
        <f t="array" aca="1" ref="F1153" ca="1">IF(OR(INDIRECT($B$2&amp;"!AJ14")=$B$845,B1153=0),"",REPT(" ",E1153)&amp;"},")</f>
        <v/>
      </c>
    </row>
    <row r="1154" spans="1:6" hidden="1">
      <c r="A1154" s="150">
        <f ca="1">IFERROR(INDIRECT($B$2&amp;"!"&amp;"C"&amp;D1154),"")</f>
        <v>0</v>
      </c>
      <c r="B1154" s="130">
        <f ca="1">IFERROR(INDIRECT($B$2&amp;"!"&amp;C1154&amp;D1154),"")</f>
        <v>0</v>
      </c>
      <c r="C1154" s="355" t="s">
        <v>128</v>
      </c>
      <c r="D1154" s="351">
        <f t="shared" ca="1" si="80"/>
        <v>77</v>
      </c>
      <c r="E1154" s="352">
        <v>9</v>
      </c>
      <c r="F1154" s="126" t="str">
        <f ca="1">IF(B1154=0,"",REPT(" ",E1154)&amp;"{ column: "&amp;CHAR(34)&amp;A1154&amp;CHAR(34)&amp;",")</f>
        <v/>
      </c>
    </row>
    <row r="1155" spans="1:6" hidden="1">
      <c r="A1155" s="150"/>
      <c r="B1155" s="130" cm="1">
        <f t="array" aca="1" ref="B1155" ca="1">INDIRECT($B$2&amp;"!"&amp;C1155&amp;D1155)</f>
        <v>0</v>
      </c>
      <c r="C1155" s="350" t="s">
        <v>128</v>
      </c>
      <c r="D1155" s="351">
        <f t="shared" ca="1" si="80"/>
        <v>77</v>
      </c>
      <c r="E1155" s="352">
        <v>12</v>
      </c>
      <c r="F1155" s="126" t="str" cm="1">
        <f t="array" aca="1" ref="F1155" ca="1">IF(OR(INDIRECT($B$2&amp;"!AJ14")=$B$845,B1155=0),"",REPT(" ",E1155)&amp;"summaryType: "&amp;CHAR(34)&amp;B1155&amp;CHAR(34)&amp;",")</f>
        <v/>
      </c>
    </row>
    <row r="1156" spans="1:6" hidden="1">
      <c r="A1156" s="150"/>
      <c r="B1156" s="130">
        <f ca="1">IFERROR(INDIRECT($B$2&amp;"!"&amp;C1156&amp;D1156),"")</f>
        <v>0</v>
      </c>
      <c r="C1156" s="350" t="s">
        <v>128</v>
      </c>
      <c r="D1156" s="351">
        <f t="shared" ca="1" si="80"/>
        <v>77</v>
      </c>
      <c r="E1156" s="352">
        <v>12</v>
      </c>
      <c r="F1156" s="126" t="str" cm="1">
        <f t="array" aca="1" ref="F1156" ca="1">IF(OR(INDIRECT($B$2&amp;"!AJ14")=$B$845,B1156=0),"",REPT(" ",E1156)&amp;"displayFormat: "&amp;CHAR(34)&amp;"{0} Items"&amp;CHAR(34)&amp;",")</f>
        <v/>
      </c>
    </row>
    <row r="1157" spans="1:6" hidden="1">
      <c r="A1157" s="150" t="s">
        <v>1037</v>
      </c>
      <c r="B1157" s="130">
        <f ca="1">IFERROR(INDIRECT($B$2&amp;"!"&amp;C1157&amp;D1157),"")</f>
        <v>0</v>
      </c>
      <c r="C1157" s="350" t="s">
        <v>130</v>
      </c>
      <c r="D1157" s="351">
        <f t="shared" ca="1" si="80"/>
        <v>77</v>
      </c>
      <c r="E1157" s="352">
        <v>12</v>
      </c>
      <c r="F1157" s="126" t="str" cm="1">
        <f t="array" aca="1" ref="F1157" ca="1">IF(OR(INDIRECT($B$2&amp;"!AJ14")=$B$845,B1157=0),"",REPT(" ",E1157)&amp;A1157&amp;CHAR(34)&amp;B1157&amp;CHAR(34)&amp;",")</f>
        <v/>
      </c>
    </row>
    <row r="1158" spans="1:6" hidden="1">
      <c r="A1158" s="150" t="s">
        <v>65</v>
      </c>
      <c r="B1158" s="130">
        <f ca="1">IFERROR(INDIRECT($B$2&amp;"!"&amp;C1158&amp;D1158),"")</f>
        <v>0</v>
      </c>
      <c r="C1158" s="350" t="s">
        <v>128</v>
      </c>
      <c r="D1158" s="351">
        <f t="shared" ca="1" si="80"/>
        <v>77</v>
      </c>
      <c r="E1158" s="352">
        <v>9</v>
      </c>
      <c r="F1158" s="126" t="str" cm="1">
        <f t="array" aca="1" ref="F1158" ca="1">IF(OR(INDIRECT($B$2&amp;"!AJ14")=$B$845,B1158=0),"",REPT(" ",E1158)&amp;"},")</f>
        <v/>
      </c>
    </row>
    <row r="1159" spans="1:6" hidden="1">
      <c r="A1159" s="150">
        <f ca="1">IFERROR(INDIRECT($B$2&amp;"!"&amp;"C"&amp;D1159),"")</f>
        <v>0</v>
      </c>
      <c r="B1159" s="130">
        <f ca="1">IFERROR(INDIRECT($B$2&amp;"!"&amp;C1159&amp;D1159),"")</f>
        <v>0</v>
      </c>
      <c r="C1159" s="355" t="s">
        <v>128</v>
      </c>
      <c r="D1159" s="351">
        <f t="shared" ca="1" si="80"/>
        <v>78</v>
      </c>
      <c r="E1159" s="352">
        <v>9</v>
      </c>
      <c r="F1159" s="126" t="str">
        <f ca="1">IF(B1159=0,"",REPT(" ",E1159)&amp;"{ column: "&amp;CHAR(34)&amp;A1159&amp;CHAR(34)&amp;",")</f>
        <v/>
      </c>
    </row>
    <row r="1160" spans="1:6" hidden="1">
      <c r="A1160" s="150"/>
      <c r="B1160" s="130" cm="1">
        <f t="array" aca="1" ref="B1160" ca="1">INDIRECT($B$2&amp;"!"&amp;C1160&amp;D1160)</f>
        <v>0</v>
      </c>
      <c r="C1160" s="350" t="s">
        <v>128</v>
      </c>
      <c r="D1160" s="351">
        <f t="shared" ca="1" si="80"/>
        <v>78</v>
      </c>
      <c r="E1160" s="352">
        <v>12</v>
      </c>
      <c r="F1160" s="126" t="str" cm="1">
        <f t="array" aca="1" ref="F1160" ca="1">IF(OR(INDIRECT($B$2&amp;"!AJ14")=$B$845,B1160=0),"",REPT(" ",E1160)&amp;"summaryType: "&amp;CHAR(34)&amp;B1160&amp;CHAR(34)&amp;",")</f>
        <v/>
      </c>
    </row>
    <row r="1161" spans="1:6" hidden="1">
      <c r="A1161" s="150"/>
      <c r="B1161" s="130">
        <f ca="1">IFERROR(INDIRECT($B$2&amp;"!"&amp;C1161&amp;D1161),"")</f>
        <v>0</v>
      </c>
      <c r="C1161" s="350" t="s">
        <v>128</v>
      </c>
      <c r="D1161" s="351">
        <f t="shared" ca="1" si="80"/>
        <v>78</v>
      </c>
      <c r="E1161" s="352">
        <v>12</v>
      </c>
      <c r="F1161" s="126" t="str" cm="1">
        <f t="array" aca="1" ref="F1161" ca="1">IF(OR(INDIRECT($B$2&amp;"!AJ14")=$B$845,B1161=0),"",REPT(" ",E1161)&amp;"displayFormat: "&amp;CHAR(34)&amp;"{0} Items"&amp;CHAR(34)&amp;",")</f>
        <v/>
      </c>
    </row>
    <row r="1162" spans="1:6" hidden="1">
      <c r="A1162" s="150" t="s">
        <v>1037</v>
      </c>
      <c r="B1162" s="130">
        <f ca="1">IFERROR(INDIRECT($B$2&amp;"!"&amp;C1162&amp;D1162),"")</f>
        <v>0</v>
      </c>
      <c r="C1162" s="350" t="s">
        <v>130</v>
      </c>
      <c r="D1162" s="351">
        <f t="shared" ca="1" si="80"/>
        <v>78</v>
      </c>
      <c r="E1162" s="352">
        <v>12</v>
      </c>
      <c r="F1162" s="126" t="str" cm="1">
        <f t="array" aca="1" ref="F1162" ca="1">IF(OR(INDIRECT($B$2&amp;"!AJ14")=$B$845,B1162=0),"",REPT(" ",E1162)&amp;A1162&amp;CHAR(34)&amp;B1162&amp;CHAR(34)&amp;",")</f>
        <v/>
      </c>
    </row>
    <row r="1163" spans="1:6" hidden="1">
      <c r="A1163" s="150" t="s">
        <v>65</v>
      </c>
      <c r="B1163" s="130">
        <f ca="1">IFERROR(INDIRECT($B$2&amp;"!"&amp;C1163&amp;D1163),"")</f>
        <v>0</v>
      </c>
      <c r="C1163" s="350" t="s">
        <v>128</v>
      </c>
      <c r="D1163" s="351">
        <f t="shared" ca="1" si="80"/>
        <v>78</v>
      </c>
      <c r="E1163" s="352">
        <v>9</v>
      </c>
      <c r="F1163" s="126" t="str" cm="1">
        <f t="array" aca="1" ref="F1163" ca="1">IF(OR(INDIRECT($B$2&amp;"!AJ14")=$B$845,B1163=0),"",REPT(" ",E1163)&amp;"},")</f>
        <v/>
      </c>
    </row>
    <row r="1164" spans="1:6" hidden="1">
      <c r="A1164" s="150">
        <f ca="1">IFERROR(INDIRECT($B$2&amp;"!"&amp;"C"&amp;D1164),"")</f>
        <v>0</v>
      </c>
      <c r="B1164" s="130">
        <f ca="1">IFERROR(INDIRECT($B$2&amp;"!"&amp;C1164&amp;D1164),"")</f>
        <v>0</v>
      </c>
      <c r="C1164" s="355" t="s">
        <v>128</v>
      </c>
      <c r="D1164" s="351">
        <f t="shared" ca="1" si="80"/>
        <v>79</v>
      </c>
      <c r="E1164" s="352">
        <v>9</v>
      </c>
      <c r="F1164" s="126" t="str">
        <f ca="1">IF(B1164=0,"",REPT(" ",E1164)&amp;"{ column: "&amp;CHAR(34)&amp;A1164&amp;CHAR(34)&amp;",")</f>
        <v/>
      </c>
    </row>
    <row r="1165" spans="1:6" hidden="1">
      <c r="A1165" s="150"/>
      <c r="B1165" s="130" cm="1">
        <f t="array" aca="1" ref="B1165" ca="1">INDIRECT($B$2&amp;"!"&amp;C1165&amp;D1165)</f>
        <v>0</v>
      </c>
      <c r="C1165" s="350" t="s">
        <v>128</v>
      </c>
      <c r="D1165" s="351">
        <f t="shared" ca="1" si="80"/>
        <v>79</v>
      </c>
      <c r="E1165" s="352">
        <v>12</v>
      </c>
      <c r="F1165" s="126" t="str" cm="1">
        <f t="array" aca="1" ref="F1165" ca="1">IF(OR(INDIRECT($B$2&amp;"!AJ14")=$B$845,B1165=0),"",REPT(" ",E1165)&amp;"summaryType: "&amp;CHAR(34)&amp;B1165&amp;CHAR(34)&amp;",")</f>
        <v/>
      </c>
    </row>
    <row r="1166" spans="1:6" hidden="1">
      <c r="A1166" s="150"/>
      <c r="B1166" s="130">
        <f ca="1">IFERROR(INDIRECT($B$2&amp;"!"&amp;C1166&amp;D1166),"")</f>
        <v>0</v>
      </c>
      <c r="C1166" s="350" t="s">
        <v>128</v>
      </c>
      <c r="D1166" s="351">
        <f t="shared" ca="1" si="80"/>
        <v>79</v>
      </c>
      <c r="E1166" s="352">
        <v>12</v>
      </c>
      <c r="F1166" s="126" t="str" cm="1">
        <f t="array" aca="1" ref="F1166" ca="1">IF(OR(INDIRECT($B$2&amp;"!AJ14")=$B$845,B1166=0),"",REPT(" ",E1166)&amp;"displayFormat: "&amp;CHAR(34)&amp;"{0} Items"&amp;CHAR(34)&amp;",")</f>
        <v/>
      </c>
    </row>
    <row r="1167" spans="1:6" hidden="1">
      <c r="A1167" s="150" t="s">
        <v>1037</v>
      </c>
      <c r="B1167" s="130">
        <f ca="1">IFERROR(INDIRECT($B$2&amp;"!"&amp;C1167&amp;D1167),"")</f>
        <v>0</v>
      </c>
      <c r="C1167" s="350" t="s">
        <v>130</v>
      </c>
      <c r="D1167" s="351">
        <f t="shared" ca="1" si="80"/>
        <v>79</v>
      </c>
      <c r="E1167" s="352">
        <v>12</v>
      </c>
      <c r="F1167" s="126" t="str" cm="1">
        <f t="array" aca="1" ref="F1167" ca="1">IF(OR(INDIRECT($B$2&amp;"!AJ14")=$B$845,B1167=0),"",REPT(" ",E1167)&amp;A1167&amp;CHAR(34)&amp;B1167&amp;CHAR(34)&amp;",")</f>
        <v/>
      </c>
    </row>
    <row r="1168" spans="1:6" hidden="1">
      <c r="A1168" s="150" t="s">
        <v>65</v>
      </c>
      <c r="B1168" s="130">
        <f ca="1">IFERROR(INDIRECT($B$2&amp;"!"&amp;C1168&amp;D1168),"")</f>
        <v>0</v>
      </c>
      <c r="C1168" s="350" t="s">
        <v>128</v>
      </c>
      <c r="D1168" s="351">
        <f t="shared" ca="1" si="80"/>
        <v>79</v>
      </c>
      <c r="E1168" s="352">
        <v>9</v>
      </c>
      <c r="F1168" s="126" t="str" cm="1">
        <f t="array" aca="1" ref="F1168" ca="1">IF(OR(INDIRECT($B$2&amp;"!AJ14")=$B$845,B1168=0),"",REPT(" ",E1168)&amp;"},")</f>
        <v/>
      </c>
    </row>
    <row r="1169" spans="1:6" hidden="1">
      <c r="A1169" s="150">
        <f ca="1">IFERROR(INDIRECT($B$2&amp;"!"&amp;"C"&amp;D1169),"")</f>
        <v>0</v>
      </c>
      <c r="B1169" s="130">
        <f ca="1">IFERROR(INDIRECT($B$2&amp;"!"&amp;C1169&amp;D1169),"")</f>
        <v>0</v>
      </c>
      <c r="C1169" s="355" t="s">
        <v>128</v>
      </c>
      <c r="D1169" s="351">
        <f t="shared" ca="1" si="80"/>
        <v>80</v>
      </c>
      <c r="E1169" s="352">
        <v>9</v>
      </c>
      <c r="F1169" s="126" t="str">
        <f ca="1">IF(B1169=0,"",REPT(" ",E1169)&amp;"{ column: "&amp;CHAR(34)&amp;A1169&amp;CHAR(34)&amp;",")</f>
        <v/>
      </c>
    </row>
    <row r="1170" spans="1:6" hidden="1">
      <c r="A1170" s="150"/>
      <c r="B1170" s="130" cm="1">
        <f t="array" aca="1" ref="B1170" ca="1">INDIRECT($B$2&amp;"!"&amp;C1170&amp;D1170)</f>
        <v>0</v>
      </c>
      <c r="C1170" s="350" t="s">
        <v>128</v>
      </c>
      <c r="D1170" s="351">
        <f t="shared" ref="D1170:D1233" ca="1" si="81">IF(TRIM(A1169)="N",1,0)+D1169</f>
        <v>80</v>
      </c>
      <c r="E1170" s="352">
        <v>12</v>
      </c>
      <c r="F1170" s="126" t="str" cm="1">
        <f t="array" aca="1" ref="F1170" ca="1">IF(OR(INDIRECT($B$2&amp;"!AJ14")=$B$845,B1170=0),"",REPT(" ",E1170)&amp;"summaryType: "&amp;CHAR(34)&amp;B1170&amp;CHAR(34)&amp;",")</f>
        <v/>
      </c>
    </row>
    <row r="1171" spans="1:6" hidden="1">
      <c r="A1171" s="150"/>
      <c r="B1171" s="130">
        <f ca="1">IFERROR(INDIRECT($B$2&amp;"!"&amp;C1171&amp;D1171),"")</f>
        <v>0</v>
      </c>
      <c r="C1171" s="350" t="s">
        <v>128</v>
      </c>
      <c r="D1171" s="351">
        <f t="shared" ca="1" si="81"/>
        <v>80</v>
      </c>
      <c r="E1171" s="352">
        <v>12</v>
      </c>
      <c r="F1171" s="126" t="str" cm="1">
        <f t="array" aca="1" ref="F1171" ca="1">IF(OR(INDIRECT($B$2&amp;"!AJ14")=$B$845,B1171=0),"",REPT(" ",E1171)&amp;"displayFormat: "&amp;CHAR(34)&amp;"{0} Items"&amp;CHAR(34)&amp;",")</f>
        <v/>
      </c>
    </row>
    <row r="1172" spans="1:6" hidden="1">
      <c r="A1172" s="150" t="s">
        <v>1037</v>
      </c>
      <c r="B1172" s="130">
        <f ca="1">IFERROR(INDIRECT($B$2&amp;"!"&amp;C1172&amp;D1172),"")</f>
        <v>0</v>
      </c>
      <c r="C1172" s="350" t="s">
        <v>130</v>
      </c>
      <c r="D1172" s="351">
        <f t="shared" ca="1" si="81"/>
        <v>80</v>
      </c>
      <c r="E1172" s="352">
        <v>12</v>
      </c>
      <c r="F1172" s="126" t="str" cm="1">
        <f t="array" aca="1" ref="F1172" ca="1">IF(OR(INDIRECT($B$2&amp;"!AJ14")=$B$845,B1172=0),"",REPT(" ",E1172)&amp;A1172&amp;CHAR(34)&amp;B1172&amp;CHAR(34)&amp;",")</f>
        <v/>
      </c>
    </row>
    <row r="1173" spans="1:6" hidden="1">
      <c r="A1173" s="150" t="s">
        <v>65</v>
      </c>
      <c r="B1173" s="130">
        <f ca="1">IFERROR(INDIRECT($B$2&amp;"!"&amp;C1173&amp;D1173),"")</f>
        <v>0</v>
      </c>
      <c r="C1173" s="350" t="s">
        <v>128</v>
      </c>
      <c r="D1173" s="351">
        <f t="shared" ca="1" si="81"/>
        <v>80</v>
      </c>
      <c r="E1173" s="352">
        <v>9</v>
      </c>
      <c r="F1173" s="126" t="str" cm="1">
        <f t="array" aca="1" ref="F1173" ca="1">IF(OR(INDIRECT($B$2&amp;"!AJ14")=$B$845,B1173=0),"",REPT(" ",E1173)&amp;"},")</f>
        <v/>
      </c>
    </row>
    <row r="1174" spans="1:6" hidden="1">
      <c r="A1174" s="150">
        <f ca="1">IFERROR(INDIRECT($B$2&amp;"!"&amp;"C"&amp;D1174),"")</f>
        <v>0</v>
      </c>
      <c r="B1174" s="130">
        <f ca="1">IFERROR(INDIRECT($B$2&amp;"!"&amp;C1174&amp;D1174),"")</f>
        <v>0</v>
      </c>
      <c r="C1174" s="355" t="s">
        <v>128</v>
      </c>
      <c r="D1174" s="351">
        <f t="shared" ca="1" si="81"/>
        <v>81</v>
      </c>
      <c r="E1174" s="352">
        <v>9</v>
      </c>
      <c r="F1174" s="126" t="str">
        <f ca="1">IF(B1174=0,"",REPT(" ",E1174)&amp;"{ column: "&amp;CHAR(34)&amp;A1174&amp;CHAR(34)&amp;",")</f>
        <v/>
      </c>
    </row>
    <row r="1175" spans="1:6" hidden="1">
      <c r="A1175" s="150"/>
      <c r="B1175" s="130" cm="1">
        <f t="array" aca="1" ref="B1175" ca="1">INDIRECT($B$2&amp;"!"&amp;C1175&amp;D1175)</f>
        <v>0</v>
      </c>
      <c r="C1175" s="350" t="s">
        <v>128</v>
      </c>
      <c r="D1175" s="351">
        <f t="shared" ca="1" si="81"/>
        <v>81</v>
      </c>
      <c r="E1175" s="352">
        <v>12</v>
      </c>
      <c r="F1175" s="126" t="str" cm="1">
        <f t="array" aca="1" ref="F1175" ca="1">IF(OR(INDIRECT($B$2&amp;"!AJ14")=$B$845,B1175=0),"",REPT(" ",E1175)&amp;"summaryType: "&amp;CHAR(34)&amp;B1175&amp;CHAR(34)&amp;",")</f>
        <v/>
      </c>
    </row>
    <row r="1176" spans="1:6" hidden="1">
      <c r="A1176" s="150"/>
      <c r="B1176" s="130">
        <f ca="1">IFERROR(INDIRECT($B$2&amp;"!"&amp;C1176&amp;D1176),"")</f>
        <v>0</v>
      </c>
      <c r="C1176" s="350" t="s">
        <v>128</v>
      </c>
      <c r="D1176" s="351">
        <f t="shared" ca="1" si="81"/>
        <v>81</v>
      </c>
      <c r="E1176" s="352">
        <v>12</v>
      </c>
      <c r="F1176" s="126" t="str" cm="1">
        <f t="array" aca="1" ref="F1176" ca="1">IF(OR(INDIRECT($B$2&amp;"!AJ14")=$B$845,B1176=0),"",REPT(" ",E1176)&amp;"displayFormat: "&amp;CHAR(34)&amp;"{0} Items"&amp;CHAR(34)&amp;",")</f>
        <v/>
      </c>
    </row>
    <row r="1177" spans="1:6" hidden="1">
      <c r="A1177" s="150" t="s">
        <v>1037</v>
      </c>
      <c r="B1177" s="130">
        <f ca="1">IFERROR(INDIRECT($B$2&amp;"!"&amp;C1177&amp;D1177),"")</f>
        <v>0</v>
      </c>
      <c r="C1177" s="350" t="s">
        <v>130</v>
      </c>
      <c r="D1177" s="351">
        <f t="shared" ca="1" si="81"/>
        <v>81</v>
      </c>
      <c r="E1177" s="352">
        <v>12</v>
      </c>
      <c r="F1177" s="126" t="str" cm="1">
        <f t="array" aca="1" ref="F1177" ca="1">IF(OR(INDIRECT($B$2&amp;"!AJ14")=$B$845,B1177=0),"",REPT(" ",E1177)&amp;A1177&amp;CHAR(34)&amp;B1177&amp;CHAR(34)&amp;",")</f>
        <v/>
      </c>
    </row>
    <row r="1178" spans="1:6" hidden="1">
      <c r="A1178" s="150" t="s">
        <v>65</v>
      </c>
      <c r="B1178" s="130">
        <f ca="1">IFERROR(INDIRECT($B$2&amp;"!"&amp;C1178&amp;D1178),"")</f>
        <v>0</v>
      </c>
      <c r="C1178" s="350" t="s">
        <v>128</v>
      </c>
      <c r="D1178" s="351">
        <f t="shared" ca="1" si="81"/>
        <v>81</v>
      </c>
      <c r="E1178" s="352">
        <v>9</v>
      </c>
      <c r="F1178" s="126" t="str" cm="1">
        <f t="array" aca="1" ref="F1178" ca="1">IF(OR(INDIRECT($B$2&amp;"!AJ14")=$B$845,B1178=0),"",REPT(" ",E1178)&amp;"},")</f>
        <v/>
      </c>
    </row>
    <row r="1179" spans="1:6" hidden="1">
      <c r="A1179" s="150">
        <f ca="1">IFERROR(INDIRECT($B$2&amp;"!"&amp;"C"&amp;D1179),"")</f>
        <v>0</v>
      </c>
      <c r="B1179" s="130">
        <f ca="1">IFERROR(INDIRECT($B$2&amp;"!"&amp;C1179&amp;D1179),"")</f>
        <v>0</v>
      </c>
      <c r="C1179" s="355" t="s">
        <v>128</v>
      </c>
      <c r="D1179" s="351">
        <f t="shared" ca="1" si="81"/>
        <v>82</v>
      </c>
      <c r="E1179" s="352">
        <v>9</v>
      </c>
      <c r="F1179" s="126" t="str">
        <f ca="1">IF(B1179=0,"",REPT(" ",E1179)&amp;"{ column: "&amp;CHAR(34)&amp;A1179&amp;CHAR(34)&amp;",")</f>
        <v/>
      </c>
    </row>
    <row r="1180" spans="1:6" hidden="1">
      <c r="A1180" s="150"/>
      <c r="B1180" s="130" cm="1">
        <f t="array" aca="1" ref="B1180" ca="1">INDIRECT($B$2&amp;"!"&amp;C1180&amp;D1180)</f>
        <v>0</v>
      </c>
      <c r="C1180" s="350" t="s">
        <v>128</v>
      </c>
      <c r="D1180" s="351">
        <f t="shared" ca="1" si="81"/>
        <v>82</v>
      </c>
      <c r="E1180" s="352">
        <v>12</v>
      </c>
      <c r="F1180" s="126" t="str" cm="1">
        <f t="array" aca="1" ref="F1180" ca="1">IF(OR(INDIRECT($B$2&amp;"!AJ14")=$B$845,B1180=0),"",REPT(" ",E1180)&amp;"summaryType: "&amp;CHAR(34)&amp;B1180&amp;CHAR(34)&amp;",")</f>
        <v/>
      </c>
    </row>
    <row r="1181" spans="1:6" hidden="1">
      <c r="A1181" s="150"/>
      <c r="B1181" s="130">
        <f ca="1">IFERROR(INDIRECT($B$2&amp;"!"&amp;C1181&amp;D1181),"")</f>
        <v>0</v>
      </c>
      <c r="C1181" s="350" t="s">
        <v>128</v>
      </c>
      <c r="D1181" s="351">
        <f t="shared" ca="1" si="81"/>
        <v>82</v>
      </c>
      <c r="E1181" s="352">
        <v>12</v>
      </c>
      <c r="F1181" s="126" t="str" cm="1">
        <f t="array" aca="1" ref="F1181" ca="1">IF(OR(INDIRECT($B$2&amp;"!AJ14")=$B$845,B1181=0),"",REPT(" ",E1181)&amp;"displayFormat: "&amp;CHAR(34)&amp;"{0} Items"&amp;CHAR(34)&amp;",")</f>
        <v/>
      </c>
    </row>
    <row r="1182" spans="1:6" hidden="1">
      <c r="A1182" s="150" t="s">
        <v>1037</v>
      </c>
      <c r="B1182" s="130">
        <f ca="1">IFERROR(INDIRECT($B$2&amp;"!"&amp;C1182&amp;D1182),"")</f>
        <v>0</v>
      </c>
      <c r="C1182" s="350" t="s">
        <v>130</v>
      </c>
      <c r="D1182" s="351">
        <f t="shared" ca="1" si="81"/>
        <v>82</v>
      </c>
      <c r="E1182" s="352">
        <v>12</v>
      </c>
      <c r="F1182" s="126" t="str" cm="1">
        <f t="array" aca="1" ref="F1182" ca="1">IF(OR(INDIRECT($B$2&amp;"!AJ14")=$B$845,B1182=0),"",REPT(" ",E1182)&amp;A1182&amp;CHAR(34)&amp;B1182&amp;CHAR(34)&amp;",")</f>
        <v/>
      </c>
    </row>
    <row r="1183" spans="1:6" hidden="1">
      <c r="A1183" s="150" t="s">
        <v>65</v>
      </c>
      <c r="B1183" s="130">
        <f ca="1">IFERROR(INDIRECT($B$2&amp;"!"&amp;C1183&amp;D1183),"")</f>
        <v>0</v>
      </c>
      <c r="C1183" s="350" t="s">
        <v>128</v>
      </c>
      <c r="D1183" s="351">
        <f t="shared" ca="1" si="81"/>
        <v>82</v>
      </c>
      <c r="E1183" s="352">
        <v>9</v>
      </c>
      <c r="F1183" s="126" t="str" cm="1">
        <f t="array" aca="1" ref="F1183" ca="1">IF(OR(INDIRECT($B$2&amp;"!AJ14")=$B$845,B1183=0),"",REPT(" ",E1183)&amp;"},")</f>
        <v/>
      </c>
    </row>
    <row r="1184" spans="1:6" hidden="1">
      <c r="A1184" s="150">
        <f ca="1">IFERROR(INDIRECT($B$2&amp;"!"&amp;"C"&amp;D1184),"")</f>
        <v>0</v>
      </c>
      <c r="B1184" s="130">
        <f ca="1">IFERROR(INDIRECT($B$2&amp;"!"&amp;C1184&amp;D1184),"")</f>
        <v>0</v>
      </c>
      <c r="C1184" s="355" t="s">
        <v>128</v>
      </c>
      <c r="D1184" s="351">
        <f t="shared" ca="1" si="81"/>
        <v>83</v>
      </c>
      <c r="E1184" s="352">
        <v>9</v>
      </c>
      <c r="F1184" s="126" t="str">
        <f ca="1">IF(B1184=0,"",REPT(" ",E1184)&amp;"{ column: "&amp;CHAR(34)&amp;A1184&amp;CHAR(34)&amp;",")</f>
        <v/>
      </c>
    </row>
    <row r="1185" spans="1:6" hidden="1">
      <c r="A1185" s="150"/>
      <c r="B1185" s="130" cm="1">
        <f t="array" aca="1" ref="B1185" ca="1">INDIRECT($B$2&amp;"!"&amp;C1185&amp;D1185)</f>
        <v>0</v>
      </c>
      <c r="C1185" s="350" t="s">
        <v>128</v>
      </c>
      <c r="D1185" s="351">
        <f t="shared" ca="1" si="81"/>
        <v>83</v>
      </c>
      <c r="E1185" s="352">
        <v>12</v>
      </c>
      <c r="F1185" s="126" t="str" cm="1">
        <f t="array" aca="1" ref="F1185" ca="1">IF(OR(INDIRECT($B$2&amp;"!AJ14")=$B$845,B1185=0),"",REPT(" ",E1185)&amp;"summaryType: "&amp;CHAR(34)&amp;B1185&amp;CHAR(34)&amp;",")</f>
        <v/>
      </c>
    </row>
    <row r="1186" spans="1:6" hidden="1">
      <c r="A1186" s="150"/>
      <c r="B1186" s="130">
        <f ca="1">IFERROR(INDIRECT($B$2&amp;"!"&amp;C1186&amp;D1186),"")</f>
        <v>0</v>
      </c>
      <c r="C1186" s="350" t="s">
        <v>128</v>
      </c>
      <c r="D1186" s="351">
        <f t="shared" ca="1" si="81"/>
        <v>83</v>
      </c>
      <c r="E1186" s="352">
        <v>12</v>
      </c>
      <c r="F1186" s="126" t="str" cm="1">
        <f t="array" aca="1" ref="F1186" ca="1">IF(OR(INDIRECT($B$2&amp;"!AJ14")=$B$845,B1186=0),"",REPT(" ",E1186)&amp;"displayFormat: "&amp;CHAR(34)&amp;"{0} Items"&amp;CHAR(34)&amp;",")</f>
        <v/>
      </c>
    </row>
    <row r="1187" spans="1:6" hidden="1">
      <c r="A1187" s="150" t="s">
        <v>1037</v>
      </c>
      <c r="B1187" s="130">
        <f ca="1">IFERROR(INDIRECT($B$2&amp;"!"&amp;C1187&amp;D1187),"")</f>
        <v>0</v>
      </c>
      <c r="C1187" s="350" t="s">
        <v>130</v>
      </c>
      <c r="D1187" s="351">
        <f t="shared" ca="1" si="81"/>
        <v>83</v>
      </c>
      <c r="E1187" s="352">
        <v>12</v>
      </c>
      <c r="F1187" s="126" t="str" cm="1">
        <f t="array" aca="1" ref="F1187" ca="1">IF(OR(INDIRECT($B$2&amp;"!AJ14")=$B$845,B1187=0),"",REPT(" ",E1187)&amp;A1187&amp;CHAR(34)&amp;B1187&amp;CHAR(34)&amp;",")</f>
        <v/>
      </c>
    </row>
    <row r="1188" spans="1:6" hidden="1">
      <c r="A1188" s="150" t="s">
        <v>65</v>
      </c>
      <c r="B1188" s="130">
        <f ca="1">IFERROR(INDIRECT($B$2&amp;"!"&amp;C1188&amp;D1188),"")</f>
        <v>0</v>
      </c>
      <c r="C1188" s="350" t="s">
        <v>128</v>
      </c>
      <c r="D1188" s="351">
        <f t="shared" ca="1" si="81"/>
        <v>83</v>
      </c>
      <c r="E1188" s="352">
        <v>9</v>
      </c>
      <c r="F1188" s="126" t="str" cm="1">
        <f t="array" aca="1" ref="F1188" ca="1">IF(OR(INDIRECT($B$2&amp;"!AJ14")=$B$845,B1188=0),"",REPT(" ",E1188)&amp;"},")</f>
        <v/>
      </c>
    </row>
    <row r="1189" spans="1:6" hidden="1">
      <c r="A1189" s="150">
        <f ca="1">IFERROR(INDIRECT($B$2&amp;"!"&amp;"C"&amp;D1189),"")</f>
        <v>0</v>
      </c>
      <c r="B1189" s="130">
        <f ca="1">IFERROR(INDIRECT($B$2&amp;"!"&amp;C1189&amp;D1189),"")</f>
        <v>0</v>
      </c>
      <c r="C1189" s="355" t="s">
        <v>128</v>
      </c>
      <c r="D1189" s="351">
        <f t="shared" ca="1" si="81"/>
        <v>84</v>
      </c>
      <c r="E1189" s="352">
        <v>9</v>
      </c>
      <c r="F1189" s="126" t="str">
        <f ca="1">IF(B1189=0,"",REPT(" ",E1189)&amp;"{ column: "&amp;CHAR(34)&amp;A1189&amp;CHAR(34)&amp;",")</f>
        <v/>
      </c>
    </row>
    <row r="1190" spans="1:6" hidden="1">
      <c r="A1190" s="150"/>
      <c r="B1190" s="130" cm="1">
        <f t="array" aca="1" ref="B1190" ca="1">INDIRECT($B$2&amp;"!"&amp;C1190&amp;D1190)</f>
        <v>0</v>
      </c>
      <c r="C1190" s="350" t="s">
        <v>128</v>
      </c>
      <c r="D1190" s="351">
        <f t="shared" ca="1" si="81"/>
        <v>84</v>
      </c>
      <c r="E1190" s="352">
        <v>12</v>
      </c>
      <c r="F1190" s="126" t="str" cm="1">
        <f t="array" aca="1" ref="F1190" ca="1">IF(OR(INDIRECT($B$2&amp;"!AJ14")=$B$845,B1190=0),"",REPT(" ",E1190)&amp;"summaryType: "&amp;CHAR(34)&amp;B1190&amp;CHAR(34)&amp;",")</f>
        <v/>
      </c>
    </row>
    <row r="1191" spans="1:6" hidden="1">
      <c r="A1191" s="150"/>
      <c r="B1191" s="130">
        <f ca="1">IFERROR(INDIRECT($B$2&amp;"!"&amp;C1191&amp;D1191),"")</f>
        <v>0</v>
      </c>
      <c r="C1191" s="350" t="s">
        <v>128</v>
      </c>
      <c r="D1191" s="351">
        <f t="shared" ca="1" si="81"/>
        <v>84</v>
      </c>
      <c r="E1191" s="352">
        <v>12</v>
      </c>
      <c r="F1191" s="126" t="str" cm="1">
        <f t="array" aca="1" ref="F1191" ca="1">IF(OR(INDIRECT($B$2&amp;"!AJ14")=$B$845,B1191=0),"",REPT(" ",E1191)&amp;"displayFormat: "&amp;CHAR(34)&amp;"{0} Items"&amp;CHAR(34)&amp;",")</f>
        <v/>
      </c>
    </row>
    <row r="1192" spans="1:6" hidden="1">
      <c r="A1192" s="150" t="s">
        <v>1037</v>
      </c>
      <c r="B1192" s="130">
        <f ca="1">IFERROR(INDIRECT($B$2&amp;"!"&amp;C1192&amp;D1192),"")</f>
        <v>0</v>
      </c>
      <c r="C1192" s="350" t="s">
        <v>130</v>
      </c>
      <c r="D1192" s="351">
        <f t="shared" ca="1" si="81"/>
        <v>84</v>
      </c>
      <c r="E1192" s="352">
        <v>12</v>
      </c>
      <c r="F1192" s="126" t="str" cm="1">
        <f t="array" aca="1" ref="F1192" ca="1">IF(OR(INDIRECT($B$2&amp;"!AJ14")=$B$845,B1192=0),"",REPT(" ",E1192)&amp;A1192&amp;CHAR(34)&amp;B1192&amp;CHAR(34)&amp;",")</f>
        <v/>
      </c>
    </row>
    <row r="1193" spans="1:6" hidden="1">
      <c r="A1193" s="150" t="s">
        <v>65</v>
      </c>
      <c r="B1193" s="130">
        <f ca="1">IFERROR(INDIRECT($B$2&amp;"!"&amp;C1193&amp;D1193),"")</f>
        <v>0</v>
      </c>
      <c r="C1193" s="350" t="s">
        <v>128</v>
      </c>
      <c r="D1193" s="351">
        <f t="shared" ca="1" si="81"/>
        <v>84</v>
      </c>
      <c r="E1193" s="352">
        <v>9</v>
      </c>
      <c r="F1193" s="126" t="str" cm="1">
        <f t="array" aca="1" ref="F1193" ca="1">IF(OR(INDIRECT($B$2&amp;"!AJ14")=$B$845,B1193=0),"",REPT(" ",E1193)&amp;"},")</f>
        <v/>
      </c>
    </row>
    <row r="1194" spans="1:6" hidden="1">
      <c r="A1194" s="150">
        <f ca="1">IFERROR(INDIRECT($B$2&amp;"!"&amp;"C"&amp;D1194),"")</f>
        <v>0</v>
      </c>
      <c r="B1194" s="130">
        <f ca="1">IFERROR(INDIRECT($B$2&amp;"!"&amp;C1194&amp;D1194),"")</f>
        <v>0</v>
      </c>
      <c r="C1194" s="355" t="s">
        <v>128</v>
      </c>
      <c r="D1194" s="351">
        <f t="shared" ca="1" si="81"/>
        <v>85</v>
      </c>
      <c r="E1194" s="352">
        <v>9</v>
      </c>
      <c r="F1194" s="126" t="str">
        <f ca="1">IF(B1194=0,"",REPT(" ",E1194)&amp;"{ column: "&amp;CHAR(34)&amp;A1194&amp;CHAR(34)&amp;",")</f>
        <v/>
      </c>
    </row>
    <row r="1195" spans="1:6" hidden="1">
      <c r="A1195" s="150"/>
      <c r="B1195" s="130" cm="1">
        <f t="array" aca="1" ref="B1195" ca="1">INDIRECT($B$2&amp;"!"&amp;C1195&amp;D1195)</f>
        <v>0</v>
      </c>
      <c r="C1195" s="350" t="s">
        <v>128</v>
      </c>
      <c r="D1195" s="351">
        <f t="shared" ca="1" si="81"/>
        <v>85</v>
      </c>
      <c r="E1195" s="352">
        <v>12</v>
      </c>
      <c r="F1195" s="126" t="str" cm="1">
        <f t="array" aca="1" ref="F1195" ca="1">IF(OR(INDIRECT($B$2&amp;"!AJ14")=$B$845,B1195=0),"",REPT(" ",E1195)&amp;"summaryType: "&amp;CHAR(34)&amp;B1195&amp;CHAR(34)&amp;",")</f>
        <v/>
      </c>
    </row>
    <row r="1196" spans="1:6" hidden="1">
      <c r="A1196" s="150"/>
      <c r="B1196" s="130">
        <f ca="1">IFERROR(INDIRECT($B$2&amp;"!"&amp;C1196&amp;D1196),"")</f>
        <v>0</v>
      </c>
      <c r="C1196" s="350" t="s">
        <v>128</v>
      </c>
      <c r="D1196" s="351">
        <f t="shared" ca="1" si="81"/>
        <v>85</v>
      </c>
      <c r="E1196" s="352">
        <v>12</v>
      </c>
      <c r="F1196" s="126" t="str" cm="1">
        <f t="array" aca="1" ref="F1196" ca="1">IF(OR(INDIRECT($B$2&amp;"!AJ14")=$B$845,B1196=0),"",REPT(" ",E1196)&amp;"displayFormat: "&amp;CHAR(34)&amp;"{0} Items"&amp;CHAR(34)&amp;",")</f>
        <v/>
      </c>
    </row>
    <row r="1197" spans="1:6" hidden="1">
      <c r="A1197" s="150" t="s">
        <v>1037</v>
      </c>
      <c r="B1197" s="130">
        <f ca="1">IFERROR(INDIRECT($B$2&amp;"!"&amp;C1197&amp;D1197),"")</f>
        <v>0</v>
      </c>
      <c r="C1197" s="350" t="s">
        <v>130</v>
      </c>
      <c r="D1197" s="351">
        <f t="shared" ca="1" si="81"/>
        <v>85</v>
      </c>
      <c r="E1197" s="352">
        <v>12</v>
      </c>
      <c r="F1197" s="126" t="str" cm="1">
        <f t="array" aca="1" ref="F1197" ca="1">IF(OR(INDIRECT($B$2&amp;"!AJ14")=$B$845,B1197=0),"",REPT(" ",E1197)&amp;A1197&amp;CHAR(34)&amp;B1197&amp;CHAR(34)&amp;",")</f>
        <v/>
      </c>
    </row>
    <row r="1198" spans="1:6" hidden="1">
      <c r="A1198" s="150" t="s">
        <v>65</v>
      </c>
      <c r="B1198" s="130">
        <f ca="1">IFERROR(INDIRECT($B$2&amp;"!"&amp;C1198&amp;D1198),"")</f>
        <v>0</v>
      </c>
      <c r="C1198" s="350" t="s">
        <v>128</v>
      </c>
      <c r="D1198" s="351">
        <f t="shared" ca="1" si="81"/>
        <v>85</v>
      </c>
      <c r="E1198" s="352">
        <v>9</v>
      </c>
      <c r="F1198" s="126" t="str" cm="1">
        <f t="array" aca="1" ref="F1198" ca="1">IF(OR(INDIRECT($B$2&amp;"!AJ14")=$B$845,B1198=0),"",REPT(" ",E1198)&amp;"},")</f>
        <v/>
      </c>
    </row>
    <row r="1199" spans="1:6" hidden="1">
      <c r="A1199" s="150">
        <f ca="1">IFERROR(INDIRECT($B$2&amp;"!"&amp;"C"&amp;D1199),"")</f>
        <v>0</v>
      </c>
      <c r="B1199" s="130">
        <f ca="1">IFERROR(INDIRECT($B$2&amp;"!"&amp;C1199&amp;D1199),"")</f>
        <v>0</v>
      </c>
      <c r="C1199" s="355" t="s">
        <v>128</v>
      </c>
      <c r="D1199" s="351">
        <f t="shared" ca="1" si="81"/>
        <v>86</v>
      </c>
      <c r="E1199" s="352">
        <v>9</v>
      </c>
      <c r="F1199" s="126" t="str">
        <f ca="1">IF(B1199=0,"",REPT(" ",E1199)&amp;"{ column: "&amp;CHAR(34)&amp;A1199&amp;CHAR(34)&amp;",")</f>
        <v/>
      </c>
    </row>
    <row r="1200" spans="1:6" hidden="1">
      <c r="A1200" s="150"/>
      <c r="B1200" s="130" cm="1">
        <f t="array" aca="1" ref="B1200" ca="1">INDIRECT($B$2&amp;"!"&amp;C1200&amp;D1200)</f>
        <v>0</v>
      </c>
      <c r="C1200" s="350" t="s">
        <v>128</v>
      </c>
      <c r="D1200" s="351">
        <f t="shared" ca="1" si="81"/>
        <v>86</v>
      </c>
      <c r="E1200" s="352">
        <v>12</v>
      </c>
      <c r="F1200" s="126" t="str" cm="1">
        <f t="array" aca="1" ref="F1200" ca="1">IF(OR(INDIRECT($B$2&amp;"!AJ14")=$B$845,B1200=0),"",REPT(" ",E1200)&amp;"summaryType: "&amp;CHAR(34)&amp;B1200&amp;CHAR(34)&amp;",")</f>
        <v/>
      </c>
    </row>
    <row r="1201" spans="1:6" hidden="1">
      <c r="A1201" s="150"/>
      <c r="B1201" s="130">
        <f ca="1">IFERROR(INDIRECT($B$2&amp;"!"&amp;C1201&amp;D1201),"")</f>
        <v>0</v>
      </c>
      <c r="C1201" s="350" t="s">
        <v>128</v>
      </c>
      <c r="D1201" s="351">
        <f t="shared" ca="1" si="81"/>
        <v>86</v>
      </c>
      <c r="E1201" s="352">
        <v>12</v>
      </c>
      <c r="F1201" s="126" t="str" cm="1">
        <f t="array" aca="1" ref="F1201" ca="1">IF(OR(INDIRECT($B$2&amp;"!AJ14")=$B$845,B1201=0),"",REPT(" ",E1201)&amp;"displayFormat: "&amp;CHAR(34)&amp;"{0} Items"&amp;CHAR(34)&amp;",")</f>
        <v/>
      </c>
    </row>
    <row r="1202" spans="1:6" hidden="1">
      <c r="A1202" s="150" t="s">
        <v>1037</v>
      </c>
      <c r="B1202" s="130">
        <f ca="1">IFERROR(INDIRECT($B$2&amp;"!"&amp;C1202&amp;D1202),"")</f>
        <v>0</v>
      </c>
      <c r="C1202" s="350" t="s">
        <v>130</v>
      </c>
      <c r="D1202" s="351">
        <f t="shared" ca="1" si="81"/>
        <v>86</v>
      </c>
      <c r="E1202" s="352">
        <v>12</v>
      </c>
      <c r="F1202" s="126" t="str" cm="1">
        <f t="array" aca="1" ref="F1202" ca="1">IF(OR(INDIRECT($B$2&amp;"!AJ14")=$B$845,B1202=0),"",REPT(" ",E1202)&amp;A1202&amp;CHAR(34)&amp;B1202&amp;CHAR(34)&amp;",")</f>
        <v/>
      </c>
    </row>
    <row r="1203" spans="1:6" hidden="1">
      <c r="A1203" s="150" t="s">
        <v>65</v>
      </c>
      <c r="B1203" s="130">
        <f ca="1">IFERROR(INDIRECT($B$2&amp;"!"&amp;C1203&amp;D1203),"")</f>
        <v>0</v>
      </c>
      <c r="C1203" s="350" t="s">
        <v>128</v>
      </c>
      <c r="D1203" s="351">
        <f t="shared" ca="1" si="81"/>
        <v>86</v>
      </c>
      <c r="E1203" s="352">
        <v>9</v>
      </c>
      <c r="F1203" s="126" t="str" cm="1">
        <f t="array" aca="1" ref="F1203" ca="1">IF(OR(INDIRECT($B$2&amp;"!AJ14")=$B$845,B1203=0),"",REPT(" ",E1203)&amp;"},")</f>
        <v/>
      </c>
    </row>
    <row r="1204" spans="1:6" hidden="1">
      <c r="A1204" s="150">
        <f ca="1">IFERROR(INDIRECT($B$2&amp;"!"&amp;"C"&amp;D1204),"")</f>
        <v>0</v>
      </c>
      <c r="B1204" s="130">
        <f ca="1">IFERROR(INDIRECT($B$2&amp;"!"&amp;C1204&amp;D1204),"")</f>
        <v>0</v>
      </c>
      <c r="C1204" s="355" t="s">
        <v>128</v>
      </c>
      <c r="D1204" s="351">
        <f t="shared" ca="1" si="81"/>
        <v>87</v>
      </c>
      <c r="E1204" s="352">
        <v>9</v>
      </c>
      <c r="F1204" s="126" t="str">
        <f ca="1">IF(B1204=0,"",REPT(" ",E1204)&amp;"{ column: "&amp;CHAR(34)&amp;A1204&amp;CHAR(34)&amp;",")</f>
        <v/>
      </c>
    </row>
    <row r="1205" spans="1:6" hidden="1">
      <c r="A1205" s="150"/>
      <c r="B1205" s="130" cm="1">
        <f t="array" aca="1" ref="B1205" ca="1">INDIRECT($B$2&amp;"!"&amp;C1205&amp;D1205)</f>
        <v>0</v>
      </c>
      <c r="C1205" s="350" t="s">
        <v>128</v>
      </c>
      <c r="D1205" s="351">
        <f t="shared" ca="1" si="81"/>
        <v>87</v>
      </c>
      <c r="E1205" s="352">
        <v>12</v>
      </c>
      <c r="F1205" s="126" t="str" cm="1">
        <f t="array" aca="1" ref="F1205" ca="1">IF(OR(INDIRECT($B$2&amp;"!AJ14")=$B$845,B1205=0),"",REPT(" ",E1205)&amp;"summaryType: "&amp;CHAR(34)&amp;B1205&amp;CHAR(34)&amp;",")</f>
        <v/>
      </c>
    </row>
    <row r="1206" spans="1:6" hidden="1">
      <c r="A1206" s="150"/>
      <c r="B1206" s="130">
        <f ca="1">IFERROR(INDIRECT($B$2&amp;"!"&amp;C1206&amp;D1206),"")</f>
        <v>0</v>
      </c>
      <c r="C1206" s="350" t="s">
        <v>128</v>
      </c>
      <c r="D1206" s="351">
        <f t="shared" ca="1" si="81"/>
        <v>87</v>
      </c>
      <c r="E1206" s="352">
        <v>12</v>
      </c>
      <c r="F1206" s="126" t="str" cm="1">
        <f t="array" aca="1" ref="F1206" ca="1">IF(OR(INDIRECT($B$2&amp;"!AJ14")=$B$845,B1206=0),"",REPT(" ",E1206)&amp;"displayFormat: "&amp;CHAR(34)&amp;"{0} Items"&amp;CHAR(34)&amp;",")</f>
        <v/>
      </c>
    </row>
    <row r="1207" spans="1:6" hidden="1">
      <c r="A1207" s="150" t="s">
        <v>1037</v>
      </c>
      <c r="B1207" s="130">
        <f ca="1">IFERROR(INDIRECT($B$2&amp;"!"&amp;C1207&amp;D1207),"")</f>
        <v>0</v>
      </c>
      <c r="C1207" s="350" t="s">
        <v>130</v>
      </c>
      <c r="D1207" s="351">
        <f t="shared" ca="1" si="81"/>
        <v>87</v>
      </c>
      <c r="E1207" s="352">
        <v>12</v>
      </c>
      <c r="F1207" s="126" t="str" cm="1">
        <f t="array" aca="1" ref="F1207" ca="1">IF(OR(INDIRECT($B$2&amp;"!AJ14")=$B$845,B1207=0),"",REPT(" ",E1207)&amp;A1207&amp;CHAR(34)&amp;B1207&amp;CHAR(34)&amp;",")</f>
        <v/>
      </c>
    </row>
    <row r="1208" spans="1:6" hidden="1">
      <c r="A1208" s="150" t="s">
        <v>65</v>
      </c>
      <c r="B1208" s="130">
        <f ca="1">IFERROR(INDIRECT($B$2&amp;"!"&amp;C1208&amp;D1208),"")</f>
        <v>0</v>
      </c>
      <c r="C1208" s="350" t="s">
        <v>128</v>
      </c>
      <c r="D1208" s="351">
        <f t="shared" ca="1" si="81"/>
        <v>87</v>
      </c>
      <c r="E1208" s="352">
        <v>9</v>
      </c>
      <c r="F1208" s="126" t="str" cm="1">
        <f t="array" aca="1" ref="F1208" ca="1">IF(OR(INDIRECT($B$2&amp;"!AJ14")=$B$845,B1208=0),"",REPT(" ",E1208)&amp;"},")</f>
        <v/>
      </c>
    </row>
    <row r="1209" spans="1:6" hidden="1">
      <c r="A1209" s="150">
        <f ca="1">IFERROR(INDIRECT($B$2&amp;"!"&amp;"C"&amp;D1209),"")</f>
        <v>0</v>
      </c>
      <c r="B1209" s="130">
        <f ca="1">IFERROR(INDIRECT($B$2&amp;"!"&amp;C1209&amp;D1209),"")</f>
        <v>0</v>
      </c>
      <c r="C1209" s="355" t="s">
        <v>128</v>
      </c>
      <c r="D1209" s="351">
        <f t="shared" ca="1" si="81"/>
        <v>88</v>
      </c>
      <c r="E1209" s="352">
        <v>9</v>
      </c>
      <c r="F1209" s="126" t="str">
        <f ca="1">IF(B1209=0,"",REPT(" ",E1209)&amp;"{ column: "&amp;CHAR(34)&amp;A1209&amp;CHAR(34)&amp;",")</f>
        <v/>
      </c>
    </row>
    <row r="1210" spans="1:6" hidden="1">
      <c r="A1210" s="150"/>
      <c r="B1210" s="130" cm="1">
        <f t="array" aca="1" ref="B1210" ca="1">INDIRECT($B$2&amp;"!"&amp;C1210&amp;D1210)</f>
        <v>0</v>
      </c>
      <c r="C1210" s="350" t="s">
        <v>128</v>
      </c>
      <c r="D1210" s="351">
        <f t="shared" ca="1" si="81"/>
        <v>88</v>
      </c>
      <c r="E1210" s="352">
        <v>12</v>
      </c>
      <c r="F1210" s="126" t="str" cm="1">
        <f t="array" aca="1" ref="F1210" ca="1">IF(OR(INDIRECT($B$2&amp;"!AJ14")=$B$845,B1210=0),"",REPT(" ",E1210)&amp;"summaryType: "&amp;CHAR(34)&amp;B1210&amp;CHAR(34)&amp;",")</f>
        <v/>
      </c>
    </row>
    <row r="1211" spans="1:6" hidden="1">
      <c r="A1211" s="150"/>
      <c r="B1211" s="130">
        <f ca="1">IFERROR(INDIRECT($B$2&amp;"!"&amp;C1211&amp;D1211),"")</f>
        <v>0</v>
      </c>
      <c r="C1211" s="350" t="s">
        <v>128</v>
      </c>
      <c r="D1211" s="351">
        <f t="shared" ca="1" si="81"/>
        <v>88</v>
      </c>
      <c r="E1211" s="352">
        <v>12</v>
      </c>
      <c r="F1211" s="126" t="str" cm="1">
        <f t="array" aca="1" ref="F1211" ca="1">IF(OR(INDIRECT($B$2&amp;"!AJ14")=$B$845,B1211=0),"",REPT(" ",E1211)&amp;"displayFormat: "&amp;CHAR(34)&amp;"{0} Items"&amp;CHAR(34)&amp;",")</f>
        <v/>
      </c>
    </row>
    <row r="1212" spans="1:6" hidden="1">
      <c r="A1212" s="150" t="s">
        <v>1037</v>
      </c>
      <c r="B1212" s="130">
        <f ca="1">IFERROR(INDIRECT($B$2&amp;"!"&amp;C1212&amp;D1212),"")</f>
        <v>0</v>
      </c>
      <c r="C1212" s="350" t="s">
        <v>130</v>
      </c>
      <c r="D1212" s="351">
        <f t="shared" ca="1" si="81"/>
        <v>88</v>
      </c>
      <c r="E1212" s="352">
        <v>12</v>
      </c>
      <c r="F1212" s="126" t="str" cm="1">
        <f t="array" aca="1" ref="F1212" ca="1">IF(OR(INDIRECT($B$2&amp;"!AJ14")=$B$845,B1212=0),"",REPT(" ",E1212)&amp;A1212&amp;CHAR(34)&amp;B1212&amp;CHAR(34)&amp;",")</f>
        <v/>
      </c>
    </row>
    <row r="1213" spans="1:6" hidden="1">
      <c r="A1213" s="150" t="s">
        <v>65</v>
      </c>
      <c r="B1213" s="130">
        <f ca="1">IFERROR(INDIRECT($B$2&amp;"!"&amp;C1213&amp;D1213),"")</f>
        <v>0</v>
      </c>
      <c r="C1213" s="350" t="s">
        <v>128</v>
      </c>
      <c r="D1213" s="351">
        <f t="shared" ca="1" si="81"/>
        <v>88</v>
      </c>
      <c r="E1213" s="352">
        <v>9</v>
      </c>
      <c r="F1213" s="126" t="str" cm="1">
        <f t="array" aca="1" ref="F1213" ca="1">IF(OR(INDIRECT($B$2&amp;"!AJ14")=$B$845,B1213=0),"",REPT(" ",E1213)&amp;"},")</f>
        <v/>
      </c>
    </row>
    <row r="1214" spans="1:6" hidden="1">
      <c r="A1214" s="150">
        <f ca="1">IFERROR(INDIRECT($B$2&amp;"!"&amp;"C"&amp;D1214),"")</f>
        <v>0</v>
      </c>
      <c r="B1214" s="130">
        <f ca="1">IFERROR(INDIRECT($B$2&amp;"!"&amp;C1214&amp;D1214),"")</f>
        <v>0</v>
      </c>
      <c r="C1214" s="355" t="s">
        <v>128</v>
      </c>
      <c r="D1214" s="351">
        <f t="shared" ca="1" si="81"/>
        <v>89</v>
      </c>
      <c r="E1214" s="352">
        <v>9</v>
      </c>
      <c r="F1214" s="126" t="str">
        <f ca="1">IF(B1214=0,"",REPT(" ",E1214)&amp;"{ column: "&amp;CHAR(34)&amp;A1214&amp;CHAR(34)&amp;",")</f>
        <v/>
      </c>
    </row>
    <row r="1215" spans="1:6" hidden="1">
      <c r="A1215" s="150"/>
      <c r="B1215" s="130" cm="1">
        <f t="array" aca="1" ref="B1215" ca="1">INDIRECT($B$2&amp;"!"&amp;C1215&amp;D1215)</f>
        <v>0</v>
      </c>
      <c r="C1215" s="350" t="s">
        <v>128</v>
      </c>
      <c r="D1215" s="351">
        <f t="shared" ca="1" si="81"/>
        <v>89</v>
      </c>
      <c r="E1215" s="352">
        <v>12</v>
      </c>
      <c r="F1215" s="126" t="str" cm="1">
        <f t="array" aca="1" ref="F1215" ca="1">IF(OR(INDIRECT($B$2&amp;"!AJ14")=$B$845,B1215=0),"",REPT(" ",E1215)&amp;"summaryType: "&amp;CHAR(34)&amp;B1215&amp;CHAR(34)&amp;",")</f>
        <v/>
      </c>
    </row>
    <row r="1216" spans="1:6" hidden="1">
      <c r="A1216" s="150"/>
      <c r="B1216" s="130">
        <f ca="1">IFERROR(INDIRECT($B$2&amp;"!"&amp;C1216&amp;D1216),"")</f>
        <v>0</v>
      </c>
      <c r="C1216" s="350" t="s">
        <v>128</v>
      </c>
      <c r="D1216" s="351">
        <f t="shared" ca="1" si="81"/>
        <v>89</v>
      </c>
      <c r="E1216" s="352">
        <v>12</v>
      </c>
      <c r="F1216" s="126" t="str" cm="1">
        <f t="array" aca="1" ref="F1216" ca="1">IF(OR(INDIRECT($B$2&amp;"!AJ14")=$B$845,B1216=0),"",REPT(" ",E1216)&amp;"displayFormat: "&amp;CHAR(34)&amp;"{0} Items"&amp;CHAR(34)&amp;",")</f>
        <v/>
      </c>
    </row>
    <row r="1217" spans="1:6" hidden="1">
      <c r="A1217" s="150" t="s">
        <v>1037</v>
      </c>
      <c r="B1217" s="130">
        <f ca="1">IFERROR(INDIRECT($B$2&amp;"!"&amp;C1217&amp;D1217),"")</f>
        <v>0</v>
      </c>
      <c r="C1217" s="350" t="s">
        <v>130</v>
      </c>
      <c r="D1217" s="351">
        <f t="shared" ca="1" si="81"/>
        <v>89</v>
      </c>
      <c r="E1217" s="352">
        <v>12</v>
      </c>
      <c r="F1217" s="126" t="str" cm="1">
        <f t="array" aca="1" ref="F1217" ca="1">IF(OR(INDIRECT($B$2&amp;"!AJ14")=$B$845,B1217=0),"",REPT(" ",E1217)&amp;A1217&amp;CHAR(34)&amp;B1217&amp;CHAR(34)&amp;",")</f>
        <v/>
      </c>
    </row>
    <row r="1218" spans="1:6" hidden="1">
      <c r="A1218" s="150" t="s">
        <v>65</v>
      </c>
      <c r="B1218" s="130">
        <f ca="1">IFERROR(INDIRECT($B$2&amp;"!"&amp;C1218&amp;D1218),"")</f>
        <v>0</v>
      </c>
      <c r="C1218" s="350" t="s">
        <v>128</v>
      </c>
      <c r="D1218" s="351">
        <f t="shared" ca="1" si="81"/>
        <v>89</v>
      </c>
      <c r="E1218" s="352">
        <v>9</v>
      </c>
      <c r="F1218" s="126" t="str" cm="1">
        <f t="array" aca="1" ref="F1218" ca="1">IF(OR(INDIRECT($B$2&amp;"!AJ14")=$B$845,B1218=0),"",REPT(" ",E1218)&amp;"},")</f>
        <v/>
      </c>
    </row>
    <row r="1219" spans="1:6" hidden="1">
      <c r="A1219" s="150">
        <f ca="1">IFERROR(INDIRECT($B$2&amp;"!"&amp;"C"&amp;D1219),"")</f>
        <v>0</v>
      </c>
      <c r="B1219" s="130">
        <f ca="1">IFERROR(INDIRECT($B$2&amp;"!"&amp;C1219&amp;D1219),"")</f>
        <v>0</v>
      </c>
      <c r="C1219" s="355" t="s">
        <v>128</v>
      </c>
      <c r="D1219" s="351">
        <f t="shared" ca="1" si="81"/>
        <v>90</v>
      </c>
      <c r="E1219" s="352">
        <v>9</v>
      </c>
      <c r="F1219" s="126" t="str">
        <f ca="1">IF(B1219=0,"",REPT(" ",E1219)&amp;"{ column: "&amp;CHAR(34)&amp;A1219&amp;CHAR(34)&amp;",")</f>
        <v/>
      </c>
    </row>
    <row r="1220" spans="1:6" hidden="1">
      <c r="A1220" s="150"/>
      <c r="B1220" s="130" cm="1">
        <f t="array" aca="1" ref="B1220" ca="1">INDIRECT($B$2&amp;"!"&amp;C1220&amp;D1220)</f>
        <v>0</v>
      </c>
      <c r="C1220" s="350" t="s">
        <v>128</v>
      </c>
      <c r="D1220" s="351">
        <f t="shared" ca="1" si="81"/>
        <v>90</v>
      </c>
      <c r="E1220" s="352">
        <v>12</v>
      </c>
      <c r="F1220" s="126" t="str" cm="1">
        <f t="array" aca="1" ref="F1220" ca="1">IF(OR(INDIRECT($B$2&amp;"!AJ14")=$B$845,B1220=0),"",REPT(" ",E1220)&amp;"summaryType: "&amp;CHAR(34)&amp;B1220&amp;CHAR(34)&amp;",")</f>
        <v/>
      </c>
    </row>
    <row r="1221" spans="1:6" hidden="1">
      <c r="A1221" s="150"/>
      <c r="B1221" s="130">
        <f ca="1">IFERROR(INDIRECT($B$2&amp;"!"&amp;C1221&amp;D1221),"")</f>
        <v>0</v>
      </c>
      <c r="C1221" s="350" t="s">
        <v>128</v>
      </c>
      <c r="D1221" s="351">
        <f t="shared" ca="1" si="81"/>
        <v>90</v>
      </c>
      <c r="E1221" s="352">
        <v>12</v>
      </c>
      <c r="F1221" s="126" t="str" cm="1">
        <f t="array" aca="1" ref="F1221" ca="1">IF(OR(INDIRECT($B$2&amp;"!AJ14")=$B$845,B1221=0),"",REPT(" ",E1221)&amp;"displayFormat: "&amp;CHAR(34)&amp;"{0} Items"&amp;CHAR(34)&amp;",")</f>
        <v/>
      </c>
    </row>
    <row r="1222" spans="1:6" hidden="1">
      <c r="A1222" s="150" t="s">
        <v>1037</v>
      </c>
      <c r="B1222" s="130">
        <f ca="1">IFERROR(INDIRECT($B$2&amp;"!"&amp;C1222&amp;D1222),"")</f>
        <v>0</v>
      </c>
      <c r="C1222" s="350" t="s">
        <v>130</v>
      </c>
      <c r="D1222" s="351">
        <f t="shared" ca="1" si="81"/>
        <v>90</v>
      </c>
      <c r="E1222" s="352">
        <v>12</v>
      </c>
      <c r="F1222" s="126" t="str" cm="1">
        <f t="array" aca="1" ref="F1222" ca="1">IF(OR(INDIRECT($B$2&amp;"!AJ14")=$B$845,B1222=0),"",REPT(" ",E1222)&amp;A1222&amp;CHAR(34)&amp;B1222&amp;CHAR(34)&amp;",")</f>
        <v/>
      </c>
    </row>
    <row r="1223" spans="1:6" hidden="1">
      <c r="A1223" s="150" t="s">
        <v>65</v>
      </c>
      <c r="B1223" s="130">
        <f ca="1">IFERROR(INDIRECT($B$2&amp;"!"&amp;C1223&amp;D1223),"")</f>
        <v>0</v>
      </c>
      <c r="C1223" s="350" t="s">
        <v>128</v>
      </c>
      <c r="D1223" s="351">
        <f t="shared" ca="1" si="81"/>
        <v>90</v>
      </c>
      <c r="E1223" s="352">
        <v>9</v>
      </c>
      <c r="F1223" s="126" t="str" cm="1">
        <f t="array" aca="1" ref="F1223" ca="1">IF(OR(INDIRECT($B$2&amp;"!AJ14")=$B$845,B1223=0),"",REPT(" ",E1223)&amp;"},")</f>
        <v/>
      </c>
    </row>
    <row r="1224" spans="1:6" hidden="1">
      <c r="A1224" s="150">
        <f ca="1">IFERROR(INDIRECT($B$2&amp;"!"&amp;"C"&amp;D1224),"")</f>
        <v>0</v>
      </c>
      <c r="B1224" s="130">
        <f ca="1">IFERROR(INDIRECT($B$2&amp;"!"&amp;C1224&amp;D1224),"")</f>
        <v>0</v>
      </c>
      <c r="C1224" s="355" t="s">
        <v>128</v>
      </c>
      <c r="D1224" s="351">
        <f t="shared" ca="1" si="81"/>
        <v>91</v>
      </c>
      <c r="E1224" s="352">
        <v>9</v>
      </c>
      <c r="F1224" s="126" t="str">
        <f ca="1">IF(B1224=0,"",REPT(" ",E1224)&amp;"{ column: "&amp;CHAR(34)&amp;A1224&amp;CHAR(34)&amp;",")</f>
        <v/>
      </c>
    </row>
    <row r="1225" spans="1:6" hidden="1">
      <c r="A1225" s="150"/>
      <c r="B1225" s="130" cm="1">
        <f t="array" aca="1" ref="B1225" ca="1">INDIRECT($B$2&amp;"!"&amp;C1225&amp;D1225)</f>
        <v>0</v>
      </c>
      <c r="C1225" s="350" t="s">
        <v>128</v>
      </c>
      <c r="D1225" s="351">
        <f t="shared" ca="1" si="81"/>
        <v>91</v>
      </c>
      <c r="E1225" s="352">
        <v>12</v>
      </c>
      <c r="F1225" s="126" t="str" cm="1">
        <f t="array" aca="1" ref="F1225" ca="1">IF(OR(INDIRECT($B$2&amp;"!AJ14")=$B$845,B1225=0),"",REPT(" ",E1225)&amp;"summaryType: "&amp;CHAR(34)&amp;B1225&amp;CHAR(34)&amp;",")</f>
        <v/>
      </c>
    </row>
    <row r="1226" spans="1:6" hidden="1">
      <c r="A1226" s="150"/>
      <c r="B1226" s="130">
        <f ca="1">IFERROR(INDIRECT($B$2&amp;"!"&amp;C1226&amp;D1226),"")</f>
        <v>0</v>
      </c>
      <c r="C1226" s="350" t="s">
        <v>128</v>
      </c>
      <c r="D1226" s="351">
        <f t="shared" ca="1" si="81"/>
        <v>91</v>
      </c>
      <c r="E1226" s="352">
        <v>12</v>
      </c>
      <c r="F1226" s="126" t="str" cm="1">
        <f t="array" aca="1" ref="F1226" ca="1">IF(OR(INDIRECT($B$2&amp;"!AJ14")=$B$845,B1226=0),"",REPT(" ",E1226)&amp;"displayFormat: "&amp;CHAR(34)&amp;"{0} Items"&amp;CHAR(34)&amp;",")</f>
        <v/>
      </c>
    </row>
    <row r="1227" spans="1:6" hidden="1">
      <c r="A1227" s="150" t="s">
        <v>1037</v>
      </c>
      <c r="B1227" s="130">
        <f ca="1">IFERROR(INDIRECT($B$2&amp;"!"&amp;C1227&amp;D1227),"")</f>
        <v>0</v>
      </c>
      <c r="C1227" s="350" t="s">
        <v>130</v>
      </c>
      <c r="D1227" s="351">
        <f t="shared" ca="1" si="81"/>
        <v>91</v>
      </c>
      <c r="E1227" s="352">
        <v>12</v>
      </c>
      <c r="F1227" s="126" t="str" cm="1">
        <f t="array" aca="1" ref="F1227" ca="1">IF(OR(INDIRECT($B$2&amp;"!AJ14")=$B$845,B1227=0),"",REPT(" ",E1227)&amp;A1227&amp;CHAR(34)&amp;B1227&amp;CHAR(34)&amp;",")</f>
        <v/>
      </c>
    </row>
    <row r="1228" spans="1:6" hidden="1">
      <c r="A1228" s="150" t="s">
        <v>65</v>
      </c>
      <c r="B1228" s="130">
        <f ca="1">IFERROR(INDIRECT($B$2&amp;"!"&amp;C1228&amp;D1228),"")</f>
        <v>0</v>
      </c>
      <c r="C1228" s="350" t="s">
        <v>128</v>
      </c>
      <c r="D1228" s="351">
        <f t="shared" ca="1" si="81"/>
        <v>91</v>
      </c>
      <c r="E1228" s="352">
        <v>9</v>
      </c>
      <c r="F1228" s="126" t="str" cm="1">
        <f t="array" aca="1" ref="F1228" ca="1">IF(OR(INDIRECT($B$2&amp;"!AJ14")=$B$845,B1228=0),"",REPT(" ",E1228)&amp;"},")</f>
        <v/>
      </c>
    </row>
    <row r="1229" spans="1:6" hidden="1">
      <c r="A1229" s="150">
        <f ca="1">IFERROR(INDIRECT($B$2&amp;"!"&amp;"C"&amp;D1229),"")</f>
        <v>0</v>
      </c>
      <c r="B1229" s="130">
        <f ca="1">IFERROR(INDIRECT($B$2&amp;"!"&amp;C1229&amp;D1229),"")</f>
        <v>0</v>
      </c>
      <c r="C1229" s="355" t="s">
        <v>128</v>
      </c>
      <c r="D1229" s="351">
        <f t="shared" ca="1" si="81"/>
        <v>92</v>
      </c>
      <c r="E1229" s="352">
        <v>9</v>
      </c>
      <c r="F1229" s="126" t="str">
        <f ca="1">IF(B1229=0,"",REPT(" ",E1229)&amp;"{ column: "&amp;CHAR(34)&amp;A1229&amp;CHAR(34)&amp;",")</f>
        <v/>
      </c>
    </row>
    <row r="1230" spans="1:6" hidden="1">
      <c r="A1230" s="150"/>
      <c r="B1230" s="130" cm="1">
        <f t="array" aca="1" ref="B1230" ca="1">INDIRECT($B$2&amp;"!"&amp;C1230&amp;D1230)</f>
        <v>0</v>
      </c>
      <c r="C1230" s="350" t="s">
        <v>128</v>
      </c>
      <c r="D1230" s="351">
        <f t="shared" ca="1" si="81"/>
        <v>92</v>
      </c>
      <c r="E1230" s="352">
        <v>12</v>
      </c>
      <c r="F1230" s="126" t="str" cm="1">
        <f t="array" aca="1" ref="F1230" ca="1">IF(OR(INDIRECT($B$2&amp;"!AJ14")=$B$845,B1230=0),"",REPT(" ",E1230)&amp;"summaryType: "&amp;CHAR(34)&amp;B1230&amp;CHAR(34)&amp;",")</f>
        <v/>
      </c>
    </row>
    <row r="1231" spans="1:6" hidden="1">
      <c r="A1231" s="150"/>
      <c r="B1231" s="130">
        <f ca="1">IFERROR(INDIRECT($B$2&amp;"!"&amp;C1231&amp;D1231),"")</f>
        <v>0</v>
      </c>
      <c r="C1231" s="350" t="s">
        <v>128</v>
      </c>
      <c r="D1231" s="351">
        <f t="shared" ca="1" si="81"/>
        <v>92</v>
      </c>
      <c r="E1231" s="352">
        <v>12</v>
      </c>
      <c r="F1231" s="126" t="str" cm="1">
        <f t="array" aca="1" ref="F1231" ca="1">IF(OR(INDIRECT($B$2&amp;"!AJ14")=$B$845,B1231=0),"",REPT(" ",E1231)&amp;"displayFormat: "&amp;CHAR(34)&amp;"{0} Items"&amp;CHAR(34)&amp;",")</f>
        <v/>
      </c>
    </row>
    <row r="1232" spans="1:6" hidden="1">
      <c r="A1232" s="150" t="s">
        <v>1037</v>
      </c>
      <c r="B1232" s="130">
        <f ca="1">IFERROR(INDIRECT($B$2&amp;"!"&amp;C1232&amp;D1232),"")</f>
        <v>0</v>
      </c>
      <c r="C1232" s="350" t="s">
        <v>130</v>
      </c>
      <c r="D1232" s="351">
        <f t="shared" ca="1" si="81"/>
        <v>92</v>
      </c>
      <c r="E1232" s="352">
        <v>12</v>
      </c>
      <c r="F1232" s="126" t="str" cm="1">
        <f t="array" aca="1" ref="F1232" ca="1">IF(OR(INDIRECT($B$2&amp;"!AJ14")=$B$845,B1232=0),"",REPT(" ",E1232)&amp;A1232&amp;CHAR(34)&amp;B1232&amp;CHAR(34)&amp;",")</f>
        <v/>
      </c>
    </row>
    <row r="1233" spans="1:6" hidden="1">
      <c r="A1233" s="150" t="s">
        <v>65</v>
      </c>
      <c r="B1233" s="130">
        <f ca="1">IFERROR(INDIRECT($B$2&amp;"!"&amp;C1233&amp;D1233),"")</f>
        <v>0</v>
      </c>
      <c r="C1233" s="350" t="s">
        <v>128</v>
      </c>
      <c r="D1233" s="351">
        <f t="shared" ca="1" si="81"/>
        <v>92</v>
      </c>
      <c r="E1233" s="352">
        <v>9</v>
      </c>
      <c r="F1233" s="126" t="str" cm="1">
        <f t="array" aca="1" ref="F1233" ca="1">IF(OR(INDIRECT($B$2&amp;"!AJ14")=$B$845,B1233=0),"",REPT(" ",E1233)&amp;"},")</f>
        <v/>
      </c>
    </row>
    <row r="1234" spans="1:6" hidden="1">
      <c r="A1234" s="150">
        <f ca="1">IFERROR(INDIRECT($B$2&amp;"!"&amp;"C"&amp;D1234),"")</f>
        <v>0</v>
      </c>
      <c r="B1234" s="130">
        <f ca="1">IFERROR(INDIRECT($B$2&amp;"!"&amp;C1234&amp;D1234),"")</f>
        <v>0</v>
      </c>
      <c r="C1234" s="355" t="s">
        <v>128</v>
      </c>
      <c r="D1234" s="351">
        <f t="shared" ref="D1234:D1297" ca="1" si="82">IF(TRIM(A1233)="N",1,0)+D1233</f>
        <v>93</v>
      </c>
      <c r="E1234" s="352">
        <v>9</v>
      </c>
      <c r="F1234" s="126" t="str">
        <f ca="1">IF(B1234=0,"",REPT(" ",E1234)&amp;"{ column: "&amp;CHAR(34)&amp;A1234&amp;CHAR(34)&amp;",")</f>
        <v/>
      </c>
    </row>
    <row r="1235" spans="1:6" hidden="1">
      <c r="A1235" s="150"/>
      <c r="B1235" s="130" cm="1">
        <f t="array" aca="1" ref="B1235" ca="1">INDIRECT($B$2&amp;"!"&amp;C1235&amp;D1235)</f>
        <v>0</v>
      </c>
      <c r="C1235" s="350" t="s">
        <v>128</v>
      </c>
      <c r="D1235" s="351">
        <f t="shared" ca="1" si="82"/>
        <v>93</v>
      </c>
      <c r="E1235" s="352">
        <v>12</v>
      </c>
      <c r="F1235" s="126" t="str" cm="1">
        <f t="array" aca="1" ref="F1235" ca="1">IF(OR(INDIRECT($B$2&amp;"!AJ14")=$B$845,B1235=0),"",REPT(" ",E1235)&amp;"summaryType: "&amp;CHAR(34)&amp;B1235&amp;CHAR(34)&amp;",")</f>
        <v/>
      </c>
    </row>
    <row r="1236" spans="1:6" hidden="1">
      <c r="A1236" s="150"/>
      <c r="B1236" s="130">
        <f ca="1">IFERROR(INDIRECT($B$2&amp;"!"&amp;C1236&amp;D1236),"")</f>
        <v>0</v>
      </c>
      <c r="C1236" s="350" t="s">
        <v>128</v>
      </c>
      <c r="D1236" s="351">
        <f t="shared" ca="1" si="82"/>
        <v>93</v>
      </c>
      <c r="E1236" s="352">
        <v>12</v>
      </c>
      <c r="F1236" s="126" t="str" cm="1">
        <f t="array" aca="1" ref="F1236" ca="1">IF(OR(INDIRECT($B$2&amp;"!AJ14")=$B$845,B1236=0),"",REPT(" ",E1236)&amp;"displayFormat: "&amp;CHAR(34)&amp;"{0} Items"&amp;CHAR(34)&amp;",")</f>
        <v/>
      </c>
    </row>
    <row r="1237" spans="1:6" hidden="1">
      <c r="A1237" s="150" t="s">
        <v>1037</v>
      </c>
      <c r="B1237" s="130">
        <f ca="1">IFERROR(INDIRECT($B$2&amp;"!"&amp;C1237&amp;D1237),"")</f>
        <v>0</v>
      </c>
      <c r="C1237" s="350" t="s">
        <v>130</v>
      </c>
      <c r="D1237" s="351">
        <f t="shared" ca="1" si="82"/>
        <v>93</v>
      </c>
      <c r="E1237" s="352">
        <v>12</v>
      </c>
      <c r="F1237" s="126" t="str" cm="1">
        <f t="array" aca="1" ref="F1237" ca="1">IF(OR(INDIRECT($B$2&amp;"!AJ14")=$B$845,B1237=0),"",REPT(" ",E1237)&amp;A1237&amp;CHAR(34)&amp;B1237&amp;CHAR(34)&amp;",")</f>
        <v/>
      </c>
    </row>
    <row r="1238" spans="1:6" hidden="1">
      <c r="A1238" s="150" t="s">
        <v>65</v>
      </c>
      <c r="B1238" s="130">
        <f ca="1">IFERROR(INDIRECT($B$2&amp;"!"&amp;C1238&amp;D1238),"")</f>
        <v>0</v>
      </c>
      <c r="C1238" s="350" t="s">
        <v>128</v>
      </c>
      <c r="D1238" s="351">
        <f t="shared" ca="1" si="82"/>
        <v>93</v>
      </c>
      <c r="E1238" s="352">
        <v>9</v>
      </c>
      <c r="F1238" s="126" t="str" cm="1">
        <f t="array" aca="1" ref="F1238" ca="1">IF(OR(INDIRECT($B$2&amp;"!AJ14")=$B$845,B1238=0),"",REPT(" ",E1238)&amp;"},")</f>
        <v/>
      </c>
    </row>
    <row r="1239" spans="1:6" hidden="1">
      <c r="A1239" s="150">
        <f ca="1">IFERROR(INDIRECT($B$2&amp;"!"&amp;"C"&amp;D1239),"")</f>
        <v>0</v>
      </c>
      <c r="B1239" s="130">
        <f ca="1">IFERROR(INDIRECT($B$2&amp;"!"&amp;C1239&amp;D1239),"")</f>
        <v>0</v>
      </c>
      <c r="C1239" s="355" t="s">
        <v>128</v>
      </c>
      <c r="D1239" s="351">
        <f t="shared" ca="1" si="82"/>
        <v>94</v>
      </c>
      <c r="E1239" s="352">
        <v>9</v>
      </c>
      <c r="F1239" s="126" t="str">
        <f ca="1">IF(B1239=0,"",REPT(" ",E1239)&amp;"{ column: "&amp;CHAR(34)&amp;A1239&amp;CHAR(34)&amp;",")</f>
        <v/>
      </c>
    </row>
    <row r="1240" spans="1:6" hidden="1">
      <c r="A1240" s="150"/>
      <c r="B1240" s="130" cm="1">
        <f t="array" aca="1" ref="B1240" ca="1">INDIRECT($B$2&amp;"!"&amp;C1240&amp;D1240)</f>
        <v>0</v>
      </c>
      <c r="C1240" s="350" t="s">
        <v>128</v>
      </c>
      <c r="D1240" s="351">
        <f t="shared" ca="1" si="82"/>
        <v>94</v>
      </c>
      <c r="E1240" s="352">
        <v>12</v>
      </c>
      <c r="F1240" s="126" t="str" cm="1">
        <f t="array" aca="1" ref="F1240" ca="1">IF(OR(INDIRECT($B$2&amp;"!AJ14")=$B$845,B1240=0),"",REPT(" ",E1240)&amp;"summaryType: "&amp;CHAR(34)&amp;B1240&amp;CHAR(34)&amp;",")</f>
        <v/>
      </c>
    </row>
    <row r="1241" spans="1:6" hidden="1">
      <c r="A1241" s="150"/>
      <c r="B1241" s="130">
        <f ca="1">IFERROR(INDIRECT($B$2&amp;"!"&amp;C1241&amp;D1241),"")</f>
        <v>0</v>
      </c>
      <c r="C1241" s="350" t="s">
        <v>128</v>
      </c>
      <c r="D1241" s="351">
        <f t="shared" ca="1" si="82"/>
        <v>94</v>
      </c>
      <c r="E1241" s="352">
        <v>12</v>
      </c>
      <c r="F1241" s="126" t="str" cm="1">
        <f t="array" aca="1" ref="F1241" ca="1">IF(OR(INDIRECT($B$2&amp;"!AJ14")=$B$845,B1241=0),"",REPT(" ",E1241)&amp;"displayFormat: "&amp;CHAR(34)&amp;"{0} Items"&amp;CHAR(34)&amp;",")</f>
        <v/>
      </c>
    </row>
    <row r="1242" spans="1:6" hidden="1">
      <c r="A1242" s="150" t="s">
        <v>1037</v>
      </c>
      <c r="B1242" s="130">
        <f ca="1">IFERROR(INDIRECT($B$2&amp;"!"&amp;C1242&amp;D1242),"")</f>
        <v>0</v>
      </c>
      <c r="C1242" s="350" t="s">
        <v>130</v>
      </c>
      <c r="D1242" s="351">
        <f t="shared" ca="1" si="82"/>
        <v>94</v>
      </c>
      <c r="E1242" s="352">
        <v>12</v>
      </c>
      <c r="F1242" s="126" t="str" cm="1">
        <f t="array" aca="1" ref="F1242" ca="1">IF(OR(INDIRECT($B$2&amp;"!AJ14")=$B$845,B1242=0),"",REPT(" ",E1242)&amp;A1242&amp;CHAR(34)&amp;B1242&amp;CHAR(34)&amp;",")</f>
        <v/>
      </c>
    </row>
    <row r="1243" spans="1:6" hidden="1">
      <c r="A1243" s="150" t="s">
        <v>65</v>
      </c>
      <c r="B1243" s="130">
        <f ca="1">IFERROR(INDIRECT($B$2&amp;"!"&amp;C1243&amp;D1243),"")</f>
        <v>0</v>
      </c>
      <c r="C1243" s="350" t="s">
        <v>128</v>
      </c>
      <c r="D1243" s="351">
        <f t="shared" ca="1" si="82"/>
        <v>94</v>
      </c>
      <c r="E1243" s="352">
        <v>9</v>
      </c>
      <c r="F1243" s="126" t="str" cm="1">
        <f t="array" aca="1" ref="F1243" ca="1">IF(OR(INDIRECT($B$2&amp;"!AJ14")=$B$845,B1243=0),"",REPT(" ",E1243)&amp;"},")</f>
        <v/>
      </c>
    </row>
    <row r="1244" spans="1:6" hidden="1">
      <c r="A1244" s="150">
        <f ca="1">IFERROR(INDIRECT($B$2&amp;"!"&amp;"C"&amp;D1244),"")</f>
        <v>0</v>
      </c>
      <c r="B1244" s="130">
        <f ca="1">IFERROR(INDIRECT($B$2&amp;"!"&amp;C1244&amp;D1244),"")</f>
        <v>0</v>
      </c>
      <c r="C1244" s="355" t="s">
        <v>128</v>
      </c>
      <c r="D1244" s="351">
        <f t="shared" ca="1" si="82"/>
        <v>95</v>
      </c>
      <c r="E1244" s="352">
        <v>9</v>
      </c>
      <c r="F1244" s="126" t="str">
        <f ca="1">IF(B1244=0,"",REPT(" ",E1244)&amp;"{ column: "&amp;CHAR(34)&amp;A1244&amp;CHAR(34)&amp;",")</f>
        <v/>
      </c>
    </row>
    <row r="1245" spans="1:6" hidden="1">
      <c r="A1245" s="150"/>
      <c r="B1245" s="130" cm="1">
        <f t="array" aca="1" ref="B1245" ca="1">INDIRECT($B$2&amp;"!"&amp;C1245&amp;D1245)</f>
        <v>0</v>
      </c>
      <c r="C1245" s="350" t="s">
        <v>128</v>
      </c>
      <c r="D1245" s="351">
        <f t="shared" ca="1" si="82"/>
        <v>95</v>
      </c>
      <c r="E1245" s="352">
        <v>12</v>
      </c>
      <c r="F1245" s="126" t="str" cm="1">
        <f t="array" aca="1" ref="F1245" ca="1">IF(OR(INDIRECT($B$2&amp;"!AJ14")=$B$845,B1245=0),"",REPT(" ",E1245)&amp;"summaryType: "&amp;CHAR(34)&amp;B1245&amp;CHAR(34)&amp;",")</f>
        <v/>
      </c>
    </row>
    <row r="1246" spans="1:6" hidden="1">
      <c r="A1246" s="150"/>
      <c r="B1246" s="130">
        <f ca="1">IFERROR(INDIRECT($B$2&amp;"!"&amp;C1246&amp;D1246),"")</f>
        <v>0</v>
      </c>
      <c r="C1246" s="350" t="s">
        <v>128</v>
      </c>
      <c r="D1246" s="351">
        <f t="shared" ca="1" si="82"/>
        <v>95</v>
      </c>
      <c r="E1246" s="352">
        <v>12</v>
      </c>
      <c r="F1246" s="126" t="str" cm="1">
        <f t="array" aca="1" ref="F1246" ca="1">IF(OR(INDIRECT($B$2&amp;"!AJ14")=$B$845,B1246=0),"",REPT(" ",E1246)&amp;"displayFormat: "&amp;CHAR(34)&amp;"{0} Items"&amp;CHAR(34)&amp;",")</f>
        <v/>
      </c>
    </row>
    <row r="1247" spans="1:6" hidden="1">
      <c r="A1247" s="150" t="s">
        <v>1037</v>
      </c>
      <c r="B1247" s="130">
        <f ca="1">IFERROR(INDIRECT($B$2&amp;"!"&amp;C1247&amp;D1247),"")</f>
        <v>0</v>
      </c>
      <c r="C1247" s="350" t="s">
        <v>130</v>
      </c>
      <c r="D1247" s="351">
        <f t="shared" ca="1" si="82"/>
        <v>95</v>
      </c>
      <c r="E1247" s="352">
        <v>12</v>
      </c>
      <c r="F1247" s="126" t="str" cm="1">
        <f t="array" aca="1" ref="F1247" ca="1">IF(OR(INDIRECT($B$2&amp;"!AJ14")=$B$845,B1247=0),"",REPT(" ",E1247)&amp;A1247&amp;CHAR(34)&amp;B1247&amp;CHAR(34)&amp;",")</f>
        <v/>
      </c>
    </row>
    <row r="1248" spans="1:6" hidden="1">
      <c r="A1248" s="150" t="s">
        <v>65</v>
      </c>
      <c r="B1248" s="130">
        <f ca="1">IFERROR(INDIRECT($B$2&amp;"!"&amp;C1248&amp;D1248),"")</f>
        <v>0</v>
      </c>
      <c r="C1248" s="350" t="s">
        <v>128</v>
      </c>
      <c r="D1248" s="351">
        <f t="shared" ca="1" si="82"/>
        <v>95</v>
      </c>
      <c r="E1248" s="352">
        <v>9</v>
      </c>
      <c r="F1248" s="126" t="str" cm="1">
        <f t="array" aca="1" ref="F1248" ca="1">IF(OR(INDIRECT($B$2&amp;"!AJ14")=$B$845,B1248=0),"",REPT(" ",E1248)&amp;"},")</f>
        <v/>
      </c>
    </row>
    <row r="1249" spans="1:6" hidden="1">
      <c r="A1249" s="150">
        <f ca="1">IFERROR(INDIRECT($B$2&amp;"!"&amp;"C"&amp;D1249),"")</f>
        <v>0</v>
      </c>
      <c r="B1249" s="130">
        <f ca="1">IFERROR(INDIRECT($B$2&amp;"!"&amp;C1249&amp;D1249),"")</f>
        <v>0</v>
      </c>
      <c r="C1249" s="355" t="s">
        <v>128</v>
      </c>
      <c r="D1249" s="351">
        <f t="shared" ca="1" si="82"/>
        <v>96</v>
      </c>
      <c r="E1249" s="352">
        <v>9</v>
      </c>
      <c r="F1249" s="126" t="str">
        <f ca="1">IF(B1249=0,"",REPT(" ",E1249)&amp;"{ column: "&amp;CHAR(34)&amp;A1249&amp;CHAR(34)&amp;",")</f>
        <v/>
      </c>
    </row>
    <row r="1250" spans="1:6" hidden="1">
      <c r="A1250" s="150"/>
      <c r="B1250" s="130" cm="1">
        <f t="array" aca="1" ref="B1250" ca="1">INDIRECT($B$2&amp;"!"&amp;C1250&amp;D1250)</f>
        <v>0</v>
      </c>
      <c r="C1250" s="350" t="s">
        <v>128</v>
      </c>
      <c r="D1250" s="351">
        <f t="shared" ca="1" si="82"/>
        <v>96</v>
      </c>
      <c r="E1250" s="352">
        <v>12</v>
      </c>
      <c r="F1250" s="126" t="str" cm="1">
        <f t="array" aca="1" ref="F1250" ca="1">IF(OR(INDIRECT($B$2&amp;"!AJ14")=$B$845,B1250=0),"",REPT(" ",E1250)&amp;"summaryType: "&amp;CHAR(34)&amp;B1250&amp;CHAR(34)&amp;",")</f>
        <v/>
      </c>
    </row>
    <row r="1251" spans="1:6" hidden="1">
      <c r="A1251" s="150"/>
      <c r="B1251" s="130">
        <f ca="1">IFERROR(INDIRECT($B$2&amp;"!"&amp;C1251&amp;D1251),"")</f>
        <v>0</v>
      </c>
      <c r="C1251" s="350" t="s">
        <v>128</v>
      </c>
      <c r="D1251" s="351">
        <f t="shared" ca="1" si="82"/>
        <v>96</v>
      </c>
      <c r="E1251" s="352">
        <v>12</v>
      </c>
      <c r="F1251" s="126" t="str" cm="1">
        <f t="array" aca="1" ref="F1251" ca="1">IF(OR(INDIRECT($B$2&amp;"!AJ14")=$B$845,B1251=0),"",REPT(" ",E1251)&amp;"displayFormat: "&amp;CHAR(34)&amp;"{0} Items"&amp;CHAR(34)&amp;",")</f>
        <v/>
      </c>
    </row>
    <row r="1252" spans="1:6" hidden="1">
      <c r="A1252" s="150" t="s">
        <v>1037</v>
      </c>
      <c r="B1252" s="130">
        <f ca="1">IFERROR(INDIRECT($B$2&amp;"!"&amp;C1252&amp;D1252),"")</f>
        <v>0</v>
      </c>
      <c r="C1252" s="350" t="s">
        <v>130</v>
      </c>
      <c r="D1252" s="351">
        <f t="shared" ca="1" si="82"/>
        <v>96</v>
      </c>
      <c r="E1252" s="352">
        <v>12</v>
      </c>
      <c r="F1252" s="126" t="str" cm="1">
        <f t="array" aca="1" ref="F1252" ca="1">IF(OR(INDIRECT($B$2&amp;"!AJ14")=$B$845,B1252=0),"",REPT(" ",E1252)&amp;A1252&amp;CHAR(34)&amp;B1252&amp;CHAR(34)&amp;",")</f>
        <v/>
      </c>
    </row>
    <row r="1253" spans="1:6" hidden="1">
      <c r="A1253" s="150" t="s">
        <v>65</v>
      </c>
      <c r="B1253" s="130">
        <f ca="1">IFERROR(INDIRECT($B$2&amp;"!"&amp;C1253&amp;D1253),"")</f>
        <v>0</v>
      </c>
      <c r="C1253" s="350" t="s">
        <v>128</v>
      </c>
      <c r="D1253" s="351">
        <f t="shared" ca="1" si="82"/>
        <v>96</v>
      </c>
      <c r="E1253" s="352">
        <v>9</v>
      </c>
      <c r="F1253" s="126" t="str" cm="1">
        <f t="array" aca="1" ref="F1253" ca="1">IF(OR(INDIRECT($B$2&amp;"!AJ14")=$B$845,B1253=0),"",REPT(" ",E1253)&amp;"},")</f>
        <v/>
      </c>
    </row>
    <row r="1254" spans="1:6" hidden="1">
      <c r="A1254" s="150">
        <f ca="1">IFERROR(INDIRECT($B$2&amp;"!"&amp;"C"&amp;D1254),"")</f>
        <v>0</v>
      </c>
      <c r="B1254" s="130">
        <f ca="1">IFERROR(INDIRECT($B$2&amp;"!"&amp;C1254&amp;D1254),"")</f>
        <v>0</v>
      </c>
      <c r="C1254" s="355" t="s">
        <v>128</v>
      </c>
      <c r="D1254" s="351">
        <f t="shared" ca="1" si="82"/>
        <v>97</v>
      </c>
      <c r="E1254" s="352">
        <v>9</v>
      </c>
      <c r="F1254" s="126" t="str">
        <f ca="1">IF(B1254=0,"",REPT(" ",E1254)&amp;"{ column: "&amp;CHAR(34)&amp;A1254&amp;CHAR(34)&amp;",")</f>
        <v/>
      </c>
    </row>
    <row r="1255" spans="1:6" hidden="1">
      <c r="A1255" s="150"/>
      <c r="B1255" s="130" cm="1">
        <f t="array" aca="1" ref="B1255" ca="1">INDIRECT($B$2&amp;"!"&amp;C1255&amp;D1255)</f>
        <v>0</v>
      </c>
      <c r="C1255" s="350" t="s">
        <v>128</v>
      </c>
      <c r="D1255" s="351">
        <f t="shared" ca="1" si="82"/>
        <v>97</v>
      </c>
      <c r="E1255" s="352">
        <v>12</v>
      </c>
      <c r="F1255" s="126" t="str" cm="1">
        <f t="array" aca="1" ref="F1255" ca="1">IF(OR(INDIRECT($B$2&amp;"!AJ14")=$B$845,B1255=0),"",REPT(" ",E1255)&amp;"summaryType: "&amp;CHAR(34)&amp;B1255&amp;CHAR(34)&amp;",")</f>
        <v/>
      </c>
    </row>
    <row r="1256" spans="1:6" hidden="1">
      <c r="A1256" s="150"/>
      <c r="B1256" s="130">
        <f ca="1">IFERROR(INDIRECT($B$2&amp;"!"&amp;C1256&amp;D1256),"")</f>
        <v>0</v>
      </c>
      <c r="C1256" s="350" t="s">
        <v>128</v>
      </c>
      <c r="D1256" s="351">
        <f t="shared" ca="1" si="82"/>
        <v>97</v>
      </c>
      <c r="E1256" s="352">
        <v>12</v>
      </c>
      <c r="F1256" s="126" t="str" cm="1">
        <f t="array" aca="1" ref="F1256" ca="1">IF(OR(INDIRECT($B$2&amp;"!AJ14")=$B$845,B1256=0),"",REPT(" ",E1256)&amp;"displayFormat: "&amp;CHAR(34)&amp;"{0} Items"&amp;CHAR(34)&amp;",")</f>
        <v/>
      </c>
    </row>
    <row r="1257" spans="1:6" hidden="1">
      <c r="A1257" s="150" t="s">
        <v>1037</v>
      </c>
      <c r="B1257" s="130">
        <f ca="1">IFERROR(INDIRECT($B$2&amp;"!"&amp;C1257&amp;D1257),"")</f>
        <v>0</v>
      </c>
      <c r="C1257" s="350" t="s">
        <v>130</v>
      </c>
      <c r="D1257" s="351">
        <f t="shared" ca="1" si="82"/>
        <v>97</v>
      </c>
      <c r="E1257" s="352">
        <v>12</v>
      </c>
      <c r="F1257" s="126" t="str" cm="1">
        <f t="array" aca="1" ref="F1257" ca="1">IF(OR(INDIRECT($B$2&amp;"!AJ14")=$B$845,B1257=0),"",REPT(" ",E1257)&amp;A1257&amp;CHAR(34)&amp;B1257&amp;CHAR(34)&amp;",")</f>
        <v/>
      </c>
    </row>
    <row r="1258" spans="1:6" hidden="1">
      <c r="A1258" s="150" t="s">
        <v>65</v>
      </c>
      <c r="B1258" s="130">
        <f ca="1">IFERROR(INDIRECT($B$2&amp;"!"&amp;C1258&amp;D1258),"")</f>
        <v>0</v>
      </c>
      <c r="C1258" s="350" t="s">
        <v>128</v>
      </c>
      <c r="D1258" s="351">
        <f t="shared" ca="1" si="82"/>
        <v>97</v>
      </c>
      <c r="E1258" s="352">
        <v>9</v>
      </c>
      <c r="F1258" s="126" t="str" cm="1">
        <f t="array" aca="1" ref="F1258" ca="1">IF(OR(INDIRECT($B$2&amp;"!AJ14")=$B$845,B1258=0),"",REPT(" ",E1258)&amp;"},")</f>
        <v/>
      </c>
    </row>
    <row r="1259" spans="1:6" hidden="1">
      <c r="A1259" s="150">
        <f ca="1">IFERROR(INDIRECT($B$2&amp;"!"&amp;"C"&amp;D1259),"")</f>
        <v>0</v>
      </c>
      <c r="B1259" s="130">
        <f ca="1">IFERROR(INDIRECT($B$2&amp;"!"&amp;C1259&amp;D1259),"")</f>
        <v>0</v>
      </c>
      <c r="C1259" s="355" t="s">
        <v>128</v>
      </c>
      <c r="D1259" s="351">
        <f t="shared" ca="1" si="82"/>
        <v>98</v>
      </c>
      <c r="E1259" s="352">
        <v>9</v>
      </c>
      <c r="F1259" s="126" t="str">
        <f ca="1">IF(B1259=0,"",REPT(" ",E1259)&amp;"{ column: "&amp;CHAR(34)&amp;A1259&amp;CHAR(34)&amp;",")</f>
        <v/>
      </c>
    </row>
    <row r="1260" spans="1:6" hidden="1">
      <c r="A1260" s="150"/>
      <c r="B1260" s="130" cm="1">
        <f t="array" aca="1" ref="B1260" ca="1">INDIRECT($B$2&amp;"!"&amp;C1260&amp;D1260)</f>
        <v>0</v>
      </c>
      <c r="C1260" s="350" t="s">
        <v>128</v>
      </c>
      <c r="D1260" s="351">
        <f t="shared" ca="1" si="82"/>
        <v>98</v>
      </c>
      <c r="E1260" s="352">
        <v>12</v>
      </c>
      <c r="F1260" s="126" t="str" cm="1">
        <f t="array" aca="1" ref="F1260" ca="1">IF(OR(INDIRECT($B$2&amp;"!AJ14")=$B$845,B1260=0),"",REPT(" ",E1260)&amp;"summaryType: "&amp;CHAR(34)&amp;B1260&amp;CHAR(34)&amp;",")</f>
        <v/>
      </c>
    </row>
    <row r="1261" spans="1:6" hidden="1">
      <c r="A1261" s="150"/>
      <c r="B1261" s="130">
        <f ca="1">IFERROR(INDIRECT($B$2&amp;"!"&amp;C1261&amp;D1261),"")</f>
        <v>0</v>
      </c>
      <c r="C1261" s="350" t="s">
        <v>128</v>
      </c>
      <c r="D1261" s="351">
        <f t="shared" ca="1" si="82"/>
        <v>98</v>
      </c>
      <c r="E1261" s="352">
        <v>12</v>
      </c>
      <c r="F1261" s="126" t="str" cm="1">
        <f t="array" aca="1" ref="F1261" ca="1">IF(OR(INDIRECT($B$2&amp;"!AJ14")=$B$845,B1261=0),"",REPT(" ",E1261)&amp;"displayFormat: "&amp;CHAR(34)&amp;"{0} Items"&amp;CHAR(34)&amp;",")</f>
        <v/>
      </c>
    </row>
    <row r="1262" spans="1:6" hidden="1">
      <c r="A1262" s="150" t="s">
        <v>1037</v>
      </c>
      <c r="B1262" s="130">
        <f ca="1">IFERROR(INDIRECT($B$2&amp;"!"&amp;C1262&amp;D1262),"")</f>
        <v>0</v>
      </c>
      <c r="C1262" s="350" t="s">
        <v>130</v>
      </c>
      <c r="D1262" s="351">
        <f t="shared" ca="1" si="82"/>
        <v>98</v>
      </c>
      <c r="E1262" s="352">
        <v>12</v>
      </c>
      <c r="F1262" s="126" t="str" cm="1">
        <f t="array" aca="1" ref="F1262" ca="1">IF(OR(INDIRECT($B$2&amp;"!AJ14")=$B$845,B1262=0),"",REPT(" ",E1262)&amp;A1262&amp;CHAR(34)&amp;B1262&amp;CHAR(34)&amp;",")</f>
        <v/>
      </c>
    </row>
    <row r="1263" spans="1:6" hidden="1">
      <c r="A1263" s="150" t="s">
        <v>65</v>
      </c>
      <c r="B1263" s="130">
        <f ca="1">IFERROR(INDIRECT($B$2&amp;"!"&amp;C1263&amp;D1263),"")</f>
        <v>0</v>
      </c>
      <c r="C1263" s="350" t="s">
        <v>128</v>
      </c>
      <c r="D1263" s="351">
        <f t="shared" ca="1" si="82"/>
        <v>98</v>
      </c>
      <c r="E1263" s="352">
        <v>9</v>
      </c>
      <c r="F1263" s="126" t="str" cm="1">
        <f t="array" aca="1" ref="F1263" ca="1">IF(OR(INDIRECT($B$2&amp;"!AJ14")=$B$845,B1263=0),"",REPT(" ",E1263)&amp;"},")</f>
        <v/>
      </c>
    </row>
    <row r="1264" spans="1:6" hidden="1">
      <c r="A1264" s="150">
        <f ca="1">IFERROR(INDIRECT($B$2&amp;"!"&amp;"C"&amp;D1264),"")</f>
        <v>0</v>
      </c>
      <c r="B1264" s="130">
        <f ca="1">IFERROR(INDIRECT($B$2&amp;"!"&amp;C1264&amp;D1264),"")</f>
        <v>0</v>
      </c>
      <c r="C1264" s="355" t="s">
        <v>128</v>
      </c>
      <c r="D1264" s="351">
        <f t="shared" ca="1" si="82"/>
        <v>99</v>
      </c>
      <c r="E1264" s="352">
        <v>9</v>
      </c>
      <c r="F1264" s="126" t="str">
        <f ca="1">IF(B1264=0,"",REPT(" ",E1264)&amp;"{ column: "&amp;CHAR(34)&amp;A1264&amp;CHAR(34)&amp;",")</f>
        <v/>
      </c>
    </row>
    <row r="1265" spans="1:6" hidden="1">
      <c r="A1265" s="150"/>
      <c r="B1265" s="130" cm="1">
        <f t="array" aca="1" ref="B1265" ca="1">INDIRECT($B$2&amp;"!"&amp;C1265&amp;D1265)</f>
        <v>0</v>
      </c>
      <c r="C1265" s="350" t="s">
        <v>128</v>
      </c>
      <c r="D1265" s="351">
        <f t="shared" ca="1" si="82"/>
        <v>99</v>
      </c>
      <c r="E1265" s="352">
        <v>12</v>
      </c>
      <c r="F1265" s="126" t="str" cm="1">
        <f t="array" aca="1" ref="F1265" ca="1">IF(OR(INDIRECT($B$2&amp;"!AJ14")=$B$845,B1265=0),"",REPT(" ",E1265)&amp;"summaryType: "&amp;CHAR(34)&amp;B1265&amp;CHAR(34)&amp;",")</f>
        <v/>
      </c>
    </row>
    <row r="1266" spans="1:6" hidden="1">
      <c r="A1266" s="150"/>
      <c r="B1266" s="130">
        <f ca="1">IFERROR(INDIRECT($B$2&amp;"!"&amp;C1266&amp;D1266),"")</f>
        <v>0</v>
      </c>
      <c r="C1266" s="350" t="s">
        <v>128</v>
      </c>
      <c r="D1266" s="351">
        <f t="shared" ca="1" si="82"/>
        <v>99</v>
      </c>
      <c r="E1266" s="352">
        <v>12</v>
      </c>
      <c r="F1266" s="126" t="str" cm="1">
        <f t="array" aca="1" ref="F1266" ca="1">IF(OR(INDIRECT($B$2&amp;"!AJ14")=$B$845,B1266=0),"",REPT(" ",E1266)&amp;"displayFormat: "&amp;CHAR(34)&amp;"{0} Items"&amp;CHAR(34)&amp;",")</f>
        <v/>
      </c>
    </row>
    <row r="1267" spans="1:6" hidden="1">
      <c r="A1267" s="150" t="s">
        <v>1037</v>
      </c>
      <c r="B1267" s="130">
        <f ca="1">IFERROR(INDIRECT($B$2&amp;"!"&amp;C1267&amp;D1267),"")</f>
        <v>0</v>
      </c>
      <c r="C1267" s="350" t="s">
        <v>130</v>
      </c>
      <c r="D1267" s="351">
        <f t="shared" ca="1" si="82"/>
        <v>99</v>
      </c>
      <c r="E1267" s="352">
        <v>12</v>
      </c>
      <c r="F1267" s="126" t="str" cm="1">
        <f t="array" aca="1" ref="F1267" ca="1">IF(OR(INDIRECT($B$2&amp;"!AJ14")=$B$845,B1267=0),"",REPT(" ",E1267)&amp;A1267&amp;CHAR(34)&amp;B1267&amp;CHAR(34)&amp;",")</f>
        <v/>
      </c>
    </row>
    <row r="1268" spans="1:6" hidden="1">
      <c r="A1268" s="150" t="s">
        <v>65</v>
      </c>
      <c r="B1268" s="130">
        <f ca="1">IFERROR(INDIRECT($B$2&amp;"!"&amp;C1268&amp;D1268),"")</f>
        <v>0</v>
      </c>
      <c r="C1268" s="350" t="s">
        <v>128</v>
      </c>
      <c r="D1268" s="351">
        <f t="shared" ca="1" si="82"/>
        <v>99</v>
      </c>
      <c r="E1268" s="352">
        <v>9</v>
      </c>
      <c r="F1268" s="126" t="str" cm="1">
        <f t="array" aca="1" ref="F1268" ca="1">IF(OR(INDIRECT($B$2&amp;"!AJ14")=$B$845,B1268=0),"",REPT(" ",E1268)&amp;"},")</f>
        <v/>
      </c>
    </row>
    <row r="1269" spans="1:6" hidden="1">
      <c r="A1269" s="150">
        <f ca="1">IFERROR(INDIRECT($B$2&amp;"!"&amp;"C"&amp;D1269),"")</f>
        <v>0</v>
      </c>
      <c r="B1269" s="130">
        <f ca="1">IFERROR(INDIRECT($B$2&amp;"!"&amp;C1269&amp;D1269),"")</f>
        <v>0</v>
      </c>
      <c r="C1269" s="355" t="s">
        <v>128</v>
      </c>
      <c r="D1269" s="351">
        <f t="shared" ca="1" si="82"/>
        <v>100</v>
      </c>
      <c r="E1269" s="352">
        <v>9</v>
      </c>
      <c r="F1269" s="126" t="str">
        <f ca="1">IF(B1269=0,"",REPT(" ",E1269)&amp;"{ column: "&amp;CHAR(34)&amp;A1269&amp;CHAR(34)&amp;",")</f>
        <v/>
      </c>
    </row>
    <row r="1270" spans="1:6" hidden="1">
      <c r="A1270" s="150"/>
      <c r="B1270" s="130" cm="1">
        <f t="array" aca="1" ref="B1270" ca="1">INDIRECT($B$2&amp;"!"&amp;C1270&amp;D1270)</f>
        <v>0</v>
      </c>
      <c r="C1270" s="350" t="s">
        <v>128</v>
      </c>
      <c r="D1270" s="351">
        <f t="shared" ca="1" si="82"/>
        <v>100</v>
      </c>
      <c r="E1270" s="352">
        <v>12</v>
      </c>
      <c r="F1270" s="126" t="str" cm="1">
        <f t="array" aca="1" ref="F1270" ca="1">IF(OR(INDIRECT($B$2&amp;"!AJ14")=$B$845,B1270=0),"",REPT(" ",E1270)&amp;"summaryType: "&amp;CHAR(34)&amp;B1270&amp;CHAR(34)&amp;",")</f>
        <v/>
      </c>
    </row>
    <row r="1271" spans="1:6" hidden="1">
      <c r="A1271" s="150"/>
      <c r="B1271" s="130">
        <f ca="1">IFERROR(INDIRECT($B$2&amp;"!"&amp;C1271&amp;D1271),"")</f>
        <v>0</v>
      </c>
      <c r="C1271" s="350" t="s">
        <v>128</v>
      </c>
      <c r="D1271" s="351">
        <f t="shared" ca="1" si="82"/>
        <v>100</v>
      </c>
      <c r="E1271" s="352">
        <v>12</v>
      </c>
      <c r="F1271" s="126" t="str" cm="1">
        <f t="array" aca="1" ref="F1271" ca="1">IF(OR(INDIRECT($B$2&amp;"!AJ14")=$B$845,B1271=0),"",REPT(" ",E1271)&amp;"displayFormat: "&amp;CHAR(34)&amp;"{0} Items"&amp;CHAR(34)&amp;",")</f>
        <v/>
      </c>
    </row>
    <row r="1272" spans="1:6" hidden="1">
      <c r="A1272" s="150" t="s">
        <v>1037</v>
      </c>
      <c r="B1272" s="130">
        <f ca="1">IFERROR(INDIRECT($B$2&amp;"!"&amp;C1272&amp;D1272),"")</f>
        <v>0</v>
      </c>
      <c r="C1272" s="350" t="s">
        <v>130</v>
      </c>
      <c r="D1272" s="351">
        <f t="shared" ca="1" si="82"/>
        <v>100</v>
      </c>
      <c r="E1272" s="352">
        <v>12</v>
      </c>
      <c r="F1272" s="126" t="str" cm="1">
        <f t="array" aca="1" ref="F1272" ca="1">IF(OR(INDIRECT($B$2&amp;"!AJ14")=$B$845,B1272=0),"",REPT(" ",E1272)&amp;A1272&amp;CHAR(34)&amp;B1272&amp;CHAR(34)&amp;",")</f>
        <v/>
      </c>
    </row>
    <row r="1273" spans="1:6" hidden="1">
      <c r="A1273" s="150" t="s">
        <v>65</v>
      </c>
      <c r="B1273" s="130">
        <f ca="1">IFERROR(INDIRECT($B$2&amp;"!"&amp;C1273&amp;D1273),"")</f>
        <v>0</v>
      </c>
      <c r="C1273" s="350" t="s">
        <v>128</v>
      </c>
      <c r="D1273" s="351">
        <f t="shared" ca="1" si="82"/>
        <v>100</v>
      </c>
      <c r="E1273" s="352">
        <v>9</v>
      </c>
      <c r="F1273" s="126" t="str" cm="1">
        <f t="array" aca="1" ref="F1273" ca="1">IF(OR(INDIRECT($B$2&amp;"!AJ14")=$B$845,B1273=0),"",REPT(" ",E1273)&amp;"},")</f>
        <v/>
      </c>
    </row>
    <row r="1274" spans="1:6" hidden="1">
      <c r="A1274" s="150">
        <f ca="1">IFERROR(INDIRECT($B$2&amp;"!"&amp;"C"&amp;D1274),"")</f>
        <v>0</v>
      </c>
      <c r="B1274" s="130">
        <f ca="1">IFERROR(INDIRECT($B$2&amp;"!"&amp;C1274&amp;D1274),"")</f>
        <v>0</v>
      </c>
      <c r="C1274" s="355" t="s">
        <v>128</v>
      </c>
      <c r="D1274" s="351">
        <f t="shared" ca="1" si="82"/>
        <v>101</v>
      </c>
      <c r="E1274" s="352">
        <v>9</v>
      </c>
      <c r="F1274" s="126" t="str">
        <f ca="1">IF(B1274=0,"",REPT(" ",E1274)&amp;"{ column: "&amp;CHAR(34)&amp;A1274&amp;CHAR(34)&amp;",")</f>
        <v/>
      </c>
    </row>
    <row r="1275" spans="1:6" hidden="1">
      <c r="A1275" s="150"/>
      <c r="B1275" s="130" cm="1">
        <f t="array" aca="1" ref="B1275" ca="1">INDIRECT($B$2&amp;"!"&amp;C1275&amp;D1275)</f>
        <v>0</v>
      </c>
      <c r="C1275" s="350" t="s">
        <v>128</v>
      </c>
      <c r="D1275" s="351">
        <f t="shared" ca="1" si="82"/>
        <v>101</v>
      </c>
      <c r="E1275" s="352">
        <v>12</v>
      </c>
      <c r="F1275" s="126" t="str" cm="1">
        <f t="array" aca="1" ref="F1275" ca="1">IF(OR(INDIRECT($B$2&amp;"!AJ14")=$B$845,B1275=0),"",REPT(" ",E1275)&amp;"summaryType: "&amp;CHAR(34)&amp;B1275&amp;CHAR(34)&amp;",")</f>
        <v/>
      </c>
    </row>
    <row r="1276" spans="1:6" hidden="1">
      <c r="A1276" s="150"/>
      <c r="B1276" s="130">
        <f ca="1">IFERROR(INDIRECT($B$2&amp;"!"&amp;C1276&amp;D1276),"")</f>
        <v>0</v>
      </c>
      <c r="C1276" s="350" t="s">
        <v>128</v>
      </c>
      <c r="D1276" s="351">
        <f t="shared" ca="1" si="82"/>
        <v>101</v>
      </c>
      <c r="E1276" s="352">
        <v>12</v>
      </c>
      <c r="F1276" s="126" t="str" cm="1">
        <f t="array" aca="1" ref="F1276" ca="1">IF(OR(INDIRECT($B$2&amp;"!AJ14")=$B$845,B1276=0),"",REPT(" ",E1276)&amp;"displayFormat: "&amp;CHAR(34)&amp;"{0} Items"&amp;CHAR(34)&amp;",")</f>
        <v/>
      </c>
    </row>
    <row r="1277" spans="1:6" hidden="1">
      <c r="A1277" s="150" t="s">
        <v>1037</v>
      </c>
      <c r="B1277" s="130">
        <f ca="1">IFERROR(INDIRECT($B$2&amp;"!"&amp;C1277&amp;D1277),"")</f>
        <v>0</v>
      </c>
      <c r="C1277" s="350" t="s">
        <v>130</v>
      </c>
      <c r="D1277" s="351">
        <f t="shared" ca="1" si="82"/>
        <v>101</v>
      </c>
      <c r="E1277" s="352">
        <v>12</v>
      </c>
      <c r="F1277" s="126" t="str" cm="1">
        <f t="array" aca="1" ref="F1277" ca="1">IF(OR(INDIRECT($B$2&amp;"!AJ14")=$B$845,B1277=0),"",REPT(" ",E1277)&amp;A1277&amp;CHAR(34)&amp;B1277&amp;CHAR(34)&amp;",")</f>
        <v/>
      </c>
    </row>
    <row r="1278" spans="1:6" hidden="1">
      <c r="A1278" s="150" t="s">
        <v>65</v>
      </c>
      <c r="B1278" s="130">
        <f ca="1">IFERROR(INDIRECT($B$2&amp;"!"&amp;C1278&amp;D1278),"")</f>
        <v>0</v>
      </c>
      <c r="C1278" s="350" t="s">
        <v>128</v>
      </c>
      <c r="D1278" s="351">
        <f t="shared" ca="1" si="82"/>
        <v>101</v>
      </c>
      <c r="E1278" s="352">
        <v>9</v>
      </c>
      <c r="F1278" s="126" t="str" cm="1">
        <f t="array" aca="1" ref="F1278" ca="1">IF(OR(INDIRECT($B$2&amp;"!AJ14")=$B$845,B1278=0),"",REPT(" ",E1278)&amp;"},")</f>
        <v/>
      </c>
    </row>
    <row r="1279" spans="1:6" hidden="1">
      <c r="A1279" s="150">
        <f ca="1">IFERROR(INDIRECT($B$2&amp;"!"&amp;"C"&amp;D1279),"")</f>
        <v>0</v>
      </c>
      <c r="B1279" s="130">
        <f ca="1">IFERROR(INDIRECT($B$2&amp;"!"&amp;C1279&amp;D1279),"")</f>
        <v>0</v>
      </c>
      <c r="C1279" s="355" t="s">
        <v>128</v>
      </c>
      <c r="D1279" s="351">
        <f t="shared" ca="1" si="82"/>
        <v>102</v>
      </c>
      <c r="E1279" s="352">
        <v>9</v>
      </c>
      <c r="F1279" s="126" t="str">
        <f ca="1">IF(B1279=0,"",REPT(" ",E1279)&amp;"{ column: "&amp;CHAR(34)&amp;A1279&amp;CHAR(34)&amp;",")</f>
        <v/>
      </c>
    </row>
    <row r="1280" spans="1:6" hidden="1">
      <c r="A1280" s="150"/>
      <c r="B1280" s="130" cm="1">
        <f t="array" aca="1" ref="B1280" ca="1">INDIRECT($B$2&amp;"!"&amp;C1280&amp;D1280)</f>
        <v>0</v>
      </c>
      <c r="C1280" s="350" t="s">
        <v>128</v>
      </c>
      <c r="D1280" s="351">
        <f t="shared" ca="1" si="82"/>
        <v>102</v>
      </c>
      <c r="E1280" s="352">
        <v>12</v>
      </c>
      <c r="F1280" s="126" t="str" cm="1">
        <f t="array" aca="1" ref="F1280" ca="1">IF(OR(INDIRECT($B$2&amp;"!AJ14")=$B$845,B1280=0),"",REPT(" ",E1280)&amp;"summaryType: "&amp;CHAR(34)&amp;B1280&amp;CHAR(34)&amp;",")</f>
        <v/>
      </c>
    </row>
    <row r="1281" spans="1:6" hidden="1">
      <c r="A1281" s="150"/>
      <c r="B1281" s="130">
        <f ca="1">IFERROR(INDIRECT($B$2&amp;"!"&amp;C1281&amp;D1281),"")</f>
        <v>0</v>
      </c>
      <c r="C1281" s="350" t="s">
        <v>128</v>
      </c>
      <c r="D1281" s="351">
        <f t="shared" ca="1" si="82"/>
        <v>102</v>
      </c>
      <c r="E1281" s="352">
        <v>12</v>
      </c>
      <c r="F1281" s="126" t="str" cm="1">
        <f t="array" aca="1" ref="F1281" ca="1">IF(OR(INDIRECT($B$2&amp;"!AJ14")=$B$845,B1281=0),"",REPT(" ",E1281)&amp;"displayFormat: "&amp;CHAR(34)&amp;"{0} Items"&amp;CHAR(34)&amp;",")</f>
        <v/>
      </c>
    </row>
    <row r="1282" spans="1:6" hidden="1">
      <c r="A1282" s="150" t="s">
        <v>1037</v>
      </c>
      <c r="B1282" s="130">
        <f ca="1">IFERROR(INDIRECT($B$2&amp;"!"&amp;C1282&amp;D1282),"")</f>
        <v>0</v>
      </c>
      <c r="C1282" s="350" t="s">
        <v>130</v>
      </c>
      <c r="D1282" s="351">
        <f t="shared" ca="1" si="82"/>
        <v>102</v>
      </c>
      <c r="E1282" s="352">
        <v>12</v>
      </c>
      <c r="F1282" s="126" t="str" cm="1">
        <f t="array" aca="1" ref="F1282" ca="1">IF(OR(INDIRECT($B$2&amp;"!AJ14")=$B$845,B1282=0),"",REPT(" ",E1282)&amp;A1282&amp;CHAR(34)&amp;B1282&amp;CHAR(34)&amp;",")</f>
        <v/>
      </c>
    </row>
    <row r="1283" spans="1:6" hidden="1">
      <c r="A1283" s="150" t="s">
        <v>65</v>
      </c>
      <c r="B1283" s="130">
        <f ca="1">IFERROR(INDIRECT($B$2&amp;"!"&amp;C1283&amp;D1283),"")</f>
        <v>0</v>
      </c>
      <c r="C1283" s="350" t="s">
        <v>128</v>
      </c>
      <c r="D1283" s="351">
        <f t="shared" ca="1" si="82"/>
        <v>102</v>
      </c>
      <c r="E1283" s="352">
        <v>9</v>
      </c>
      <c r="F1283" s="126" t="str" cm="1">
        <f t="array" aca="1" ref="F1283" ca="1">IF(OR(INDIRECT($B$2&amp;"!AJ14")=$B$845,B1283=0),"",REPT(" ",E1283)&amp;"},")</f>
        <v/>
      </c>
    </row>
    <row r="1284" spans="1:6" hidden="1">
      <c r="A1284" s="150">
        <f ca="1">IFERROR(INDIRECT($B$2&amp;"!"&amp;"C"&amp;D1284),"")</f>
        <v>0</v>
      </c>
      <c r="B1284" s="130">
        <f ca="1">IFERROR(INDIRECT($B$2&amp;"!"&amp;C1284&amp;D1284),"")</f>
        <v>0</v>
      </c>
      <c r="C1284" s="355" t="s">
        <v>128</v>
      </c>
      <c r="D1284" s="351">
        <f t="shared" ca="1" si="82"/>
        <v>103</v>
      </c>
      <c r="E1284" s="352">
        <v>9</v>
      </c>
      <c r="F1284" s="126" t="str">
        <f ca="1">IF(B1284=0,"",REPT(" ",E1284)&amp;"{ column: "&amp;CHAR(34)&amp;A1284&amp;CHAR(34)&amp;",")</f>
        <v/>
      </c>
    </row>
    <row r="1285" spans="1:6" hidden="1">
      <c r="A1285" s="150"/>
      <c r="B1285" s="130" cm="1">
        <f t="array" aca="1" ref="B1285" ca="1">INDIRECT($B$2&amp;"!"&amp;C1285&amp;D1285)</f>
        <v>0</v>
      </c>
      <c r="C1285" s="350" t="s">
        <v>128</v>
      </c>
      <c r="D1285" s="351">
        <f t="shared" ca="1" si="82"/>
        <v>103</v>
      </c>
      <c r="E1285" s="352">
        <v>12</v>
      </c>
      <c r="F1285" s="126" t="str" cm="1">
        <f t="array" aca="1" ref="F1285" ca="1">IF(OR(INDIRECT($B$2&amp;"!AJ14")=$B$845,B1285=0),"",REPT(" ",E1285)&amp;"summaryType: "&amp;CHAR(34)&amp;B1285&amp;CHAR(34)&amp;",")</f>
        <v/>
      </c>
    </row>
    <row r="1286" spans="1:6" hidden="1">
      <c r="A1286" s="150"/>
      <c r="B1286" s="130">
        <f ca="1">IFERROR(INDIRECT($B$2&amp;"!"&amp;C1286&amp;D1286),"")</f>
        <v>0</v>
      </c>
      <c r="C1286" s="350" t="s">
        <v>128</v>
      </c>
      <c r="D1286" s="351">
        <f t="shared" ca="1" si="82"/>
        <v>103</v>
      </c>
      <c r="E1286" s="352">
        <v>12</v>
      </c>
      <c r="F1286" s="126" t="str" cm="1">
        <f t="array" aca="1" ref="F1286" ca="1">IF(OR(INDIRECT($B$2&amp;"!AJ14")=$B$845,B1286=0),"",REPT(" ",E1286)&amp;"displayFormat: "&amp;CHAR(34)&amp;"{0} Items"&amp;CHAR(34)&amp;",")</f>
        <v/>
      </c>
    </row>
    <row r="1287" spans="1:6" hidden="1">
      <c r="A1287" s="150" t="s">
        <v>1037</v>
      </c>
      <c r="B1287" s="130">
        <f ca="1">IFERROR(INDIRECT($B$2&amp;"!"&amp;C1287&amp;D1287),"")</f>
        <v>0</v>
      </c>
      <c r="C1287" s="350" t="s">
        <v>130</v>
      </c>
      <c r="D1287" s="351">
        <f t="shared" ca="1" si="82"/>
        <v>103</v>
      </c>
      <c r="E1287" s="352">
        <v>12</v>
      </c>
      <c r="F1287" s="126" t="str" cm="1">
        <f t="array" aca="1" ref="F1287" ca="1">IF(OR(INDIRECT($B$2&amp;"!AJ14")=$B$845,B1287=0),"",REPT(" ",E1287)&amp;A1287&amp;CHAR(34)&amp;B1287&amp;CHAR(34)&amp;",")</f>
        <v/>
      </c>
    </row>
    <row r="1288" spans="1:6" hidden="1">
      <c r="A1288" s="150" t="s">
        <v>65</v>
      </c>
      <c r="B1288" s="130">
        <f ca="1">IFERROR(INDIRECT($B$2&amp;"!"&amp;C1288&amp;D1288),"")</f>
        <v>0</v>
      </c>
      <c r="C1288" s="350" t="s">
        <v>128</v>
      </c>
      <c r="D1288" s="351">
        <f t="shared" ca="1" si="82"/>
        <v>103</v>
      </c>
      <c r="E1288" s="352">
        <v>9</v>
      </c>
      <c r="F1288" s="126" t="str" cm="1">
        <f t="array" aca="1" ref="F1288" ca="1">IF(OR(INDIRECT($B$2&amp;"!AJ14")=$B$845,B1288=0),"",REPT(" ",E1288)&amp;"},")</f>
        <v/>
      </c>
    </row>
    <row r="1289" spans="1:6" hidden="1">
      <c r="A1289" s="150">
        <f ca="1">IFERROR(INDIRECT($B$2&amp;"!"&amp;"C"&amp;D1289),"")</f>
        <v>0</v>
      </c>
      <c r="B1289" s="130">
        <f ca="1">IFERROR(INDIRECT($B$2&amp;"!"&amp;C1289&amp;D1289),"")</f>
        <v>0</v>
      </c>
      <c r="C1289" s="355" t="s">
        <v>128</v>
      </c>
      <c r="D1289" s="351">
        <f t="shared" ca="1" si="82"/>
        <v>104</v>
      </c>
      <c r="E1289" s="352">
        <v>9</v>
      </c>
      <c r="F1289" s="126" t="str">
        <f ca="1">IF(B1289=0,"",REPT(" ",E1289)&amp;"{ column: "&amp;CHAR(34)&amp;A1289&amp;CHAR(34)&amp;",")</f>
        <v/>
      </c>
    </row>
    <row r="1290" spans="1:6" hidden="1">
      <c r="A1290" s="150"/>
      <c r="B1290" s="130" cm="1">
        <f t="array" aca="1" ref="B1290" ca="1">INDIRECT($B$2&amp;"!"&amp;C1290&amp;D1290)</f>
        <v>0</v>
      </c>
      <c r="C1290" s="350" t="s">
        <v>128</v>
      </c>
      <c r="D1290" s="351">
        <f t="shared" ca="1" si="82"/>
        <v>104</v>
      </c>
      <c r="E1290" s="352">
        <v>12</v>
      </c>
      <c r="F1290" s="126" t="str" cm="1">
        <f t="array" aca="1" ref="F1290" ca="1">IF(OR(INDIRECT($B$2&amp;"!AJ14")=$B$845,B1290=0),"",REPT(" ",E1290)&amp;"summaryType: "&amp;CHAR(34)&amp;B1290&amp;CHAR(34)&amp;",")</f>
        <v/>
      </c>
    </row>
    <row r="1291" spans="1:6" hidden="1">
      <c r="A1291" s="150"/>
      <c r="B1291" s="130">
        <f ca="1">IFERROR(INDIRECT($B$2&amp;"!"&amp;C1291&amp;D1291),"")</f>
        <v>0</v>
      </c>
      <c r="C1291" s="350" t="s">
        <v>128</v>
      </c>
      <c r="D1291" s="351">
        <f t="shared" ca="1" si="82"/>
        <v>104</v>
      </c>
      <c r="E1291" s="352">
        <v>12</v>
      </c>
      <c r="F1291" s="126" t="str" cm="1">
        <f t="array" aca="1" ref="F1291" ca="1">IF(OR(INDIRECT($B$2&amp;"!AJ14")=$B$845,B1291=0),"",REPT(" ",E1291)&amp;"displayFormat: "&amp;CHAR(34)&amp;"{0} Items"&amp;CHAR(34)&amp;",")</f>
        <v/>
      </c>
    </row>
    <row r="1292" spans="1:6" hidden="1">
      <c r="A1292" s="150" t="s">
        <v>1037</v>
      </c>
      <c r="B1292" s="130">
        <f ca="1">IFERROR(INDIRECT($B$2&amp;"!"&amp;C1292&amp;D1292),"")</f>
        <v>0</v>
      </c>
      <c r="C1292" s="350" t="s">
        <v>130</v>
      </c>
      <c r="D1292" s="351">
        <f t="shared" ca="1" si="82"/>
        <v>104</v>
      </c>
      <c r="E1292" s="352">
        <v>12</v>
      </c>
      <c r="F1292" s="126" t="str" cm="1">
        <f t="array" aca="1" ref="F1292" ca="1">IF(OR(INDIRECT($B$2&amp;"!AJ14")=$B$845,B1292=0),"",REPT(" ",E1292)&amp;A1292&amp;CHAR(34)&amp;B1292&amp;CHAR(34)&amp;",")</f>
        <v/>
      </c>
    </row>
    <row r="1293" spans="1:6" hidden="1">
      <c r="A1293" s="150" t="s">
        <v>65</v>
      </c>
      <c r="B1293" s="130">
        <f ca="1">IFERROR(INDIRECT($B$2&amp;"!"&amp;C1293&amp;D1293),"")</f>
        <v>0</v>
      </c>
      <c r="C1293" s="350" t="s">
        <v>128</v>
      </c>
      <c r="D1293" s="351">
        <f t="shared" ca="1" si="82"/>
        <v>104</v>
      </c>
      <c r="E1293" s="352">
        <v>9</v>
      </c>
      <c r="F1293" s="126" t="str" cm="1">
        <f t="array" aca="1" ref="F1293" ca="1">IF(OR(INDIRECT($B$2&amp;"!AJ14")=$B$845,B1293=0),"",REPT(" ",E1293)&amp;"},")</f>
        <v/>
      </c>
    </row>
    <row r="1294" spans="1:6" hidden="1">
      <c r="A1294" s="150">
        <f ca="1">IFERROR(INDIRECT($B$2&amp;"!"&amp;"C"&amp;D1294),"")</f>
        <v>0</v>
      </c>
      <c r="B1294" s="130">
        <f ca="1">IFERROR(INDIRECT($B$2&amp;"!"&amp;C1294&amp;D1294),"")</f>
        <v>0</v>
      </c>
      <c r="C1294" s="355" t="s">
        <v>128</v>
      </c>
      <c r="D1294" s="351">
        <f t="shared" ca="1" si="82"/>
        <v>105</v>
      </c>
      <c r="E1294" s="352">
        <v>9</v>
      </c>
      <c r="F1294" s="126" t="str">
        <f ca="1">IF(B1294=0,"",REPT(" ",E1294)&amp;"{ column: "&amp;CHAR(34)&amp;A1294&amp;CHAR(34)&amp;",")</f>
        <v/>
      </c>
    </row>
    <row r="1295" spans="1:6" hidden="1">
      <c r="A1295" s="150"/>
      <c r="B1295" s="130" cm="1">
        <f t="array" aca="1" ref="B1295" ca="1">INDIRECT($B$2&amp;"!"&amp;C1295&amp;D1295)</f>
        <v>0</v>
      </c>
      <c r="C1295" s="350" t="s">
        <v>128</v>
      </c>
      <c r="D1295" s="351">
        <f t="shared" ca="1" si="82"/>
        <v>105</v>
      </c>
      <c r="E1295" s="352">
        <v>12</v>
      </c>
      <c r="F1295" s="126" t="str" cm="1">
        <f t="array" aca="1" ref="F1295" ca="1">IF(OR(INDIRECT($B$2&amp;"!AJ14")=$B$845,B1295=0),"",REPT(" ",E1295)&amp;"summaryType: "&amp;CHAR(34)&amp;B1295&amp;CHAR(34)&amp;",")</f>
        <v/>
      </c>
    </row>
    <row r="1296" spans="1:6" hidden="1">
      <c r="A1296" s="150"/>
      <c r="B1296" s="130">
        <f ca="1">IFERROR(INDIRECT($B$2&amp;"!"&amp;C1296&amp;D1296),"")</f>
        <v>0</v>
      </c>
      <c r="C1296" s="350" t="s">
        <v>128</v>
      </c>
      <c r="D1296" s="351">
        <f t="shared" ca="1" si="82"/>
        <v>105</v>
      </c>
      <c r="E1296" s="352">
        <v>12</v>
      </c>
      <c r="F1296" s="126" t="str" cm="1">
        <f t="array" aca="1" ref="F1296" ca="1">IF(OR(INDIRECT($B$2&amp;"!AJ14")=$B$845,B1296=0),"",REPT(" ",E1296)&amp;"displayFormat: "&amp;CHAR(34)&amp;"{0} Items"&amp;CHAR(34)&amp;",")</f>
        <v/>
      </c>
    </row>
    <row r="1297" spans="1:6" hidden="1">
      <c r="A1297" s="150" t="s">
        <v>1037</v>
      </c>
      <c r="B1297" s="130">
        <f ca="1">IFERROR(INDIRECT($B$2&amp;"!"&amp;C1297&amp;D1297),"")</f>
        <v>0</v>
      </c>
      <c r="C1297" s="350" t="s">
        <v>130</v>
      </c>
      <c r="D1297" s="351">
        <f t="shared" ca="1" si="82"/>
        <v>105</v>
      </c>
      <c r="E1297" s="352">
        <v>12</v>
      </c>
      <c r="F1297" s="126" t="str" cm="1">
        <f t="array" aca="1" ref="F1297" ca="1">IF(OR(INDIRECT($B$2&amp;"!AJ14")=$B$845,B1297=0),"",REPT(" ",E1297)&amp;A1297&amp;CHAR(34)&amp;B1297&amp;CHAR(34)&amp;",")</f>
        <v/>
      </c>
    </row>
    <row r="1298" spans="1:6" hidden="1">
      <c r="A1298" s="150" t="s">
        <v>65</v>
      </c>
      <c r="B1298" s="130">
        <f ca="1">IFERROR(INDIRECT($B$2&amp;"!"&amp;C1298&amp;D1298),"")</f>
        <v>0</v>
      </c>
      <c r="C1298" s="350" t="s">
        <v>128</v>
      </c>
      <c r="D1298" s="351">
        <f t="shared" ref="D1298:D1349" ca="1" si="83">IF(TRIM(A1297)="N",1,0)+D1297</f>
        <v>105</v>
      </c>
      <c r="E1298" s="352">
        <v>9</v>
      </c>
      <c r="F1298" s="126" t="str" cm="1">
        <f t="array" aca="1" ref="F1298" ca="1">IF(OR(INDIRECT($B$2&amp;"!AJ14")=$B$845,B1298=0),"",REPT(" ",E1298)&amp;"},")</f>
        <v/>
      </c>
    </row>
    <row r="1299" spans="1:6" hidden="1">
      <c r="A1299" s="150">
        <f ca="1">IFERROR(INDIRECT($B$2&amp;"!"&amp;"C"&amp;D1299),"")</f>
        <v>0</v>
      </c>
      <c r="B1299" s="130">
        <f ca="1">IFERROR(INDIRECT($B$2&amp;"!"&amp;C1299&amp;D1299),"")</f>
        <v>0</v>
      </c>
      <c r="C1299" s="355" t="s">
        <v>128</v>
      </c>
      <c r="D1299" s="351">
        <f t="shared" ca="1" si="83"/>
        <v>106</v>
      </c>
      <c r="E1299" s="352">
        <v>9</v>
      </c>
      <c r="F1299" s="126" t="str">
        <f ca="1">IF(B1299=0,"",REPT(" ",E1299)&amp;"{ column: "&amp;CHAR(34)&amp;A1299&amp;CHAR(34)&amp;",")</f>
        <v/>
      </c>
    </row>
    <row r="1300" spans="1:6" hidden="1">
      <c r="A1300" s="150"/>
      <c r="B1300" s="130" cm="1">
        <f t="array" aca="1" ref="B1300" ca="1">INDIRECT($B$2&amp;"!"&amp;C1300&amp;D1300)</f>
        <v>0</v>
      </c>
      <c r="C1300" s="350" t="s">
        <v>128</v>
      </c>
      <c r="D1300" s="351">
        <f t="shared" ca="1" si="83"/>
        <v>106</v>
      </c>
      <c r="E1300" s="352">
        <v>12</v>
      </c>
      <c r="F1300" s="126" t="str" cm="1">
        <f t="array" aca="1" ref="F1300" ca="1">IF(OR(INDIRECT($B$2&amp;"!AJ14")=$B$845,B1300=0),"",REPT(" ",E1300)&amp;"summaryType: "&amp;CHAR(34)&amp;B1300&amp;CHAR(34)&amp;",")</f>
        <v/>
      </c>
    </row>
    <row r="1301" spans="1:6" hidden="1">
      <c r="A1301" s="150"/>
      <c r="B1301" s="130">
        <f ca="1">IFERROR(INDIRECT($B$2&amp;"!"&amp;C1301&amp;D1301),"")</f>
        <v>0</v>
      </c>
      <c r="C1301" s="350" t="s">
        <v>128</v>
      </c>
      <c r="D1301" s="351">
        <f t="shared" ca="1" si="83"/>
        <v>106</v>
      </c>
      <c r="E1301" s="352">
        <v>12</v>
      </c>
      <c r="F1301" s="126" t="str" cm="1">
        <f t="array" aca="1" ref="F1301" ca="1">IF(OR(INDIRECT($B$2&amp;"!AJ14")=$B$845,B1301=0),"",REPT(" ",E1301)&amp;"displayFormat: "&amp;CHAR(34)&amp;"{0} Items"&amp;CHAR(34)&amp;",")</f>
        <v/>
      </c>
    </row>
    <row r="1302" spans="1:6" hidden="1">
      <c r="A1302" s="150" t="s">
        <v>1037</v>
      </c>
      <c r="B1302" s="130">
        <f ca="1">IFERROR(INDIRECT($B$2&amp;"!"&amp;C1302&amp;D1302),"")</f>
        <v>0</v>
      </c>
      <c r="C1302" s="350" t="s">
        <v>130</v>
      </c>
      <c r="D1302" s="351">
        <f t="shared" ca="1" si="83"/>
        <v>106</v>
      </c>
      <c r="E1302" s="352">
        <v>12</v>
      </c>
      <c r="F1302" s="126" t="str" cm="1">
        <f t="array" aca="1" ref="F1302" ca="1">IF(OR(INDIRECT($B$2&amp;"!AJ14")=$B$845,B1302=0),"",REPT(" ",E1302)&amp;A1302&amp;CHAR(34)&amp;B1302&amp;CHAR(34)&amp;",")</f>
        <v/>
      </c>
    </row>
    <row r="1303" spans="1:6" hidden="1">
      <c r="A1303" s="150" t="s">
        <v>65</v>
      </c>
      <c r="B1303" s="130">
        <f ca="1">IFERROR(INDIRECT($B$2&amp;"!"&amp;C1303&amp;D1303),"")</f>
        <v>0</v>
      </c>
      <c r="C1303" s="350" t="s">
        <v>128</v>
      </c>
      <c r="D1303" s="351">
        <f t="shared" ca="1" si="83"/>
        <v>106</v>
      </c>
      <c r="E1303" s="352">
        <v>9</v>
      </c>
      <c r="F1303" s="126" t="str" cm="1">
        <f t="array" aca="1" ref="F1303" ca="1">IF(OR(INDIRECT($B$2&amp;"!AJ14")=$B$845,B1303=0),"",REPT(" ",E1303)&amp;"},")</f>
        <v/>
      </c>
    </row>
    <row r="1304" spans="1:6" hidden="1">
      <c r="A1304" s="150">
        <f ca="1">IFERROR(INDIRECT($B$2&amp;"!"&amp;"C"&amp;D1304),"")</f>
        <v>0</v>
      </c>
      <c r="B1304" s="130">
        <f ca="1">IFERROR(INDIRECT($B$2&amp;"!"&amp;C1304&amp;D1304),"")</f>
        <v>0</v>
      </c>
      <c r="C1304" s="355" t="s">
        <v>128</v>
      </c>
      <c r="D1304" s="351">
        <f t="shared" ca="1" si="83"/>
        <v>107</v>
      </c>
      <c r="E1304" s="352">
        <v>9</v>
      </c>
      <c r="F1304" s="126" t="str">
        <f ca="1">IF(B1304=0,"",REPT(" ",E1304)&amp;"{ column: "&amp;CHAR(34)&amp;A1304&amp;CHAR(34)&amp;",")</f>
        <v/>
      </c>
    </row>
    <row r="1305" spans="1:6" hidden="1">
      <c r="A1305" s="150"/>
      <c r="B1305" s="130" cm="1">
        <f t="array" aca="1" ref="B1305" ca="1">INDIRECT($B$2&amp;"!"&amp;C1305&amp;D1305)</f>
        <v>0</v>
      </c>
      <c r="C1305" s="350" t="s">
        <v>128</v>
      </c>
      <c r="D1305" s="351">
        <f t="shared" ca="1" si="83"/>
        <v>107</v>
      </c>
      <c r="E1305" s="352">
        <v>12</v>
      </c>
      <c r="F1305" s="126" t="str" cm="1">
        <f t="array" aca="1" ref="F1305" ca="1">IF(OR(INDIRECT($B$2&amp;"!AJ14")=$B$845,B1305=0),"",REPT(" ",E1305)&amp;"summaryType: "&amp;CHAR(34)&amp;B1305&amp;CHAR(34)&amp;",")</f>
        <v/>
      </c>
    </row>
    <row r="1306" spans="1:6" hidden="1">
      <c r="A1306" s="150"/>
      <c r="B1306" s="130">
        <f ca="1">IFERROR(INDIRECT($B$2&amp;"!"&amp;C1306&amp;D1306),"")</f>
        <v>0</v>
      </c>
      <c r="C1306" s="350" t="s">
        <v>128</v>
      </c>
      <c r="D1306" s="351">
        <f t="shared" ca="1" si="83"/>
        <v>107</v>
      </c>
      <c r="E1306" s="352">
        <v>12</v>
      </c>
      <c r="F1306" s="126" t="str" cm="1">
        <f t="array" aca="1" ref="F1306" ca="1">IF(OR(INDIRECT($B$2&amp;"!AJ14")=$B$845,B1306=0),"",REPT(" ",E1306)&amp;"displayFormat: "&amp;CHAR(34)&amp;"{0} Items"&amp;CHAR(34)&amp;",")</f>
        <v/>
      </c>
    </row>
    <row r="1307" spans="1:6" hidden="1">
      <c r="A1307" s="150" t="s">
        <v>1037</v>
      </c>
      <c r="B1307" s="130">
        <f ca="1">IFERROR(INDIRECT($B$2&amp;"!"&amp;C1307&amp;D1307),"")</f>
        <v>0</v>
      </c>
      <c r="C1307" s="350" t="s">
        <v>130</v>
      </c>
      <c r="D1307" s="351">
        <f t="shared" ca="1" si="83"/>
        <v>107</v>
      </c>
      <c r="E1307" s="352">
        <v>12</v>
      </c>
      <c r="F1307" s="126" t="str" cm="1">
        <f t="array" aca="1" ref="F1307" ca="1">IF(OR(INDIRECT($B$2&amp;"!AJ14")=$B$845,B1307=0),"",REPT(" ",E1307)&amp;A1307&amp;CHAR(34)&amp;B1307&amp;CHAR(34)&amp;",")</f>
        <v/>
      </c>
    </row>
    <row r="1308" spans="1:6" hidden="1">
      <c r="A1308" s="150" t="s">
        <v>65</v>
      </c>
      <c r="B1308" s="130">
        <f ca="1">IFERROR(INDIRECT($B$2&amp;"!"&amp;C1308&amp;D1308),"")</f>
        <v>0</v>
      </c>
      <c r="C1308" s="350" t="s">
        <v>128</v>
      </c>
      <c r="D1308" s="351">
        <f t="shared" ca="1" si="83"/>
        <v>107</v>
      </c>
      <c r="E1308" s="352">
        <v>9</v>
      </c>
      <c r="F1308" s="126" t="str" cm="1">
        <f t="array" aca="1" ref="F1308" ca="1">IF(OR(INDIRECT($B$2&amp;"!AJ14")=$B$845,B1308=0),"",REPT(" ",E1308)&amp;"},")</f>
        <v/>
      </c>
    </row>
    <row r="1309" spans="1:6" hidden="1">
      <c r="A1309" s="150">
        <f ca="1">IFERROR(INDIRECT($B$2&amp;"!"&amp;"C"&amp;D1309),"")</f>
        <v>0</v>
      </c>
      <c r="B1309" s="130">
        <f ca="1">IFERROR(INDIRECT($B$2&amp;"!"&amp;C1309&amp;D1309),"")</f>
        <v>0</v>
      </c>
      <c r="C1309" s="355" t="s">
        <v>128</v>
      </c>
      <c r="D1309" s="351">
        <f t="shared" ca="1" si="83"/>
        <v>108</v>
      </c>
      <c r="E1309" s="352">
        <v>9</v>
      </c>
      <c r="F1309" s="126" t="str">
        <f ca="1">IF(B1309=0,"",REPT(" ",E1309)&amp;"{ column: "&amp;CHAR(34)&amp;A1309&amp;CHAR(34)&amp;",")</f>
        <v/>
      </c>
    </row>
    <row r="1310" spans="1:6" hidden="1">
      <c r="A1310" s="150"/>
      <c r="B1310" s="130" cm="1">
        <f t="array" aca="1" ref="B1310" ca="1">INDIRECT($B$2&amp;"!"&amp;C1310&amp;D1310)</f>
        <v>0</v>
      </c>
      <c r="C1310" s="350" t="s">
        <v>128</v>
      </c>
      <c r="D1310" s="351">
        <f t="shared" ca="1" si="83"/>
        <v>108</v>
      </c>
      <c r="E1310" s="352">
        <v>12</v>
      </c>
      <c r="F1310" s="126" t="str" cm="1">
        <f t="array" aca="1" ref="F1310" ca="1">IF(OR(INDIRECT($B$2&amp;"!AJ14")=$B$845,B1310=0),"",REPT(" ",E1310)&amp;"summaryType: "&amp;CHAR(34)&amp;B1310&amp;CHAR(34)&amp;",")</f>
        <v/>
      </c>
    </row>
    <row r="1311" spans="1:6" hidden="1">
      <c r="A1311" s="150"/>
      <c r="B1311" s="130">
        <f ca="1">IFERROR(INDIRECT($B$2&amp;"!"&amp;C1311&amp;D1311),"")</f>
        <v>0</v>
      </c>
      <c r="C1311" s="350" t="s">
        <v>128</v>
      </c>
      <c r="D1311" s="351">
        <f t="shared" ca="1" si="83"/>
        <v>108</v>
      </c>
      <c r="E1311" s="352">
        <v>12</v>
      </c>
      <c r="F1311" s="126" t="str" cm="1">
        <f t="array" aca="1" ref="F1311" ca="1">IF(OR(INDIRECT($B$2&amp;"!AJ14")=$B$845,B1311=0),"",REPT(" ",E1311)&amp;"displayFormat: "&amp;CHAR(34)&amp;"{0} Items"&amp;CHAR(34)&amp;",")</f>
        <v/>
      </c>
    </row>
    <row r="1312" spans="1:6" hidden="1">
      <c r="A1312" s="150" t="s">
        <v>1037</v>
      </c>
      <c r="B1312" s="130">
        <f ca="1">IFERROR(INDIRECT($B$2&amp;"!"&amp;C1312&amp;D1312),"")</f>
        <v>0</v>
      </c>
      <c r="C1312" s="350" t="s">
        <v>130</v>
      </c>
      <c r="D1312" s="351">
        <f t="shared" ca="1" si="83"/>
        <v>108</v>
      </c>
      <c r="E1312" s="352">
        <v>12</v>
      </c>
      <c r="F1312" s="126" t="str" cm="1">
        <f t="array" aca="1" ref="F1312" ca="1">IF(OR(INDIRECT($B$2&amp;"!AJ14")=$B$845,B1312=0),"",REPT(" ",E1312)&amp;A1312&amp;CHAR(34)&amp;B1312&amp;CHAR(34)&amp;",")</f>
        <v/>
      </c>
    </row>
    <row r="1313" spans="1:6" hidden="1">
      <c r="A1313" s="150" t="s">
        <v>65</v>
      </c>
      <c r="B1313" s="130">
        <f ca="1">IFERROR(INDIRECT($B$2&amp;"!"&amp;C1313&amp;D1313),"")</f>
        <v>0</v>
      </c>
      <c r="C1313" s="350" t="s">
        <v>128</v>
      </c>
      <c r="D1313" s="351">
        <f t="shared" ca="1" si="83"/>
        <v>108</v>
      </c>
      <c r="E1313" s="352">
        <v>9</v>
      </c>
      <c r="F1313" s="126" t="str" cm="1">
        <f t="array" aca="1" ref="F1313" ca="1">IF(OR(INDIRECT($B$2&amp;"!AJ14")=$B$845,B1313=0),"",REPT(" ",E1313)&amp;"},")</f>
        <v/>
      </c>
    </row>
    <row r="1314" spans="1:6" hidden="1">
      <c r="A1314" s="150">
        <f ca="1">IFERROR(INDIRECT($B$2&amp;"!"&amp;"C"&amp;D1314),"")</f>
        <v>0</v>
      </c>
      <c r="B1314" s="130">
        <f ca="1">IFERROR(INDIRECT($B$2&amp;"!"&amp;C1314&amp;D1314),"")</f>
        <v>0</v>
      </c>
      <c r="C1314" s="355" t="s">
        <v>128</v>
      </c>
      <c r="D1314" s="351">
        <f t="shared" ca="1" si="83"/>
        <v>109</v>
      </c>
      <c r="E1314" s="352">
        <v>9</v>
      </c>
      <c r="F1314" s="126" t="str">
        <f ca="1">IF(B1314=0,"",REPT(" ",E1314)&amp;"{ column: "&amp;CHAR(34)&amp;A1314&amp;CHAR(34)&amp;",")</f>
        <v/>
      </c>
    </row>
    <row r="1315" spans="1:6" hidden="1">
      <c r="A1315" s="150"/>
      <c r="B1315" s="130" cm="1">
        <f t="array" aca="1" ref="B1315" ca="1">INDIRECT($B$2&amp;"!"&amp;C1315&amp;D1315)</f>
        <v>0</v>
      </c>
      <c r="C1315" s="350" t="s">
        <v>128</v>
      </c>
      <c r="D1315" s="351">
        <f t="shared" ca="1" si="83"/>
        <v>109</v>
      </c>
      <c r="E1315" s="352">
        <v>12</v>
      </c>
      <c r="F1315" s="126" t="str" cm="1">
        <f t="array" aca="1" ref="F1315" ca="1">IF(OR(INDIRECT($B$2&amp;"!AJ14")=$B$845,B1315=0),"",REPT(" ",E1315)&amp;"summaryType: "&amp;CHAR(34)&amp;B1315&amp;CHAR(34)&amp;",")</f>
        <v/>
      </c>
    </row>
    <row r="1316" spans="1:6" hidden="1">
      <c r="A1316" s="150"/>
      <c r="B1316" s="130">
        <f ca="1">IFERROR(INDIRECT($B$2&amp;"!"&amp;C1316&amp;D1316),"")</f>
        <v>0</v>
      </c>
      <c r="C1316" s="350" t="s">
        <v>128</v>
      </c>
      <c r="D1316" s="351">
        <f t="shared" ca="1" si="83"/>
        <v>109</v>
      </c>
      <c r="E1316" s="352">
        <v>12</v>
      </c>
      <c r="F1316" s="126" t="str" cm="1">
        <f t="array" aca="1" ref="F1316" ca="1">IF(OR(INDIRECT($B$2&amp;"!AJ14")=$B$845,B1316=0),"",REPT(" ",E1316)&amp;"displayFormat: "&amp;CHAR(34)&amp;"{0} Items"&amp;CHAR(34)&amp;",")</f>
        <v/>
      </c>
    </row>
    <row r="1317" spans="1:6" hidden="1">
      <c r="A1317" s="150" t="s">
        <v>1037</v>
      </c>
      <c r="B1317" s="130">
        <f ca="1">IFERROR(INDIRECT($B$2&amp;"!"&amp;C1317&amp;D1317),"")</f>
        <v>0</v>
      </c>
      <c r="C1317" s="350" t="s">
        <v>130</v>
      </c>
      <c r="D1317" s="351">
        <f t="shared" ca="1" si="83"/>
        <v>109</v>
      </c>
      <c r="E1317" s="352">
        <v>12</v>
      </c>
      <c r="F1317" s="126" t="str" cm="1">
        <f t="array" aca="1" ref="F1317" ca="1">IF(OR(INDIRECT($B$2&amp;"!AJ14")=$B$845,B1317=0),"",REPT(" ",E1317)&amp;A1317&amp;CHAR(34)&amp;B1317&amp;CHAR(34)&amp;",")</f>
        <v/>
      </c>
    </row>
    <row r="1318" spans="1:6" hidden="1">
      <c r="A1318" s="150" t="s">
        <v>65</v>
      </c>
      <c r="B1318" s="130">
        <f ca="1">IFERROR(INDIRECT($B$2&amp;"!"&amp;C1318&amp;D1318),"")</f>
        <v>0</v>
      </c>
      <c r="C1318" s="350" t="s">
        <v>128</v>
      </c>
      <c r="D1318" s="351">
        <f t="shared" ca="1" si="83"/>
        <v>109</v>
      </c>
      <c r="E1318" s="352">
        <v>9</v>
      </c>
      <c r="F1318" s="126" t="str" cm="1">
        <f t="array" aca="1" ref="F1318" ca="1">IF(OR(INDIRECT($B$2&amp;"!AJ14")=$B$845,B1318=0),"",REPT(" ",E1318)&amp;"},")</f>
        <v/>
      </c>
    </row>
    <row r="1319" spans="1:6" hidden="1">
      <c r="A1319" s="150">
        <f ca="1">IFERROR(INDIRECT($B$2&amp;"!"&amp;"C"&amp;D1319),"")</f>
        <v>0</v>
      </c>
      <c r="B1319" s="130">
        <f ca="1">IFERROR(INDIRECT($B$2&amp;"!"&amp;C1319&amp;D1319),"")</f>
        <v>0</v>
      </c>
      <c r="C1319" s="355" t="s">
        <v>128</v>
      </c>
      <c r="D1319" s="351">
        <f t="shared" ca="1" si="83"/>
        <v>110</v>
      </c>
      <c r="E1319" s="352">
        <v>9</v>
      </c>
      <c r="F1319" s="126" t="str">
        <f ca="1">IF(B1319=0,"",REPT(" ",E1319)&amp;"{ column: "&amp;CHAR(34)&amp;A1319&amp;CHAR(34)&amp;",")</f>
        <v/>
      </c>
    </row>
    <row r="1320" spans="1:6" hidden="1">
      <c r="A1320" s="150"/>
      <c r="B1320" s="130" cm="1">
        <f t="array" aca="1" ref="B1320" ca="1">INDIRECT($B$2&amp;"!"&amp;C1320&amp;D1320)</f>
        <v>0</v>
      </c>
      <c r="C1320" s="350" t="s">
        <v>128</v>
      </c>
      <c r="D1320" s="351">
        <f t="shared" ca="1" si="83"/>
        <v>110</v>
      </c>
      <c r="E1320" s="352">
        <v>12</v>
      </c>
      <c r="F1320" s="126" t="str" cm="1">
        <f t="array" aca="1" ref="F1320" ca="1">IF(OR(INDIRECT($B$2&amp;"!AJ14")=$B$845,B1320=0),"",REPT(" ",E1320)&amp;"summaryType: "&amp;CHAR(34)&amp;B1320&amp;CHAR(34)&amp;",")</f>
        <v/>
      </c>
    </row>
    <row r="1321" spans="1:6" hidden="1">
      <c r="A1321" s="150"/>
      <c r="B1321" s="130">
        <f ca="1">IFERROR(INDIRECT($B$2&amp;"!"&amp;C1321&amp;D1321),"")</f>
        <v>0</v>
      </c>
      <c r="C1321" s="350" t="s">
        <v>128</v>
      </c>
      <c r="D1321" s="351">
        <f t="shared" ca="1" si="83"/>
        <v>110</v>
      </c>
      <c r="E1321" s="352">
        <v>12</v>
      </c>
      <c r="F1321" s="126" t="str" cm="1">
        <f t="array" aca="1" ref="F1321" ca="1">IF(OR(INDIRECT($B$2&amp;"!AJ14")=$B$845,B1321=0),"",REPT(" ",E1321)&amp;"displayFormat: "&amp;CHAR(34)&amp;"{0} Items"&amp;CHAR(34)&amp;",")</f>
        <v/>
      </c>
    </row>
    <row r="1322" spans="1:6" hidden="1">
      <c r="A1322" s="150" t="s">
        <v>1037</v>
      </c>
      <c r="B1322" s="130">
        <f ca="1">IFERROR(INDIRECT($B$2&amp;"!"&amp;C1322&amp;D1322),"")</f>
        <v>0</v>
      </c>
      <c r="C1322" s="350" t="s">
        <v>130</v>
      </c>
      <c r="D1322" s="351">
        <f t="shared" ca="1" si="83"/>
        <v>110</v>
      </c>
      <c r="E1322" s="352">
        <v>12</v>
      </c>
      <c r="F1322" s="126" t="str" cm="1">
        <f t="array" aca="1" ref="F1322" ca="1">IF(OR(INDIRECT($B$2&amp;"!AJ14")=$B$845,B1322=0),"",REPT(" ",E1322)&amp;A1322&amp;CHAR(34)&amp;B1322&amp;CHAR(34)&amp;",")</f>
        <v/>
      </c>
    </row>
    <row r="1323" spans="1:6" hidden="1">
      <c r="A1323" s="150" t="s">
        <v>65</v>
      </c>
      <c r="B1323" s="130">
        <f ca="1">IFERROR(INDIRECT($B$2&amp;"!"&amp;C1323&amp;D1323),"")</f>
        <v>0</v>
      </c>
      <c r="C1323" s="350" t="s">
        <v>128</v>
      </c>
      <c r="D1323" s="351">
        <f t="shared" ca="1" si="83"/>
        <v>110</v>
      </c>
      <c r="E1323" s="352">
        <v>9</v>
      </c>
      <c r="F1323" s="126" t="str" cm="1">
        <f t="array" aca="1" ref="F1323" ca="1">IF(OR(INDIRECT($B$2&amp;"!AJ14")=$B$845,B1323=0),"",REPT(" ",E1323)&amp;"},")</f>
        <v/>
      </c>
    </row>
    <row r="1324" spans="1:6" hidden="1">
      <c r="A1324" s="150">
        <f ca="1">IFERROR(INDIRECT($B$2&amp;"!"&amp;"C"&amp;D1324),"")</f>
        <v>0</v>
      </c>
      <c r="B1324" s="130">
        <f ca="1">IFERROR(INDIRECT($B$2&amp;"!"&amp;C1324&amp;D1324),"")</f>
        <v>0</v>
      </c>
      <c r="C1324" s="355" t="s">
        <v>128</v>
      </c>
      <c r="D1324" s="351">
        <f t="shared" ca="1" si="83"/>
        <v>111</v>
      </c>
      <c r="E1324" s="352">
        <v>9</v>
      </c>
      <c r="F1324" s="126" t="str">
        <f ca="1">IF(B1324=0,"",REPT(" ",E1324)&amp;"{ column: "&amp;CHAR(34)&amp;A1324&amp;CHAR(34)&amp;",")</f>
        <v/>
      </c>
    </row>
    <row r="1325" spans="1:6" hidden="1">
      <c r="A1325" s="150"/>
      <c r="B1325" s="130" cm="1">
        <f t="array" aca="1" ref="B1325" ca="1">INDIRECT($B$2&amp;"!"&amp;C1325&amp;D1325)</f>
        <v>0</v>
      </c>
      <c r="C1325" s="350" t="s">
        <v>128</v>
      </c>
      <c r="D1325" s="351">
        <f t="shared" ca="1" si="83"/>
        <v>111</v>
      </c>
      <c r="E1325" s="352">
        <v>12</v>
      </c>
      <c r="F1325" s="126" t="str" cm="1">
        <f t="array" aca="1" ref="F1325" ca="1">IF(OR(INDIRECT($B$2&amp;"!AJ14")=$B$845,B1325=0),"",REPT(" ",E1325)&amp;"summaryType: "&amp;CHAR(34)&amp;B1325&amp;CHAR(34)&amp;",")</f>
        <v/>
      </c>
    </row>
    <row r="1326" spans="1:6" hidden="1">
      <c r="A1326" s="150"/>
      <c r="B1326" s="130">
        <f ca="1">IFERROR(INDIRECT($B$2&amp;"!"&amp;C1326&amp;D1326),"")</f>
        <v>0</v>
      </c>
      <c r="C1326" s="350" t="s">
        <v>128</v>
      </c>
      <c r="D1326" s="351">
        <f t="shared" ca="1" si="83"/>
        <v>111</v>
      </c>
      <c r="E1326" s="352">
        <v>12</v>
      </c>
      <c r="F1326" s="126" t="str" cm="1">
        <f t="array" aca="1" ref="F1326" ca="1">IF(OR(INDIRECT($B$2&amp;"!AJ14")=$B$845,B1326=0),"",REPT(" ",E1326)&amp;"displayFormat: "&amp;CHAR(34)&amp;"{0} Items"&amp;CHAR(34)&amp;",")</f>
        <v/>
      </c>
    </row>
    <row r="1327" spans="1:6" hidden="1">
      <c r="A1327" s="150" t="s">
        <v>1037</v>
      </c>
      <c r="B1327" s="130">
        <f ca="1">IFERROR(INDIRECT($B$2&amp;"!"&amp;C1327&amp;D1327),"")</f>
        <v>0</v>
      </c>
      <c r="C1327" s="350" t="s">
        <v>130</v>
      </c>
      <c r="D1327" s="351">
        <f t="shared" ca="1" si="83"/>
        <v>111</v>
      </c>
      <c r="E1327" s="352">
        <v>12</v>
      </c>
      <c r="F1327" s="126" t="str" cm="1">
        <f t="array" aca="1" ref="F1327" ca="1">IF(OR(INDIRECT($B$2&amp;"!AJ14")=$B$845,B1327=0),"",REPT(" ",E1327)&amp;A1327&amp;CHAR(34)&amp;B1327&amp;CHAR(34)&amp;",")</f>
        <v/>
      </c>
    </row>
    <row r="1328" spans="1:6" hidden="1">
      <c r="A1328" s="150" t="s">
        <v>65</v>
      </c>
      <c r="B1328" s="130">
        <f ca="1">IFERROR(INDIRECT($B$2&amp;"!"&amp;C1328&amp;D1328),"")</f>
        <v>0</v>
      </c>
      <c r="C1328" s="350" t="s">
        <v>128</v>
      </c>
      <c r="D1328" s="351">
        <f t="shared" ca="1" si="83"/>
        <v>111</v>
      </c>
      <c r="E1328" s="352">
        <v>9</v>
      </c>
      <c r="F1328" s="126" t="str" cm="1">
        <f t="array" aca="1" ref="F1328" ca="1">IF(OR(INDIRECT($B$2&amp;"!AJ14")=$B$845,B1328=0),"",REPT(" ",E1328)&amp;"},")</f>
        <v/>
      </c>
    </row>
    <row r="1329" spans="1:6" hidden="1">
      <c r="A1329" s="150">
        <f ca="1">IFERROR(INDIRECT($B$2&amp;"!"&amp;"C"&amp;D1329),"")</f>
        <v>0</v>
      </c>
      <c r="B1329" s="130">
        <f ca="1">IFERROR(INDIRECT($B$2&amp;"!"&amp;C1329&amp;D1329),"")</f>
        <v>0</v>
      </c>
      <c r="C1329" s="355" t="s">
        <v>128</v>
      </c>
      <c r="D1329" s="351">
        <f t="shared" ca="1" si="83"/>
        <v>112</v>
      </c>
      <c r="E1329" s="352">
        <v>9</v>
      </c>
      <c r="F1329" s="126" t="str">
        <f ca="1">IF(B1329=0,"",REPT(" ",E1329)&amp;"{ column: "&amp;CHAR(34)&amp;A1329&amp;CHAR(34)&amp;",")</f>
        <v/>
      </c>
    </row>
    <row r="1330" spans="1:6" hidden="1">
      <c r="A1330" s="150"/>
      <c r="B1330" s="130" cm="1">
        <f t="array" aca="1" ref="B1330" ca="1">INDIRECT($B$2&amp;"!"&amp;C1330&amp;D1330)</f>
        <v>0</v>
      </c>
      <c r="C1330" s="350" t="s">
        <v>128</v>
      </c>
      <c r="D1330" s="351">
        <f t="shared" ca="1" si="83"/>
        <v>112</v>
      </c>
      <c r="E1330" s="352">
        <v>12</v>
      </c>
      <c r="F1330" s="126" t="str" cm="1">
        <f t="array" aca="1" ref="F1330" ca="1">IF(OR(INDIRECT($B$2&amp;"!AJ14")=$B$845,B1330=0),"",REPT(" ",E1330)&amp;"summaryType: "&amp;CHAR(34)&amp;B1330&amp;CHAR(34)&amp;",")</f>
        <v/>
      </c>
    </row>
    <row r="1331" spans="1:6" hidden="1">
      <c r="A1331" s="150"/>
      <c r="B1331" s="130">
        <f ca="1">IFERROR(INDIRECT($B$2&amp;"!"&amp;C1331&amp;D1331),"")</f>
        <v>0</v>
      </c>
      <c r="C1331" s="350" t="s">
        <v>128</v>
      </c>
      <c r="D1331" s="351">
        <f t="shared" ca="1" si="83"/>
        <v>112</v>
      </c>
      <c r="E1331" s="352">
        <v>12</v>
      </c>
      <c r="F1331" s="126" t="str" cm="1">
        <f t="array" aca="1" ref="F1331" ca="1">IF(OR(INDIRECT($B$2&amp;"!AJ14")=$B$845,B1331=0),"",REPT(" ",E1331)&amp;"displayFormat: "&amp;CHAR(34)&amp;"{0} Items"&amp;CHAR(34)&amp;",")</f>
        <v/>
      </c>
    </row>
    <row r="1332" spans="1:6" hidden="1">
      <c r="A1332" s="150" t="s">
        <v>1037</v>
      </c>
      <c r="B1332" s="130">
        <f ca="1">IFERROR(INDIRECT($B$2&amp;"!"&amp;C1332&amp;D1332),"")</f>
        <v>0</v>
      </c>
      <c r="C1332" s="350" t="s">
        <v>130</v>
      </c>
      <c r="D1332" s="351">
        <f t="shared" ca="1" si="83"/>
        <v>112</v>
      </c>
      <c r="E1332" s="352">
        <v>12</v>
      </c>
      <c r="F1332" s="126" t="str" cm="1">
        <f t="array" aca="1" ref="F1332" ca="1">IF(OR(INDIRECT($B$2&amp;"!AJ14")=$B$845,B1332=0),"",REPT(" ",E1332)&amp;A1332&amp;CHAR(34)&amp;B1332&amp;CHAR(34)&amp;",")</f>
        <v/>
      </c>
    </row>
    <row r="1333" spans="1:6" hidden="1">
      <c r="A1333" s="150" t="s">
        <v>65</v>
      </c>
      <c r="B1333" s="130">
        <f ca="1">IFERROR(INDIRECT($B$2&amp;"!"&amp;C1333&amp;D1333),"")</f>
        <v>0</v>
      </c>
      <c r="C1333" s="350" t="s">
        <v>128</v>
      </c>
      <c r="D1333" s="351">
        <f t="shared" ca="1" si="83"/>
        <v>112</v>
      </c>
      <c r="E1333" s="352">
        <v>9</v>
      </c>
      <c r="F1333" s="126" t="str" cm="1">
        <f t="array" aca="1" ref="F1333" ca="1">IF(OR(INDIRECT($B$2&amp;"!AJ14")=$B$845,B1333=0),"",REPT(" ",E1333)&amp;"},")</f>
        <v/>
      </c>
    </row>
    <row r="1334" spans="1:6" hidden="1">
      <c r="A1334" s="150">
        <f ca="1">IFERROR(INDIRECT($B$2&amp;"!"&amp;"C"&amp;D1334),"")</f>
        <v>0</v>
      </c>
      <c r="B1334" s="130">
        <f ca="1">IFERROR(INDIRECT($B$2&amp;"!"&amp;C1334&amp;D1334),"")</f>
        <v>0</v>
      </c>
      <c r="C1334" s="355" t="s">
        <v>128</v>
      </c>
      <c r="D1334" s="351">
        <f t="shared" ca="1" si="83"/>
        <v>113</v>
      </c>
      <c r="E1334" s="352">
        <v>9</v>
      </c>
      <c r="F1334" s="126" t="str">
        <f ca="1">IF(B1334=0,"",REPT(" ",E1334)&amp;"{ column: "&amp;CHAR(34)&amp;A1334&amp;CHAR(34)&amp;",")</f>
        <v/>
      </c>
    </row>
    <row r="1335" spans="1:6" hidden="1">
      <c r="A1335" s="150"/>
      <c r="B1335" s="130" cm="1">
        <f t="array" aca="1" ref="B1335" ca="1">INDIRECT($B$2&amp;"!"&amp;C1335&amp;D1335)</f>
        <v>0</v>
      </c>
      <c r="C1335" s="350" t="s">
        <v>128</v>
      </c>
      <c r="D1335" s="351">
        <f t="shared" ca="1" si="83"/>
        <v>113</v>
      </c>
      <c r="E1335" s="352">
        <v>12</v>
      </c>
      <c r="F1335" s="126" t="str" cm="1">
        <f t="array" aca="1" ref="F1335" ca="1">IF(OR(INDIRECT($B$2&amp;"!AJ14")=$B$845,B1335=0),"",REPT(" ",E1335)&amp;"summaryType: "&amp;CHAR(34)&amp;B1335&amp;CHAR(34)&amp;",")</f>
        <v/>
      </c>
    </row>
    <row r="1336" spans="1:6" hidden="1">
      <c r="A1336" s="150"/>
      <c r="B1336" s="130">
        <f ca="1">IFERROR(INDIRECT($B$2&amp;"!"&amp;C1336&amp;D1336),"")</f>
        <v>0</v>
      </c>
      <c r="C1336" s="350" t="s">
        <v>128</v>
      </c>
      <c r="D1336" s="351">
        <f t="shared" ca="1" si="83"/>
        <v>113</v>
      </c>
      <c r="E1336" s="352">
        <v>12</v>
      </c>
      <c r="F1336" s="126" t="str" cm="1">
        <f t="array" aca="1" ref="F1336" ca="1">IF(OR(INDIRECT($B$2&amp;"!AJ14")=$B$845,B1336=0),"",REPT(" ",E1336)&amp;"displayFormat: "&amp;CHAR(34)&amp;"{0} Items"&amp;CHAR(34)&amp;",")</f>
        <v/>
      </c>
    </row>
    <row r="1337" spans="1:6" hidden="1">
      <c r="A1337" s="150" t="s">
        <v>1037</v>
      </c>
      <c r="B1337" s="130">
        <f ca="1">IFERROR(INDIRECT($B$2&amp;"!"&amp;C1337&amp;D1337),"")</f>
        <v>0</v>
      </c>
      <c r="C1337" s="350" t="s">
        <v>130</v>
      </c>
      <c r="D1337" s="351">
        <f t="shared" ca="1" si="83"/>
        <v>113</v>
      </c>
      <c r="E1337" s="352">
        <v>12</v>
      </c>
      <c r="F1337" s="126" t="str" cm="1">
        <f t="array" aca="1" ref="F1337" ca="1">IF(OR(INDIRECT($B$2&amp;"!AJ14")=$B$845,B1337=0),"",REPT(" ",E1337)&amp;A1337&amp;CHAR(34)&amp;B1337&amp;CHAR(34)&amp;",")</f>
        <v/>
      </c>
    </row>
    <row r="1338" spans="1:6" hidden="1">
      <c r="A1338" s="150" t="s">
        <v>65</v>
      </c>
      <c r="B1338" s="130">
        <f ca="1">IFERROR(INDIRECT($B$2&amp;"!"&amp;C1338&amp;D1338),"")</f>
        <v>0</v>
      </c>
      <c r="C1338" s="350" t="s">
        <v>128</v>
      </c>
      <c r="D1338" s="351">
        <f t="shared" ca="1" si="83"/>
        <v>113</v>
      </c>
      <c r="E1338" s="352">
        <v>9</v>
      </c>
      <c r="F1338" s="126" t="str" cm="1">
        <f t="array" aca="1" ref="F1338" ca="1">IF(OR(INDIRECT($B$2&amp;"!AJ14")=$B$845,B1338=0),"",REPT(" ",E1338)&amp;"},")</f>
        <v/>
      </c>
    </row>
    <row r="1339" spans="1:6" hidden="1">
      <c r="A1339" s="150">
        <f ca="1">IFERROR(INDIRECT($B$2&amp;"!"&amp;"C"&amp;D1339),"")</f>
        <v>0</v>
      </c>
      <c r="B1339" s="130">
        <f ca="1">IFERROR(INDIRECT($B$2&amp;"!"&amp;C1339&amp;D1339),"")</f>
        <v>0</v>
      </c>
      <c r="C1339" s="355" t="s">
        <v>128</v>
      </c>
      <c r="D1339" s="351">
        <f t="shared" ca="1" si="83"/>
        <v>114</v>
      </c>
      <c r="E1339" s="352">
        <v>9</v>
      </c>
      <c r="F1339" s="126" t="str">
        <f ca="1">IF(B1339=0,"",REPT(" ",E1339)&amp;"{ column: "&amp;CHAR(34)&amp;A1339&amp;CHAR(34)&amp;",")</f>
        <v/>
      </c>
    </row>
    <row r="1340" spans="1:6" hidden="1">
      <c r="A1340" s="150"/>
      <c r="B1340" s="130" cm="1">
        <f t="array" aca="1" ref="B1340" ca="1">INDIRECT($B$2&amp;"!"&amp;C1340&amp;D1340)</f>
        <v>0</v>
      </c>
      <c r="C1340" s="350" t="s">
        <v>128</v>
      </c>
      <c r="D1340" s="351">
        <f t="shared" ca="1" si="83"/>
        <v>114</v>
      </c>
      <c r="E1340" s="352">
        <v>12</v>
      </c>
      <c r="F1340" s="126" t="str" cm="1">
        <f t="array" aca="1" ref="F1340" ca="1">IF(OR(INDIRECT($B$2&amp;"!AJ14")=$B$845,B1340=0),"",REPT(" ",E1340)&amp;"summaryType: "&amp;CHAR(34)&amp;B1340&amp;CHAR(34)&amp;",")</f>
        <v/>
      </c>
    </row>
    <row r="1341" spans="1:6" hidden="1">
      <c r="A1341" s="150"/>
      <c r="B1341" s="130">
        <f ca="1">IFERROR(INDIRECT($B$2&amp;"!"&amp;C1341&amp;D1341),"")</f>
        <v>0</v>
      </c>
      <c r="C1341" s="350" t="s">
        <v>128</v>
      </c>
      <c r="D1341" s="351">
        <f t="shared" ca="1" si="83"/>
        <v>114</v>
      </c>
      <c r="E1341" s="352">
        <v>12</v>
      </c>
      <c r="F1341" s="126" t="str" cm="1">
        <f t="array" aca="1" ref="F1341" ca="1">IF(OR(INDIRECT($B$2&amp;"!AJ14")=$B$845,B1341=0),"",REPT(" ",E1341)&amp;"displayFormat: "&amp;CHAR(34)&amp;"{0} Items"&amp;CHAR(34)&amp;",")</f>
        <v/>
      </c>
    </row>
    <row r="1342" spans="1:6" hidden="1">
      <c r="A1342" s="150" t="s">
        <v>1037</v>
      </c>
      <c r="B1342" s="130">
        <f ca="1">IFERROR(INDIRECT($B$2&amp;"!"&amp;C1342&amp;D1342),"")</f>
        <v>0</v>
      </c>
      <c r="C1342" s="350" t="s">
        <v>130</v>
      </c>
      <c r="D1342" s="351">
        <f t="shared" ca="1" si="83"/>
        <v>114</v>
      </c>
      <c r="E1342" s="352">
        <v>12</v>
      </c>
      <c r="F1342" s="126" t="str" cm="1">
        <f t="array" aca="1" ref="F1342" ca="1">IF(OR(INDIRECT($B$2&amp;"!AJ14")=$B$845,B1342=0),"",REPT(" ",E1342)&amp;A1342&amp;CHAR(34)&amp;B1342&amp;CHAR(34)&amp;",")</f>
        <v/>
      </c>
    </row>
    <row r="1343" spans="1:6" hidden="1">
      <c r="A1343" s="150" t="s">
        <v>65</v>
      </c>
      <c r="B1343" s="130">
        <f ca="1">IFERROR(INDIRECT($B$2&amp;"!"&amp;C1343&amp;D1343),"")</f>
        <v>0</v>
      </c>
      <c r="C1343" s="350" t="s">
        <v>128</v>
      </c>
      <c r="D1343" s="351">
        <f t="shared" ca="1" si="83"/>
        <v>114</v>
      </c>
      <c r="E1343" s="352">
        <v>9</v>
      </c>
      <c r="F1343" s="126" t="str" cm="1">
        <f t="array" aca="1" ref="F1343" ca="1">IF(OR(INDIRECT($B$2&amp;"!AJ14")=$B$845,B1343=0),"",REPT(" ",E1343)&amp;"},")</f>
        <v/>
      </c>
    </row>
    <row r="1344" spans="1:6" hidden="1">
      <c r="A1344" s="150">
        <f ca="1">IFERROR(INDIRECT($B$2&amp;"!"&amp;"C"&amp;D1344),"")</f>
        <v>0</v>
      </c>
      <c r="B1344" s="130">
        <f ca="1">IFERROR(INDIRECT($B$2&amp;"!"&amp;C1344&amp;D1344),"")</f>
        <v>0</v>
      </c>
      <c r="C1344" s="355" t="s">
        <v>128</v>
      </c>
      <c r="D1344" s="351">
        <f t="shared" ca="1" si="83"/>
        <v>115</v>
      </c>
      <c r="E1344" s="352">
        <v>9</v>
      </c>
      <c r="F1344" s="126" t="str">
        <f ca="1">IF(B1344=0,"",REPT(" ",E1344)&amp;"{ column: "&amp;CHAR(34)&amp;A1344&amp;CHAR(34)&amp;",")</f>
        <v/>
      </c>
    </row>
    <row r="1345" spans="1:6" hidden="1">
      <c r="A1345" s="150"/>
      <c r="B1345" s="130" cm="1">
        <f t="array" aca="1" ref="B1345" ca="1">INDIRECT($B$2&amp;"!"&amp;C1345&amp;D1345)</f>
        <v>0</v>
      </c>
      <c r="C1345" s="350" t="s">
        <v>128</v>
      </c>
      <c r="D1345" s="351">
        <f t="shared" ca="1" si="83"/>
        <v>115</v>
      </c>
      <c r="E1345" s="352">
        <v>12</v>
      </c>
      <c r="F1345" s="126" t="str" cm="1">
        <f t="array" aca="1" ref="F1345" ca="1">IF(OR(INDIRECT($B$2&amp;"!AJ14")=$B$845,B1345=0),"",REPT(" ",E1345)&amp;"summaryType: "&amp;CHAR(34)&amp;B1345&amp;CHAR(34)&amp;",")</f>
        <v/>
      </c>
    </row>
    <row r="1346" spans="1:6" hidden="1">
      <c r="A1346" s="150"/>
      <c r="B1346" s="130">
        <f ca="1">IFERROR(INDIRECT($B$2&amp;"!"&amp;C1346&amp;D1346),"")</f>
        <v>0</v>
      </c>
      <c r="C1346" s="350" t="s">
        <v>128</v>
      </c>
      <c r="D1346" s="351">
        <f t="shared" ca="1" si="83"/>
        <v>115</v>
      </c>
      <c r="E1346" s="352">
        <v>12</v>
      </c>
      <c r="F1346" s="126" t="str" cm="1">
        <f t="array" aca="1" ref="F1346" ca="1">IF(OR(INDIRECT($B$2&amp;"!AJ14")=$B$845,B1346=0),"",REPT(" ",E1346)&amp;"displayFormat: "&amp;CHAR(34)&amp;"{0} Items"&amp;CHAR(34)&amp;",")</f>
        <v/>
      </c>
    </row>
    <row r="1347" spans="1:6" hidden="1">
      <c r="A1347" s="150" t="s">
        <v>1037</v>
      </c>
      <c r="B1347" s="130">
        <f ca="1">IFERROR(INDIRECT($B$2&amp;"!"&amp;C1347&amp;D1347),"")</f>
        <v>0</v>
      </c>
      <c r="C1347" s="350" t="s">
        <v>130</v>
      </c>
      <c r="D1347" s="351">
        <f t="shared" ca="1" si="83"/>
        <v>115</v>
      </c>
      <c r="E1347" s="352">
        <v>12</v>
      </c>
      <c r="F1347" s="126" t="str" cm="1">
        <f t="array" aca="1" ref="F1347" ca="1">IF(OR(INDIRECT($B$2&amp;"!AJ14")=$B$845,B1347=0),"",REPT(" ",E1347)&amp;A1347&amp;CHAR(34)&amp;B1347&amp;CHAR(34)&amp;",")</f>
        <v/>
      </c>
    </row>
    <row r="1348" spans="1:6" hidden="1">
      <c r="A1348" s="150" t="s">
        <v>65</v>
      </c>
      <c r="B1348" s="130">
        <f ca="1">IFERROR(INDIRECT($B$2&amp;"!"&amp;C1348&amp;D1348),"")</f>
        <v>0</v>
      </c>
      <c r="C1348" s="350" t="s">
        <v>128</v>
      </c>
      <c r="D1348" s="351">
        <f t="shared" ca="1" si="83"/>
        <v>115</v>
      </c>
      <c r="E1348" s="352">
        <v>9</v>
      </c>
      <c r="F1348" s="126" t="str" cm="1">
        <f t="array" aca="1" ref="F1348" ca="1">IF(OR(INDIRECT($B$2&amp;"!AJ14")=$B$845,B1348=0),"",REPT(" ",E1348)&amp;"},")</f>
        <v/>
      </c>
    </row>
    <row r="1349" spans="1:6">
      <c r="A1349" s="150"/>
      <c r="B1349" s="130"/>
      <c r="D1349" s="351">
        <f t="shared" ca="1" si="83"/>
        <v>116</v>
      </c>
      <c r="E1349" s="352">
        <v>6</v>
      </c>
      <c r="F1349" s="126" t="str" cm="1">
        <f t="array" aca="1" ref="F1349" ca="1">IF(INDIRECT($B$2&amp;"!AJ14")=$B$845,"",REPT(" ",E1349)&amp;"],")</f>
        <v xml:space="preserve">      ],</v>
      </c>
    </row>
    <row r="1350" spans="1:6" hidden="1">
      <c r="A1350" s="150" t="s">
        <v>1043</v>
      </c>
      <c r="B1350" s="362">
        <v>100</v>
      </c>
      <c r="C1350" s="355"/>
      <c r="D1350" s="351">
        <v>16</v>
      </c>
      <c r="E1350" s="352">
        <v>6</v>
      </c>
      <c r="F1350" s="126" t="str" cm="1">
        <f t="array" aca="1" ref="F1350" ca="1">IF(INDIRECT($B$2&amp;"!AM14")=$B$1350,"",REPT(" ",E1350)&amp;A1350&amp;"[")</f>
        <v/>
      </c>
    </row>
    <row r="1351" spans="1:6" hidden="1">
      <c r="A1351" s="150" t="str">
        <f ca="1">IFERROR(INDIRECT($B$2&amp;"!"&amp;"C"&amp;D1351),"")</f>
        <v>Code</v>
      </c>
      <c r="B1351" s="130">
        <f ca="1">IFERROR(INDIRECT($B$2&amp;"!"&amp;C1351&amp;D1351),"")</f>
        <v>0</v>
      </c>
      <c r="C1351" s="355" t="s">
        <v>131</v>
      </c>
      <c r="D1351" s="351">
        <f t="shared" ref="D1351:D1360" si="84">IF(TRIM(A1350)="N",1,0)+D1350</f>
        <v>16</v>
      </c>
      <c r="E1351" s="352">
        <v>9</v>
      </c>
      <c r="F1351" s="126" t="str">
        <f ca="1">IF(B1351=0,"",REPT(" ",E1351)&amp;"{ column: "&amp;CHAR(34)&amp;A1351&amp;CHAR(34)&amp;",")</f>
        <v/>
      </c>
    </row>
    <row r="1352" spans="1:6" hidden="1">
      <c r="A1352" s="150"/>
      <c r="B1352" s="130" cm="1">
        <f t="array" aca="1" ref="B1352" ca="1">INDIRECT($B$2&amp;"!"&amp;C1352&amp;D1352)</f>
        <v>0</v>
      </c>
      <c r="C1352" s="350" t="s">
        <v>131</v>
      </c>
      <c r="D1352" s="351">
        <f t="shared" ca="1" si="84"/>
        <v>16</v>
      </c>
      <c r="E1352" s="352">
        <v>12</v>
      </c>
      <c r="F1352" s="126" t="str" cm="1">
        <f t="array" aca="1" ref="F1352" ca="1">IF(OR(INDIRECT($B$2&amp;"!AM14")=$B$1350,B1352=0),"",REPT(" ",E1352)&amp;"summaryType: "&amp;CHAR(34)&amp;B1352&amp;CHAR(34)&amp;",")</f>
        <v/>
      </c>
    </row>
    <row r="1353" spans="1:6" hidden="1">
      <c r="A1353" s="150"/>
      <c r="B1353" s="130">
        <f ca="1">IFERROR(INDIRECT($B$2&amp;"!"&amp;C1353&amp;D1353),"")</f>
        <v>0</v>
      </c>
      <c r="C1353" s="350" t="s">
        <v>131</v>
      </c>
      <c r="D1353" s="351">
        <f t="shared" ca="1" si="84"/>
        <v>16</v>
      </c>
      <c r="E1353" s="352">
        <v>12</v>
      </c>
      <c r="F1353" s="126" t="str" cm="1">
        <f t="array" aca="1" ref="F1353" ca="1">IF(OR(INDIRECT($B$2&amp;"!AM14")=$B$1350,B1353=0),"",REPT(" ",E1353)&amp;"displayFormat: "&amp;CHAR(34)&amp;"{0} Items"&amp;CHAR(34)&amp;",")</f>
        <v/>
      </c>
    </row>
    <row r="1354" spans="1:6" hidden="1">
      <c r="A1354" s="150" t="s">
        <v>1037</v>
      </c>
      <c r="B1354" s="130">
        <f ca="1">IFERROR(INDIRECT($B$2&amp;"!"&amp;C1354&amp;D1354),"")</f>
        <v>0</v>
      </c>
      <c r="C1354" s="350" t="s">
        <v>133</v>
      </c>
      <c r="D1354" s="351">
        <f t="shared" ca="1" si="84"/>
        <v>16</v>
      </c>
      <c r="E1354" s="352">
        <v>12</v>
      </c>
      <c r="F1354" s="126" t="str" cm="1">
        <f t="array" aca="1" ref="F1354" ca="1">IF(OR(INDIRECT($B$2&amp;"!AM14")=$B$1350,B1354=0),"",REPT(" ",E1354)&amp;A1354&amp;CHAR(34)&amp;B1354&amp;CHAR(34)&amp;",")</f>
        <v/>
      </c>
    </row>
    <row r="1355" spans="1:6" hidden="1">
      <c r="A1355" s="150" t="s">
        <v>65</v>
      </c>
      <c r="B1355" s="130">
        <f ca="1">IFERROR(INDIRECT($B$2&amp;"!"&amp;C1355&amp;D1355),"")</f>
        <v>0</v>
      </c>
      <c r="C1355" s="350" t="s">
        <v>131</v>
      </c>
      <c r="D1355" s="351">
        <f t="shared" ca="1" si="84"/>
        <v>16</v>
      </c>
      <c r="E1355" s="352">
        <v>9</v>
      </c>
      <c r="F1355" s="126" t="str" cm="1">
        <f t="array" aca="1" ref="F1355" ca="1">IF(OR(INDIRECT($B$2&amp;"!AM14")=$B$1350,B1355=0),"",REPT(" ",E1355)&amp;"},")</f>
        <v/>
      </c>
    </row>
    <row r="1356" spans="1:6" hidden="1">
      <c r="A1356" s="150" t="str">
        <f ca="1">IFERROR(INDIRECT($B$2&amp;"!"&amp;"C"&amp;D1356),"")</f>
        <v>NextNo</v>
      </c>
      <c r="B1356" s="130">
        <f ca="1">IFERROR(INDIRECT($B$2&amp;"!"&amp;C1356&amp;D1356),"")</f>
        <v>0</v>
      </c>
      <c r="C1356" s="355" t="s">
        <v>131</v>
      </c>
      <c r="D1356" s="351">
        <f t="shared" ca="1" si="84"/>
        <v>17</v>
      </c>
      <c r="E1356" s="352">
        <v>9</v>
      </c>
      <c r="F1356" s="126" t="str">
        <f ca="1">IF(B1356=0,"",REPT(" ",E1356)&amp;"{ column: "&amp;CHAR(34)&amp;A1356&amp;CHAR(34)&amp;",")</f>
        <v/>
      </c>
    </row>
    <row r="1357" spans="1:6" hidden="1">
      <c r="A1357" s="150"/>
      <c r="B1357" s="130" cm="1">
        <f t="array" aca="1" ref="B1357" ca="1">INDIRECT($B$2&amp;"!"&amp;C1357&amp;D1357)</f>
        <v>0</v>
      </c>
      <c r="C1357" s="350" t="s">
        <v>131</v>
      </c>
      <c r="D1357" s="351">
        <f t="shared" ca="1" si="84"/>
        <v>17</v>
      </c>
      <c r="E1357" s="352">
        <v>12</v>
      </c>
      <c r="F1357" s="126" t="str" cm="1">
        <f t="array" aca="1" ref="F1357" ca="1">IF(OR(INDIRECT($B$2&amp;"!AM14")=$B$1350,B1357=0),"",REPT(" ",E1357)&amp;"summaryType: "&amp;CHAR(34)&amp;B1357&amp;CHAR(34)&amp;",")</f>
        <v/>
      </c>
    </row>
    <row r="1358" spans="1:6" hidden="1">
      <c r="A1358" s="150"/>
      <c r="B1358" s="130">
        <f ca="1">IFERROR(INDIRECT($B$2&amp;"!"&amp;C1358&amp;D1358),"")</f>
        <v>0</v>
      </c>
      <c r="C1358" s="350" t="s">
        <v>131</v>
      </c>
      <c r="D1358" s="351">
        <f t="shared" ca="1" si="84"/>
        <v>17</v>
      </c>
      <c r="E1358" s="352">
        <v>12</v>
      </c>
      <c r="F1358" s="126" t="str" cm="1">
        <f t="array" aca="1" ref="F1358" ca="1">IF(OR(INDIRECT($B$2&amp;"!AM14")=$B$1350,B1358=0),"",REPT(" ",E1358)&amp;"displayFormat: "&amp;CHAR(34)&amp;"{0} Items"&amp;CHAR(34)&amp;",")</f>
        <v/>
      </c>
    </row>
    <row r="1359" spans="1:6" hidden="1">
      <c r="A1359" s="150" t="s">
        <v>1037</v>
      </c>
      <c r="B1359" s="130">
        <f ca="1">IFERROR(INDIRECT($B$2&amp;"!"&amp;C1359&amp;D1359),"")</f>
        <v>0</v>
      </c>
      <c r="C1359" s="350" t="s">
        <v>133</v>
      </c>
      <c r="D1359" s="351">
        <f t="shared" ca="1" si="84"/>
        <v>17</v>
      </c>
      <c r="E1359" s="352">
        <v>12</v>
      </c>
      <c r="F1359" s="126" t="str" cm="1">
        <f t="array" aca="1" ref="F1359" ca="1">IF(OR(INDIRECT($B$2&amp;"!AM14")=$B$1350,B1359=0),"",REPT(" ",E1359)&amp;A1359&amp;CHAR(34)&amp;B1359&amp;CHAR(34)&amp;",")</f>
        <v/>
      </c>
    </row>
    <row r="1360" spans="1:6" hidden="1">
      <c r="A1360" s="150" t="s">
        <v>65</v>
      </c>
      <c r="B1360" s="130">
        <f ca="1">IFERROR(INDIRECT($B$2&amp;"!"&amp;C1360&amp;D1360),"")</f>
        <v>0</v>
      </c>
      <c r="C1360" s="350" t="s">
        <v>131</v>
      </c>
      <c r="D1360" s="351">
        <f t="shared" ca="1" si="84"/>
        <v>17</v>
      </c>
      <c r="E1360" s="352">
        <v>9</v>
      </c>
      <c r="F1360" s="126" t="str" cm="1">
        <f t="array" aca="1" ref="F1360" ca="1">IF(OR(INDIRECT($B$2&amp;"!AM14")=$B$1350,B1360=0),"",REPT(" ",E1360)&amp;"},")</f>
        <v/>
      </c>
    </row>
    <row r="1361" spans="1:6" hidden="1">
      <c r="A1361" s="150" t="str">
        <f ca="1">IFERROR(INDIRECT($B$2&amp;"!"&amp;"C"&amp;D1361),"")</f>
        <v>ConstantValue</v>
      </c>
      <c r="B1361" s="130">
        <f ca="1">IFERROR(INDIRECT($B$2&amp;"!"&amp;C1361&amp;D1361),"")</f>
        <v>0</v>
      </c>
      <c r="C1361" s="355" t="s">
        <v>131</v>
      </c>
      <c r="D1361" s="351">
        <f ca="1">IF(TRIM(A1360)="N",1,0)+D1360</f>
        <v>18</v>
      </c>
      <c r="E1361" s="352">
        <v>9</v>
      </c>
      <c r="F1361" s="126" t="str">
        <f ca="1">IF(B1361=0,"",REPT(" ",E1361)&amp;"{ column: "&amp;CHAR(34)&amp;A1361&amp;CHAR(34)&amp;",")</f>
        <v/>
      </c>
    </row>
    <row r="1362" spans="1:6" hidden="1">
      <c r="A1362" s="150"/>
      <c r="B1362" s="130" cm="1">
        <f t="array" aca="1" ref="B1362" ca="1">INDIRECT($B$2&amp;"!"&amp;C1362&amp;D1362)</f>
        <v>0</v>
      </c>
      <c r="C1362" s="350" t="s">
        <v>131</v>
      </c>
      <c r="D1362" s="351">
        <f ca="1">IF(TRIM(A1361)="N",1,0)+D1361</f>
        <v>18</v>
      </c>
      <c r="E1362" s="352">
        <v>12</v>
      </c>
      <c r="F1362" s="126" t="str" cm="1">
        <f t="array" aca="1" ref="F1362" ca="1">IF(OR(INDIRECT($B$2&amp;"!AM14")=$B$1350,B1362=0),"",REPT(" ",E1362)&amp;"summaryType: "&amp;CHAR(34)&amp;B1362&amp;CHAR(34)&amp;",")</f>
        <v/>
      </c>
    </row>
    <row r="1363" spans="1:6" hidden="1">
      <c r="A1363" s="150"/>
      <c r="B1363" s="130">
        <f ca="1">IFERROR(INDIRECT($B$2&amp;"!"&amp;C1363&amp;D1363),"")</f>
        <v>0</v>
      </c>
      <c r="C1363" s="350" t="s">
        <v>131</v>
      </c>
      <c r="D1363" s="351">
        <f t="shared" ref="D1363:D1426" ca="1" si="85">IF(TRIM(A1362)="N",1,0)+D1362</f>
        <v>18</v>
      </c>
      <c r="E1363" s="352">
        <v>12</v>
      </c>
      <c r="F1363" s="126" t="str" cm="1">
        <f t="array" aca="1" ref="F1363" ca="1">IF(OR(INDIRECT($B$2&amp;"!AM14")=$B$1350,B1363=0),"",REPT(" ",E1363)&amp;"displayFormat: "&amp;CHAR(34)&amp;"{0} Items"&amp;CHAR(34)&amp;",")</f>
        <v/>
      </c>
    </row>
    <row r="1364" spans="1:6" hidden="1">
      <c r="A1364" s="150" t="s">
        <v>1037</v>
      </c>
      <c r="B1364" s="130">
        <f ca="1">IFERROR(INDIRECT($B$2&amp;"!"&amp;C1364&amp;D1364),"")</f>
        <v>0</v>
      </c>
      <c r="C1364" s="350" t="s">
        <v>133</v>
      </c>
      <c r="D1364" s="351">
        <f t="shared" ca="1" si="85"/>
        <v>18</v>
      </c>
      <c r="E1364" s="352">
        <v>12</v>
      </c>
      <c r="F1364" s="126" t="str" cm="1">
        <f t="array" aca="1" ref="F1364" ca="1">IF(OR(INDIRECT($B$2&amp;"!AM14")=$B$1350,B1364=0),"",REPT(" ",E1364)&amp;A1364&amp;CHAR(34)&amp;B1364&amp;CHAR(34)&amp;",")</f>
        <v/>
      </c>
    </row>
    <row r="1365" spans="1:6" hidden="1">
      <c r="A1365" s="150" t="s">
        <v>65</v>
      </c>
      <c r="B1365" s="130">
        <f ca="1">IFERROR(INDIRECT($B$2&amp;"!"&amp;C1365&amp;D1365),"")</f>
        <v>0</v>
      </c>
      <c r="C1365" s="350" t="s">
        <v>131</v>
      </c>
      <c r="D1365" s="351">
        <f t="shared" ca="1" si="85"/>
        <v>18</v>
      </c>
      <c r="E1365" s="352">
        <v>9</v>
      </c>
      <c r="F1365" s="126" t="str" cm="1">
        <f t="array" aca="1" ref="F1365" ca="1">IF(OR(INDIRECT($B$2&amp;"!AM14")=$B$1350,B1365=0),"",REPT(" ",E1365)&amp;"},")</f>
        <v/>
      </c>
    </row>
    <row r="1366" spans="1:6" hidden="1">
      <c r="A1366" s="150" t="str">
        <f ca="1">IFERROR(INDIRECT($B$2&amp;"!"&amp;"C"&amp;D1366),"")</f>
        <v>BooleanFlag</v>
      </c>
      <c r="B1366" s="130">
        <f ca="1">IFERROR(INDIRECT($B$2&amp;"!"&amp;C1366&amp;D1366),"")</f>
        <v>0</v>
      </c>
      <c r="C1366" s="355" t="s">
        <v>131</v>
      </c>
      <c r="D1366" s="351">
        <f t="shared" ca="1" si="85"/>
        <v>19</v>
      </c>
      <c r="E1366" s="352">
        <v>9</v>
      </c>
      <c r="F1366" s="126" t="str">
        <f ca="1">IF(B1366=0,"",REPT(" ",E1366)&amp;"{ column: "&amp;CHAR(34)&amp;A1366&amp;CHAR(34)&amp;",")</f>
        <v/>
      </c>
    </row>
    <row r="1367" spans="1:6" hidden="1">
      <c r="A1367" s="150"/>
      <c r="B1367" s="130" cm="1">
        <f t="array" aca="1" ref="B1367" ca="1">INDIRECT($B$2&amp;"!"&amp;C1367&amp;D1367)</f>
        <v>0</v>
      </c>
      <c r="C1367" s="350" t="s">
        <v>131</v>
      </c>
      <c r="D1367" s="351">
        <f t="shared" ca="1" si="85"/>
        <v>19</v>
      </c>
      <c r="E1367" s="352">
        <v>12</v>
      </c>
      <c r="F1367" s="126" t="str" cm="1">
        <f t="array" aca="1" ref="F1367" ca="1">IF(OR(INDIRECT($B$2&amp;"!AM14")=$B$1350,B1367=0),"",REPT(" ",E1367)&amp;"summaryType: "&amp;CHAR(34)&amp;B1367&amp;CHAR(34)&amp;",")</f>
        <v/>
      </c>
    </row>
    <row r="1368" spans="1:6" hidden="1">
      <c r="A1368" s="150"/>
      <c r="B1368" s="130">
        <f ca="1">IFERROR(INDIRECT($B$2&amp;"!"&amp;C1368&amp;D1368),"")</f>
        <v>0</v>
      </c>
      <c r="C1368" s="350" t="s">
        <v>131</v>
      </c>
      <c r="D1368" s="351">
        <f t="shared" ca="1" si="85"/>
        <v>19</v>
      </c>
      <c r="E1368" s="352">
        <v>12</v>
      </c>
      <c r="F1368" s="126" t="str" cm="1">
        <f t="array" aca="1" ref="F1368" ca="1">IF(OR(INDIRECT($B$2&amp;"!AM14")=$B$1350,B1368=0),"",REPT(" ",E1368)&amp;"displayFormat: "&amp;CHAR(34)&amp;"{0} Items"&amp;CHAR(34)&amp;",")</f>
        <v/>
      </c>
    </row>
    <row r="1369" spans="1:6" hidden="1">
      <c r="A1369" s="150" t="s">
        <v>1037</v>
      </c>
      <c r="B1369" s="130">
        <f ca="1">IFERROR(INDIRECT($B$2&amp;"!"&amp;C1369&amp;D1369),"")</f>
        <v>0</v>
      </c>
      <c r="C1369" s="350" t="s">
        <v>133</v>
      </c>
      <c r="D1369" s="351">
        <f t="shared" ca="1" si="85"/>
        <v>19</v>
      </c>
      <c r="E1369" s="352">
        <v>12</v>
      </c>
      <c r="F1369" s="126" t="str" cm="1">
        <f t="array" aca="1" ref="F1369" ca="1">IF(OR(INDIRECT($B$2&amp;"!AM14")=$B$1350,B1369=0),"",REPT(" ",E1369)&amp;A1369&amp;CHAR(34)&amp;B1369&amp;CHAR(34)&amp;",")</f>
        <v/>
      </c>
    </row>
    <row r="1370" spans="1:6" hidden="1">
      <c r="A1370" s="150" t="s">
        <v>65</v>
      </c>
      <c r="B1370" s="130">
        <f ca="1">IFERROR(INDIRECT($B$2&amp;"!"&amp;C1370&amp;D1370),"")</f>
        <v>0</v>
      </c>
      <c r="C1370" s="350" t="s">
        <v>131</v>
      </c>
      <c r="D1370" s="351">
        <f t="shared" ca="1" si="85"/>
        <v>19</v>
      </c>
      <c r="E1370" s="352">
        <v>9</v>
      </c>
      <c r="F1370" s="126" t="str" cm="1">
        <f t="array" aca="1" ref="F1370" ca="1">IF(OR(INDIRECT($B$2&amp;"!AM14")=$B$1350,B1370=0),"",REPT(" ",E1370)&amp;"},")</f>
        <v/>
      </c>
    </row>
    <row r="1371" spans="1:6" hidden="1">
      <c r="A1371" s="150" t="str">
        <f ca="1">IFERROR(INDIRECT($B$2&amp;"!"&amp;"C"&amp;D1371),"")</f>
        <v>Remark</v>
      </c>
      <c r="B1371" s="130">
        <f ca="1">IFERROR(INDIRECT($B$2&amp;"!"&amp;C1371&amp;D1371),"")</f>
        <v>0</v>
      </c>
      <c r="C1371" s="355" t="s">
        <v>131</v>
      </c>
      <c r="D1371" s="351">
        <f t="shared" ca="1" si="85"/>
        <v>20</v>
      </c>
      <c r="E1371" s="352">
        <v>9</v>
      </c>
      <c r="F1371" s="126" t="str">
        <f ca="1">IF(B1371=0,"",REPT(" ",E1371)&amp;"{ column: "&amp;CHAR(34)&amp;A1371&amp;CHAR(34)&amp;",")</f>
        <v/>
      </c>
    </row>
    <row r="1372" spans="1:6" hidden="1">
      <c r="A1372" s="150"/>
      <c r="B1372" s="130" cm="1">
        <f t="array" aca="1" ref="B1372" ca="1">INDIRECT($B$2&amp;"!"&amp;C1372&amp;D1372)</f>
        <v>0</v>
      </c>
      <c r="C1372" s="350" t="s">
        <v>131</v>
      </c>
      <c r="D1372" s="351">
        <f t="shared" ca="1" si="85"/>
        <v>20</v>
      </c>
      <c r="E1372" s="352">
        <v>12</v>
      </c>
      <c r="F1372" s="126" t="str" cm="1">
        <f t="array" aca="1" ref="F1372" ca="1">IF(OR(INDIRECT($B$2&amp;"!AM14")=$B$1350,B1372=0),"",REPT(" ",E1372)&amp;"summaryType: "&amp;CHAR(34)&amp;B1372&amp;CHAR(34)&amp;",")</f>
        <v/>
      </c>
    </row>
    <row r="1373" spans="1:6" hidden="1">
      <c r="A1373" s="150"/>
      <c r="B1373" s="130">
        <f ca="1">IFERROR(INDIRECT($B$2&amp;"!"&amp;C1373&amp;D1373),"")</f>
        <v>0</v>
      </c>
      <c r="C1373" s="350" t="s">
        <v>131</v>
      </c>
      <c r="D1373" s="351">
        <f t="shared" ca="1" si="85"/>
        <v>20</v>
      </c>
      <c r="E1373" s="352">
        <v>12</v>
      </c>
      <c r="F1373" s="126" t="str" cm="1">
        <f t="array" aca="1" ref="F1373" ca="1">IF(OR(INDIRECT($B$2&amp;"!AM14")=$B$1350,B1373=0),"",REPT(" ",E1373)&amp;"displayFormat: "&amp;CHAR(34)&amp;"{0} Items"&amp;CHAR(34)&amp;",")</f>
        <v/>
      </c>
    </row>
    <row r="1374" spans="1:6" hidden="1">
      <c r="A1374" s="150" t="s">
        <v>1037</v>
      </c>
      <c r="B1374" s="130">
        <f ca="1">IFERROR(INDIRECT($B$2&amp;"!"&amp;C1374&amp;D1374),"")</f>
        <v>0</v>
      </c>
      <c r="C1374" s="350" t="s">
        <v>133</v>
      </c>
      <c r="D1374" s="351">
        <f t="shared" ca="1" si="85"/>
        <v>20</v>
      </c>
      <c r="E1374" s="352">
        <v>12</v>
      </c>
      <c r="F1374" s="126" t="str" cm="1">
        <f t="array" aca="1" ref="F1374" ca="1">IF(OR(INDIRECT($B$2&amp;"!AM14")=$B$1350,B1374=0),"",REPT(" ",E1374)&amp;A1374&amp;CHAR(34)&amp;B1374&amp;CHAR(34)&amp;",")</f>
        <v/>
      </c>
    </row>
    <row r="1375" spans="1:6" hidden="1">
      <c r="A1375" s="150" t="s">
        <v>65</v>
      </c>
      <c r="B1375" s="130">
        <f ca="1">IFERROR(INDIRECT($B$2&amp;"!"&amp;C1375&amp;D1375),"")</f>
        <v>0</v>
      </c>
      <c r="C1375" s="350" t="s">
        <v>131</v>
      </c>
      <c r="D1375" s="351">
        <f t="shared" ca="1" si="85"/>
        <v>20</v>
      </c>
      <c r="E1375" s="352">
        <v>9</v>
      </c>
      <c r="F1375" s="126" t="str" cm="1">
        <f t="array" aca="1" ref="F1375" ca="1">IF(OR(INDIRECT($B$2&amp;"!AM14")=$B$1350,B1375=0),"",REPT(" ",E1375)&amp;"},")</f>
        <v/>
      </c>
    </row>
    <row r="1376" spans="1:6" hidden="1">
      <c r="A1376" s="150">
        <f ca="1">IFERROR(INDIRECT($B$2&amp;"!"&amp;"C"&amp;D1376),"")</f>
        <v>0</v>
      </c>
      <c r="B1376" s="130">
        <f ca="1">IFERROR(INDIRECT($B$2&amp;"!"&amp;C1376&amp;D1376),"")</f>
        <v>0</v>
      </c>
      <c r="C1376" s="355" t="s">
        <v>131</v>
      </c>
      <c r="D1376" s="351">
        <f t="shared" ca="1" si="85"/>
        <v>21</v>
      </c>
      <c r="E1376" s="352">
        <v>9</v>
      </c>
      <c r="F1376" s="126" t="str">
        <f ca="1">IF(B1376=0,"",REPT(" ",E1376)&amp;"{ column: "&amp;CHAR(34)&amp;A1376&amp;CHAR(34)&amp;",")</f>
        <v/>
      </c>
    </row>
    <row r="1377" spans="1:6" hidden="1">
      <c r="A1377" s="150"/>
      <c r="B1377" s="130" cm="1">
        <f t="array" aca="1" ref="B1377" ca="1">INDIRECT($B$2&amp;"!"&amp;C1377&amp;D1377)</f>
        <v>0</v>
      </c>
      <c r="C1377" s="350" t="s">
        <v>131</v>
      </c>
      <c r="D1377" s="351">
        <f t="shared" ca="1" si="85"/>
        <v>21</v>
      </c>
      <c r="E1377" s="352">
        <v>12</v>
      </c>
      <c r="F1377" s="126" t="str" cm="1">
        <f t="array" aca="1" ref="F1377" ca="1">IF(OR(INDIRECT($B$2&amp;"!AM14")=$B$1350,B1377=0),"",REPT(" ",E1377)&amp;"summaryType: "&amp;CHAR(34)&amp;B1377&amp;CHAR(34)&amp;",")</f>
        <v/>
      </c>
    </row>
    <row r="1378" spans="1:6" hidden="1">
      <c r="A1378" s="150"/>
      <c r="B1378" s="130">
        <f ca="1">IFERROR(INDIRECT($B$2&amp;"!"&amp;C1378&amp;D1378),"")</f>
        <v>0</v>
      </c>
      <c r="C1378" s="350" t="s">
        <v>131</v>
      </c>
      <c r="D1378" s="351">
        <f t="shared" ca="1" si="85"/>
        <v>21</v>
      </c>
      <c r="E1378" s="352">
        <v>12</v>
      </c>
      <c r="F1378" s="126" t="str" cm="1">
        <f t="array" aca="1" ref="F1378" ca="1">IF(OR(INDIRECT($B$2&amp;"!AM14")=$B$1350,B1378=0),"",REPT(" ",E1378)&amp;"displayFormat: "&amp;CHAR(34)&amp;"{0} Items"&amp;CHAR(34)&amp;",")</f>
        <v/>
      </c>
    </row>
    <row r="1379" spans="1:6" hidden="1">
      <c r="A1379" s="150" t="s">
        <v>1037</v>
      </c>
      <c r="B1379" s="130">
        <f ca="1">IFERROR(INDIRECT($B$2&amp;"!"&amp;C1379&amp;D1379),"")</f>
        <v>0</v>
      </c>
      <c r="C1379" s="350" t="s">
        <v>133</v>
      </c>
      <c r="D1379" s="351">
        <f t="shared" ca="1" si="85"/>
        <v>21</v>
      </c>
      <c r="E1379" s="352">
        <v>12</v>
      </c>
      <c r="F1379" s="126" t="str" cm="1">
        <f t="array" aca="1" ref="F1379" ca="1">IF(OR(INDIRECT($B$2&amp;"!AM14")=$B$1350,B1379=0),"",REPT(" ",E1379)&amp;A1379&amp;CHAR(34)&amp;B1379&amp;CHAR(34)&amp;",")</f>
        <v/>
      </c>
    </row>
    <row r="1380" spans="1:6" hidden="1">
      <c r="A1380" s="150" t="s">
        <v>65</v>
      </c>
      <c r="B1380" s="130">
        <f ca="1">IFERROR(INDIRECT($B$2&amp;"!"&amp;C1380&amp;D1380),"")</f>
        <v>0</v>
      </c>
      <c r="C1380" s="350" t="s">
        <v>131</v>
      </c>
      <c r="D1380" s="351">
        <f t="shared" ca="1" si="85"/>
        <v>21</v>
      </c>
      <c r="E1380" s="352">
        <v>9</v>
      </c>
      <c r="F1380" s="126" t="str" cm="1">
        <f t="array" aca="1" ref="F1380" ca="1">IF(OR(INDIRECT($B$2&amp;"!AM14")=$B$1350,B1380=0),"",REPT(" ",E1380)&amp;"},")</f>
        <v/>
      </c>
    </row>
    <row r="1381" spans="1:6" hidden="1">
      <c r="A1381" s="150">
        <f ca="1">IFERROR(INDIRECT($B$2&amp;"!"&amp;"C"&amp;D1381),"")</f>
        <v>0</v>
      </c>
      <c r="B1381" s="130">
        <f ca="1">IFERROR(INDIRECT($B$2&amp;"!"&amp;C1381&amp;D1381),"")</f>
        <v>0</v>
      </c>
      <c r="C1381" s="355" t="s">
        <v>131</v>
      </c>
      <c r="D1381" s="351">
        <f t="shared" ca="1" si="85"/>
        <v>22</v>
      </c>
      <c r="E1381" s="352">
        <v>9</v>
      </c>
      <c r="F1381" s="126" t="str">
        <f ca="1">IF(B1381=0,"",REPT(" ",E1381)&amp;"{ column: "&amp;CHAR(34)&amp;A1381&amp;CHAR(34)&amp;",")</f>
        <v/>
      </c>
    </row>
    <row r="1382" spans="1:6" hidden="1">
      <c r="A1382" s="150"/>
      <c r="B1382" s="130" cm="1">
        <f t="array" aca="1" ref="B1382" ca="1">INDIRECT($B$2&amp;"!"&amp;C1382&amp;D1382)</f>
        <v>0</v>
      </c>
      <c r="C1382" s="350" t="s">
        <v>131</v>
      </c>
      <c r="D1382" s="351">
        <f t="shared" ca="1" si="85"/>
        <v>22</v>
      </c>
      <c r="E1382" s="352">
        <v>12</v>
      </c>
      <c r="F1382" s="126" t="str" cm="1">
        <f t="array" aca="1" ref="F1382" ca="1">IF(OR(INDIRECT($B$2&amp;"!AM14")=$B$1350,B1382=0),"",REPT(" ",E1382)&amp;"summaryType: "&amp;CHAR(34)&amp;B1382&amp;CHAR(34)&amp;",")</f>
        <v/>
      </c>
    </row>
    <row r="1383" spans="1:6" hidden="1">
      <c r="A1383" s="150"/>
      <c r="B1383" s="130">
        <f ca="1">IFERROR(INDIRECT($B$2&amp;"!"&amp;C1383&amp;D1383),"")</f>
        <v>0</v>
      </c>
      <c r="C1383" s="350" t="s">
        <v>131</v>
      </c>
      <c r="D1383" s="351">
        <f t="shared" ca="1" si="85"/>
        <v>22</v>
      </c>
      <c r="E1383" s="352">
        <v>12</v>
      </c>
      <c r="F1383" s="126" t="str" cm="1">
        <f t="array" aca="1" ref="F1383" ca="1">IF(OR(INDIRECT($B$2&amp;"!AM14")=$B$1350,B1383=0),"",REPT(" ",E1383)&amp;"displayFormat: "&amp;CHAR(34)&amp;"{0} Items"&amp;CHAR(34)&amp;",")</f>
        <v/>
      </c>
    </row>
    <row r="1384" spans="1:6" hidden="1">
      <c r="A1384" s="150" t="s">
        <v>1037</v>
      </c>
      <c r="B1384" s="130">
        <f ca="1">IFERROR(INDIRECT($B$2&amp;"!"&amp;C1384&amp;D1384),"")</f>
        <v>0</v>
      </c>
      <c r="C1384" s="350" t="s">
        <v>133</v>
      </c>
      <c r="D1384" s="351">
        <f t="shared" ca="1" si="85"/>
        <v>22</v>
      </c>
      <c r="E1384" s="352">
        <v>12</v>
      </c>
      <c r="F1384" s="126" t="str" cm="1">
        <f t="array" aca="1" ref="F1384" ca="1">IF(OR(INDIRECT($B$2&amp;"!AM14")=$B$1350,B1384=0),"",REPT(" ",E1384)&amp;A1384&amp;CHAR(34)&amp;B1384&amp;CHAR(34)&amp;",")</f>
        <v/>
      </c>
    </row>
    <row r="1385" spans="1:6" hidden="1">
      <c r="A1385" s="150" t="s">
        <v>65</v>
      </c>
      <c r="B1385" s="130">
        <f ca="1">IFERROR(INDIRECT($B$2&amp;"!"&amp;C1385&amp;D1385),"")</f>
        <v>0</v>
      </c>
      <c r="C1385" s="350" t="s">
        <v>131</v>
      </c>
      <c r="D1385" s="351">
        <f t="shared" ca="1" si="85"/>
        <v>22</v>
      </c>
      <c r="E1385" s="352">
        <v>9</v>
      </c>
      <c r="F1385" s="126" t="str" cm="1">
        <f t="array" aca="1" ref="F1385" ca="1">IF(OR(INDIRECT($B$2&amp;"!AM14")=$B$1350,B1385=0),"",REPT(" ",E1385)&amp;"},")</f>
        <v/>
      </c>
    </row>
    <row r="1386" spans="1:6" hidden="1">
      <c r="A1386" s="150">
        <f ca="1">IFERROR(INDIRECT($B$2&amp;"!"&amp;"C"&amp;D1386),"")</f>
        <v>0</v>
      </c>
      <c r="B1386" s="130">
        <f ca="1">IFERROR(INDIRECT($B$2&amp;"!"&amp;C1386&amp;D1386),"")</f>
        <v>0</v>
      </c>
      <c r="C1386" s="355" t="s">
        <v>131</v>
      </c>
      <c r="D1386" s="351">
        <f t="shared" ca="1" si="85"/>
        <v>23</v>
      </c>
      <c r="E1386" s="352">
        <v>9</v>
      </c>
      <c r="F1386" s="126" t="str">
        <f ca="1">IF(B1386=0,"",REPT(" ",E1386)&amp;"{ column: "&amp;CHAR(34)&amp;A1386&amp;CHAR(34)&amp;",")</f>
        <v/>
      </c>
    </row>
    <row r="1387" spans="1:6" hidden="1">
      <c r="A1387" s="150"/>
      <c r="B1387" s="130" cm="1">
        <f t="array" aca="1" ref="B1387" ca="1">INDIRECT($B$2&amp;"!"&amp;C1387&amp;D1387)</f>
        <v>0</v>
      </c>
      <c r="C1387" s="350" t="s">
        <v>131</v>
      </c>
      <c r="D1387" s="351">
        <f t="shared" ca="1" si="85"/>
        <v>23</v>
      </c>
      <c r="E1387" s="352">
        <v>12</v>
      </c>
      <c r="F1387" s="126" t="str" cm="1">
        <f t="array" aca="1" ref="F1387" ca="1">IF(OR(INDIRECT($B$2&amp;"!AM14")=$B$1350,B1387=0),"",REPT(" ",E1387)&amp;"summaryType: "&amp;CHAR(34)&amp;B1387&amp;CHAR(34)&amp;",")</f>
        <v/>
      </c>
    </row>
    <row r="1388" spans="1:6" hidden="1">
      <c r="A1388" s="150"/>
      <c r="B1388" s="130">
        <f ca="1">IFERROR(INDIRECT($B$2&amp;"!"&amp;C1388&amp;D1388),"")</f>
        <v>0</v>
      </c>
      <c r="C1388" s="350" t="s">
        <v>131</v>
      </c>
      <c r="D1388" s="351">
        <f t="shared" ca="1" si="85"/>
        <v>23</v>
      </c>
      <c r="E1388" s="352">
        <v>12</v>
      </c>
      <c r="F1388" s="126" t="str" cm="1">
        <f t="array" aca="1" ref="F1388" ca="1">IF(OR(INDIRECT($B$2&amp;"!AM14")=$B$1350,B1388=0),"",REPT(" ",E1388)&amp;"displayFormat: "&amp;CHAR(34)&amp;"{0} Items"&amp;CHAR(34)&amp;",")</f>
        <v/>
      </c>
    </row>
    <row r="1389" spans="1:6" hidden="1">
      <c r="A1389" s="150" t="s">
        <v>1037</v>
      </c>
      <c r="B1389" s="130">
        <f ca="1">IFERROR(INDIRECT($B$2&amp;"!"&amp;C1389&amp;D1389),"")</f>
        <v>0</v>
      </c>
      <c r="C1389" s="350" t="s">
        <v>133</v>
      </c>
      <c r="D1389" s="351">
        <f t="shared" ca="1" si="85"/>
        <v>23</v>
      </c>
      <c r="E1389" s="352">
        <v>12</v>
      </c>
      <c r="F1389" s="126" t="str" cm="1">
        <f t="array" aca="1" ref="F1389" ca="1">IF(OR(INDIRECT($B$2&amp;"!AM14")=$B$1350,B1389=0),"",REPT(" ",E1389)&amp;A1389&amp;CHAR(34)&amp;B1389&amp;CHAR(34)&amp;",")</f>
        <v/>
      </c>
    </row>
    <row r="1390" spans="1:6" hidden="1">
      <c r="A1390" s="150" t="s">
        <v>65</v>
      </c>
      <c r="B1390" s="130">
        <f ca="1">IFERROR(INDIRECT($B$2&amp;"!"&amp;C1390&amp;D1390),"")</f>
        <v>0</v>
      </c>
      <c r="C1390" s="350" t="s">
        <v>131</v>
      </c>
      <c r="D1390" s="351">
        <f t="shared" ca="1" si="85"/>
        <v>23</v>
      </c>
      <c r="E1390" s="352">
        <v>9</v>
      </c>
      <c r="F1390" s="126" t="str" cm="1">
        <f t="array" aca="1" ref="F1390" ca="1">IF(OR(INDIRECT($B$2&amp;"!AM14")=$B$1350,B1390=0),"",REPT(" ",E1390)&amp;"},")</f>
        <v/>
      </c>
    </row>
    <row r="1391" spans="1:6" hidden="1">
      <c r="A1391" s="150">
        <f ca="1">IFERROR(INDIRECT($B$2&amp;"!"&amp;"C"&amp;D1391),"")</f>
        <v>0</v>
      </c>
      <c r="B1391" s="130">
        <f ca="1">IFERROR(INDIRECT($B$2&amp;"!"&amp;C1391&amp;D1391),"")</f>
        <v>0</v>
      </c>
      <c r="C1391" s="355" t="s">
        <v>131</v>
      </c>
      <c r="D1391" s="351">
        <f t="shared" ca="1" si="85"/>
        <v>24</v>
      </c>
      <c r="E1391" s="352">
        <v>9</v>
      </c>
      <c r="F1391" s="126" t="str">
        <f ca="1">IF(B1391=0,"",REPT(" ",E1391)&amp;"{ column: "&amp;CHAR(34)&amp;A1391&amp;CHAR(34)&amp;",")</f>
        <v/>
      </c>
    </row>
    <row r="1392" spans="1:6" hidden="1">
      <c r="A1392" s="150"/>
      <c r="B1392" s="130" cm="1">
        <f t="array" aca="1" ref="B1392" ca="1">INDIRECT($B$2&amp;"!"&amp;C1392&amp;D1392)</f>
        <v>0</v>
      </c>
      <c r="C1392" s="350" t="s">
        <v>131</v>
      </c>
      <c r="D1392" s="351">
        <f t="shared" ca="1" si="85"/>
        <v>24</v>
      </c>
      <c r="E1392" s="352">
        <v>12</v>
      </c>
      <c r="F1392" s="126" t="str" cm="1">
        <f t="array" aca="1" ref="F1392" ca="1">IF(OR(INDIRECT($B$2&amp;"!AM14")=$B$1350,B1392=0),"",REPT(" ",E1392)&amp;"summaryType: "&amp;CHAR(34)&amp;B1392&amp;CHAR(34)&amp;",")</f>
        <v/>
      </c>
    </row>
    <row r="1393" spans="1:6" hidden="1">
      <c r="A1393" s="150"/>
      <c r="B1393" s="130">
        <f ca="1">IFERROR(INDIRECT($B$2&amp;"!"&amp;C1393&amp;D1393),"")</f>
        <v>0</v>
      </c>
      <c r="C1393" s="350" t="s">
        <v>131</v>
      </c>
      <c r="D1393" s="351">
        <f t="shared" ca="1" si="85"/>
        <v>24</v>
      </c>
      <c r="E1393" s="352">
        <v>12</v>
      </c>
      <c r="F1393" s="126" t="str" cm="1">
        <f t="array" aca="1" ref="F1393" ca="1">IF(OR(INDIRECT($B$2&amp;"!AM14")=$B$1350,B1393=0),"",REPT(" ",E1393)&amp;"displayFormat: "&amp;CHAR(34)&amp;"{0} Items"&amp;CHAR(34)&amp;",")</f>
        <v/>
      </c>
    </row>
    <row r="1394" spans="1:6" hidden="1">
      <c r="A1394" s="150" t="s">
        <v>1037</v>
      </c>
      <c r="B1394" s="130">
        <f ca="1">IFERROR(INDIRECT($B$2&amp;"!"&amp;C1394&amp;D1394),"")</f>
        <v>0</v>
      </c>
      <c r="C1394" s="350" t="s">
        <v>133</v>
      </c>
      <c r="D1394" s="351">
        <f t="shared" ca="1" si="85"/>
        <v>24</v>
      </c>
      <c r="E1394" s="352">
        <v>12</v>
      </c>
      <c r="F1394" s="126" t="str" cm="1">
        <f t="array" aca="1" ref="F1394" ca="1">IF(OR(INDIRECT($B$2&amp;"!AM14")=$B$1350,B1394=0),"",REPT(" ",E1394)&amp;A1394&amp;CHAR(34)&amp;B1394&amp;CHAR(34)&amp;",")</f>
        <v/>
      </c>
    </row>
    <row r="1395" spans="1:6" hidden="1">
      <c r="A1395" s="150" t="s">
        <v>65</v>
      </c>
      <c r="B1395" s="130">
        <f ca="1">IFERROR(INDIRECT($B$2&amp;"!"&amp;C1395&amp;D1395),"")</f>
        <v>0</v>
      </c>
      <c r="C1395" s="350" t="s">
        <v>131</v>
      </c>
      <c r="D1395" s="351">
        <f t="shared" ca="1" si="85"/>
        <v>24</v>
      </c>
      <c r="E1395" s="352">
        <v>9</v>
      </c>
      <c r="F1395" s="126" t="str" cm="1">
        <f t="array" aca="1" ref="F1395" ca="1">IF(OR(INDIRECT($B$2&amp;"!AM14")=$B$1350,B1395=0),"",REPT(" ",E1395)&amp;"},")</f>
        <v/>
      </c>
    </row>
    <row r="1396" spans="1:6" hidden="1">
      <c r="A1396" s="150">
        <f ca="1">IFERROR(INDIRECT($B$2&amp;"!"&amp;"C"&amp;D1396),"")</f>
        <v>0</v>
      </c>
      <c r="B1396" s="130">
        <f ca="1">IFERROR(INDIRECT($B$2&amp;"!"&amp;C1396&amp;D1396),"")</f>
        <v>0</v>
      </c>
      <c r="C1396" s="355" t="s">
        <v>131</v>
      </c>
      <c r="D1396" s="351">
        <f t="shared" ca="1" si="85"/>
        <v>25</v>
      </c>
      <c r="E1396" s="352">
        <v>9</v>
      </c>
      <c r="F1396" s="126" t="str">
        <f ca="1">IF(B1396=0,"",REPT(" ",E1396)&amp;"{ column: "&amp;CHAR(34)&amp;A1396&amp;CHAR(34)&amp;",")</f>
        <v/>
      </c>
    </row>
    <row r="1397" spans="1:6" hidden="1">
      <c r="A1397" s="150"/>
      <c r="B1397" s="130" cm="1">
        <f t="array" aca="1" ref="B1397" ca="1">INDIRECT($B$2&amp;"!"&amp;C1397&amp;D1397)</f>
        <v>0</v>
      </c>
      <c r="C1397" s="350" t="s">
        <v>131</v>
      </c>
      <c r="D1397" s="351">
        <f t="shared" ca="1" si="85"/>
        <v>25</v>
      </c>
      <c r="E1397" s="352">
        <v>12</v>
      </c>
      <c r="F1397" s="126" t="str" cm="1">
        <f t="array" aca="1" ref="F1397" ca="1">IF(OR(INDIRECT($B$2&amp;"!AM14")=$B$1350,B1397=0),"",REPT(" ",E1397)&amp;"summaryType: "&amp;CHAR(34)&amp;B1397&amp;CHAR(34)&amp;",")</f>
        <v/>
      </c>
    </row>
    <row r="1398" spans="1:6" hidden="1">
      <c r="A1398" s="150"/>
      <c r="B1398" s="130">
        <f ca="1">IFERROR(INDIRECT($B$2&amp;"!"&amp;C1398&amp;D1398),"")</f>
        <v>0</v>
      </c>
      <c r="C1398" s="350" t="s">
        <v>131</v>
      </c>
      <c r="D1398" s="351">
        <f t="shared" ca="1" si="85"/>
        <v>25</v>
      </c>
      <c r="E1398" s="352">
        <v>12</v>
      </c>
      <c r="F1398" s="126" t="str" cm="1">
        <f t="array" aca="1" ref="F1398" ca="1">IF(OR(INDIRECT($B$2&amp;"!AM14")=$B$1350,B1398=0),"",REPT(" ",E1398)&amp;"displayFormat: "&amp;CHAR(34)&amp;"{0} Items"&amp;CHAR(34)&amp;",")</f>
        <v/>
      </c>
    </row>
    <row r="1399" spans="1:6" hidden="1">
      <c r="A1399" s="150" t="s">
        <v>1037</v>
      </c>
      <c r="B1399" s="130">
        <f ca="1">IFERROR(INDIRECT($B$2&amp;"!"&amp;C1399&amp;D1399),"")</f>
        <v>0</v>
      </c>
      <c r="C1399" s="350" t="s">
        <v>133</v>
      </c>
      <c r="D1399" s="351">
        <f t="shared" ca="1" si="85"/>
        <v>25</v>
      </c>
      <c r="E1399" s="352">
        <v>12</v>
      </c>
      <c r="F1399" s="126" t="str" cm="1">
        <f t="array" aca="1" ref="F1399" ca="1">IF(OR(INDIRECT($B$2&amp;"!AM14")=$B$1350,B1399=0),"",REPT(" ",E1399)&amp;A1399&amp;CHAR(34)&amp;B1399&amp;CHAR(34)&amp;",")</f>
        <v/>
      </c>
    </row>
    <row r="1400" spans="1:6" hidden="1">
      <c r="A1400" s="150" t="s">
        <v>65</v>
      </c>
      <c r="B1400" s="130">
        <f ca="1">IFERROR(INDIRECT($B$2&amp;"!"&amp;C1400&amp;D1400),"")</f>
        <v>0</v>
      </c>
      <c r="C1400" s="350" t="s">
        <v>131</v>
      </c>
      <c r="D1400" s="351">
        <f t="shared" ca="1" si="85"/>
        <v>25</v>
      </c>
      <c r="E1400" s="352">
        <v>9</v>
      </c>
      <c r="F1400" s="126" t="str" cm="1">
        <f t="array" aca="1" ref="F1400" ca="1">IF(OR(INDIRECT($B$2&amp;"!AM14")=$B$1350,B1400=0),"",REPT(" ",E1400)&amp;"},")</f>
        <v/>
      </c>
    </row>
    <row r="1401" spans="1:6" hidden="1">
      <c r="A1401" s="150">
        <f ca="1">IFERROR(INDIRECT($B$2&amp;"!"&amp;"C"&amp;D1401),"")</f>
        <v>0</v>
      </c>
      <c r="B1401" s="130">
        <f ca="1">IFERROR(INDIRECT($B$2&amp;"!"&amp;C1401&amp;D1401),"")</f>
        <v>0</v>
      </c>
      <c r="C1401" s="355" t="s">
        <v>131</v>
      </c>
      <c r="D1401" s="351">
        <f t="shared" ca="1" si="85"/>
        <v>26</v>
      </c>
      <c r="E1401" s="352">
        <v>9</v>
      </c>
      <c r="F1401" s="126" t="str">
        <f ca="1">IF(B1401=0,"",REPT(" ",E1401)&amp;"{ column: "&amp;CHAR(34)&amp;A1401&amp;CHAR(34)&amp;",")</f>
        <v/>
      </c>
    </row>
    <row r="1402" spans="1:6" hidden="1">
      <c r="A1402" s="150"/>
      <c r="B1402" s="130" cm="1">
        <f t="array" aca="1" ref="B1402" ca="1">INDIRECT($B$2&amp;"!"&amp;C1402&amp;D1402)</f>
        <v>0</v>
      </c>
      <c r="C1402" s="350" t="s">
        <v>131</v>
      </c>
      <c r="D1402" s="351">
        <f t="shared" ca="1" si="85"/>
        <v>26</v>
      </c>
      <c r="E1402" s="352">
        <v>12</v>
      </c>
      <c r="F1402" s="126" t="str" cm="1">
        <f t="array" aca="1" ref="F1402" ca="1">IF(OR(INDIRECT($B$2&amp;"!AM14")=$B$1350,B1402=0),"",REPT(" ",E1402)&amp;"summaryType: "&amp;CHAR(34)&amp;B1402&amp;CHAR(34)&amp;",")</f>
        <v/>
      </c>
    </row>
    <row r="1403" spans="1:6" hidden="1">
      <c r="A1403" s="150"/>
      <c r="B1403" s="130">
        <f ca="1">IFERROR(INDIRECT($B$2&amp;"!"&amp;C1403&amp;D1403),"")</f>
        <v>0</v>
      </c>
      <c r="C1403" s="350" t="s">
        <v>131</v>
      </c>
      <c r="D1403" s="351">
        <f t="shared" ca="1" si="85"/>
        <v>26</v>
      </c>
      <c r="E1403" s="352">
        <v>12</v>
      </c>
      <c r="F1403" s="126" t="str" cm="1">
        <f t="array" aca="1" ref="F1403" ca="1">IF(OR(INDIRECT($B$2&amp;"!AM14")=$B$1350,B1403=0),"",REPT(" ",E1403)&amp;"displayFormat: "&amp;CHAR(34)&amp;"{0} Items"&amp;CHAR(34)&amp;",")</f>
        <v/>
      </c>
    </row>
    <row r="1404" spans="1:6" hidden="1">
      <c r="A1404" s="150" t="s">
        <v>1037</v>
      </c>
      <c r="B1404" s="130">
        <f ca="1">IFERROR(INDIRECT($B$2&amp;"!"&amp;C1404&amp;D1404),"")</f>
        <v>0</v>
      </c>
      <c r="C1404" s="350" t="s">
        <v>133</v>
      </c>
      <c r="D1404" s="351">
        <f t="shared" ca="1" si="85"/>
        <v>26</v>
      </c>
      <c r="E1404" s="352">
        <v>12</v>
      </c>
      <c r="F1404" s="126" t="str" cm="1">
        <f t="array" aca="1" ref="F1404" ca="1">IF(OR(INDIRECT($B$2&amp;"!AM14")=$B$1350,B1404=0),"",REPT(" ",E1404)&amp;A1404&amp;CHAR(34)&amp;B1404&amp;CHAR(34)&amp;",")</f>
        <v/>
      </c>
    </row>
    <row r="1405" spans="1:6" hidden="1">
      <c r="A1405" s="150" t="s">
        <v>65</v>
      </c>
      <c r="B1405" s="130">
        <f ca="1">IFERROR(INDIRECT($B$2&amp;"!"&amp;C1405&amp;D1405),"")</f>
        <v>0</v>
      </c>
      <c r="C1405" s="350" t="s">
        <v>131</v>
      </c>
      <c r="D1405" s="351">
        <f t="shared" ca="1" si="85"/>
        <v>26</v>
      </c>
      <c r="E1405" s="352">
        <v>9</v>
      </c>
      <c r="F1405" s="126" t="str" cm="1">
        <f t="array" aca="1" ref="F1405" ca="1">IF(OR(INDIRECT($B$2&amp;"!AM14")=$B$1350,B1405=0),"",REPT(" ",E1405)&amp;"},")</f>
        <v/>
      </c>
    </row>
    <row r="1406" spans="1:6" hidden="1">
      <c r="A1406" s="150">
        <f ca="1">IFERROR(INDIRECT($B$2&amp;"!"&amp;"C"&amp;D1406),"")</f>
        <v>0</v>
      </c>
      <c r="B1406" s="130">
        <f ca="1">IFERROR(INDIRECT($B$2&amp;"!"&amp;C1406&amp;D1406),"")</f>
        <v>0</v>
      </c>
      <c r="C1406" s="355" t="s">
        <v>131</v>
      </c>
      <c r="D1406" s="351">
        <f t="shared" ca="1" si="85"/>
        <v>27</v>
      </c>
      <c r="E1406" s="352">
        <v>9</v>
      </c>
      <c r="F1406" s="126" t="str">
        <f ca="1">IF(B1406=0,"",REPT(" ",E1406)&amp;"{ column: "&amp;CHAR(34)&amp;A1406&amp;CHAR(34)&amp;",")</f>
        <v/>
      </c>
    </row>
    <row r="1407" spans="1:6" hidden="1">
      <c r="A1407" s="150"/>
      <c r="B1407" s="130" cm="1">
        <f t="array" aca="1" ref="B1407" ca="1">INDIRECT($B$2&amp;"!"&amp;C1407&amp;D1407)</f>
        <v>0</v>
      </c>
      <c r="C1407" s="350" t="s">
        <v>131</v>
      </c>
      <c r="D1407" s="351">
        <f t="shared" ca="1" si="85"/>
        <v>27</v>
      </c>
      <c r="E1407" s="352">
        <v>12</v>
      </c>
      <c r="F1407" s="126" t="str" cm="1">
        <f t="array" aca="1" ref="F1407" ca="1">IF(OR(INDIRECT($B$2&amp;"!AM14")=$B$1350,B1407=0),"",REPT(" ",E1407)&amp;"summaryType: "&amp;CHAR(34)&amp;B1407&amp;CHAR(34)&amp;",")</f>
        <v/>
      </c>
    </row>
    <row r="1408" spans="1:6" hidden="1">
      <c r="A1408" s="150"/>
      <c r="B1408" s="130">
        <f ca="1">IFERROR(INDIRECT($B$2&amp;"!"&amp;C1408&amp;D1408),"")</f>
        <v>0</v>
      </c>
      <c r="C1408" s="350" t="s">
        <v>131</v>
      </c>
      <c r="D1408" s="351">
        <f t="shared" ca="1" si="85"/>
        <v>27</v>
      </c>
      <c r="E1408" s="352">
        <v>12</v>
      </c>
      <c r="F1408" s="126" t="str" cm="1">
        <f t="array" aca="1" ref="F1408" ca="1">IF(OR(INDIRECT($B$2&amp;"!AM14")=$B$1350,B1408=0),"",REPT(" ",E1408)&amp;"displayFormat: "&amp;CHAR(34)&amp;"{0} Items"&amp;CHAR(34)&amp;",")</f>
        <v/>
      </c>
    </row>
    <row r="1409" spans="1:6" hidden="1">
      <c r="A1409" s="150" t="s">
        <v>1037</v>
      </c>
      <c r="B1409" s="130">
        <f ca="1">IFERROR(INDIRECT($B$2&amp;"!"&amp;C1409&amp;D1409),"")</f>
        <v>0</v>
      </c>
      <c r="C1409" s="350" t="s">
        <v>133</v>
      </c>
      <c r="D1409" s="351">
        <f t="shared" ca="1" si="85"/>
        <v>27</v>
      </c>
      <c r="E1409" s="352">
        <v>12</v>
      </c>
      <c r="F1409" s="126" t="str" cm="1">
        <f t="array" aca="1" ref="F1409" ca="1">IF(OR(INDIRECT($B$2&amp;"!AM14")=$B$1350,B1409=0),"",REPT(" ",E1409)&amp;A1409&amp;CHAR(34)&amp;B1409&amp;CHAR(34)&amp;",")</f>
        <v/>
      </c>
    </row>
    <row r="1410" spans="1:6" hidden="1">
      <c r="A1410" s="150" t="s">
        <v>65</v>
      </c>
      <c r="B1410" s="130">
        <f ca="1">IFERROR(INDIRECT($B$2&amp;"!"&amp;C1410&amp;D1410),"")</f>
        <v>0</v>
      </c>
      <c r="C1410" s="350" t="s">
        <v>131</v>
      </c>
      <c r="D1410" s="351">
        <f t="shared" ca="1" si="85"/>
        <v>27</v>
      </c>
      <c r="E1410" s="352">
        <v>9</v>
      </c>
      <c r="F1410" s="126" t="str" cm="1">
        <f t="array" aca="1" ref="F1410" ca="1">IF(OR(INDIRECT($B$2&amp;"!AM14")=$B$1350,B1410=0),"",REPT(" ",E1410)&amp;"},")</f>
        <v/>
      </c>
    </row>
    <row r="1411" spans="1:6" hidden="1">
      <c r="A1411" s="150">
        <f ca="1">IFERROR(INDIRECT($B$2&amp;"!"&amp;"C"&amp;D1411),"")</f>
        <v>0</v>
      </c>
      <c r="B1411" s="130">
        <f ca="1">IFERROR(INDIRECT($B$2&amp;"!"&amp;C1411&amp;D1411),"")</f>
        <v>0</v>
      </c>
      <c r="C1411" s="355" t="s">
        <v>131</v>
      </c>
      <c r="D1411" s="351">
        <f t="shared" ca="1" si="85"/>
        <v>28</v>
      </c>
      <c r="E1411" s="352">
        <v>9</v>
      </c>
      <c r="F1411" s="126" t="str">
        <f ca="1">IF(B1411=0,"",REPT(" ",E1411)&amp;"{ column: "&amp;CHAR(34)&amp;A1411&amp;CHAR(34)&amp;",")</f>
        <v/>
      </c>
    </row>
    <row r="1412" spans="1:6" hidden="1">
      <c r="A1412" s="150"/>
      <c r="B1412" s="130" cm="1">
        <f t="array" aca="1" ref="B1412" ca="1">INDIRECT($B$2&amp;"!"&amp;C1412&amp;D1412)</f>
        <v>0</v>
      </c>
      <c r="C1412" s="350" t="s">
        <v>131</v>
      </c>
      <c r="D1412" s="351">
        <f t="shared" ca="1" si="85"/>
        <v>28</v>
      </c>
      <c r="E1412" s="352">
        <v>12</v>
      </c>
      <c r="F1412" s="126" t="str" cm="1">
        <f t="array" aca="1" ref="F1412" ca="1">IF(OR(INDIRECT($B$2&amp;"!AM14")=$B$1350,B1412=0),"",REPT(" ",E1412)&amp;"summaryType: "&amp;CHAR(34)&amp;B1412&amp;CHAR(34)&amp;",")</f>
        <v/>
      </c>
    </row>
    <row r="1413" spans="1:6" hidden="1">
      <c r="A1413" s="150"/>
      <c r="B1413" s="130">
        <f ca="1">IFERROR(INDIRECT($B$2&amp;"!"&amp;C1413&amp;D1413),"")</f>
        <v>0</v>
      </c>
      <c r="C1413" s="350" t="s">
        <v>131</v>
      </c>
      <c r="D1413" s="351">
        <f t="shared" ca="1" si="85"/>
        <v>28</v>
      </c>
      <c r="E1413" s="352">
        <v>12</v>
      </c>
      <c r="F1413" s="126" t="str" cm="1">
        <f t="array" aca="1" ref="F1413" ca="1">IF(OR(INDIRECT($B$2&amp;"!AM14")=$B$1350,B1413=0),"",REPT(" ",E1413)&amp;"displayFormat: "&amp;CHAR(34)&amp;"{0} Items"&amp;CHAR(34)&amp;",")</f>
        <v/>
      </c>
    </row>
    <row r="1414" spans="1:6" hidden="1">
      <c r="A1414" s="150" t="s">
        <v>1037</v>
      </c>
      <c r="B1414" s="130">
        <f ca="1">IFERROR(INDIRECT($B$2&amp;"!"&amp;C1414&amp;D1414),"")</f>
        <v>0</v>
      </c>
      <c r="C1414" s="350" t="s">
        <v>133</v>
      </c>
      <c r="D1414" s="351">
        <f t="shared" ca="1" si="85"/>
        <v>28</v>
      </c>
      <c r="E1414" s="352">
        <v>12</v>
      </c>
      <c r="F1414" s="126" t="str" cm="1">
        <f t="array" aca="1" ref="F1414" ca="1">IF(OR(INDIRECT($B$2&amp;"!AM14")=$B$1350,B1414=0),"",REPT(" ",E1414)&amp;A1414&amp;CHAR(34)&amp;B1414&amp;CHAR(34)&amp;",")</f>
        <v/>
      </c>
    </row>
    <row r="1415" spans="1:6" hidden="1">
      <c r="A1415" s="150" t="s">
        <v>65</v>
      </c>
      <c r="B1415" s="130">
        <f ca="1">IFERROR(INDIRECT($B$2&amp;"!"&amp;C1415&amp;D1415),"")</f>
        <v>0</v>
      </c>
      <c r="C1415" s="350" t="s">
        <v>131</v>
      </c>
      <c r="D1415" s="351">
        <f t="shared" ca="1" si="85"/>
        <v>28</v>
      </c>
      <c r="E1415" s="352">
        <v>9</v>
      </c>
      <c r="F1415" s="126" t="str" cm="1">
        <f t="array" aca="1" ref="F1415" ca="1">IF(OR(INDIRECT($B$2&amp;"!AM14")=$B$1350,B1415=0),"",REPT(" ",E1415)&amp;"},")</f>
        <v/>
      </c>
    </row>
    <row r="1416" spans="1:6" hidden="1">
      <c r="A1416" s="150">
        <f ca="1">IFERROR(INDIRECT($B$2&amp;"!"&amp;"C"&amp;D1416),"")</f>
        <v>0</v>
      </c>
      <c r="B1416" s="130">
        <f ca="1">IFERROR(INDIRECT($B$2&amp;"!"&amp;C1416&amp;D1416),"")</f>
        <v>0</v>
      </c>
      <c r="C1416" s="355" t="s">
        <v>131</v>
      </c>
      <c r="D1416" s="351">
        <f t="shared" ca="1" si="85"/>
        <v>29</v>
      </c>
      <c r="E1416" s="352">
        <v>9</v>
      </c>
      <c r="F1416" s="126" t="str">
        <f ca="1">IF(B1416=0,"",REPT(" ",E1416)&amp;"{ column: "&amp;CHAR(34)&amp;A1416&amp;CHAR(34)&amp;",")</f>
        <v/>
      </c>
    </row>
    <row r="1417" spans="1:6" hidden="1">
      <c r="A1417" s="150"/>
      <c r="B1417" s="130" cm="1">
        <f t="array" aca="1" ref="B1417" ca="1">INDIRECT($B$2&amp;"!"&amp;C1417&amp;D1417)</f>
        <v>0</v>
      </c>
      <c r="C1417" s="350" t="s">
        <v>131</v>
      </c>
      <c r="D1417" s="351">
        <f t="shared" ca="1" si="85"/>
        <v>29</v>
      </c>
      <c r="E1417" s="352">
        <v>12</v>
      </c>
      <c r="F1417" s="126" t="str" cm="1">
        <f t="array" aca="1" ref="F1417" ca="1">IF(OR(INDIRECT($B$2&amp;"!AM14")=$B$1350,B1417=0),"",REPT(" ",E1417)&amp;"summaryType: "&amp;CHAR(34)&amp;B1417&amp;CHAR(34)&amp;",")</f>
        <v/>
      </c>
    </row>
    <row r="1418" spans="1:6" hidden="1">
      <c r="A1418" s="150"/>
      <c r="B1418" s="130">
        <f ca="1">IFERROR(INDIRECT($B$2&amp;"!"&amp;C1418&amp;D1418),"")</f>
        <v>0</v>
      </c>
      <c r="C1418" s="350" t="s">
        <v>131</v>
      </c>
      <c r="D1418" s="351">
        <f t="shared" ca="1" si="85"/>
        <v>29</v>
      </c>
      <c r="E1418" s="352">
        <v>12</v>
      </c>
      <c r="F1418" s="126" t="str" cm="1">
        <f t="array" aca="1" ref="F1418" ca="1">IF(OR(INDIRECT($B$2&amp;"!AM14")=$B$1350,B1418=0),"",REPT(" ",E1418)&amp;"displayFormat: "&amp;CHAR(34)&amp;"{0} Items"&amp;CHAR(34)&amp;",")</f>
        <v/>
      </c>
    </row>
    <row r="1419" spans="1:6" hidden="1">
      <c r="A1419" s="150" t="s">
        <v>1037</v>
      </c>
      <c r="B1419" s="130">
        <f ca="1">IFERROR(INDIRECT($B$2&amp;"!"&amp;C1419&amp;D1419),"")</f>
        <v>0</v>
      </c>
      <c r="C1419" s="350" t="s">
        <v>133</v>
      </c>
      <c r="D1419" s="351">
        <f t="shared" ca="1" si="85"/>
        <v>29</v>
      </c>
      <c r="E1419" s="352">
        <v>12</v>
      </c>
      <c r="F1419" s="126" t="str" cm="1">
        <f t="array" aca="1" ref="F1419" ca="1">IF(OR(INDIRECT($B$2&amp;"!AM14")=$B$1350,B1419=0),"",REPT(" ",E1419)&amp;A1419&amp;CHAR(34)&amp;B1419&amp;CHAR(34)&amp;",")</f>
        <v/>
      </c>
    </row>
    <row r="1420" spans="1:6" hidden="1">
      <c r="A1420" s="150" t="s">
        <v>65</v>
      </c>
      <c r="B1420" s="130">
        <f ca="1">IFERROR(INDIRECT($B$2&amp;"!"&amp;C1420&amp;D1420),"")</f>
        <v>0</v>
      </c>
      <c r="C1420" s="350" t="s">
        <v>131</v>
      </c>
      <c r="D1420" s="351">
        <f t="shared" ca="1" si="85"/>
        <v>29</v>
      </c>
      <c r="E1420" s="352">
        <v>9</v>
      </c>
      <c r="F1420" s="126" t="str" cm="1">
        <f t="array" aca="1" ref="F1420" ca="1">IF(OR(INDIRECT($B$2&amp;"!AM14")=$B$1350,B1420=0),"",REPT(" ",E1420)&amp;"},")</f>
        <v/>
      </c>
    </row>
    <row r="1421" spans="1:6" hidden="1">
      <c r="A1421" s="150">
        <f ca="1">IFERROR(INDIRECT($B$2&amp;"!"&amp;"C"&amp;D1421),"")</f>
        <v>0</v>
      </c>
      <c r="B1421" s="130">
        <f ca="1">IFERROR(INDIRECT($B$2&amp;"!"&amp;C1421&amp;D1421),"")</f>
        <v>0</v>
      </c>
      <c r="C1421" s="355" t="s">
        <v>131</v>
      </c>
      <c r="D1421" s="351">
        <f t="shared" ca="1" si="85"/>
        <v>30</v>
      </c>
      <c r="E1421" s="352">
        <v>9</v>
      </c>
      <c r="F1421" s="126" t="str">
        <f ca="1">IF(B1421=0,"",REPT(" ",E1421)&amp;"{ column: "&amp;CHAR(34)&amp;A1421&amp;CHAR(34)&amp;",")</f>
        <v/>
      </c>
    </row>
    <row r="1422" spans="1:6" hidden="1">
      <c r="A1422" s="150"/>
      <c r="B1422" s="130" cm="1">
        <f t="array" aca="1" ref="B1422" ca="1">INDIRECT($B$2&amp;"!"&amp;C1422&amp;D1422)</f>
        <v>0</v>
      </c>
      <c r="C1422" s="350" t="s">
        <v>131</v>
      </c>
      <c r="D1422" s="351">
        <f t="shared" ca="1" si="85"/>
        <v>30</v>
      </c>
      <c r="E1422" s="352">
        <v>12</v>
      </c>
      <c r="F1422" s="126" t="str" cm="1">
        <f t="array" aca="1" ref="F1422" ca="1">IF(OR(INDIRECT($B$2&amp;"!AM14")=$B$1350,B1422=0),"",REPT(" ",E1422)&amp;"summaryType: "&amp;CHAR(34)&amp;B1422&amp;CHAR(34)&amp;",")</f>
        <v/>
      </c>
    </row>
    <row r="1423" spans="1:6" hidden="1">
      <c r="A1423" s="150"/>
      <c r="B1423" s="130">
        <f ca="1">IFERROR(INDIRECT($B$2&amp;"!"&amp;C1423&amp;D1423),"")</f>
        <v>0</v>
      </c>
      <c r="C1423" s="350" t="s">
        <v>131</v>
      </c>
      <c r="D1423" s="351">
        <f t="shared" ca="1" si="85"/>
        <v>30</v>
      </c>
      <c r="E1423" s="352">
        <v>12</v>
      </c>
      <c r="F1423" s="126" t="str" cm="1">
        <f t="array" aca="1" ref="F1423" ca="1">IF(OR(INDIRECT($B$2&amp;"!AM14")=$B$1350,B1423=0),"",REPT(" ",E1423)&amp;"displayFormat: "&amp;CHAR(34)&amp;"{0} Items"&amp;CHAR(34)&amp;",")</f>
        <v/>
      </c>
    </row>
    <row r="1424" spans="1:6" hidden="1">
      <c r="A1424" s="150" t="s">
        <v>1037</v>
      </c>
      <c r="B1424" s="130">
        <f ca="1">IFERROR(INDIRECT($B$2&amp;"!"&amp;C1424&amp;D1424),"")</f>
        <v>0</v>
      </c>
      <c r="C1424" s="350" t="s">
        <v>133</v>
      </c>
      <c r="D1424" s="351">
        <f t="shared" ca="1" si="85"/>
        <v>30</v>
      </c>
      <c r="E1424" s="352">
        <v>12</v>
      </c>
      <c r="F1424" s="126" t="str" cm="1">
        <f t="array" aca="1" ref="F1424" ca="1">IF(OR(INDIRECT($B$2&amp;"!AM14")=$B$1350,B1424=0),"",REPT(" ",E1424)&amp;A1424&amp;CHAR(34)&amp;B1424&amp;CHAR(34)&amp;",")</f>
        <v/>
      </c>
    </row>
    <row r="1425" spans="1:6" hidden="1">
      <c r="A1425" s="150" t="s">
        <v>65</v>
      </c>
      <c r="B1425" s="130">
        <f ca="1">IFERROR(INDIRECT($B$2&amp;"!"&amp;C1425&amp;D1425),"")</f>
        <v>0</v>
      </c>
      <c r="C1425" s="350" t="s">
        <v>131</v>
      </c>
      <c r="D1425" s="351">
        <f t="shared" ca="1" si="85"/>
        <v>30</v>
      </c>
      <c r="E1425" s="352">
        <v>9</v>
      </c>
      <c r="F1425" s="126" t="str" cm="1">
        <f t="array" aca="1" ref="F1425" ca="1">IF(OR(INDIRECT($B$2&amp;"!AM14")=$B$1350,B1425=0),"",REPT(" ",E1425)&amp;"},")</f>
        <v/>
      </c>
    </row>
    <row r="1426" spans="1:6" hidden="1">
      <c r="A1426" s="150">
        <f ca="1">IFERROR(INDIRECT($B$2&amp;"!"&amp;"C"&amp;D1426),"")</f>
        <v>0</v>
      </c>
      <c r="B1426" s="130">
        <f ca="1">IFERROR(INDIRECT($B$2&amp;"!"&amp;C1426&amp;D1426),"")</f>
        <v>0</v>
      </c>
      <c r="C1426" s="355" t="s">
        <v>131</v>
      </c>
      <c r="D1426" s="351">
        <f t="shared" ca="1" si="85"/>
        <v>31</v>
      </c>
      <c r="E1426" s="352">
        <v>9</v>
      </c>
      <c r="F1426" s="126" t="str">
        <f ca="1">IF(B1426=0,"",REPT(" ",E1426)&amp;"{ column: "&amp;CHAR(34)&amp;A1426&amp;CHAR(34)&amp;",")</f>
        <v/>
      </c>
    </row>
    <row r="1427" spans="1:6" hidden="1">
      <c r="A1427" s="150"/>
      <c r="B1427" s="130" cm="1">
        <f t="array" aca="1" ref="B1427" ca="1">INDIRECT($B$2&amp;"!"&amp;C1427&amp;D1427)</f>
        <v>0</v>
      </c>
      <c r="C1427" s="350" t="s">
        <v>131</v>
      </c>
      <c r="D1427" s="351">
        <f t="shared" ref="D1427:D1490" ca="1" si="86">IF(TRIM(A1426)="N",1,0)+D1426</f>
        <v>31</v>
      </c>
      <c r="E1427" s="352">
        <v>12</v>
      </c>
      <c r="F1427" s="126" t="str" cm="1">
        <f t="array" aca="1" ref="F1427" ca="1">IF(OR(INDIRECT($B$2&amp;"!AM14")=$B$1350,B1427=0),"",REPT(" ",E1427)&amp;"summaryType: "&amp;CHAR(34)&amp;B1427&amp;CHAR(34)&amp;",")</f>
        <v/>
      </c>
    </row>
    <row r="1428" spans="1:6" hidden="1">
      <c r="A1428" s="150"/>
      <c r="B1428" s="130">
        <f ca="1">IFERROR(INDIRECT($B$2&amp;"!"&amp;C1428&amp;D1428),"")</f>
        <v>0</v>
      </c>
      <c r="C1428" s="350" t="s">
        <v>131</v>
      </c>
      <c r="D1428" s="351">
        <f t="shared" ca="1" si="86"/>
        <v>31</v>
      </c>
      <c r="E1428" s="352">
        <v>12</v>
      </c>
      <c r="F1428" s="126" t="str" cm="1">
        <f t="array" aca="1" ref="F1428" ca="1">IF(OR(INDIRECT($B$2&amp;"!AM14")=$B$1350,B1428=0),"",REPT(" ",E1428)&amp;"displayFormat: "&amp;CHAR(34)&amp;"{0} Items"&amp;CHAR(34)&amp;",")</f>
        <v/>
      </c>
    </row>
    <row r="1429" spans="1:6" hidden="1">
      <c r="A1429" s="150" t="s">
        <v>1037</v>
      </c>
      <c r="B1429" s="130">
        <f ca="1">IFERROR(INDIRECT($B$2&amp;"!"&amp;C1429&amp;D1429),"")</f>
        <v>0</v>
      </c>
      <c r="C1429" s="350" t="s">
        <v>133</v>
      </c>
      <c r="D1429" s="351">
        <f t="shared" ca="1" si="86"/>
        <v>31</v>
      </c>
      <c r="E1429" s="352">
        <v>12</v>
      </c>
      <c r="F1429" s="126" t="str" cm="1">
        <f t="array" aca="1" ref="F1429" ca="1">IF(OR(INDIRECT($B$2&amp;"!AM14")=$B$1350,B1429=0),"",REPT(" ",E1429)&amp;A1429&amp;CHAR(34)&amp;B1429&amp;CHAR(34)&amp;",")</f>
        <v/>
      </c>
    </row>
    <row r="1430" spans="1:6" hidden="1">
      <c r="A1430" s="150" t="s">
        <v>65</v>
      </c>
      <c r="B1430" s="130">
        <f ca="1">IFERROR(INDIRECT($B$2&amp;"!"&amp;C1430&amp;D1430),"")</f>
        <v>0</v>
      </c>
      <c r="C1430" s="350" t="s">
        <v>131</v>
      </c>
      <c r="D1430" s="351">
        <f t="shared" ca="1" si="86"/>
        <v>31</v>
      </c>
      <c r="E1430" s="352">
        <v>9</v>
      </c>
      <c r="F1430" s="126" t="str" cm="1">
        <f t="array" aca="1" ref="F1430" ca="1">IF(OR(INDIRECT($B$2&amp;"!AM14")=$B$1350,B1430=0),"",REPT(" ",E1430)&amp;"},")</f>
        <v/>
      </c>
    </row>
    <row r="1431" spans="1:6" hidden="1">
      <c r="A1431" s="150">
        <f ca="1">IFERROR(INDIRECT($B$2&amp;"!"&amp;"C"&amp;D1431),"")</f>
        <v>0</v>
      </c>
      <c r="B1431" s="130">
        <f ca="1">IFERROR(INDIRECT($B$2&amp;"!"&amp;C1431&amp;D1431),"")</f>
        <v>0</v>
      </c>
      <c r="C1431" s="355" t="s">
        <v>131</v>
      </c>
      <c r="D1431" s="351">
        <f t="shared" ca="1" si="86"/>
        <v>32</v>
      </c>
      <c r="E1431" s="352">
        <v>9</v>
      </c>
      <c r="F1431" s="126" t="str">
        <f ca="1">IF(B1431=0,"",REPT(" ",E1431)&amp;"{ column: "&amp;CHAR(34)&amp;A1431&amp;CHAR(34)&amp;",")</f>
        <v/>
      </c>
    </row>
    <row r="1432" spans="1:6" hidden="1">
      <c r="A1432" s="150"/>
      <c r="B1432" s="130" cm="1">
        <f t="array" aca="1" ref="B1432" ca="1">INDIRECT($B$2&amp;"!"&amp;C1432&amp;D1432)</f>
        <v>0</v>
      </c>
      <c r="C1432" s="350" t="s">
        <v>131</v>
      </c>
      <c r="D1432" s="351">
        <f t="shared" ca="1" si="86"/>
        <v>32</v>
      </c>
      <c r="E1432" s="352">
        <v>12</v>
      </c>
      <c r="F1432" s="126" t="str" cm="1">
        <f t="array" aca="1" ref="F1432" ca="1">IF(OR(INDIRECT($B$2&amp;"!AM14")=$B$1350,B1432=0),"",REPT(" ",E1432)&amp;"summaryType: "&amp;CHAR(34)&amp;B1432&amp;CHAR(34)&amp;",")</f>
        <v/>
      </c>
    </row>
    <row r="1433" spans="1:6" hidden="1">
      <c r="A1433" s="150"/>
      <c r="B1433" s="130">
        <f ca="1">IFERROR(INDIRECT($B$2&amp;"!"&amp;C1433&amp;D1433),"")</f>
        <v>0</v>
      </c>
      <c r="C1433" s="350" t="s">
        <v>131</v>
      </c>
      <c r="D1433" s="351">
        <f t="shared" ca="1" si="86"/>
        <v>32</v>
      </c>
      <c r="E1433" s="352">
        <v>12</v>
      </c>
      <c r="F1433" s="126" t="str" cm="1">
        <f t="array" aca="1" ref="F1433" ca="1">IF(OR(INDIRECT($B$2&amp;"!AM14")=$B$1350,B1433=0),"",REPT(" ",E1433)&amp;"displayFormat: "&amp;CHAR(34)&amp;"{0} Items"&amp;CHAR(34)&amp;",")</f>
        <v/>
      </c>
    </row>
    <row r="1434" spans="1:6" hidden="1">
      <c r="A1434" s="150" t="s">
        <v>1037</v>
      </c>
      <c r="B1434" s="130">
        <f ca="1">IFERROR(INDIRECT($B$2&amp;"!"&amp;C1434&amp;D1434),"")</f>
        <v>0</v>
      </c>
      <c r="C1434" s="350" t="s">
        <v>133</v>
      </c>
      <c r="D1434" s="351">
        <f t="shared" ca="1" si="86"/>
        <v>32</v>
      </c>
      <c r="E1434" s="352">
        <v>12</v>
      </c>
      <c r="F1434" s="126" t="str" cm="1">
        <f t="array" aca="1" ref="F1434" ca="1">IF(OR(INDIRECT($B$2&amp;"!AM14")=$B$1350,B1434=0),"",REPT(" ",E1434)&amp;A1434&amp;CHAR(34)&amp;B1434&amp;CHAR(34)&amp;",")</f>
        <v/>
      </c>
    </row>
    <row r="1435" spans="1:6" hidden="1">
      <c r="A1435" s="150" t="s">
        <v>65</v>
      </c>
      <c r="B1435" s="130">
        <f ca="1">IFERROR(INDIRECT($B$2&amp;"!"&amp;C1435&amp;D1435),"")</f>
        <v>0</v>
      </c>
      <c r="C1435" s="350" t="s">
        <v>131</v>
      </c>
      <c r="D1435" s="351">
        <f t="shared" ca="1" si="86"/>
        <v>32</v>
      </c>
      <c r="E1435" s="352">
        <v>9</v>
      </c>
      <c r="F1435" s="126" t="str" cm="1">
        <f t="array" aca="1" ref="F1435" ca="1">IF(OR(INDIRECT($B$2&amp;"!AM14")=$B$1350,B1435=0),"",REPT(" ",E1435)&amp;"},")</f>
        <v/>
      </c>
    </row>
    <row r="1436" spans="1:6" hidden="1">
      <c r="A1436" s="150">
        <f ca="1">IFERROR(INDIRECT($B$2&amp;"!"&amp;"C"&amp;D1436),"")</f>
        <v>0</v>
      </c>
      <c r="B1436" s="130">
        <f ca="1">IFERROR(INDIRECT($B$2&amp;"!"&amp;C1436&amp;D1436),"")</f>
        <v>0</v>
      </c>
      <c r="C1436" s="355" t="s">
        <v>131</v>
      </c>
      <c r="D1436" s="351">
        <f t="shared" ca="1" si="86"/>
        <v>33</v>
      </c>
      <c r="E1436" s="352">
        <v>9</v>
      </c>
      <c r="F1436" s="126" t="str">
        <f ca="1">IF(B1436=0,"",REPT(" ",E1436)&amp;"{ column: "&amp;CHAR(34)&amp;A1436&amp;CHAR(34)&amp;",")</f>
        <v/>
      </c>
    </row>
    <row r="1437" spans="1:6" hidden="1">
      <c r="A1437" s="150"/>
      <c r="B1437" s="130" cm="1">
        <f t="array" aca="1" ref="B1437" ca="1">INDIRECT($B$2&amp;"!"&amp;C1437&amp;D1437)</f>
        <v>0</v>
      </c>
      <c r="C1437" s="350" t="s">
        <v>131</v>
      </c>
      <c r="D1437" s="351">
        <f t="shared" ca="1" si="86"/>
        <v>33</v>
      </c>
      <c r="E1437" s="352">
        <v>12</v>
      </c>
      <c r="F1437" s="126" t="str" cm="1">
        <f t="array" aca="1" ref="F1437" ca="1">IF(OR(INDIRECT($B$2&amp;"!AM14")=$B$1350,B1437=0),"",REPT(" ",E1437)&amp;"summaryType: "&amp;CHAR(34)&amp;B1437&amp;CHAR(34)&amp;",")</f>
        <v/>
      </c>
    </row>
    <row r="1438" spans="1:6" hidden="1">
      <c r="A1438" s="150"/>
      <c r="B1438" s="130">
        <f ca="1">IFERROR(INDIRECT($B$2&amp;"!"&amp;C1438&amp;D1438),"")</f>
        <v>0</v>
      </c>
      <c r="C1438" s="350" t="s">
        <v>131</v>
      </c>
      <c r="D1438" s="351">
        <f t="shared" ca="1" si="86"/>
        <v>33</v>
      </c>
      <c r="E1438" s="352">
        <v>12</v>
      </c>
      <c r="F1438" s="126" t="str" cm="1">
        <f t="array" aca="1" ref="F1438" ca="1">IF(OR(INDIRECT($B$2&amp;"!AM14")=$B$1350,B1438=0),"",REPT(" ",E1438)&amp;"displayFormat: "&amp;CHAR(34)&amp;"{0} Items"&amp;CHAR(34)&amp;",")</f>
        <v/>
      </c>
    </row>
    <row r="1439" spans="1:6" hidden="1">
      <c r="A1439" s="150" t="s">
        <v>1037</v>
      </c>
      <c r="B1439" s="130">
        <f ca="1">IFERROR(INDIRECT($B$2&amp;"!"&amp;C1439&amp;D1439),"")</f>
        <v>0</v>
      </c>
      <c r="C1439" s="350" t="s">
        <v>133</v>
      </c>
      <c r="D1439" s="351">
        <f t="shared" ca="1" si="86"/>
        <v>33</v>
      </c>
      <c r="E1439" s="352">
        <v>12</v>
      </c>
      <c r="F1439" s="126" t="str" cm="1">
        <f t="array" aca="1" ref="F1439" ca="1">IF(OR(INDIRECT($B$2&amp;"!AM14")=$B$1350,B1439=0),"",REPT(" ",E1439)&amp;A1439&amp;CHAR(34)&amp;B1439&amp;CHAR(34)&amp;",")</f>
        <v/>
      </c>
    </row>
    <row r="1440" spans="1:6" hidden="1">
      <c r="A1440" s="150" t="s">
        <v>65</v>
      </c>
      <c r="B1440" s="130">
        <f ca="1">IFERROR(INDIRECT($B$2&amp;"!"&amp;C1440&amp;D1440),"")</f>
        <v>0</v>
      </c>
      <c r="C1440" s="350" t="s">
        <v>131</v>
      </c>
      <c r="D1440" s="351">
        <f t="shared" ca="1" si="86"/>
        <v>33</v>
      </c>
      <c r="E1440" s="352">
        <v>9</v>
      </c>
      <c r="F1440" s="126" t="str" cm="1">
        <f t="array" aca="1" ref="F1440" ca="1">IF(OR(INDIRECT($B$2&amp;"!AM14")=$B$1350,B1440=0),"",REPT(" ",E1440)&amp;"},")</f>
        <v/>
      </c>
    </row>
    <row r="1441" spans="1:6" hidden="1">
      <c r="A1441" s="150">
        <f ca="1">IFERROR(INDIRECT($B$2&amp;"!"&amp;"C"&amp;D1441),"")</f>
        <v>0</v>
      </c>
      <c r="B1441" s="130">
        <f ca="1">IFERROR(INDIRECT($B$2&amp;"!"&amp;C1441&amp;D1441),"")</f>
        <v>0</v>
      </c>
      <c r="C1441" s="355" t="s">
        <v>131</v>
      </c>
      <c r="D1441" s="351">
        <f t="shared" ca="1" si="86"/>
        <v>34</v>
      </c>
      <c r="E1441" s="352">
        <v>9</v>
      </c>
      <c r="F1441" s="126" t="str">
        <f ca="1">IF(B1441=0,"",REPT(" ",E1441)&amp;"{ column: "&amp;CHAR(34)&amp;A1441&amp;CHAR(34)&amp;",")</f>
        <v/>
      </c>
    </row>
    <row r="1442" spans="1:6" hidden="1">
      <c r="A1442" s="150"/>
      <c r="B1442" s="130" cm="1">
        <f t="array" aca="1" ref="B1442" ca="1">INDIRECT($B$2&amp;"!"&amp;C1442&amp;D1442)</f>
        <v>0</v>
      </c>
      <c r="C1442" s="350" t="s">
        <v>131</v>
      </c>
      <c r="D1442" s="351">
        <f t="shared" ca="1" si="86"/>
        <v>34</v>
      </c>
      <c r="E1442" s="352">
        <v>12</v>
      </c>
      <c r="F1442" s="126" t="str" cm="1">
        <f t="array" aca="1" ref="F1442" ca="1">IF(OR(INDIRECT($B$2&amp;"!AM14")=$B$1350,B1442=0),"",REPT(" ",E1442)&amp;"summaryType: "&amp;CHAR(34)&amp;B1442&amp;CHAR(34)&amp;",")</f>
        <v/>
      </c>
    </row>
    <row r="1443" spans="1:6" hidden="1">
      <c r="A1443" s="150"/>
      <c r="B1443" s="130">
        <f ca="1">IFERROR(INDIRECT($B$2&amp;"!"&amp;C1443&amp;D1443),"")</f>
        <v>0</v>
      </c>
      <c r="C1443" s="350" t="s">
        <v>131</v>
      </c>
      <c r="D1443" s="351">
        <f t="shared" ca="1" si="86"/>
        <v>34</v>
      </c>
      <c r="E1443" s="352">
        <v>12</v>
      </c>
      <c r="F1443" s="126" t="str" cm="1">
        <f t="array" aca="1" ref="F1443" ca="1">IF(OR(INDIRECT($B$2&amp;"!AM14")=$B$1350,B1443=0),"",REPT(" ",E1443)&amp;"displayFormat: "&amp;CHAR(34)&amp;"{0} Items"&amp;CHAR(34)&amp;",")</f>
        <v/>
      </c>
    </row>
    <row r="1444" spans="1:6" hidden="1">
      <c r="A1444" s="150" t="s">
        <v>1037</v>
      </c>
      <c r="B1444" s="130">
        <f ca="1">IFERROR(INDIRECT($B$2&amp;"!"&amp;C1444&amp;D1444),"")</f>
        <v>0</v>
      </c>
      <c r="C1444" s="350" t="s">
        <v>133</v>
      </c>
      <c r="D1444" s="351">
        <f t="shared" ca="1" si="86"/>
        <v>34</v>
      </c>
      <c r="E1444" s="352">
        <v>12</v>
      </c>
      <c r="F1444" s="126" t="str" cm="1">
        <f t="array" aca="1" ref="F1444" ca="1">IF(OR(INDIRECT($B$2&amp;"!AM14")=$B$1350,B1444=0),"",REPT(" ",E1444)&amp;A1444&amp;CHAR(34)&amp;B1444&amp;CHAR(34)&amp;",")</f>
        <v/>
      </c>
    </row>
    <row r="1445" spans="1:6" hidden="1">
      <c r="A1445" s="150" t="s">
        <v>65</v>
      </c>
      <c r="B1445" s="130">
        <f ca="1">IFERROR(INDIRECT($B$2&amp;"!"&amp;C1445&amp;D1445),"")</f>
        <v>0</v>
      </c>
      <c r="C1445" s="350" t="s">
        <v>131</v>
      </c>
      <c r="D1445" s="351">
        <f t="shared" ca="1" si="86"/>
        <v>34</v>
      </c>
      <c r="E1445" s="352">
        <v>9</v>
      </c>
      <c r="F1445" s="126" t="str" cm="1">
        <f t="array" aca="1" ref="F1445" ca="1">IF(OR(INDIRECT($B$2&amp;"!AM14")=$B$1350,B1445=0),"",REPT(" ",E1445)&amp;"},")</f>
        <v/>
      </c>
    </row>
    <row r="1446" spans="1:6" hidden="1">
      <c r="A1446" s="150">
        <f ca="1">IFERROR(INDIRECT($B$2&amp;"!"&amp;"C"&amp;D1446),"")</f>
        <v>0</v>
      </c>
      <c r="B1446" s="130">
        <f ca="1">IFERROR(INDIRECT($B$2&amp;"!"&amp;C1446&amp;D1446),"")</f>
        <v>0</v>
      </c>
      <c r="C1446" s="355" t="s">
        <v>131</v>
      </c>
      <c r="D1446" s="351">
        <f t="shared" ca="1" si="86"/>
        <v>35</v>
      </c>
      <c r="E1446" s="352">
        <v>9</v>
      </c>
      <c r="F1446" s="126" t="str">
        <f ca="1">IF(B1446=0,"",REPT(" ",E1446)&amp;"{ column: "&amp;CHAR(34)&amp;A1446&amp;CHAR(34)&amp;",")</f>
        <v/>
      </c>
    </row>
    <row r="1447" spans="1:6" hidden="1">
      <c r="A1447" s="150"/>
      <c r="B1447" s="130" cm="1">
        <f t="array" aca="1" ref="B1447" ca="1">INDIRECT($B$2&amp;"!"&amp;C1447&amp;D1447)</f>
        <v>0</v>
      </c>
      <c r="C1447" s="350" t="s">
        <v>131</v>
      </c>
      <c r="D1447" s="351">
        <f t="shared" ca="1" si="86"/>
        <v>35</v>
      </c>
      <c r="E1447" s="352">
        <v>12</v>
      </c>
      <c r="F1447" s="126" t="str" cm="1">
        <f t="array" aca="1" ref="F1447" ca="1">IF(OR(INDIRECT($B$2&amp;"!AM14")=$B$1350,B1447=0),"",REPT(" ",E1447)&amp;"summaryType: "&amp;CHAR(34)&amp;B1447&amp;CHAR(34)&amp;",")</f>
        <v/>
      </c>
    </row>
    <row r="1448" spans="1:6" hidden="1">
      <c r="A1448" s="150"/>
      <c r="B1448" s="130">
        <f ca="1">IFERROR(INDIRECT($B$2&amp;"!"&amp;C1448&amp;D1448),"")</f>
        <v>0</v>
      </c>
      <c r="C1448" s="350" t="s">
        <v>131</v>
      </c>
      <c r="D1448" s="351">
        <f t="shared" ca="1" si="86"/>
        <v>35</v>
      </c>
      <c r="E1448" s="352">
        <v>12</v>
      </c>
      <c r="F1448" s="126" t="str" cm="1">
        <f t="array" aca="1" ref="F1448" ca="1">IF(OR(INDIRECT($B$2&amp;"!AM14")=$B$1350,B1448=0),"",REPT(" ",E1448)&amp;"displayFormat: "&amp;CHAR(34)&amp;"{0} Items"&amp;CHAR(34)&amp;",")</f>
        <v/>
      </c>
    </row>
    <row r="1449" spans="1:6" hidden="1">
      <c r="A1449" s="150" t="s">
        <v>1037</v>
      </c>
      <c r="B1449" s="130">
        <f ca="1">IFERROR(INDIRECT($B$2&amp;"!"&amp;C1449&amp;D1449),"")</f>
        <v>0</v>
      </c>
      <c r="C1449" s="350" t="s">
        <v>133</v>
      </c>
      <c r="D1449" s="351">
        <f t="shared" ca="1" si="86"/>
        <v>35</v>
      </c>
      <c r="E1449" s="352">
        <v>12</v>
      </c>
      <c r="F1449" s="126" t="str" cm="1">
        <f t="array" aca="1" ref="F1449" ca="1">IF(OR(INDIRECT($B$2&amp;"!AM14")=$B$1350,B1449=0),"",REPT(" ",E1449)&amp;A1449&amp;CHAR(34)&amp;B1449&amp;CHAR(34)&amp;",")</f>
        <v/>
      </c>
    </row>
    <row r="1450" spans="1:6" hidden="1">
      <c r="A1450" s="150" t="s">
        <v>65</v>
      </c>
      <c r="B1450" s="130">
        <f ca="1">IFERROR(INDIRECT($B$2&amp;"!"&amp;C1450&amp;D1450),"")</f>
        <v>0</v>
      </c>
      <c r="C1450" s="350" t="s">
        <v>131</v>
      </c>
      <c r="D1450" s="351">
        <f t="shared" ca="1" si="86"/>
        <v>35</v>
      </c>
      <c r="E1450" s="352">
        <v>9</v>
      </c>
      <c r="F1450" s="126" t="str" cm="1">
        <f t="array" aca="1" ref="F1450" ca="1">IF(OR(INDIRECT($B$2&amp;"!AM14")=$B$1350,B1450=0),"",REPT(" ",E1450)&amp;"},")</f>
        <v/>
      </c>
    </row>
    <row r="1451" spans="1:6" hidden="1">
      <c r="A1451" s="150">
        <f ca="1">IFERROR(INDIRECT($B$2&amp;"!"&amp;"C"&amp;D1451),"")</f>
        <v>0</v>
      </c>
      <c r="B1451" s="130">
        <f ca="1">IFERROR(INDIRECT($B$2&amp;"!"&amp;C1451&amp;D1451),"")</f>
        <v>0</v>
      </c>
      <c r="C1451" s="355" t="s">
        <v>131</v>
      </c>
      <c r="D1451" s="351">
        <f t="shared" ca="1" si="86"/>
        <v>36</v>
      </c>
      <c r="E1451" s="352">
        <v>9</v>
      </c>
      <c r="F1451" s="126" t="str">
        <f ca="1">IF(B1451=0,"",REPT(" ",E1451)&amp;"{ column: "&amp;CHAR(34)&amp;A1451&amp;CHAR(34)&amp;",")</f>
        <v/>
      </c>
    </row>
    <row r="1452" spans="1:6" hidden="1">
      <c r="A1452" s="150"/>
      <c r="B1452" s="130" cm="1">
        <f t="array" aca="1" ref="B1452" ca="1">INDIRECT($B$2&amp;"!"&amp;C1452&amp;D1452)</f>
        <v>0</v>
      </c>
      <c r="C1452" s="350" t="s">
        <v>131</v>
      </c>
      <c r="D1452" s="351">
        <f t="shared" ca="1" si="86"/>
        <v>36</v>
      </c>
      <c r="E1452" s="352">
        <v>12</v>
      </c>
      <c r="F1452" s="126" t="str" cm="1">
        <f t="array" aca="1" ref="F1452" ca="1">IF(OR(INDIRECT($B$2&amp;"!AM14")=$B$1350,B1452=0),"",REPT(" ",E1452)&amp;"summaryType: "&amp;CHAR(34)&amp;B1452&amp;CHAR(34)&amp;",")</f>
        <v/>
      </c>
    </row>
    <row r="1453" spans="1:6" hidden="1">
      <c r="A1453" s="150"/>
      <c r="B1453" s="130">
        <f ca="1">IFERROR(INDIRECT($B$2&amp;"!"&amp;C1453&amp;D1453),"")</f>
        <v>0</v>
      </c>
      <c r="C1453" s="350" t="s">
        <v>131</v>
      </c>
      <c r="D1453" s="351">
        <f t="shared" ca="1" si="86"/>
        <v>36</v>
      </c>
      <c r="E1453" s="352">
        <v>12</v>
      </c>
      <c r="F1453" s="126" t="str" cm="1">
        <f t="array" aca="1" ref="F1453" ca="1">IF(OR(INDIRECT($B$2&amp;"!AM14")=$B$1350,B1453=0),"",REPT(" ",E1453)&amp;"displayFormat: "&amp;CHAR(34)&amp;"{0} Items"&amp;CHAR(34)&amp;",")</f>
        <v/>
      </c>
    </row>
    <row r="1454" spans="1:6" hidden="1">
      <c r="A1454" s="150" t="s">
        <v>1037</v>
      </c>
      <c r="B1454" s="130">
        <f ca="1">IFERROR(INDIRECT($B$2&amp;"!"&amp;C1454&amp;D1454),"")</f>
        <v>0</v>
      </c>
      <c r="C1454" s="350" t="s">
        <v>133</v>
      </c>
      <c r="D1454" s="351">
        <f t="shared" ca="1" si="86"/>
        <v>36</v>
      </c>
      <c r="E1454" s="352">
        <v>12</v>
      </c>
      <c r="F1454" s="126" t="str" cm="1">
        <f t="array" aca="1" ref="F1454" ca="1">IF(OR(INDIRECT($B$2&amp;"!AM14")=$B$1350,B1454=0),"",REPT(" ",E1454)&amp;A1454&amp;CHAR(34)&amp;B1454&amp;CHAR(34)&amp;",")</f>
        <v/>
      </c>
    </row>
    <row r="1455" spans="1:6" hidden="1">
      <c r="A1455" s="150" t="s">
        <v>65</v>
      </c>
      <c r="B1455" s="130">
        <f ca="1">IFERROR(INDIRECT($B$2&amp;"!"&amp;C1455&amp;D1455),"")</f>
        <v>0</v>
      </c>
      <c r="C1455" s="350" t="s">
        <v>131</v>
      </c>
      <c r="D1455" s="351">
        <f t="shared" ca="1" si="86"/>
        <v>36</v>
      </c>
      <c r="E1455" s="352">
        <v>9</v>
      </c>
      <c r="F1455" s="126" t="str" cm="1">
        <f t="array" aca="1" ref="F1455" ca="1">IF(OR(INDIRECT($B$2&amp;"!AM14")=$B$1350,B1455=0),"",REPT(" ",E1455)&amp;"},")</f>
        <v/>
      </c>
    </row>
    <row r="1456" spans="1:6" hidden="1">
      <c r="A1456" s="150">
        <f ca="1">IFERROR(INDIRECT($B$2&amp;"!"&amp;"C"&amp;D1456),"")</f>
        <v>0</v>
      </c>
      <c r="B1456" s="130">
        <f ca="1">IFERROR(INDIRECT($B$2&amp;"!"&amp;C1456&amp;D1456),"")</f>
        <v>0</v>
      </c>
      <c r="C1456" s="355" t="s">
        <v>131</v>
      </c>
      <c r="D1456" s="351">
        <f t="shared" ca="1" si="86"/>
        <v>37</v>
      </c>
      <c r="E1456" s="352">
        <v>9</v>
      </c>
      <c r="F1456" s="126" t="str">
        <f ca="1">IF(B1456=0,"",REPT(" ",E1456)&amp;"{ column: "&amp;CHAR(34)&amp;A1456&amp;CHAR(34)&amp;",")</f>
        <v/>
      </c>
    </row>
    <row r="1457" spans="1:6" hidden="1">
      <c r="A1457" s="150"/>
      <c r="B1457" s="130" cm="1">
        <f t="array" aca="1" ref="B1457" ca="1">INDIRECT($B$2&amp;"!"&amp;C1457&amp;D1457)</f>
        <v>0</v>
      </c>
      <c r="C1457" s="350" t="s">
        <v>131</v>
      </c>
      <c r="D1457" s="351">
        <f t="shared" ca="1" si="86"/>
        <v>37</v>
      </c>
      <c r="E1457" s="352">
        <v>12</v>
      </c>
      <c r="F1457" s="126" t="str" cm="1">
        <f t="array" aca="1" ref="F1457" ca="1">IF(OR(INDIRECT($B$2&amp;"!AM14")=$B$1350,B1457=0),"",REPT(" ",E1457)&amp;"summaryType: "&amp;CHAR(34)&amp;B1457&amp;CHAR(34)&amp;",")</f>
        <v/>
      </c>
    </row>
    <row r="1458" spans="1:6" hidden="1">
      <c r="A1458" s="150"/>
      <c r="B1458" s="130">
        <f ca="1">IFERROR(INDIRECT($B$2&amp;"!"&amp;C1458&amp;D1458),"")</f>
        <v>0</v>
      </c>
      <c r="C1458" s="350" t="s">
        <v>131</v>
      </c>
      <c r="D1458" s="351">
        <f t="shared" ca="1" si="86"/>
        <v>37</v>
      </c>
      <c r="E1458" s="352">
        <v>12</v>
      </c>
      <c r="F1458" s="126" t="str" cm="1">
        <f t="array" aca="1" ref="F1458" ca="1">IF(OR(INDIRECT($B$2&amp;"!AM14")=$B$1350,B1458=0),"",REPT(" ",E1458)&amp;"displayFormat: "&amp;CHAR(34)&amp;"{0} Items"&amp;CHAR(34)&amp;",")</f>
        <v/>
      </c>
    </row>
    <row r="1459" spans="1:6" hidden="1">
      <c r="A1459" s="150" t="s">
        <v>1037</v>
      </c>
      <c r="B1459" s="130">
        <f ca="1">IFERROR(INDIRECT($B$2&amp;"!"&amp;C1459&amp;D1459),"")</f>
        <v>0</v>
      </c>
      <c r="C1459" s="350" t="s">
        <v>133</v>
      </c>
      <c r="D1459" s="351">
        <f t="shared" ca="1" si="86"/>
        <v>37</v>
      </c>
      <c r="E1459" s="352">
        <v>12</v>
      </c>
      <c r="F1459" s="126" t="str" cm="1">
        <f t="array" aca="1" ref="F1459" ca="1">IF(OR(INDIRECT($B$2&amp;"!AM14")=$B$1350,B1459=0),"",REPT(" ",E1459)&amp;A1459&amp;CHAR(34)&amp;B1459&amp;CHAR(34)&amp;",")</f>
        <v/>
      </c>
    </row>
    <row r="1460" spans="1:6" hidden="1">
      <c r="A1460" s="150" t="s">
        <v>65</v>
      </c>
      <c r="B1460" s="130">
        <f ca="1">IFERROR(INDIRECT($B$2&amp;"!"&amp;C1460&amp;D1460),"")</f>
        <v>0</v>
      </c>
      <c r="C1460" s="350" t="s">
        <v>131</v>
      </c>
      <c r="D1460" s="351">
        <f t="shared" ca="1" si="86"/>
        <v>37</v>
      </c>
      <c r="E1460" s="352">
        <v>9</v>
      </c>
      <c r="F1460" s="126" t="str" cm="1">
        <f t="array" aca="1" ref="F1460" ca="1">IF(OR(INDIRECT($B$2&amp;"!AM14")=$B$1350,B1460=0),"",REPT(" ",E1460)&amp;"},")</f>
        <v/>
      </c>
    </row>
    <row r="1461" spans="1:6" hidden="1">
      <c r="A1461" s="150">
        <f ca="1">IFERROR(INDIRECT($B$2&amp;"!"&amp;"C"&amp;D1461),"")</f>
        <v>0</v>
      </c>
      <c r="B1461" s="130">
        <f ca="1">IFERROR(INDIRECT($B$2&amp;"!"&amp;C1461&amp;D1461),"")</f>
        <v>0</v>
      </c>
      <c r="C1461" s="355" t="s">
        <v>131</v>
      </c>
      <c r="D1461" s="351">
        <f t="shared" ca="1" si="86"/>
        <v>38</v>
      </c>
      <c r="E1461" s="352">
        <v>9</v>
      </c>
      <c r="F1461" s="126" t="str">
        <f ca="1">IF(B1461=0,"",REPT(" ",E1461)&amp;"{ column: "&amp;CHAR(34)&amp;A1461&amp;CHAR(34)&amp;",")</f>
        <v/>
      </c>
    </row>
    <row r="1462" spans="1:6" hidden="1">
      <c r="A1462" s="150"/>
      <c r="B1462" s="130" cm="1">
        <f t="array" aca="1" ref="B1462" ca="1">INDIRECT($B$2&amp;"!"&amp;C1462&amp;D1462)</f>
        <v>0</v>
      </c>
      <c r="C1462" s="350" t="s">
        <v>131</v>
      </c>
      <c r="D1462" s="351">
        <f t="shared" ca="1" si="86"/>
        <v>38</v>
      </c>
      <c r="E1462" s="352">
        <v>12</v>
      </c>
      <c r="F1462" s="126" t="str" cm="1">
        <f t="array" aca="1" ref="F1462" ca="1">IF(OR(INDIRECT($B$2&amp;"!AM14")=$B$1350,B1462=0),"",REPT(" ",E1462)&amp;"summaryType: "&amp;CHAR(34)&amp;B1462&amp;CHAR(34)&amp;",")</f>
        <v/>
      </c>
    </row>
    <row r="1463" spans="1:6" hidden="1">
      <c r="A1463" s="150"/>
      <c r="B1463" s="130">
        <f ca="1">IFERROR(INDIRECT($B$2&amp;"!"&amp;C1463&amp;D1463),"")</f>
        <v>0</v>
      </c>
      <c r="C1463" s="350" t="s">
        <v>131</v>
      </c>
      <c r="D1463" s="351">
        <f t="shared" ca="1" si="86"/>
        <v>38</v>
      </c>
      <c r="E1463" s="352">
        <v>12</v>
      </c>
      <c r="F1463" s="126" t="str" cm="1">
        <f t="array" aca="1" ref="F1463" ca="1">IF(OR(INDIRECT($B$2&amp;"!AM14")=$B$1350,B1463=0),"",REPT(" ",E1463)&amp;"displayFormat: "&amp;CHAR(34)&amp;"{0} Items"&amp;CHAR(34)&amp;",")</f>
        <v/>
      </c>
    </row>
    <row r="1464" spans="1:6" hidden="1">
      <c r="A1464" s="150" t="s">
        <v>1037</v>
      </c>
      <c r="B1464" s="130">
        <f ca="1">IFERROR(INDIRECT($B$2&amp;"!"&amp;C1464&amp;D1464),"")</f>
        <v>0</v>
      </c>
      <c r="C1464" s="350" t="s">
        <v>133</v>
      </c>
      <c r="D1464" s="351">
        <f t="shared" ca="1" si="86"/>
        <v>38</v>
      </c>
      <c r="E1464" s="352">
        <v>12</v>
      </c>
      <c r="F1464" s="126" t="str" cm="1">
        <f t="array" aca="1" ref="F1464" ca="1">IF(OR(INDIRECT($B$2&amp;"!AM14")=$B$1350,B1464=0),"",REPT(" ",E1464)&amp;A1464&amp;CHAR(34)&amp;B1464&amp;CHAR(34)&amp;",")</f>
        <v/>
      </c>
    </row>
    <row r="1465" spans="1:6" hidden="1">
      <c r="A1465" s="150" t="s">
        <v>65</v>
      </c>
      <c r="B1465" s="130">
        <f ca="1">IFERROR(INDIRECT($B$2&amp;"!"&amp;C1465&amp;D1465),"")</f>
        <v>0</v>
      </c>
      <c r="C1465" s="350" t="s">
        <v>131</v>
      </c>
      <c r="D1465" s="351">
        <f t="shared" ca="1" si="86"/>
        <v>38</v>
      </c>
      <c r="E1465" s="352">
        <v>9</v>
      </c>
      <c r="F1465" s="126" t="str" cm="1">
        <f t="array" aca="1" ref="F1465" ca="1">IF(OR(INDIRECT($B$2&amp;"!AM14")=$B$1350,B1465=0),"",REPT(" ",E1465)&amp;"},")</f>
        <v/>
      </c>
    </row>
    <row r="1466" spans="1:6" hidden="1">
      <c r="A1466" s="150">
        <f ca="1">IFERROR(INDIRECT($B$2&amp;"!"&amp;"C"&amp;D1466),"")</f>
        <v>0</v>
      </c>
      <c r="B1466" s="130">
        <f ca="1">IFERROR(INDIRECT($B$2&amp;"!"&amp;C1466&amp;D1466),"")</f>
        <v>0</v>
      </c>
      <c r="C1466" s="355" t="s">
        <v>131</v>
      </c>
      <c r="D1466" s="351">
        <f t="shared" ca="1" si="86"/>
        <v>39</v>
      </c>
      <c r="E1466" s="352">
        <v>9</v>
      </c>
      <c r="F1466" s="126" t="str">
        <f ca="1">IF(B1466=0,"",REPT(" ",E1466)&amp;"{ column: "&amp;CHAR(34)&amp;A1466&amp;CHAR(34)&amp;",")</f>
        <v/>
      </c>
    </row>
    <row r="1467" spans="1:6" hidden="1">
      <c r="A1467" s="150"/>
      <c r="B1467" s="130" cm="1">
        <f t="array" aca="1" ref="B1467" ca="1">INDIRECT($B$2&amp;"!"&amp;C1467&amp;D1467)</f>
        <v>0</v>
      </c>
      <c r="C1467" s="350" t="s">
        <v>131</v>
      </c>
      <c r="D1467" s="351">
        <f t="shared" ca="1" si="86"/>
        <v>39</v>
      </c>
      <c r="E1467" s="352">
        <v>12</v>
      </c>
      <c r="F1467" s="126" t="str" cm="1">
        <f t="array" aca="1" ref="F1467" ca="1">IF(OR(INDIRECT($B$2&amp;"!AM14")=$B$1350,B1467=0),"",REPT(" ",E1467)&amp;"summaryType: "&amp;CHAR(34)&amp;B1467&amp;CHAR(34)&amp;",")</f>
        <v/>
      </c>
    </row>
    <row r="1468" spans="1:6" hidden="1">
      <c r="A1468" s="150"/>
      <c r="B1468" s="130">
        <f ca="1">IFERROR(INDIRECT($B$2&amp;"!"&amp;C1468&amp;D1468),"")</f>
        <v>0</v>
      </c>
      <c r="C1468" s="350" t="s">
        <v>131</v>
      </c>
      <c r="D1468" s="351">
        <f t="shared" ca="1" si="86"/>
        <v>39</v>
      </c>
      <c r="E1468" s="352">
        <v>12</v>
      </c>
      <c r="F1468" s="126" t="str" cm="1">
        <f t="array" aca="1" ref="F1468" ca="1">IF(OR(INDIRECT($B$2&amp;"!AM14")=$B$1350,B1468=0),"",REPT(" ",E1468)&amp;"displayFormat: "&amp;CHAR(34)&amp;"{0} Items"&amp;CHAR(34)&amp;",")</f>
        <v/>
      </c>
    </row>
    <row r="1469" spans="1:6" hidden="1">
      <c r="A1469" s="150" t="s">
        <v>1037</v>
      </c>
      <c r="B1469" s="130">
        <f ca="1">IFERROR(INDIRECT($B$2&amp;"!"&amp;C1469&amp;D1469),"")</f>
        <v>0</v>
      </c>
      <c r="C1469" s="350" t="s">
        <v>133</v>
      </c>
      <c r="D1469" s="351">
        <f t="shared" ca="1" si="86"/>
        <v>39</v>
      </c>
      <c r="E1469" s="352">
        <v>12</v>
      </c>
      <c r="F1469" s="126" t="str" cm="1">
        <f t="array" aca="1" ref="F1469" ca="1">IF(OR(INDIRECT($B$2&amp;"!AM14")=$B$1350,B1469=0),"",REPT(" ",E1469)&amp;A1469&amp;CHAR(34)&amp;B1469&amp;CHAR(34)&amp;",")</f>
        <v/>
      </c>
    </row>
    <row r="1470" spans="1:6" hidden="1">
      <c r="A1470" s="150" t="s">
        <v>65</v>
      </c>
      <c r="B1470" s="130">
        <f ca="1">IFERROR(INDIRECT($B$2&amp;"!"&amp;C1470&amp;D1470),"")</f>
        <v>0</v>
      </c>
      <c r="C1470" s="350" t="s">
        <v>131</v>
      </c>
      <c r="D1470" s="351">
        <f t="shared" ca="1" si="86"/>
        <v>39</v>
      </c>
      <c r="E1470" s="352">
        <v>9</v>
      </c>
      <c r="F1470" s="126" t="str" cm="1">
        <f t="array" aca="1" ref="F1470" ca="1">IF(OR(INDIRECT($B$2&amp;"!AM14")=$B$1350,B1470=0),"",REPT(" ",E1470)&amp;"},")</f>
        <v/>
      </c>
    </row>
    <row r="1471" spans="1:6" hidden="1">
      <c r="A1471" s="150">
        <f ca="1">IFERROR(INDIRECT($B$2&amp;"!"&amp;"C"&amp;D1471),"")</f>
        <v>0</v>
      </c>
      <c r="B1471" s="130">
        <f ca="1">IFERROR(INDIRECT($B$2&amp;"!"&amp;C1471&amp;D1471),"")</f>
        <v>0</v>
      </c>
      <c r="C1471" s="355" t="s">
        <v>131</v>
      </c>
      <c r="D1471" s="351">
        <f t="shared" ca="1" si="86"/>
        <v>40</v>
      </c>
      <c r="E1471" s="352">
        <v>9</v>
      </c>
      <c r="F1471" s="126" t="str">
        <f ca="1">IF(B1471=0,"",REPT(" ",E1471)&amp;"{ column: "&amp;CHAR(34)&amp;A1471&amp;CHAR(34)&amp;",")</f>
        <v/>
      </c>
    </row>
    <row r="1472" spans="1:6" hidden="1">
      <c r="A1472" s="150"/>
      <c r="B1472" s="130" cm="1">
        <f t="array" aca="1" ref="B1472" ca="1">INDIRECT($B$2&amp;"!"&amp;C1472&amp;D1472)</f>
        <v>0</v>
      </c>
      <c r="C1472" s="350" t="s">
        <v>131</v>
      </c>
      <c r="D1472" s="351">
        <f t="shared" ca="1" si="86"/>
        <v>40</v>
      </c>
      <c r="E1472" s="352">
        <v>12</v>
      </c>
      <c r="F1472" s="126" t="str" cm="1">
        <f t="array" aca="1" ref="F1472" ca="1">IF(OR(INDIRECT($B$2&amp;"!AM14")=$B$1350,B1472=0),"",REPT(" ",E1472)&amp;"summaryType: "&amp;CHAR(34)&amp;B1472&amp;CHAR(34)&amp;",")</f>
        <v/>
      </c>
    </row>
    <row r="1473" spans="1:6" hidden="1">
      <c r="A1473" s="150"/>
      <c r="B1473" s="130">
        <f ca="1">IFERROR(INDIRECT($B$2&amp;"!"&amp;C1473&amp;D1473),"")</f>
        <v>0</v>
      </c>
      <c r="C1473" s="350" t="s">
        <v>131</v>
      </c>
      <c r="D1473" s="351">
        <f t="shared" ca="1" si="86"/>
        <v>40</v>
      </c>
      <c r="E1473" s="352">
        <v>12</v>
      </c>
      <c r="F1473" s="126" t="str" cm="1">
        <f t="array" aca="1" ref="F1473" ca="1">IF(OR(INDIRECT($B$2&amp;"!AM14")=$B$1350,B1473=0),"",REPT(" ",E1473)&amp;"displayFormat: "&amp;CHAR(34)&amp;"{0} Items"&amp;CHAR(34)&amp;",")</f>
        <v/>
      </c>
    </row>
    <row r="1474" spans="1:6" hidden="1">
      <c r="A1474" s="150" t="s">
        <v>1037</v>
      </c>
      <c r="B1474" s="130">
        <f ca="1">IFERROR(INDIRECT($B$2&amp;"!"&amp;C1474&amp;D1474),"")</f>
        <v>0</v>
      </c>
      <c r="C1474" s="350" t="s">
        <v>133</v>
      </c>
      <c r="D1474" s="351">
        <f t="shared" ca="1" si="86"/>
        <v>40</v>
      </c>
      <c r="E1474" s="352">
        <v>12</v>
      </c>
      <c r="F1474" s="126" t="str" cm="1">
        <f t="array" aca="1" ref="F1474" ca="1">IF(OR(INDIRECT($B$2&amp;"!AM14")=$B$1350,B1474=0),"",REPT(" ",E1474)&amp;A1474&amp;CHAR(34)&amp;B1474&amp;CHAR(34)&amp;",")</f>
        <v/>
      </c>
    </row>
    <row r="1475" spans="1:6" hidden="1">
      <c r="A1475" s="150" t="s">
        <v>65</v>
      </c>
      <c r="B1475" s="130">
        <f ca="1">IFERROR(INDIRECT($B$2&amp;"!"&amp;C1475&amp;D1475),"")</f>
        <v>0</v>
      </c>
      <c r="C1475" s="350" t="s">
        <v>131</v>
      </c>
      <c r="D1475" s="351">
        <f t="shared" ca="1" si="86"/>
        <v>40</v>
      </c>
      <c r="E1475" s="352">
        <v>9</v>
      </c>
      <c r="F1475" s="126" t="str" cm="1">
        <f t="array" aca="1" ref="F1475" ca="1">IF(OR(INDIRECT($B$2&amp;"!AM14")=$B$1350,B1475=0),"",REPT(" ",E1475)&amp;"},")</f>
        <v/>
      </c>
    </row>
    <row r="1476" spans="1:6" hidden="1">
      <c r="A1476" s="150">
        <f ca="1">IFERROR(INDIRECT($B$2&amp;"!"&amp;"C"&amp;D1476),"")</f>
        <v>0</v>
      </c>
      <c r="B1476" s="130">
        <f ca="1">IFERROR(INDIRECT($B$2&amp;"!"&amp;C1476&amp;D1476),"")</f>
        <v>0</v>
      </c>
      <c r="C1476" s="355" t="s">
        <v>131</v>
      </c>
      <c r="D1476" s="351">
        <f t="shared" ca="1" si="86"/>
        <v>41</v>
      </c>
      <c r="E1476" s="352">
        <v>9</v>
      </c>
      <c r="F1476" s="126" t="str">
        <f ca="1">IF(B1476=0,"",REPT(" ",E1476)&amp;"{ column: "&amp;CHAR(34)&amp;A1476&amp;CHAR(34)&amp;",")</f>
        <v/>
      </c>
    </row>
    <row r="1477" spans="1:6" hidden="1">
      <c r="A1477" s="150"/>
      <c r="B1477" s="130" cm="1">
        <f t="array" aca="1" ref="B1477" ca="1">INDIRECT($B$2&amp;"!"&amp;C1477&amp;D1477)</f>
        <v>0</v>
      </c>
      <c r="C1477" s="350" t="s">
        <v>131</v>
      </c>
      <c r="D1477" s="351">
        <f t="shared" ca="1" si="86"/>
        <v>41</v>
      </c>
      <c r="E1477" s="352">
        <v>12</v>
      </c>
      <c r="F1477" s="126" t="str" cm="1">
        <f t="array" aca="1" ref="F1477" ca="1">IF(OR(INDIRECT($B$2&amp;"!AM14")=$B$1350,B1477=0),"",REPT(" ",E1477)&amp;"summaryType: "&amp;CHAR(34)&amp;B1477&amp;CHAR(34)&amp;",")</f>
        <v/>
      </c>
    </row>
    <row r="1478" spans="1:6" hidden="1">
      <c r="A1478" s="150"/>
      <c r="B1478" s="130">
        <f ca="1">IFERROR(INDIRECT($B$2&amp;"!"&amp;C1478&amp;D1478),"")</f>
        <v>0</v>
      </c>
      <c r="C1478" s="350" t="s">
        <v>131</v>
      </c>
      <c r="D1478" s="351">
        <f t="shared" ca="1" si="86"/>
        <v>41</v>
      </c>
      <c r="E1478" s="352">
        <v>12</v>
      </c>
      <c r="F1478" s="126" t="str" cm="1">
        <f t="array" aca="1" ref="F1478" ca="1">IF(OR(INDIRECT($B$2&amp;"!AM14")=$B$1350,B1478=0),"",REPT(" ",E1478)&amp;"displayFormat: "&amp;CHAR(34)&amp;"{0} Items"&amp;CHAR(34)&amp;",")</f>
        <v/>
      </c>
    </row>
    <row r="1479" spans="1:6" hidden="1">
      <c r="A1479" s="150" t="s">
        <v>1037</v>
      </c>
      <c r="B1479" s="130">
        <f ca="1">IFERROR(INDIRECT($B$2&amp;"!"&amp;C1479&amp;D1479),"")</f>
        <v>0</v>
      </c>
      <c r="C1479" s="350" t="s">
        <v>133</v>
      </c>
      <c r="D1479" s="351">
        <f t="shared" ca="1" si="86"/>
        <v>41</v>
      </c>
      <c r="E1479" s="352">
        <v>12</v>
      </c>
      <c r="F1479" s="126" t="str" cm="1">
        <f t="array" aca="1" ref="F1479" ca="1">IF(OR(INDIRECT($B$2&amp;"!AM14")=$B$1350,B1479=0),"",REPT(" ",E1479)&amp;A1479&amp;CHAR(34)&amp;B1479&amp;CHAR(34)&amp;",")</f>
        <v/>
      </c>
    </row>
    <row r="1480" spans="1:6" hidden="1">
      <c r="A1480" s="150" t="s">
        <v>65</v>
      </c>
      <c r="B1480" s="130">
        <f ca="1">IFERROR(INDIRECT($B$2&amp;"!"&amp;C1480&amp;D1480),"")</f>
        <v>0</v>
      </c>
      <c r="C1480" s="350" t="s">
        <v>131</v>
      </c>
      <c r="D1480" s="351">
        <f t="shared" ca="1" si="86"/>
        <v>41</v>
      </c>
      <c r="E1480" s="352">
        <v>9</v>
      </c>
      <c r="F1480" s="126" t="str" cm="1">
        <f t="array" aca="1" ref="F1480" ca="1">IF(OR(INDIRECT($B$2&amp;"!AM14")=$B$1350,B1480=0),"",REPT(" ",E1480)&amp;"},")</f>
        <v/>
      </c>
    </row>
    <row r="1481" spans="1:6" hidden="1">
      <c r="A1481" s="150">
        <f ca="1">IFERROR(INDIRECT($B$2&amp;"!"&amp;"C"&amp;D1481),"")</f>
        <v>0</v>
      </c>
      <c r="B1481" s="130">
        <f ca="1">IFERROR(INDIRECT($B$2&amp;"!"&amp;C1481&amp;D1481),"")</f>
        <v>0</v>
      </c>
      <c r="C1481" s="355" t="s">
        <v>131</v>
      </c>
      <c r="D1481" s="351">
        <f t="shared" ca="1" si="86"/>
        <v>42</v>
      </c>
      <c r="E1481" s="352">
        <v>9</v>
      </c>
      <c r="F1481" s="126" t="str">
        <f ca="1">IF(B1481=0,"",REPT(" ",E1481)&amp;"{ column: "&amp;CHAR(34)&amp;A1481&amp;CHAR(34)&amp;",")</f>
        <v/>
      </c>
    </row>
    <row r="1482" spans="1:6" hidden="1">
      <c r="A1482" s="150"/>
      <c r="B1482" s="130" cm="1">
        <f t="array" aca="1" ref="B1482" ca="1">INDIRECT($B$2&amp;"!"&amp;C1482&amp;D1482)</f>
        <v>0</v>
      </c>
      <c r="C1482" s="350" t="s">
        <v>131</v>
      </c>
      <c r="D1482" s="351">
        <f t="shared" ca="1" si="86"/>
        <v>42</v>
      </c>
      <c r="E1482" s="352">
        <v>12</v>
      </c>
      <c r="F1482" s="126" t="str" cm="1">
        <f t="array" aca="1" ref="F1482" ca="1">IF(OR(INDIRECT($B$2&amp;"!AM14")=$B$1350,B1482=0),"",REPT(" ",E1482)&amp;"summaryType: "&amp;CHAR(34)&amp;B1482&amp;CHAR(34)&amp;",")</f>
        <v/>
      </c>
    </row>
    <row r="1483" spans="1:6" hidden="1">
      <c r="A1483" s="150"/>
      <c r="B1483" s="130">
        <f ca="1">IFERROR(INDIRECT($B$2&amp;"!"&amp;C1483&amp;D1483),"")</f>
        <v>0</v>
      </c>
      <c r="C1483" s="350" t="s">
        <v>131</v>
      </c>
      <c r="D1483" s="351">
        <f t="shared" ca="1" si="86"/>
        <v>42</v>
      </c>
      <c r="E1483" s="352">
        <v>12</v>
      </c>
      <c r="F1483" s="126" t="str" cm="1">
        <f t="array" aca="1" ref="F1483" ca="1">IF(OR(INDIRECT($B$2&amp;"!AM14")=$B$1350,B1483=0),"",REPT(" ",E1483)&amp;"displayFormat: "&amp;CHAR(34)&amp;"{0} Items"&amp;CHAR(34)&amp;",")</f>
        <v/>
      </c>
    </row>
    <row r="1484" spans="1:6" hidden="1">
      <c r="A1484" s="150" t="s">
        <v>1037</v>
      </c>
      <c r="B1484" s="130">
        <f ca="1">IFERROR(INDIRECT($B$2&amp;"!"&amp;C1484&amp;D1484),"")</f>
        <v>0</v>
      </c>
      <c r="C1484" s="350" t="s">
        <v>133</v>
      </c>
      <c r="D1484" s="351">
        <f t="shared" ca="1" si="86"/>
        <v>42</v>
      </c>
      <c r="E1484" s="352">
        <v>12</v>
      </c>
      <c r="F1484" s="126" t="str" cm="1">
        <f t="array" aca="1" ref="F1484" ca="1">IF(OR(INDIRECT($B$2&amp;"!AM14")=$B$1350,B1484=0),"",REPT(" ",E1484)&amp;A1484&amp;CHAR(34)&amp;B1484&amp;CHAR(34)&amp;",")</f>
        <v/>
      </c>
    </row>
    <row r="1485" spans="1:6" hidden="1">
      <c r="A1485" s="150" t="s">
        <v>65</v>
      </c>
      <c r="B1485" s="130">
        <f ca="1">IFERROR(INDIRECT($B$2&amp;"!"&amp;C1485&amp;D1485),"")</f>
        <v>0</v>
      </c>
      <c r="C1485" s="350" t="s">
        <v>131</v>
      </c>
      <c r="D1485" s="351">
        <f t="shared" ca="1" si="86"/>
        <v>42</v>
      </c>
      <c r="E1485" s="352">
        <v>9</v>
      </c>
      <c r="F1485" s="126" t="str" cm="1">
        <f t="array" aca="1" ref="F1485" ca="1">IF(OR(INDIRECT($B$2&amp;"!AM14")=$B$1350,B1485=0),"",REPT(" ",E1485)&amp;"},")</f>
        <v/>
      </c>
    </row>
    <row r="1486" spans="1:6" hidden="1">
      <c r="A1486" s="150">
        <f ca="1">IFERROR(INDIRECT($B$2&amp;"!"&amp;"C"&amp;D1486),"")</f>
        <v>0</v>
      </c>
      <c r="B1486" s="130">
        <f ca="1">IFERROR(INDIRECT($B$2&amp;"!"&amp;C1486&amp;D1486),"")</f>
        <v>0</v>
      </c>
      <c r="C1486" s="355" t="s">
        <v>131</v>
      </c>
      <c r="D1486" s="351">
        <f t="shared" ca="1" si="86"/>
        <v>43</v>
      </c>
      <c r="E1486" s="352">
        <v>9</v>
      </c>
      <c r="F1486" s="126" t="str">
        <f ca="1">IF(B1486=0,"",REPT(" ",E1486)&amp;"{ column: "&amp;CHAR(34)&amp;A1486&amp;CHAR(34)&amp;",")</f>
        <v/>
      </c>
    </row>
    <row r="1487" spans="1:6" hidden="1">
      <c r="A1487" s="150"/>
      <c r="B1487" s="130" cm="1">
        <f t="array" aca="1" ref="B1487" ca="1">INDIRECT($B$2&amp;"!"&amp;C1487&amp;D1487)</f>
        <v>0</v>
      </c>
      <c r="C1487" s="350" t="s">
        <v>131</v>
      </c>
      <c r="D1487" s="351">
        <f t="shared" ca="1" si="86"/>
        <v>43</v>
      </c>
      <c r="E1487" s="352">
        <v>12</v>
      </c>
      <c r="F1487" s="126" t="str" cm="1">
        <f t="array" aca="1" ref="F1487" ca="1">IF(OR(INDIRECT($B$2&amp;"!AM14")=$B$1350,B1487=0),"",REPT(" ",E1487)&amp;"summaryType: "&amp;CHAR(34)&amp;B1487&amp;CHAR(34)&amp;",")</f>
        <v/>
      </c>
    </row>
    <row r="1488" spans="1:6" hidden="1">
      <c r="A1488" s="150"/>
      <c r="B1488" s="130">
        <f ca="1">IFERROR(INDIRECT($B$2&amp;"!"&amp;C1488&amp;D1488),"")</f>
        <v>0</v>
      </c>
      <c r="C1488" s="350" t="s">
        <v>131</v>
      </c>
      <c r="D1488" s="351">
        <f t="shared" ca="1" si="86"/>
        <v>43</v>
      </c>
      <c r="E1488" s="352">
        <v>12</v>
      </c>
      <c r="F1488" s="126" t="str" cm="1">
        <f t="array" aca="1" ref="F1488" ca="1">IF(OR(INDIRECT($B$2&amp;"!AM14")=$B$1350,B1488=0),"",REPT(" ",E1488)&amp;"displayFormat: "&amp;CHAR(34)&amp;"{0} Items"&amp;CHAR(34)&amp;",")</f>
        <v/>
      </c>
    </row>
    <row r="1489" spans="1:6" hidden="1">
      <c r="A1489" s="150" t="s">
        <v>1037</v>
      </c>
      <c r="B1489" s="130">
        <f ca="1">IFERROR(INDIRECT($B$2&amp;"!"&amp;C1489&amp;D1489),"")</f>
        <v>0</v>
      </c>
      <c r="C1489" s="350" t="s">
        <v>133</v>
      </c>
      <c r="D1489" s="351">
        <f t="shared" ca="1" si="86"/>
        <v>43</v>
      </c>
      <c r="E1489" s="352">
        <v>12</v>
      </c>
      <c r="F1489" s="126" t="str" cm="1">
        <f t="array" aca="1" ref="F1489" ca="1">IF(OR(INDIRECT($B$2&amp;"!AM14")=$B$1350,B1489=0),"",REPT(" ",E1489)&amp;A1489&amp;CHAR(34)&amp;B1489&amp;CHAR(34)&amp;",")</f>
        <v/>
      </c>
    </row>
    <row r="1490" spans="1:6" hidden="1">
      <c r="A1490" s="150" t="s">
        <v>65</v>
      </c>
      <c r="B1490" s="130">
        <f ca="1">IFERROR(INDIRECT($B$2&amp;"!"&amp;C1490&amp;D1490),"")</f>
        <v>0</v>
      </c>
      <c r="C1490" s="350" t="s">
        <v>131</v>
      </c>
      <c r="D1490" s="351">
        <f t="shared" ca="1" si="86"/>
        <v>43</v>
      </c>
      <c r="E1490" s="352">
        <v>9</v>
      </c>
      <c r="F1490" s="126" t="str" cm="1">
        <f t="array" aca="1" ref="F1490" ca="1">IF(OR(INDIRECT($B$2&amp;"!AM14")=$B$1350,B1490=0),"",REPT(" ",E1490)&amp;"},")</f>
        <v/>
      </c>
    </row>
    <row r="1491" spans="1:6" hidden="1">
      <c r="A1491" s="150">
        <f ca="1">IFERROR(INDIRECT($B$2&amp;"!"&amp;"C"&amp;D1491),"")</f>
        <v>0</v>
      </c>
      <c r="B1491" s="130">
        <f ca="1">IFERROR(INDIRECT($B$2&amp;"!"&amp;C1491&amp;D1491),"")</f>
        <v>0</v>
      </c>
      <c r="C1491" s="355" t="s">
        <v>131</v>
      </c>
      <c r="D1491" s="351">
        <f t="shared" ref="D1491:D1554" ca="1" si="87">IF(TRIM(A1490)="N",1,0)+D1490</f>
        <v>44</v>
      </c>
      <c r="E1491" s="352">
        <v>9</v>
      </c>
      <c r="F1491" s="126" t="str">
        <f ca="1">IF(B1491=0,"",REPT(" ",E1491)&amp;"{ column: "&amp;CHAR(34)&amp;A1491&amp;CHAR(34)&amp;",")</f>
        <v/>
      </c>
    </row>
    <row r="1492" spans="1:6" hidden="1">
      <c r="A1492" s="150"/>
      <c r="B1492" s="130" cm="1">
        <f t="array" aca="1" ref="B1492" ca="1">INDIRECT($B$2&amp;"!"&amp;C1492&amp;D1492)</f>
        <v>0</v>
      </c>
      <c r="C1492" s="350" t="s">
        <v>131</v>
      </c>
      <c r="D1492" s="351">
        <f t="shared" ca="1" si="87"/>
        <v>44</v>
      </c>
      <c r="E1492" s="352">
        <v>12</v>
      </c>
      <c r="F1492" s="126" t="str" cm="1">
        <f t="array" aca="1" ref="F1492" ca="1">IF(OR(INDIRECT($B$2&amp;"!AM14")=$B$1350,B1492=0),"",REPT(" ",E1492)&amp;"summaryType: "&amp;CHAR(34)&amp;B1492&amp;CHAR(34)&amp;",")</f>
        <v/>
      </c>
    </row>
    <row r="1493" spans="1:6" hidden="1">
      <c r="A1493" s="150"/>
      <c r="B1493" s="130">
        <f ca="1">IFERROR(INDIRECT($B$2&amp;"!"&amp;C1493&amp;D1493),"")</f>
        <v>0</v>
      </c>
      <c r="C1493" s="350" t="s">
        <v>131</v>
      </c>
      <c r="D1493" s="351">
        <f t="shared" ca="1" si="87"/>
        <v>44</v>
      </c>
      <c r="E1493" s="352">
        <v>12</v>
      </c>
      <c r="F1493" s="126" t="str" cm="1">
        <f t="array" aca="1" ref="F1493" ca="1">IF(OR(INDIRECT($B$2&amp;"!AM14")=$B$1350,B1493=0),"",REPT(" ",E1493)&amp;"displayFormat: "&amp;CHAR(34)&amp;"{0} Items"&amp;CHAR(34)&amp;",")</f>
        <v/>
      </c>
    </row>
    <row r="1494" spans="1:6" hidden="1">
      <c r="A1494" s="150" t="s">
        <v>1037</v>
      </c>
      <c r="B1494" s="130">
        <f ca="1">IFERROR(INDIRECT($B$2&amp;"!"&amp;C1494&amp;D1494),"")</f>
        <v>0</v>
      </c>
      <c r="C1494" s="350" t="s">
        <v>133</v>
      </c>
      <c r="D1494" s="351">
        <f t="shared" ca="1" si="87"/>
        <v>44</v>
      </c>
      <c r="E1494" s="352">
        <v>12</v>
      </c>
      <c r="F1494" s="126" t="str" cm="1">
        <f t="array" aca="1" ref="F1494" ca="1">IF(OR(INDIRECT($B$2&amp;"!AM14")=$B$1350,B1494=0),"",REPT(" ",E1494)&amp;A1494&amp;CHAR(34)&amp;B1494&amp;CHAR(34)&amp;",")</f>
        <v/>
      </c>
    </row>
    <row r="1495" spans="1:6" hidden="1">
      <c r="A1495" s="150" t="s">
        <v>65</v>
      </c>
      <c r="B1495" s="130">
        <f ca="1">IFERROR(INDIRECT($B$2&amp;"!"&amp;C1495&amp;D1495),"")</f>
        <v>0</v>
      </c>
      <c r="C1495" s="350" t="s">
        <v>131</v>
      </c>
      <c r="D1495" s="351">
        <f t="shared" ca="1" si="87"/>
        <v>44</v>
      </c>
      <c r="E1495" s="352">
        <v>9</v>
      </c>
      <c r="F1495" s="126" t="str" cm="1">
        <f t="array" aca="1" ref="F1495" ca="1">IF(OR(INDIRECT($B$2&amp;"!AM14")=$B$1350,B1495=0),"",REPT(" ",E1495)&amp;"},")</f>
        <v/>
      </c>
    </row>
    <row r="1496" spans="1:6" hidden="1">
      <c r="A1496" s="150">
        <f ca="1">IFERROR(INDIRECT($B$2&amp;"!"&amp;"C"&amp;D1496),"")</f>
        <v>0</v>
      </c>
      <c r="B1496" s="130">
        <f ca="1">IFERROR(INDIRECT($B$2&amp;"!"&amp;C1496&amp;D1496),"")</f>
        <v>0</v>
      </c>
      <c r="C1496" s="355" t="s">
        <v>131</v>
      </c>
      <c r="D1496" s="351">
        <f t="shared" ca="1" si="87"/>
        <v>45</v>
      </c>
      <c r="E1496" s="352">
        <v>9</v>
      </c>
      <c r="F1496" s="126" t="str">
        <f ca="1">IF(B1496=0,"",REPT(" ",E1496)&amp;"{ column: "&amp;CHAR(34)&amp;A1496&amp;CHAR(34)&amp;",")</f>
        <v/>
      </c>
    </row>
    <row r="1497" spans="1:6" hidden="1">
      <c r="A1497" s="150"/>
      <c r="B1497" s="130" cm="1">
        <f t="array" aca="1" ref="B1497" ca="1">INDIRECT($B$2&amp;"!"&amp;C1497&amp;D1497)</f>
        <v>0</v>
      </c>
      <c r="C1497" s="350" t="s">
        <v>131</v>
      </c>
      <c r="D1497" s="351">
        <f t="shared" ca="1" si="87"/>
        <v>45</v>
      </c>
      <c r="E1497" s="352">
        <v>12</v>
      </c>
      <c r="F1497" s="126" t="str" cm="1">
        <f t="array" aca="1" ref="F1497" ca="1">IF(OR(INDIRECT($B$2&amp;"!AM14")=$B$1350,B1497=0),"",REPT(" ",E1497)&amp;"summaryType: "&amp;CHAR(34)&amp;B1497&amp;CHAR(34)&amp;",")</f>
        <v/>
      </c>
    </row>
    <row r="1498" spans="1:6" hidden="1">
      <c r="A1498" s="150"/>
      <c r="B1498" s="130">
        <f ca="1">IFERROR(INDIRECT($B$2&amp;"!"&amp;C1498&amp;D1498),"")</f>
        <v>0</v>
      </c>
      <c r="C1498" s="350" t="s">
        <v>131</v>
      </c>
      <c r="D1498" s="351">
        <f t="shared" ca="1" si="87"/>
        <v>45</v>
      </c>
      <c r="E1498" s="352">
        <v>12</v>
      </c>
      <c r="F1498" s="126" t="str" cm="1">
        <f t="array" aca="1" ref="F1498" ca="1">IF(OR(INDIRECT($B$2&amp;"!AM14")=$B$1350,B1498=0),"",REPT(" ",E1498)&amp;"displayFormat: "&amp;CHAR(34)&amp;"{0} Items"&amp;CHAR(34)&amp;",")</f>
        <v/>
      </c>
    </row>
    <row r="1499" spans="1:6" hidden="1">
      <c r="A1499" s="150" t="s">
        <v>1037</v>
      </c>
      <c r="B1499" s="130">
        <f ca="1">IFERROR(INDIRECT($B$2&amp;"!"&amp;C1499&amp;D1499),"")</f>
        <v>0</v>
      </c>
      <c r="C1499" s="350" t="s">
        <v>133</v>
      </c>
      <c r="D1499" s="351">
        <f t="shared" ca="1" si="87"/>
        <v>45</v>
      </c>
      <c r="E1499" s="352">
        <v>12</v>
      </c>
      <c r="F1499" s="126" t="str" cm="1">
        <f t="array" aca="1" ref="F1499" ca="1">IF(OR(INDIRECT($B$2&amp;"!AM14")=$B$1350,B1499=0),"",REPT(" ",E1499)&amp;A1499&amp;CHAR(34)&amp;B1499&amp;CHAR(34)&amp;",")</f>
        <v/>
      </c>
    </row>
    <row r="1500" spans="1:6" hidden="1">
      <c r="A1500" s="150" t="s">
        <v>65</v>
      </c>
      <c r="B1500" s="130">
        <f ca="1">IFERROR(INDIRECT($B$2&amp;"!"&amp;C1500&amp;D1500),"")</f>
        <v>0</v>
      </c>
      <c r="C1500" s="350" t="s">
        <v>131</v>
      </c>
      <c r="D1500" s="351">
        <f t="shared" ca="1" si="87"/>
        <v>45</v>
      </c>
      <c r="E1500" s="352">
        <v>9</v>
      </c>
      <c r="F1500" s="126" t="str" cm="1">
        <f t="array" aca="1" ref="F1500" ca="1">IF(OR(INDIRECT($B$2&amp;"!AM14")=$B$1350,B1500=0),"",REPT(" ",E1500)&amp;"},")</f>
        <v/>
      </c>
    </row>
    <row r="1501" spans="1:6" hidden="1">
      <c r="A1501" s="150">
        <f ca="1">IFERROR(INDIRECT($B$2&amp;"!"&amp;"C"&amp;D1501),"")</f>
        <v>0</v>
      </c>
      <c r="B1501" s="130">
        <f ca="1">IFERROR(INDIRECT($B$2&amp;"!"&amp;C1501&amp;D1501),"")</f>
        <v>0</v>
      </c>
      <c r="C1501" s="355" t="s">
        <v>131</v>
      </c>
      <c r="D1501" s="351">
        <f t="shared" ca="1" si="87"/>
        <v>46</v>
      </c>
      <c r="E1501" s="352">
        <v>9</v>
      </c>
      <c r="F1501" s="126" t="str">
        <f ca="1">IF(B1501=0,"",REPT(" ",E1501)&amp;"{ column: "&amp;CHAR(34)&amp;A1501&amp;CHAR(34)&amp;",")</f>
        <v/>
      </c>
    </row>
    <row r="1502" spans="1:6" hidden="1">
      <c r="A1502" s="150"/>
      <c r="B1502" s="130" cm="1">
        <f t="array" aca="1" ref="B1502" ca="1">INDIRECT($B$2&amp;"!"&amp;C1502&amp;D1502)</f>
        <v>0</v>
      </c>
      <c r="C1502" s="350" t="s">
        <v>131</v>
      </c>
      <c r="D1502" s="351">
        <f t="shared" ca="1" si="87"/>
        <v>46</v>
      </c>
      <c r="E1502" s="352">
        <v>12</v>
      </c>
      <c r="F1502" s="126" t="str" cm="1">
        <f t="array" aca="1" ref="F1502" ca="1">IF(OR(INDIRECT($B$2&amp;"!AM14")=$B$1350,B1502=0),"",REPT(" ",E1502)&amp;"summaryType: "&amp;CHAR(34)&amp;B1502&amp;CHAR(34)&amp;",")</f>
        <v/>
      </c>
    </row>
    <row r="1503" spans="1:6" hidden="1">
      <c r="A1503" s="150"/>
      <c r="B1503" s="130">
        <f ca="1">IFERROR(INDIRECT($B$2&amp;"!"&amp;C1503&amp;D1503),"")</f>
        <v>0</v>
      </c>
      <c r="C1503" s="350" t="s">
        <v>131</v>
      </c>
      <c r="D1503" s="351">
        <f t="shared" ca="1" si="87"/>
        <v>46</v>
      </c>
      <c r="E1503" s="352">
        <v>12</v>
      </c>
      <c r="F1503" s="126" t="str" cm="1">
        <f t="array" aca="1" ref="F1503" ca="1">IF(OR(INDIRECT($B$2&amp;"!AM14")=$B$1350,B1503=0),"",REPT(" ",E1503)&amp;"displayFormat: "&amp;CHAR(34)&amp;"{0} Items"&amp;CHAR(34)&amp;",")</f>
        <v/>
      </c>
    </row>
    <row r="1504" spans="1:6" hidden="1">
      <c r="A1504" s="150" t="s">
        <v>1037</v>
      </c>
      <c r="B1504" s="130">
        <f ca="1">IFERROR(INDIRECT($B$2&amp;"!"&amp;C1504&amp;D1504),"")</f>
        <v>0</v>
      </c>
      <c r="C1504" s="350" t="s">
        <v>133</v>
      </c>
      <c r="D1504" s="351">
        <f t="shared" ca="1" si="87"/>
        <v>46</v>
      </c>
      <c r="E1504" s="352">
        <v>12</v>
      </c>
      <c r="F1504" s="126" t="str" cm="1">
        <f t="array" aca="1" ref="F1504" ca="1">IF(OR(INDIRECT($B$2&amp;"!AM14")=$B$1350,B1504=0),"",REPT(" ",E1504)&amp;A1504&amp;CHAR(34)&amp;B1504&amp;CHAR(34)&amp;",")</f>
        <v/>
      </c>
    </row>
    <row r="1505" spans="1:6" hidden="1">
      <c r="A1505" s="150" t="s">
        <v>65</v>
      </c>
      <c r="B1505" s="130">
        <f ca="1">IFERROR(INDIRECT($B$2&amp;"!"&amp;C1505&amp;D1505),"")</f>
        <v>0</v>
      </c>
      <c r="C1505" s="350" t="s">
        <v>131</v>
      </c>
      <c r="D1505" s="351">
        <f t="shared" ca="1" si="87"/>
        <v>46</v>
      </c>
      <c r="E1505" s="352">
        <v>9</v>
      </c>
      <c r="F1505" s="126" t="str" cm="1">
        <f t="array" aca="1" ref="F1505" ca="1">IF(OR(INDIRECT($B$2&amp;"!AM14")=$B$1350,B1505=0),"",REPT(" ",E1505)&amp;"},")</f>
        <v/>
      </c>
    </row>
    <row r="1506" spans="1:6" hidden="1">
      <c r="A1506" s="150">
        <f ca="1">IFERROR(INDIRECT($B$2&amp;"!"&amp;"C"&amp;D1506),"")</f>
        <v>0</v>
      </c>
      <c r="B1506" s="130">
        <f ca="1">IFERROR(INDIRECT($B$2&amp;"!"&amp;C1506&amp;D1506),"")</f>
        <v>0</v>
      </c>
      <c r="C1506" s="355" t="s">
        <v>131</v>
      </c>
      <c r="D1506" s="351">
        <f t="shared" ca="1" si="87"/>
        <v>47</v>
      </c>
      <c r="E1506" s="352">
        <v>9</v>
      </c>
      <c r="F1506" s="126" t="str">
        <f ca="1">IF(B1506=0,"",REPT(" ",E1506)&amp;"{ column: "&amp;CHAR(34)&amp;A1506&amp;CHAR(34)&amp;",")</f>
        <v/>
      </c>
    </row>
    <row r="1507" spans="1:6" hidden="1">
      <c r="A1507" s="150"/>
      <c r="B1507" s="130" cm="1">
        <f t="array" aca="1" ref="B1507" ca="1">INDIRECT($B$2&amp;"!"&amp;C1507&amp;D1507)</f>
        <v>0</v>
      </c>
      <c r="C1507" s="350" t="s">
        <v>131</v>
      </c>
      <c r="D1507" s="351">
        <f t="shared" ca="1" si="87"/>
        <v>47</v>
      </c>
      <c r="E1507" s="352">
        <v>12</v>
      </c>
      <c r="F1507" s="126" t="str" cm="1">
        <f t="array" aca="1" ref="F1507" ca="1">IF(OR(INDIRECT($B$2&amp;"!AM14")=$B$1350,B1507=0),"",REPT(" ",E1507)&amp;"summaryType: "&amp;CHAR(34)&amp;B1507&amp;CHAR(34)&amp;",")</f>
        <v/>
      </c>
    </row>
    <row r="1508" spans="1:6" hidden="1">
      <c r="A1508" s="150"/>
      <c r="B1508" s="130">
        <f ca="1">IFERROR(INDIRECT($B$2&amp;"!"&amp;C1508&amp;D1508),"")</f>
        <v>0</v>
      </c>
      <c r="C1508" s="350" t="s">
        <v>131</v>
      </c>
      <c r="D1508" s="351">
        <f t="shared" ca="1" si="87"/>
        <v>47</v>
      </c>
      <c r="E1508" s="352">
        <v>12</v>
      </c>
      <c r="F1508" s="126" t="str" cm="1">
        <f t="array" aca="1" ref="F1508" ca="1">IF(OR(INDIRECT($B$2&amp;"!AM14")=$B$1350,B1508=0),"",REPT(" ",E1508)&amp;"displayFormat: "&amp;CHAR(34)&amp;"{0} Items"&amp;CHAR(34)&amp;",")</f>
        <v/>
      </c>
    </row>
    <row r="1509" spans="1:6" hidden="1">
      <c r="A1509" s="150" t="s">
        <v>1037</v>
      </c>
      <c r="B1509" s="130">
        <f ca="1">IFERROR(INDIRECT($B$2&amp;"!"&amp;C1509&amp;D1509),"")</f>
        <v>0</v>
      </c>
      <c r="C1509" s="350" t="s">
        <v>133</v>
      </c>
      <c r="D1509" s="351">
        <f t="shared" ca="1" si="87"/>
        <v>47</v>
      </c>
      <c r="E1509" s="352">
        <v>12</v>
      </c>
      <c r="F1509" s="126" t="str" cm="1">
        <f t="array" aca="1" ref="F1509" ca="1">IF(OR(INDIRECT($B$2&amp;"!AM14")=$B$1350,B1509=0),"",REPT(" ",E1509)&amp;A1509&amp;CHAR(34)&amp;B1509&amp;CHAR(34)&amp;",")</f>
        <v/>
      </c>
    </row>
    <row r="1510" spans="1:6" hidden="1">
      <c r="A1510" s="150" t="s">
        <v>65</v>
      </c>
      <c r="B1510" s="130">
        <f ca="1">IFERROR(INDIRECT($B$2&amp;"!"&amp;C1510&amp;D1510),"")</f>
        <v>0</v>
      </c>
      <c r="C1510" s="350" t="s">
        <v>131</v>
      </c>
      <c r="D1510" s="351">
        <f t="shared" ca="1" si="87"/>
        <v>47</v>
      </c>
      <c r="E1510" s="352">
        <v>9</v>
      </c>
      <c r="F1510" s="126" t="str" cm="1">
        <f t="array" aca="1" ref="F1510" ca="1">IF(OR(INDIRECT($B$2&amp;"!AM14")=$B$1350,B1510=0),"",REPT(" ",E1510)&amp;"},")</f>
        <v/>
      </c>
    </row>
    <row r="1511" spans="1:6" hidden="1">
      <c r="A1511" s="150">
        <f ca="1">IFERROR(INDIRECT($B$2&amp;"!"&amp;"C"&amp;D1511),"")</f>
        <v>0</v>
      </c>
      <c r="B1511" s="130">
        <f ca="1">IFERROR(INDIRECT($B$2&amp;"!"&amp;C1511&amp;D1511),"")</f>
        <v>0</v>
      </c>
      <c r="C1511" s="355" t="s">
        <v>131</v>
      </c>
      <c r="D1511" s="351">
        <f t="shared" ca="1" si="87"/>
        <v>48</v>
      </c>
      <c r="E1511" s="352">
        <v>9</v>
      </c>
      <c r="F1511" s="126" t="str">
        <f ca="1">IF(B1511=0,"",REPT(" ",E1511)&amp;"{ column: "&amp;CHAR(34)&amp;A1511&amp;CHAR(34)&amp;",")</f>
        <v/>
      </c>
    </row>
    <row r="1512" spans="1:6" hidden="1">
      <c r="A1512" s="150"/>
      <c r="B1512" s="130" cm="1">
        <f t="array" aca="1" ref="B1512" ca="1">INDIRECT($B$2&amp;"!"&amp;C1512&amp;D1512)</f>
        <v>0</v>
      </c>
      <c r="C1512" s="350" t="s">
        <v>131</v>
      </c>
      <c r="D1512" s="351">
        <f t="shared" ca="1" si="87"/>
        <v>48</v>
      </c>
      <c r="E1512" s="352">
        <v>12</v>
      </c>
      <c r="F1512" s="126" t="str" cm="1">
        <f t="array" aca="1" ref="F1512" ca="1">IF(OR(INDIRECT($B$2&amp;"!AM14")=$B$1350,B1512=0),"",REPT(" ",E1512)&amp;"summaryType: "&amp;CHAR(34)&amp;B1512&amp;CHAR(34)&amp;",")</f>
        <v/>
      </c>
    </row>
    <row r="1513" spans="1:6" hidden="1">
      <c r="A1513" s="150"/>
      <c r="B1513" s="130">
        <f ca="1">IFERROR(INDIRECT($B$2&amp;"!"&amp;C1513&amp;D1513),"")</f>
        <v>0</v>
      </c>
      <c r="C1513" s="350" t="s">
        <v>131</v>
      </c>
      <c r="D1513" s="351">
        <f t="shared" ca="1" si="87"/>
        <v>48</v>
      </c>
      <c r="E1513" s="352">
        <v>12</v>
      </c>
      <c r="F1513" s="126" t="str" cm="1">
        <f t="array" aca="1" ref="F1513" ca="1">IF(OR(INDIRECT($B$2&amp;"!AM14")=$B$1350,B1513=0),"",REPT(" ",E1513)&amp;"displayFormat: "&amp;CHAR(34)&amp;"{0} Items"&amp;CHAR(34)&amp;",")</f>
        <v/>
      </c>
    </row>
    <row r="1514" spans="1:6" hidden="1">
      <c r="A1514" s="150" t="s">
        <v>1037</v>
      </c>
      <c r="B1514" s="130">
        <f ca="1">IFERROR(INDIRECT($B$2&amp;"!"&amp;C1514&amp;D1514),"")</f>
        <v>0</v>
      </c>
      <c r="C1514" s="350" t="s">
        <v>133</v>
      </c>
      <c r="D1514" s="351">
        <f t="shared" ca="1" si="87"/>
        <v>48</v>
      </c>
      <c r="E1514" s="352">
        <v>12</v>
      </c>
      <c r="F1514" s="126" t="str" cm="1">
        <f t="array" aca="1" ref="F1514" ca="1">IF(OR(INDIRECT($B$2&amp;"!AM14")=$B$1350,B1514=0),"",REPT(" ",E1514)&amp;A1514&amp;CHAR(34)&amp;B1514&amp;CHAR(34)&amp;",")</f>
        <v/>
      </c>
    </row>
    <row r="1515" spans="1:6" hidden="1">
      <c r="A1515" s="150" t="s">
        <v>65</v>
      </c>
      <c r="B1515" s="130">
        <f ca="1">IFERROR(INDIRECT($B$2&amp;"!"&amp;C1515&amp;D1515),"")</f>
        <v>0</v>
      </c>
      <c r="C1515" s="350" t="s">
        <v>131</v>
      </c>
      <c r="D1515" s="351">
        <f t="shared" ca="1" si="87"/>
        <v>48</v>
      </c>
      <c r="E1515" s="352">
        <v>9</v>
      </c>
      <c r="F1515" s="126" t="str" cm="1">
        <f t="array" aca="1" ref="F1515" ca="1">IF(OR(INDIRECT($B$2&amp;"!AM14")=$B$1350,B1515=0),"",REPT(" ",E1515)&amp;"},")</f>
        <v/>
      </c>
    </row>
    <row r="1516" spans="1:6" hidden="1">
      <c r="A1516" s="150">
        <f ca="1">IFERROR(INDIRECT($B$2&amp;"!"&amp;"C"&amp;D1516),"")</f>
        <v>0</v>
      </c>
      <c r="B1516" s="130">
        <f ca="1">IFERROR(INDIRECT($B$2&amp;"!"&amp;C1516&amp;D1516),"")</f>
        <v>0</v>
      </c>
      <c r="C1516" s="355" t="s">
        <v>131</v>
      </c>
      <c r="D1516" s="351">
        <f t="shared" ca="1" si="87"/>
        <v>49</v>
      </c>
      <c r="E1516" s="352">
        <v>9</v>
      </c>
      <c r="F1516" s="126" t="str">
        <f ca="1">IF(B1516=0,"",REPT(" ",E1516)&amp;"{ column: "&amp;CHAR(34)&amp;A1516&amp;CHAR(34)&amp;",")</f>
        <v/>
      </c>
    </row>
    <row r="1517" spans="1:6" hidden="1">
      <c r="A1517" s="150"/>
      <c r="B1517" s="130" cm="1">
        <f t="array" aca="1" ref="B1517" ca="1">INDIRECT($B$2&amp;"!"&amp;C1517&amp;D1517)</f>
        <v>0</v>
      </c>
      <c r="C1517" s="350" t="s">
        <v>131</v>
      </c>
      <c r="D1517" s="351">
        <f t="shared" ca="1" si="87"/>
        <v>49</v>
      </c>
      <c r="E1517" s="352">
        <v>12</v>
      </c>
      <c r="F1517" s="126" t="str" cm="1">
        <f t="array" aca="1" ref="F1517" ca="1">IF(OR(INDIRECT($B$2&amp;"!AM14")=$B$1350,B1517=0),"",REPT(" ",E1517)&amp;"summaryType: "&amp;CHAR(34)&amp;B1517&amp;CHAR(34)&amp;",")</f>
        <v/>
      </c>
    </row>
    <row r="1518" spans="1:6" hidden="1">
      <c r="A1518" s="150"/>
      <c r="B1518" s="130">
        <f ca="1">IFERROR(INDIRECT($B$2&amp;"!"&amp;C1518&amp;D1518),"")</f>
        <v>0</v>
      </c>
      <c r="C1518" s="350" t="s">
        <v>131</v>
      </c>
      <c r="D1518" s="351">
        <f t="shared" ca="1" si="87"/>
        <v>49</v>
      </c>
      <c r="E1518" s="352">
        <v>12</v>
      </c>
      <c r="F1518" s="126" t="str" cm="1">
        <f t="array" aca="1" ref="F1518" ca="1">IF(OR(INDIRECT($B$2&amp;"!AM14")=$B$1350,B1518=0),"",REPT(" ",E1518)&amp;"displayFormat: "&amp;CHAR(34)&amp;"{0} Items"&amp;CHAR(34)&amp;",")</f>
        <v/>
      </c>
    </row>
    <row r="1519" spans="1:6" hidden="1">
      <c r="A1519" s="150" t="s">
        <v>1037</v>
      </c>
      <c r="B1519" s="130">
        <f ca="1">IFERROR(INDIRECT($B$2&amp;"!"&amp;C1519&amp;D1519),"")</f>
        <v>0</v>
      </c>
      <c r="C1519" s="350" t="s">
        <v>133</v>
      </c>
      <c r="D1519" s="351">
        <f t="shared" ca="1" si="87"/>
        <v>49</v>
      </c>
      <c r="E1519" s="352">
        <v>12</v>
      </c>
      <c r="F1519" s="126" t="str" cm="1">
        <f t="array" aca="1" ref="F1519" ca="1">IF(OR(INDIRECT($B$2&amp;"!AM14")=$B$1350,B1519=0),"",REPT(" ",E1519)&amp;A1519&amp;CHAR(34)&amp;B1519&amp;CHAR(34)&amp;",")</f>
        <v/>
      </c>
    </row>
    <row r="1520" spans="1:6" hidden="1">
      <c r="A1520" s="150" t="s">
        <v>65</v>
      </c>
      <c r="B1520" s="130">
        <f ca="1">IFERROR(INDIRECT($B$2&amp;"!"&amp;C1520&amp;D1520),"")</f>
        <v>0</v>
      </c>
      <c r="C1520" s="350" t="s">
        <v>131</v>
      </c>
      <c r="D1520" s="351">
        <f t="shared" ca="1" si="87"/>
        <v>49</v>
      </c>
      <c r="E1520" s="352">
        <v>9</v>
      </c>
      <c r="F1520" s="126" t="str" cm="1">
        <f t="array" aca="1" ref="F1520" ca="1">IF(OR(INDIRECT($B$2&amp;"!AM14")=$B$1350,B1520=0),"",REPT(" ",E1520)&amp;"},")</f>
        <v/>
      </c>
    </row>
    <row r="1521" spans="1:6" hidden="1">
      <c r="A1521" s="150">
        <f ca="1">IFERROR(INDIRECT($B$2&amp;"!"&amp;"C"&amp;D1521),"")</f>
        <v>0</v>
      </c>
      <c r="B1521" s="130">
        <f ca="1">IFERROR(INDIRECT($B$2&amp;"!"&amp;C1521&amp;D1521),"")</f>
        <v>0</v>
      </c>
      <c r="C1521" s="355" t="s">
        <v>131</v>
      </c>
      <c r="D1521" s="351">
        <f t="shared" ca="1" si="87"/>
        <v>50</v>
      </c>
      <c r="E1521" s="352">
        <v>9</v>
      </c>
      <c r="F1521" s="126" t="str">
        <f ca="1">IF(B1521=0,"",REPT(" ",E1521)&amp;"{ column: "&amp;CHAR(34)&amp;A1521&amp;CHAR(34)&amp;",")</f>
        <v/>
      </c>
    </row>
    <row r="1522" spans="1:6" hidden="1">
      <c r="A1522" s="150"/>
      <c r="B1522" s="130" cm="1">
        <f t="array" aca="1" ref="B1522" ca="1">INDIRECT($B$2&amp;"!"&amp;C1522&amp;D1522)</f>
        <v>0</v>
      </c>
      <c r="C1522" s="350" t="s">
        <v>131</v>
      </c>
      <c r="D1522" s="351">
        <f t="shared" ca="1" si="87"/>
        <v>50</v>
      </c>
      <c r="E1522" s="352">
        <v>12</v>
      </c>
      <c r="F1522" s="126" t="str" cm="1">
        <f t="array" aca="1" ref="F1522" ca="1">IF(OR(INDIRECT($B$2&amp;"!AM14")=$B$1350,B1522=0),"",REPT(" ",E1522)&amp;"summaryType: "&amp;CHAR(34)&amp;B1522&amp;CHAR(34)&amp;",")</f>
        <v/>
      </c>
    </row>
    <row r="1523" spans="1:6" hidden="1">
      <c r="A1523" s="150"/>
      <c r="B1523" s="130">
        <f ca="1">IFERROR(INDIRECT($B$2&amp;"!"&amp;C1523&amp;D1523),"")</f>
        <v>0</v>
      </c>
      <c r="C1523" s="350" t="s">
        <v>131</v>
      </c>
      <c r="D1523" s="351">
        <f t="shared" ca="1" si="87"/>
        <v>50</v>
      </c>
      <c r="E1523" s="352">
        <v>12</v>
      </c>
      <c r="F1523" s="126" t="str" cm="1">
        <f t="array" aca="1" ref="F1523" ca="1">IF(OR(INDIRECT($B$2&amp;"!AM14")=$B$1350,B1523=0),"",REPT(" ",E1523)&amp;"displayFormat: "&amp;CHAR(34)&amp;"{0} Items"&amp;CHAR(34)&amp;",")</f>
        <v/>
      </c>
    </row>
    <row r="1524" spans="1:6" hidden="1">
      <c r="A1524" s="150" t="s">
        <v>1037</v>
      </c>
      <c r="B1524" s="130">
        <f ca="1">IFERROR(INDIRECT($B$2&amp;"!"&amp;C1524&amp;D1524),"")</f>
        <v>0</v>
      </c>
      <c r="C1524" s="350" t="s">
        <v>133</v>
      </c>
      <c r="D1524" s="351">
        <f t="shared" ca="1" si="87"/>
        <v>50</v>
      </c>
      <c r="E1524" s="352">
        <v>12</v>
      </c>
      <c r="F1524" s="126" t="str" cm="1">
        <f t="array" aca="1" ref="F1524" ca="1">IF(OR(INDIRECT($B$2&amp;"!AM14")=$B$1350,B1524=0),"",REPT(" ",E1524)&amp;A1524&amp;CHAR(34)&amp;B1524&amp;CHAR(34)&amp;",")</f>
        <v/>
      </c>
    </row>
    <row r="1525" spans="1:6" hidden="1">
      <c r="A1525" s="150" t="s">
        <v>65</v>
      </c>
      <c r="B1525" s="130">
        <f ca="1">IFERROR(INDIRECT($B$2&amp;"!"&amp;C1525&amp;D1525),"")</f>
        <v>0</v>
      </c>
      <c r="C1525" s="350" t="s">
        <v>131</v>
      </c>
      <c r="D1525" s="351">
        <f t="shared" ca="1" si="87"/>
        <v>50</v>
      </c>
      <c r="E1525" s="352">
        <v>9</v>
      </c>
      <c r="F1525" s="126" t="str" cm="1">
        <f t="array" aca="1" ref="F1525" ca="1">IF(OR(INDIRECT($B$2&amp;"!AM14")=$B$1350,B1525=0),"",REPT(" ",E1525)&amp;"},")</f>
        <v/>
      </c>
    </row>
    <row r="1526" spans="1:6" hidden="1">
      <c r="A1526" s="150">
        <f ca="1">IFERROR(INDIRECT($B$2&amp;"!"&amp;"C"&amp;D1526),"")</f>
        <v>0</v>
      </c>
      <c r="B1526" s="130">
        <f ca="1">IFERROR(INDIRECT($B$2&amp;"!"&amp;C1526&amp;D1526),"")</f>
        <v>0</v>
      </c>
      <c r="C1526" s="355" t="s">
        <v>131</v>
      </c>
      <c r="D1526" s="351">
        <f t="shared" ca="1" si="87"/>
        <v>51</v>
      </c>
      <c r="E1526" s="352">
        <v>9</v>
      </c>
      <c r="F1526" s="126" t="str">
        <f ca="1">IF(B1526=0,"",REPT(" ",E1526)&amp;"{ column: "&amp;CHAR(34)&amp;A1526&amp;CHAR(34)&amp;",")</f>
        <v/>
      </c>
    </row>
    <row r="1527" spans="1:6" hidden="1">
      <c r="A1527" s="150"/>
      <c r="B1527" s="130" cm="1">
        <f t="array" aca="1" ref="B1527" ca="1">INDIRECT($B$2&amp;"!"&amp;C1527&amp;D1527)</f>
        <v>0</v>
      </c>
      <c r="C1527" s="350" t="s">
        <v>131</v>
      </c>
      <c r="D1527" s="351">
        <f t="shared" ca="1" si="87"/>
        <v>51</v>
      </c>
      <c r="E1527" s="352">
        <v>12</v>
      </c>
      <c r="F1527" s="126" t="str" cm="1">
        <f t="array" aca="1" ref="F1527" ca="1">IF(OR(INDIRECT($B$2&amp;"!AM14")=$B$1350,B1527=0),"",REPT(" ",E1527)&amp;"summaryType: "&amp;CHAR(34)&amp;B1527&amp;CHAR(34)&amp;",")</f>
        <v/>
      </c>
    </row>
    <row r="1528" spans="1:6" hidden="1">
      <c r="A1528" s="150"/>
      <c r="B1528" s="130">
        <f ca="1">IFERROR(INDIRECT($B$2&amp;"!"&amp;C1528&amp;D1528),"")</f>
        <v>0</v>
      </c>
      <c r="C1528" s="350" t="s">
        <v>131</v>
      </c>
      <c r="D1528" s="351">
        <f t="shared" ca="1" si="87"/>
        <v>51</v>
      </c>
      <c r="E1528" s="352">
        <v>12</v>
      </c>
      <c r="F1528" s="126" t="str" cm="1">
        <f t="array" aca="1" ref="F1528" ca="1">IF(OR(INDIRECT($B$2&amp;"!AM14")=$B$1350,B1528=0),"",REPT(" ",E1528)&amp;"displayFormat: "&amp;CHAR(34)&amp;"{0} Items"&amp;CHAR(34)&amp;",")</f>
        <v/>
      </c>
    </row>
    <row r="1529" spans="1:6" hidden="1">
      <c r="A1529" s="150" t="s">
        <v>1037</v>
      </c>
      <c r="B1529" s="130">
        <f ca="1">IFERROR(INDIRECT($B$2&amp;"!"&amp;C1529&amp;D1529),"")</f>
        <v>0</v>
      </c>
      <c r="C1529" s="350" t="s">
        <v>133</v>
      </c>
      <c r="D1529" s="351">
        <f t="shared" ca="1" si="87"/>
        <v>51</v>
      </c>
      <c r="E1529" s="352">
        <v>12</v>
      </c>
      <c r="F1529" s="126" t="str" cm="1">
        <f t="array" aca="1" ref="F1529" ca="1">IF(OR(INDIRECT($B$2&amp;"!AM14")=$B$1350,B1529=0),"",REPT(" ",E1529)&amp;A1529&amp;CHAR(34)&amp;B1529&amp;CHAR(34)&amp;",")</f>
        <v/>
      </c>
    </row>
    <row r="1530" spans="1:6" hidden="1">
      <c r="A1530" s="150" t="s">
        <v>65</v>
      </c>
      <c r="B1530" s="130">
        <f ca="1">IFERROR(INDIRECT($B$2&amp;"!"&amp;C1530&amp;D1530),"")</f>
        <v>0</v>
      </c>
      <c r="C1530" s="350" t="s">
        <v>131</v>
      </c>
      <c r="D1530" s="351">
        <f t="shared" ca="1" si="87"/>
        <v>51</v>
      </c>
      <c r="E1530" s="352">
        <v>9</v>
      </c>
      <c r="F1530" s="126" t="str" cm="1">
        <f t="array" aca="1" ref="F1530" ca="1">IF(OR(INDIRECT($B$2&amp;"!AM14")=$B$1350,B1530=0),"",REPT(" ",E1530)&amp;"},")</f>
        <v/>
      </c>
    </row>
    <row r="1531" spans="1:6" hidden="1">
      <c r="A1531" s="150">
        <f ca="1">IFERROR(INDIRECT($B$2&amp;"!"&amp;"C"&amp;D1531),"")</f>
        <v>0</v>
      </c>
      <c r="B1531" s="130">
        <f ca="1">IFERROR(INDIRECT($B$2&amp;"!"&amp;C1531&amp;D1531),"")</f>
        <v>0</v>
      </c>
      <c r="C1531" s="355" t="s">
        <v>131</v>
      </c>
      <c r="D1531" s="351">
        <f t="shared" ca="1" si="87"/>
        <v>52</v>
      </c>
      <c r="E1531" s="352">
        <v>9</v>
      </c>
      <c r="F1531" s="126" t="str">
        <f ca="1">IF(B1531=0,"",REPT(" ",E1531)&amp;"{ column: "&amp;CHAR(34)&amp;A1531&amp;CHAR(34)&amp;",")</f>
        <v/>
      </c>
    </row>
    <row r="1532" spans="1:6" hidden="1">
      <c r="A1532" s="150"/>
      <c r="B1532" s="130" cm="1">
        <f t="array" aca="1" ref="B1532" ca="1">INDIRECT($B$2&amp;"!"&amp;C1532&amp;D1532)</f>
        <v>0</v>
      </c>
      <c r="C1532" s="350" t="s">
        <v>131</v>
      </c>
      <c r="D1532" s="351">
        <f t="shared" ca="1" si="87"/>
        <v>52</v>
      </c>
      <c r="E1532" s="352">
        <v>12</v>
      </c>
      <c r="F1532" s="126" t="str" cm="1">
        <f t="array" aca="1" ref="F1532" ca="1">IF(OR(INDIRECT($B$2&amp;"!AM14")=$B$1350,B1532=0),"",REPT(" ",E1532)&amp;"summaryType: "&amp;CHAR(34)&amp;B1532&amp;CHAR(34)&amp;",")</f>
        <v/>
      </c>
    </row>
    <row r="1533" spans="1:6" hidden="1">
      <c r="A1533" s="150"/>
      <c r="B1533" s="130">
        <f ca="1">IFERROR(INDIRECT($B$2&amp;"!"&amp;C1533&amp;D1533),"")</f>
        <v>0</v>
      </c>
      <c r="C1533" s="350" t="s">
        <v>131</v>
      </c>
      <c r="D1533" s="351">
        <f t="shared" ca="1" si="87"/>
        <v>52</v>
      </c>
      <c r="E1533" s="352">
        <v>12</v>
      </c>
      <c r="F1533" s="126" t="str" cm="1">
        <f t="array" aca="1" ref="F1533" ca="1">IF(OR(INDIRECT($B$2&amp;"!AM14")=$B$1350,B1533=0),"",REPT(" ",E1533)&amp;"displayFormat: "&amp;CHAR(34)&amp;"{0} Items"&amp;CHAR(34)&amp;",")</f>
        <v/>
      </c>
    </row>
    <row r="1534" spans="1:6" hidden="1">
      <c r="A1534" s="150" t="s">
        <v>1037</v>
      </c>
      <c r="B1534" s="130">
        <f ca="1">IFERROR(INDIRECT($B$2&amp;"!"&amp;C1534&amp;D1534),"")</f>
        <v>0</v>
      </c>
      <c r="C1534" s="350" t="s">
        <v>133</v>
      </c>
      <c r="D1534" s="351">
        <f t="shared" ca="1" si="87"/>
        <v>52</v>
      </c>
      <c r="E1534" s="352">
        <v>12</v>
      </c>
      <c r="F1534" s="126" t="str" cm="1">
        <f t="array" aca="1" ref="F1534" ca="1">IF(OR(INDIRECT($B$2&amp;"!AM14")=$B$1350,B1534=0),"",REPT(" ",E1534)&amp;A1534&amp;CHAR(34)&amp;B1534&amp;CHAR(34)&amp;",")</f>
        <v/>
      </c>
    </row>
    <row r="1535" spans="1:6" hidden="1">
      <c r="A1535" s="150" t="s">
        <v>65</v>
      </c>
      <c r="B1535" s="130">
        <f ca="1">IFERROR(INDIRECT($B$2&amp;"!"&amp;C1535&amp;D1535),"")</f>
        <v>0</v>
      </c>
      <c r="C1535" s="350" t="s">
        <v>131</v>
      </c>
      <c r="D1535" s="351">
        <f t="shared" ca="1" si="87"/>
        <v>52</v>
      </c>
      <c r="E1535" s="352">
        <v>9</v>
      </c>
      <c r="F1535" s="126" t="str" cm="1">
        <f t="array" aca="1" ref="F1535" ca="1">IF(OR(INDIRECT($B$2&amp;"!AM14")=$B$1350,B1535=0),"",REPT(" ",E1535)&amp;"},")</f>
        <v/>
      </c>
    </row>
    <row r="1536" spans="1:6" hidden="1">
      <c r="A1536" s="150">
        <f ca="1">IFERROR(INDIRECT($B$2&amp;"!"&amp;"C"&amp;D1536),"")</f>
        <v>0</v>
      </c>
      <c r="B1536" s="130">
        <f ca="1">IFERROR(INDIRECT($B$2&amp;"!"&amp;C1536&amp;D1536),"")</f>
        <v>0</v>
      </c>
      <c r="C1536" s="355" t="s">
        <v>131</v>
      </c>
      <c r="D1536" s="351">
        <f t="shared" ca="1" si="87"/>
        <v>53</v>
      </c>
      <c r="E1536" s="352">
        <v>9</v>
      </c>
      <c r="F1536" s="126" t="str">
        <f ca="1">IF(B1536=0,"",REPT(" ",E1536)&amp;"{ column: "&amp;CHAR(34)&amp;A1536&amp;CHAR(34)&amp;",")</f>
        <v/>
      </c>
    </row>
    <row r="1537" spans="1:6" hidden="1">
      <c r="A1537" s="150"/>
      <c r="B1537" s="130" cm="1">
        <f t="array" aca="1" ref="B1537" ca="1">INDIRECT($B$2&amp;"!"&amp;C1537&amp;D1537)</f>
        <v>0</v>
      </c>
      <c r="C1537" s="350" t="s">
        <v>131</v>
      </c>
      <c r="D1537" s="351">
        <f t="shared" ca="1" si="87"/>
        <v>53</v>
      </c>
      <c r="E1537" s="352">
        <v>12</v>
      </c>
      <c r="F1537" s="126" t="str" cm="1">
        <f t="array" aca="1" ref="F1537" ca="1">IF(OR(INDIRECT($B$2&amp;"!AM14")=$B$1350,B1537=0),"",REPT(" ",E1537)&amp;"summaryType: "&amp;CHAR(34)&amp;B1537&amp;CHAR(34)&amp;",")</f>
        <v/>
      </c>
    </row>
    <row r="1538" spans="1:6" hidden="1">
      <c r="A1538" s="150"/>
      <c r="B1538" s="130">
        <f ca="1">IFERROR(INDIRECT($B$2&amp;"!"&amp;C1538&amp;D1538),"")</f>
        <v>0</v>
      </c>
      <c r="C1538" s="350" t="s">
        <v>131</v>
      </c>
      <c r="D1538" s="351">
        <f t="shared" ca="1" si="87"/>
        <v>53</v>
      </c>
      <c r="E1538" s="352">
        <v>12</v>
      </c>
      <c r="F1538" s="126" t="str" cm="1">
        <f t="array" aca="1" ref="F1538" ca="1">IF(OR(INDIRECT($B$2&amp;"!AM14")=$B$1350,B1538=0),"",REPT(" ",E1538)&amp;"displayFormat: "&amp;CHAR(34)&amp;"{0} Items"&amp;CHAR(34)&amp;",")</f>
        <v/>
      </c>
    </row>
    <row r="1539" spans="1:6" hidden="1">
      <c r="A1539" s="150" t="s">
        <v>1037</v>
      </c>
      <c r="B1539" s="130">
        <f ca="1">IFERROR(INDIRECT($B$2&amp;"!"&amp;C1539&amp;D1539),"")</f>
        <v>0</v>
      </c>
      <c r="C1539" s="350" t="s">
        <v>133</v>
      </c>
      <c r="D1539" s="351">
        <f t="shared" ca="1" si="87"/>
        <v>53</v>
      </c>
      <c r="E1539" s="352">
        <v>12</v>
      </c>
      <c r="F1539" s="126" t="str" cm="1">
        <f t="array" aca="1" ref="F1539" ca="1">IF(OR(INDIRECT($B$2&amp;"!AM14")=$B$1350,B1539=0),"",REPT(" ",E1539)&amp;A1539&amp;CHAR(34)&amp;B1539&amp;CHAR(34)&amp;",")</f>
        <v/>
      </c>
    </row>
    <row r="1540" spans="1:6" hidden="1">
      <c r="A1540" s="150" t="s">
        <v>65</v>
      </c>
      <c r="B1540" s="130">
        <f ca="1">IFERROR(INDIRECT($B$2&amp;"!"&amp;C1540&amp;D1540),"")</f>
        <v>0</v>
      </c>
      <c r="C1540" s="350" t="s">
        <v>131</v>
      </c>
      <c r="D1540" s="351">
        <f t="shared" ca="1" si="87"/>
        <v>53</v>
      </c>
      <c r="E1540" s="352">
        <v>9</v>
      </c>
      <c r="F1540" s="126" t="str" cm="1">
        <f t="array" aca="1" ref="F1540" ca="1">IF(OR(INDIRECT($B$2&amp;"!AM14")=$B$1350,B1540=0),"",REPT(" ",E1540)&amp;"},")</f>
        <v/>
      </c>
    </row>
    <row r="1541" spans="1:6" hidden="1">
      <c r="A1541" s="150">
        <f ca="1">IFERROR(INDIRECT($B$2&amp;"!"&amp;"C"&amp;D1541),"")</f>
        <v>0</v>
      </c>
      <c r="B1541" s="130">
        <f ca="1">IFERROR(INDIRECT($B$2&amp;"!"&amp;C1541&amp;D1541),"")</f>
        <v>0</v>
      </c>
      <c r="C1541" s="355" t="s">
        <v>131</v>
      </c>
      <c r="D1541" s="351">
        <f t="shared" ca="1" si="87"/>
        <v>54</v>
      </c>
      <c r="E1541" s="352">
        <v>9</v>
      </c>
      <c r="F1541" s="126" t="str">
        <f ca="1">IF(B1541=0,"",REPT(" ",E1541)&amp;"{ column: "&amp;CHAR(34)&amp;A1541&amp;CHAR(34)&amp;",")</f>
        <v/>
      </c>
    </row>
    <row r="1542" spans="1:6" hidden="1">
      <c r="A1542" s="150"/>
      <c r="B1542" s="130" cm="1">
        <f t="array" aca="1" ref="B1542" ca="1">INDIRECT($B$2&amp;"!"&amp;C1542&amp;D1542)</f>
        <v>0</v>
      </c>
      <c r="C1542" s="350" t="s">
        <v>131</v>
      </c>
      <c r="D1542" s="351">
        <f t="shared" ca="1" si="87"/>
        <v>54</v>
      </c>
      <c r="E1542" s="352">
        <v>12</v>
      </c>
      <c r="F1542" s="126" t="str" cm="1">
        <f t="array" aca="1" ref="F1542" ca="1">IF(OR(INDIRECT($B$2&amp;"!AM14")=$B$1350,B1542=0),"",REPT(" ",E1542)&amp;"summaryType: "&amp;CHAR(34)&amp;B1542&amp;CHAR(34)&amp;",")</f>
        <v/>
      </c>
    </row>
    <row r="1543" spans="1:6" hidden="1">
      <c r="A1543" s="150"/>
      <c r="B1543" s="130">
        <f ca="1">IFERROR(INDIRECT($B$2&amp;"!"&amp;C1543&amp;D1543),"")</f>
        <v>0</v>
      </c>
      <c r="C1543" s="350" t="s">
        <v>131</v>
      </c>
      <c r="D1543" s="351">
        <f t="shared" ca="1" si="87"/>
        <v>54</v>
      </c>
      <c r="E1543" s="352">
        <v>12</v>
      </c>
      <c r="F1543" s="126" t="str" cm="1">
        <f t="array" aca="1" ref="F1543" ca="1">IF(OR(INDIRECT($B$2&amp;"!AM14")=$B$1350,B1543=0),"",REPT(" ",E1543)&amp;"displayFormat: "&amp;CHAR(34)&amp;"{0} Items"&amp;CHAR(34)&amp;",")</f>
        <v/>
      </c>
    </row>
    <row r="1544" spans="1:6" hidden="1">
      <c r="A1544" s="150" t="s">
        <v>1037</v>
      </c>
      <c r="B1544" s="130">
        <f ca="1">IFERROR(INDIRECT($B$2&amp;"!"&amp;C1544&amp;D1544),"")</f>
        <v>0</v>
      </c>
      <c r="C1544" s="350" t="s">
        <v>133</v>
      </c>
      <c r="D1544" s="351">
        <f t="shared" ca="1" si="87"/>
        <v>54</v>
      </c>
      <c r="E1544" s="352">
        <v>12</v>
      </c>
      <c r="F1544" s="126" t="str" cm="1">
        <f t="array" aca="1" ref="F1544" ca="1">IF(OR(INDIRECT($B$2&amp;"!AM14")=$B$1350,B1544=0),"",REPT(" ",E1544)&amp;A1544&amp;CHAR(34)&amp;B1544&amp;CHAR(34)&amp;",")</f>
        <v/>
      </c>
    </row>
    <row r="1545" spans="1:6" hidden="1">
      <c r="A1545" s="150" t="s">
        <v>65</v>
      </c>
      <c r="B1545" s="130">
        <f ca="1">IFERROR(INDIRECT($B$2&amp;"!"&amp;C1545&amp;D1545),"")</f>
        <v>0</v>
      </c>
      <c r="C1545" s="350" t="s">
        <v>131</v>
      </c>
      <c r="D1545" s="351">
        <f t="shared" ca="1" si="87"/>
        <v>54</v>
      </c>
      <c r="E1545" s="352">
        <v>9</v>
      </c>
      <c r="F1545" s="126" t="str" cm="1">
        <f t="array" aca="1" ref="F1545" ca="1">IF(OR(INDIRECT($B$2&amp;"!AM14")=$B$1350,B1545=0),"",REPT(" ",E1545)&amp;"},")</f>
        <v/>
      </c>
    </row>
    <row r="1546" spans="1:6" hidden="1">
      <c r="A1546" s="150">
        <f ca="1">IFERROR(INDIRECT($B$2&amp;"!"&amp;"C"&amp;D1546),"")</f>
        <v>0</v>
      </c>
      <c r="B1546" s="130">
        <f ca="1">IFERROR(INDIRECT($B$2&amp;"!"&amp;C1546&amp;D1546),"")</f>
        <v>0</v>
      </c>
      <c r="C1546" s="355" t="s">
        <v>131</v>
      </c>
      <c r="D1546" s="351">
        <f t="shared" ca="1" si="87"/>
        <v>55</v>
      </c>
      <c r="E1546" s="352">
        <v>9</v>
      </c>
      <c r="F1546" s="126" t="str">
        <f ca="1">IF(B1546=0,"",REPT(" ",E1546)&amp;"{ column: "&amp;CHAR(34)&amp;A1546&amp;CHAR(34)&amp;",")</f>
        <v/>
      </c>
    </row>
    <row r="1547" spans="1:6" hidden="1">
      <c r="A1547" s="150"/>
      <c r="B1547" s="130" cm="1">
        <f t="array" aca="1" ref="B1547" ca="1">INDIRECT($B$2&amp;"!"&amp;C1547&amp;D1547)</f>
        <v>0</v>
      </c>
      <c r="C1547" s="350" t="s">
        <v>131</v>
      </c>
      <c r="D1547" s="351">
        <f t="shared" ca="1" si="87"/>
        <v>55</v>
      </c>
      <c r="E1547" s="352">
        <v>12</v>
      </c>
      <c r="F1547" s="126" t="str" cm="1">
        <f t="array" aca="1" ref="F1547" ca="1">IF(OR(INDIRECT($B$2&amp;"!AM14")=$B$1350,B1547=0),"",REPT(" ",E1547)&amp;"summaryType: "&amp;CHAR(34)&amp;B1547&amp;CHAR(34)&amp;",")</f>
        <v/>
      </c>
    </row>
    <row r="1548" spans="1:6" hidden="1">
      <c r="A1548" s="150"/>
      <c r="B1548" s="130">
        <f ca="1">IFERROR(INDIRECT($B$2&amp;"!"&amp;C1548&amp;D1548),"")</f>
        <v>0</v>
      </c>
      <c r="C1548" s="350" t="s">
        <v>131</v>
      </c>
      <c r="D1548" s="351">
        <f t="shared" ca="1" si="87"/>
        <v>55</v>
      </c>
      <c r="E1548" s="352">
        <v>12</v>
      </c>
      <c r="F1548" s="126" t="str" cm="1">
        <f t="array" aca="1" ref="F1548" ca="1">IF(OR(INDIRECT($B$2&amp;"!AM14")=$B$1350,B1548=0),"",REPT(" ",E1548)&amp;"displayFormat: "&amp;CHAR(34)&amp;"{0} Items"&amp;CHAR(34)&amp;",")</f>
        <v/>
      </c>
    </row>
    <row r="1549" spans="1:6" hidden="1">
      <c r="A1549" s="150" t="s">
        <v>1037</v>
      </c>
      <c r="B1549" s="130">
        <f ca="1">IFERROR(INDIRECT($B$2&amp;"!"&amp;C1549&amp;D1549),"")</f>
        <v>0</v>
      </c>
      <c r="C1549" s="350" t="s">
        <v>133</v>
      </c>
      <c r="D1549" s="351">
        <f t="shared" ca="1" si="87"/>
        <v>55</v>
      </c>
      <c r="E1549" s="352">
        <v>12</v>
      </c>
      <c r="F1549" s="126" t="str" cm="1">
        <f t="array" aca="1" ref="F1549" ca="1">IF(OR(INDIRECT($B$2&amp;"!AM14")=$B$1350,B1549=0),"",REPT(" ",E1549)&amp;A1549&amp;CHAR(34)&amp;B1549&amp;CHAR(34)&amp;",")</f>
        <v/>
      </c>
    </row>
    <row r="1550" spans="1:6" hidden="1">
      <c r="A1550" s="150" t="s">
        <v>65</v>
      </c>
      <c r="B1550" s="130">
        <f ca="1">IFERROR(INDIRECT($B$2&amp;"!"&amp;C1550&amp;D1550),"")</f>
        <v>0</v>
      </c>
      <c r="C1550" s="350" t="s">
        <v>131</v>
      </c>
      <c r="D1550" s="351">
        <f t="shared" ca="1" si="87"/>
        <v>55</v>
      </c>
      <c r="E1550" s="352">
        <v>9</v>
      </c>
      <c r="F1550" s="126" t="str" cm="1">
        <f t="array" aca="1" ref="F1550" ca="1">IF(OR(INDIRECT($B$2&amp;"!AM14")=$B$1350,B1550=0),"",REPT(" ",E1550)&amp;"},")</f>
        <v/>
      </c>
    </row>
    <row r="1551" spans="1:6" hidden="1">
      <c r="A1551" s="150">
        <f ca="1">IFERROR(INDIRECT($B$2&amp;"!"&amp;"C"&amp;D1551),"")</f>
        <v>0</v>
      </c>
      <c r="B1551" s="130">
        <f ca="1">IFERROR(INDIRECT($B$2&amp;"!"&amp;C1551&amp;D1551),"")</f>
        <v>0</v>
      </c>
      <c r="C1551" s="355" t="s">
        <v>131</v>
      </c>
      <c r="D1551" s="351">
        <f t="shared" ca="1" si="87"/>
        <v>56</v>
      </c>
      <c r="E1551" s="352">
        <v>9</v>
      </c>
      <c r="F1551" s="126" t="str">
        <f ca="1">IF(B1551=0,"",REPT(" ",E1551)&amp;"{ column: "&amp;CHAR(34)&amp;A1551&amp;CHAR(34)&amp;",")</f>
        <v/>
      </c>
    </row>
    <row r="1552" spans="1:6" hidden="1">
      <c r="A1552" s="150"/>
      <c r="B1552" s="130" cm="1">
        <f t="array" aca="1" ref="B1552" ca="1">INDIRECT($B$2&amp;"!"&amp;C1552&amp;D1552)</f>
        <v>0</v>
      </c>
      <c r="C1552" s="350" t="s">
        <v>131</v>
      </c>
      <c r="D1552" s="351">
        <f t="shared" ca="1" si="87"/>
        <v>56</v>
      </c>
      <c r="E1552" s="352">
        <v>12</v>
      </c>
      <c r="F1552" s="126" t="str" cm="1">
        <f t="array" aca="1" ref="F1552" ca="1">IF(OR(INDIRECT($B$2&amp;"!AM14")=$B$1350,B1552=0),"",REPT(" ",E1552)&amp;"summaryType: "&amp;CHAR(34)&amp;B1552&amp;CHAR(34)&amp;",")</f>
        <v/>
      </c>
    </row>
    <row r="1553" spans="1:6" hidden="1">
      <c r="A1553" s="150"/>
      <c r="B1553" s="130">
        <f ca="1">IFERROR(INDIRECT($B$2&amp;"!"&amp;C1553&amp;D1553),"")</f>
        <v>0</v>
      </c>
      <c r="C1553" s="350" t="s">
        <v>131</v>
      </c>
      <c r="D1553" s="351">
        <f t="shared" ca="1" si="87"/>
        <v>56</v>
      </c>
      <c r="E1553" s="352">
        <v>12</v>
      </c>
      <c r="F1553" s="126" t="str" cm="1">
        <f t="array" aca="1" ref="F1553" ca="1">IF(OR(INDIRECT($B$2&amp;"!AM14")=$B$1350,B1553=0),"",REPT(" ",E1553)&amp;"displayFormat: "&amp;CHAR(34)&amp;"{0} Items"&amp;CHAR(34)&amp;",")</f>
        <v/>
      </c>
    </row>
    <row r="1554" spans="1:6" hidden="1">
      <c r="A1554" s="150" t="s">
        <v>1037</v>
      </c>
      <c r="B1554" s="130">
        <f ca="1">IFERROR(INDIRECT($B$2&amp;"!"&amp;C1554&amp;D1554),"")</f>
        <v>0</v>
      </c>
      <c r="C1554" s="350" t="s">
        <v>133</v>
      </c>
      <c r="D1554" s="351">
        <f t="shared" ca="1" si="87"/>
        <v>56</v>
      </c>
      <c r="E1554" s="352">
        <v>12</v>
      </c>
      <c r="F1554" s="126" t="str" cm="1">
        <f t="array" aca="1" ref="F1554" ca="1">IF(OR(INDIRECT($B$2&amp;"!AM14")=$B$1350,B1554=0),"",REPT(" ",E1554)&amp;A1554&amp;CHAR(34)&amp;B1554&amp;CHAR(34)&amp;",")</f>
        <v/>
      </c>
    </row>
    <row r="1555" spans="1:6" hidden="1">
      <c r="A1555" s="150" t="s">
        <v>65</v>
      </c>
      <c r="B1555" s="130">
        <f ca="1">IFERROR(INDIRECT($B$2&amp;"!"&amp;C1555&amp;D1555),"")</f>
        <v>0</v>
      </c>
      <c r="C1555" s="350" t="s">
        <v>131</v>
      </c>
      <c r="D1555" s="351">
        <f t="shared" ref="D1555:D1618" ca="1" si="88">IF(TRIM(A1554)="N",1,0)+D1554</f>
        <v>56</v>
      </c>
      <c r="E1555" s="352">
        <v>9</v>
      </c>
      <c r="F1555" s="126" t="str" cm="1">
        <f t="array" aca="1" ref="F1555" ca="1">IF(OR(INDIRECT($B$2&amp;"!AM14")=$B$1350,B1555=0),"",REPT(" ",E1555)&amp;"},")</f>
        <v/>
      </c>
    </row>
    <row r="1556" spans="1:6" hidden="1">
      <c r="A1556" s="150">
        <f ca="1">IFERROR(INDIRECT($B$2&amp;"!"&amp;"C"&amp;D1556),"")</f>
        <v>0</v>
      </c>
      <c r="B1556" s="130">
        <f ca="1">IFERROR(INDIRECT($B$2&amp;"!"&amp;C1556&amp;D1556),"")</f>
        <v>0</v>
      </c>
      <c r="C1556" s="355" t="s">
        <v>131</v>
      </c>
      <c r="D1556" s="351">
        <f t="shared" ca="1" si="88"/>
        <v>57</v>
      </c>
      <c r="E1556" s="352">
        <v>9</v>
      </c>
      <c r="F1556" s="126" t="str">
        <f ca="1">IF(B1556=0,"",REPT(" ",E1556)&amp;"{ column: "&amp;CHAR(34)&amp;A1556&amp;CHAR(34)&amp;",")</f>
        <v/>
      </c>
    </row>
    <row r="1557" spans="1:6" hidden="1">
      <c r="A1557" s="150"/>
      <c r="B1557" s="130" cm="1">
        <f t="array" aca="1" ref="B1557" ca="1">INDIRECT($B$2&amp;"!"&amp;C1557&amp;D1557)</f>
        <v>0</v>
      </c>
      <c r="C1557" s="350" t="s">
        <v>131</v>
      </c>
      <c r="D1557" s="351">
        <f t="shared" ca="1" si="88"/>
        <v>57</v>
      </c>
      <c r="E1557" s="352">
        <v>12</v>
      </c>
      <c r="F1557" s="126" t="str" cm="1">
        <f t="array" aca="1" ref="F1557" ca="1">IF(OR(INDIRECT($B$2&amp;"!AM14")=$B$1350,B1557=0),"",REPT(" ",E1557)&amp;"summaryType: "&amp;CHAR(34)&amp;B1557&amp;CHAR(34)&amp;",")</f>
        <v/>
      </c>
    </row>
    <row r="1558" spans="1:6" hidden="1">
      <c r="A1558" s="150"/>
      <c r="B1558" s="130">
        <f ca="1">IFERROR(INDIRECT($B$2&amp;"!"&amp;C1558&amp;D1558),"")</f>
        <v>0</v>
      </c>
      <c r="C1558" s="350" t="s">
        <v>131</v>
      </c>
      <c r="D1558" s="351">
        <f t="shared" ca="1" si="88"/>
        <v>57</v>
      </c>
      <c r="E1558" s="352">
        <v>12</v>
      </c>
      <c r="F1558" s="126" t="str" cm="1">
        <f t="array" aca="1" ref="F1558" ca="1">IF(OR(INDIRECT($B$2&amp;"!AM14")=$B$1350,B1558=0),"",REPT(" ",E1558)&amp;"displayFormat: "&amp;CHAR(34)&amp;"{0} Items"&amp;CHAR(34)&amp;",")</f>
        <v/>
      </c>
    </row>
    <row r="1559" spans="1:6" hidden="1">
      <c r="A1559" s="150" t="s">
        <v>1037</v>
      </c>
      <c r="B1559" s="130">
        <f ca="1">IFERROR(INDIRECT($B$2&amp;"!"&amp;C1559&amp;D1559),"")</f>
        <v>0</v>
      </c>
      <c r="C1559" s="350" t="s">
        <v>133</v>
      </c>
      <c r="D1559" s="351">
        <f t="shared" ca="1" si="88"/>
        <v>57</v>
      </c>
      <c r="E1559" s="352">
        <v>12</v>
      </c>
      <c r="F1559" s="126" t="str" cm="1">
        <f t="array" aca="1" ref="F1559" ca="1">IF(OR(INDIRECT($B$2&amp;"!AM14")=$B$1350,B1559=0),"",REPT(" ",E1559)&amp;A1559&amp;CHAR(34)&amp;B1559&amp;CHAR(34)&amp;",")</f>
        <v/>
      </c>
    </row>
    <row r="1560" spans="1:6" hidden="1">
      <c r="A1560" s="150" t="s">
        <v>65</v>
      </c>
      <c r="B1560" s="130">
        <f ca="1">IFERROR(INDIRECT($B$2&amp;"!"&amp;C1560&amp;D1560),"")</f>
        <v>0</v>
      </c>
      <c r="C1560" s="350" t="s">
        <v>131</v>
      </c>
      <c r="D1560" s="351">
        <f t="shared" ca="1" si="88"/>
        <v>57</v>
      </c>
      <c r="E1560" s="352">
        <v>9</v>
      </c>
      <c r="F1560" s="126" t="str" cm="1">
        <f t="array" aca="1" ref="F1560" ca="1">IF(OR(INDIRECT($B$2&amp;"!AM14")=$B$1350,B1560=0),"",REPT(" ",E1560)&amp;"},")</f>
        <v/>
      </c>
    </row>
    <row r="1561" spans="1:6" hidden="1">
      <c r="A1561" s="150">
        <f ca="1">IFERROR(INDIRECT($B$2&amp;"!"&amp;"C"&amp;D1561),"")</f>
        <v>0</v>
      </c>
      <c r="B1561" s="130">
        <f ca="1">IFERROR(INDIRECT($B$2&amp;"!"&amp;C1561&amp;D1561),"")</f>
        <v>0</v>
      </c>
      <c r="C1561" s="355" t="s">
        <v>131</v>
      </c>
      <c r="D1561" s="351">
        <f t="shared" ca="1" si="88"/>
        <v>58</v>
      </c>
      <c r="E1561" s="352">
        <v>9</v>
      </c>
      <c r="F1561" s="126" t="str">
        <f ca="1">IF(B1561=0,"",REPT(" ",E1561)&amp;"{ column: "&amp;CHAR(34)&amp;A1561&amp;CHAR(34)&amp;",")</f>
        <v/>
      </c>
    </row>
    <row r="1562" spans="1:6" hidden="1">
      <c r="A1562" s="150"/>
      <c r="B1562" s="130" cm="1">
        <f t="array" aca="1" ref="B1562" ca="1">INDIRECT($B$2&amp;"!"&amp;C1562&amp;D1562)</f>
        <v>0</v>
      </c>
      <c r="C1562" s="350" t="s">
        <v>131</v>
      </c>
      <c r="D1562" s="351">
        <f t="shared" ca="1" si="88"/>
        <v>58</v>
      </c>
      <c r="E1562" s="352">
        <v>12</v>
      </c>
      <c r="F1562" s="126" t="str" cm="1">
        <f t="array" aca="1" ref="F1562" ca="1">IF(OR(INDIRECT($B$2&amp;"!AM14")=$B$1350,B1562=0),"",REPT(" ",E1562)&amp;"summaryType: "&amp;CHAR(34)&amp;B1562&amp;CHAR(34)&amp;",")</f>
        <v/>
      </c>
    </row>
    <row r="1563" spans="1:6" hidden="1">
      <c r="A1563" s="150"/>
      <c r="B1563" s="130">
        <f ca="1">IFERROR(INDIRECT($B$2&amp;"!"&amp;C1563&amp;D1563),"")</f>
        <v>0</v>
      </c>
      <c r="C1563" s="350" t="s">
        <v>131</v>
      </c>
      <c r="D1563" s="351">
        <f t="shared" ca="1" si="88"/>
        <v>58</v>
      </c>
      <c r="E1563" s="352">
        <v>12</v>
      </c>
      <c r="F1563" s="126" t="str" cm="1">
        <f t="array" aca="1" ref="F1563" ca="1">IF(OR(INDIRECT($B$2&amp;"!AM14")=$B$1350,B1563=0),"",REPT(" ",E1563)&amp;"displayFormat: "&amp;CHAR(34)&amp;"{0} Items"&amp;CHAR(34)&amp;",")</f>
        <v/>
      </c>
    </row>
    <row r="1564" spans="1:6" hidden="1">
      <c r="A1564" s="150" t="s">
        <v>1037</v>
      </c>
      <c r="B1564" s="130">
        <f ca="1">IFERROR(INDIRECT($B$2&amp;"!"&amp;C1564&amp;D1564),"")</f>
        <v>0</v>
      </c>
      <c r="C1564" s="350" t="s">
        <v>133</v>
      </c>
      <c r="D1564" s="351">
        <f t="shared" ca="1" si="88"/>
        <v>58</v>
      </c>
      <c r="E1564" s="352">
        <v>12</v>
      </c>
      <c r="F1564" s="126" t="str" cm="1">
        <f t="array" aca="1" ref="F1564" ca="1">IF(OR(INDIRECT($B$2&amp;"!AM14")=$B$1350,B1564=0),"",REPT(" ",E1564)&amp;A1564&amp;CHAR(34)&amp;B1564&amp;CHAR(34)&amp;",")</f>
        <v/>
      </c>
    </row>
    <row r="1565" spans="1:6" hidden="1">
      <c r="A1565" s="150" t="s">
        <v>65</v>
      </c>
      <c r="B1565" s="130">
        <f ca="1">IFERROR(INDIRECT($B$2&amp;"!"&amp;C1565&amp;D1565),"")</f>
        <v>0</v>
      </c>
      <c r="C1565" s="350" t="s">
        <v>131</v>
      </c>
      <c r="D1565" s="351">
        <f t="shared" ca="1" si="88"/>
        <v>58</v>
      </c>
      <c r="E1565" s="352">
        <v>9</v>
      </c>
      <c r="F1565" s="126" t="str" cm="1">
        <f t="array" aca="1" ref="F1565" ca="1">IF(OR(INDIRECT($B$2&amp;"!AM14")=$B$1350,B1565=0),"",REPT(" ",E1565)&amp;"},")</f>
        <v/>
      </c>
    </row>
    <row r="1566" spans="1:6" hidden="1">
      <c r="A1566" s="150">
        <f ca="1">IFERROR(INDIRECT($B$2&amp;"!"&amp;"C"&amp;D1566),"")</f>
        <v>0</v>
      </c>
      <c r="B1566" s="130">
        <f ca="1">IFERROR(INDIRECT($B$2&amp;"!"&amp;C1566&amp;D1566),"")</f>
        <v>0</v>
      </c>
      <c r="C1566" s="355" t="s">
        <v>131</v>
      </c>
      <c r="D1566" s="351">
        <f t="shared" ca="1" si="88"/>
        <v>59</v>
      </c>
      <c r="E1566" s="352">
        <v>9</v>
      </c>
      <c r="F1566" s="126" t="str">
        <f ca="1">IF(B1566=0,"",REPT(" ",E1566)&amp;"{ column: "&amp;CHAR(34)&amp;A1566&amp;CHAR(34)&amp;",")</f>
        <v/>
      </c>
    </row>
    <row r="1567" spans="1:6" hidden="1">
      <c r="A1567" s="150"/>
      <c r="B1567" s="130" cm="1">
        <f t="array" aca="1" ref="B1567" ca="1">INDIRECT($B$2&amp;"!"&amp;C1567&amp;D1567)</f>
        <v>0</v>
      </c>
      <c r="C1567" s="350" t="s">
        <v>131</v>
      </c>
      <c r="D1567" s="351">
        <f t="shared" ca="1" si="88"/>
        <v>59</v>
      </c>
      <c r="E1567" s="352">
        <v>12</v>
      </c>
      <c r="F1567" s="126" t="str" cm="1">
        <f t="array" aca="1" ref="F1567" ca="1">IF(OR(INDIRECT($B$2&amp;"!AM14")=$B$1350,B1567=0),"",REPT(" ",E1567)&amp;"summaryType: "&amp;CHAR(34)&amp;B1567&amp;CHAR(34)&amp;",")</f>
        <v/>
      </c>
    </row>
    <row r="1568" spans="1:6" hidden="1">
      <c r="A1568" s="150"/>
      <c r="B1568" s="130">
        <f ca="1">IFERROR(INDIRECT($B$2&amp;"!"&amp;C1568&amp;D1568),"")</f>
        <v>0</v>
      </c>
      <c r="C1568" s="350" t="s">
        <v>131</v>
      </c>
      <c r="D1568" s="351">
        <f t="shared" ca="1" si="88"/>
        <v>59</v>
      </c>
      <c r="E1568" s="352">
        <v>12</v>
      </c>
      <c r="F1568" s="126" t="str" cm="1">
        <f t="array" aca="1" ref="F1568" ca="1">IF(OR(INDIRECT($B$2&amp;"!AM14")=$B$1350,B1568=0),"",REPT(" ",E1568)&amp;"displayFormat: "&amp;CHAR(34)&amp;"{0} Items"&amp;CHAR(34)&amp;",")</f>
        <v/>
      </c>
    </row>
    <row r="1569" spans="1:6" hidden="1">
      <c r="A1569" s="150" t="s">
        <v>1037</v>
      </c>
      <c r="B1569" s="130">
        <f ca="1">IFERROR(INDIRECT($B$2&amp;"!"&amp;C1569&amp;D1569),"")</f>
        <v>0</v>
      </c>
      <c r="C1569" s="350" t="s">
        <v>133</v>
      </c>
      <c r="D1569" s="351">
        <f t="shared" ca="1" si="88"/>
        <v>59</v>
      </c>
      <c r="E1569" s="352">
        <v>12</v>
      </c>
      <c r="F1569" s="126" t="str" cm="1">
        <f t="array" aca="1" ref="F1569" ca="1">IF(OR(INDIRECT($B$2&amp;"!AM14")=$B$1350,B1569=0),"",REPT(" ",E1569)&amp;A1569&amp;CHAR(34)&amp;B1569&amp;CHAR(34)&amp;",")</f>
        <v/>
      </c>
    </row>
    <row r="1570" spans="1:6" hidden="1">
      <c r="A1570" s="150" t="s">
        <v>65</v>
      </c>
      <c r="B1570" s="130">
        <f ca="1">IFERROR(INDIRECT($B$2&amp;"!"&amp;C1570&amp;D1570),"")</f>
        <v>0</v>
      </c>
      <c r="C1570" s="350" t="s">
        <v>131</v>
      </c>
      <c r="D1570" s="351">
        <f t="shared" ca="1" si="88"/>
        <v>59</v>
      </c>
      <c r="E1570" s="352">
        <v>9</v>
      </c>
      <c r="F1570" s="126" t="str" cm="1">
        <f t="array" aca="1" ref="F1570" ca="1">IF(OR(INDIRECT($B$2&amp;"!AM14")=$B$1350,B1570=0),"",REPT(" ",E1570)&amp;"},")</f>
        <v/>
      </c>
    </row>
    <row r="1571" spans="1:6" hidden="1">
      <c r="A1571" s="150">
        <f ca="1">IFERROR(INDIRECT($B$2&amp;"!"&amp;"C"&amp;D1571),"")</f>
        <v>0</v>
      </c>
      <c r="B1571" s="130">
        <f ca="1">IFERROR(INDIRECT($B$2&amp;"!"&amp;C1571&amp;D1571),"")</f>
        <v>0</v>
      </c>
      <c r="C1571" s="355" t="s">
        <v>131</v>
      </c>
      <c r="D1571" s="351">
        <f t="shared" ca="1" si="88"/>
        <v>60</v>
      </c>
      <c r="E1571" s="352">
        <v>9</v>
      </c>
      <c r="F1571" s="126" t="str">
        <f ca="1">IF(B1571=0,"",REPT(" ",E1571)&amp;"{ column: "&amp;CHAR(34)&amp;A1571&amp;CHAR(34)&amp;",")</f>
        <v/>
      </c>
    </row>
    <row r="1572" spans="1:6" hidden="1">
      <c r="A1572" s="150"/>
      <c r="B1572" s="130" cm="1">
        <f t="array" aca="1" ref="B1572" ca="1">INDIRECT($B$2&amp;"!"&amp;C1572&amp;D1572)</f>
        <v>0</v>
      </c>
      <c r="C1572" s="350" t="s">
        <v>131</v>
      </c>
      <c r="D1572" s="351">
        <f t="shared" ca="1" si="88"/>
        <v>60</v>
      </c>
      <c r="E1572" s="352">
        <v>12</v>
      </c>
      <c r="F1572" s="126" t="str" cm="1">
        <f t="array" aca="1" ref="F1572" ca="1">IF(OR(INDIRECT($B$2&amp;"!AM14")=$B$1350,B1572=0),"",REPT(" ",E1572)&amp;"summaryType: "&amp;CHAR(34)&amp;B1572&amp;CHAR(34)&amp;",")</f>
        <v/>
      </c>
    </row>
    <row r="1573" spans="1:6" hidden="1">
      <c r="A1573" s="150"/>
      <c r="B1573" s="130">
        <f ca="1">IFERROR(INDIRECT($B$2&amp;"!"&amp;C1573&amp;D1573),"")</f>
        <v>0</v>
      </c>
      <c r="C1573" s="350" t="s">
        <v>131</v>
      </c>
      <c r="D1573" s="351">
        <f t="shared" ca="1" si="88"/>
        <v>60</v>
      </c>
      <c r="E1573" s="352">
        <v>12</v>
      </c>
      <c r="F1573" s="126" t="str" cm="1">
        <f t="array" aca="1" ref="F1573" ca="1">IF(OR(INDIRECT($B$2&amp;"!AM14")=$B$1350,B1573=0),"",REPT(" ",E1573)&amp;"displayFormat: "&amp;CHAR(34)&amp;"{0} Items"&amp;CHAR(34)&amp;",")</f>
        <v/>
      </c>
    </row>
    <row r="1574" spans="1:6" hidden="1">
      <c r="A1574" s="150" t="s">
        <v>1037</v>
      </c>
      <c r="B1574" s="130">
        <f ca="1">IFERROR(INDIRECT($B$2&amp;"!"&amp;C1574&amp;D1574),"")</f>
        <v>0</v>
      </c>
      <c r="C1574" s="350" t="s">
        <v>133</v>
      </c>
      <c r="D1574" s="351">
        <f t="shared" ca="1" si="88"/>
        <v>60</v>
      </c>
      <c r="E1574" s="352">
        <v>12</v>
      </c>
      <c r="F1574" s="126" t="str" cm="1">
        <f t="array" aca="1" ref="F1574" ca="1">IF(OR(INDIRECT($B$2&amp;"!AM14")=$B$1350,B1574=0),"",REPT(" ",E1574)&amp;A1574&amp;CHAR(34)&amp;B1574&amp;CHAR(34)&amp;",")</f>
        <v/>
      </c>
    </row>
    <row r="1575" spans="1:6" hidden="1">
      <c r="A1575" s="150" t="s">
        <v>65</v>
      </c>
      <c r="B1575" s="130">
        <f ca="1">IFERROR(INDIRECT($B$2&amp;"!"&amp;C1575&amp;D1575),"")</f>
        <v>0</v>
      </c>
      <c r="C1575" s="350" t="s">
        <v>131</v>
      </c>
      <c r="D1575" s="351">
        <f t="shared" ca="1" si="88"/>
        <v>60</v>
      </c>
      <c r="E1575" s="352">
        <v>9</v>
      </c>
      <c r="F1575" s="126" t="str" cm="1">
        <f t="array" aca="1" ref="F1575" ca="1">IF(OR(INDIRECT($B$2&amp;"!AM14")=$B$1350,B1575=0),"",REPT(" ",E1575)&amp;"},")</f>
        <v/>
      </c>
    </row>
    <row r="1576" spans="1:6" hidden="1">
      <c r="A1576" s="150">
        <f ca="1">IFERROR(INDIRECT($B$2&amp;"!"&amp;"C"&amp;D1576),"")</f>
        <v>0</v>
      </c>
      <c r="B1576" s="130">
        <f ca="1">IFERROR(INDIRECT($B$2&amp;"!"&amp;C1576&amp;D1576),"")</f>
        <v>0</v>
      </c>
      <c r="C1576" s="355" t="s">
        <v>131</v>
      </c>
      <c r="D1576" s="351">
        <f t="shared" ca="1" si="88"/>
        <v>61</v>
      </c>
      <c r="E1576" s="352">
        <v>9</v>
      </c>
      <c r="F1576" s="126" t="str">
        <f ca="1">IF(B1576=0,"",REPT(" ",E1576)&amp;"{ column: "&amp;CHAR(34)&amp;A1576&amp;CHAR(34)&amp;",")</f>
        <v/>
      </c>
    </row>
    <row r="1577" spans="1:6" hidden="1">
      <c r="A1577" s="150"/>
      <c r="B1577" s="130" cm="1">
        <f t="array" aca="1" ref="B1577" ca="1">INDIRECT($B$2&amp;"!"&amp;C1577&amp;D1577)</f>
        <v>0</v>
      </c>
      <c r="C1577" s="350" t="s">
        <v>131</v>
      </c>
      <c r="D1577" s="351">
        <f t="shared" ca="1" si="88"/>
        <v>61</v>
      </c>
      <c r="E1577" s="352">
        <v>12</v>
      </c>
      <c r="F1577" s="126" t="str" cm="1">
        <f t="array" aca="1" ref="F1577" ca="1">IF(OR(INDIRECT($B$2&amp;"!AM14")=$B$1350,B1577=0),"",REPT(" ",E1577)&amp;"summaryType: "&amp;CHAR(34)&amp;B1577&amp;CHAR(34)&amp;",")</f>
        <v/>
      </c>
    </row>
    <row r="1578" spans="1:6" hidden="1">
      <c r="A1578" s="150"/>
      <c r="B1578" s="130">
        <f ca="1">IFERROR(INDIRECT($B$2&amp;"!"&amp;C1578&amp;D1578),"")</f>
        <v>0</v>
      </c>
      <c r="C1578" s="350" t="s">
        <v>131</v>
      </c>
      <c r="D1578" s="351">
        <f t="shared" ca="1" si="88"/>
        <v>61</v>
      </c>
      <c r="E1578" s="352">
        <v>12</v>
      </c>
      <c r="F1578" s="126" t="str" cm="1">
        <f t="array" aca="1" ref="F1578" ca="1">IF(OR(INDIRECT($B$2&amp;"!AM14")=$B$1350,B1578=0),"",REPT(" ",E1578)&amp;"displayFormat: "&amp;CHAR(34)&amp;"{0} Items"&amp;CHAR(34)&amp;",")</f>
        <v/>
      </c>
    </row>
    <row r="1579" spans="1:6" hidden="1">
      <c r="A1579" s="150" t="s">
        <v>1037</v>
      </c>
      <c r="B1579" s="130">
        <f ca="1">IFERROR(INDIRECT($B$2&amp;"!"&amp;C1579&amp;D1579),"")</f>
        <v>0</v>
      </c>
      <c r="C1579" s="350" t="s">
        <v>133</v>
      </c>
      <c r="D1579" s="351">
        <f t="shared" ca="1" si="88"/>
        <v>61</v>
      </c>
      <c r="E1579" s="352">
        <v>12</v>
      </c>
      <c r="F1579" s="126" t="str" cm="1">
        <f t="array" aca="1" ref="F1579" ca="1">IF(OR(INDIRECT($B$2&amp;"!AM14")=$B$1350,B1579=0),"",REPT(" ",E1579)&amp;A1579&amp;CHAR(34)&amp;B1579&amp;CHAR(34)&amp;",")</f>
        <v/>
      </c>
    </row>
    <row r="1580" spans="1:6" hidden="1">
      <c r="A1580" s="150" t="s">
        <v>65</v>
      </c>
      <c r="B1580" s="130">
        <f ca="1">IFERROR(INDIRECT($B$2&amp;"!"&amp;C1580&amp;D1580),"")</f>
        <v>0</v>
      </c>
      <c r="C1580" s="350" t="s">
        <v>131</v>
      </c>
      <c r="D1580" s="351">
        <f t="shared" ca="1" si="88"/>
        <v>61</v>
      </c>
      <c r="E1580" s="352">
        <v>9</v>
      </c>
      <c r="F1580" s="126" t="str" cm="1">
        <f t="array" aca="1" ref="F1580" ca="1">IF(OR(INDIRECT($B$2&amp;"!AM14")=$B$1350,B1580=0),"",REPT(" ",E1580)&amp;"},")</f>
        <v/>
      </c>
    </row>
    <row r="1581" spans="1:6" hidden="1">
      <c r="A1581" s="150">
        <f ca="1">IFERROR(INDIRECT($B$2&amp;"!"&amp;"C"&amp;D1581),"")</f>
        <v>0</v>
      </c>
      <c r="B1581" s="130">
        <f ca="1">IFERROR(INDIRECT($B$2&amp;"!"&amp;C1581&amp;D1581),"")</f>
        <v>0</v>
      </c>
      <c r="C1581" s="355" t="s">
        <v>131</v>
      </c>
      <c r="D1581" s="351">
        <f t="shared" ca="1" si="88"/>
        <v>62</v>
      </c>
      <c r="E1581" s="352">
        <v>9</v>
      </c>
      <c r="F1581" s="126" t="str">
        <f ca="1">IF(B1581=0,"",REPT(" ",E1581)&amp;"{ column: "&amp;CHAR(34)&amp;A1581&amp;CHAR(34)&amp;",")</f>
        <v/>
      </c>
    </row>
    <row r="1582" spans="1:6" hidden="1">
      <c r="A1582" s="150"/>
      <c r="B1582" s="130" cm="1">
        <f t="array" aca="1" ref="B1582" ca="1">INDIRECT($B$2&amp;"!"&amp;C1582&amp;D1582)</f>
        <v>0</v>
      </c>
      <c r="C1582" s="350" t="s">
        <v>131</v>
      </c>
      <c r="D1582" s="351">
        <f t="shared" ca="1" si="88"/>
        <v>62</v>
      </c>
      <c r="E1582" s="352">
        <v>12</v>
      </c>
      <c r="F1582" s="126" t="str" cm="1">
        <f t="array" aca="1" ref="F1582" ca="1">IF(OR(INDIRECT($B$2&amp;"!AM14")=$B$1350,B1582=0),"",REPT(" ",E1582)&amp;"summaryType: "&amp;CHAR(34)&amp;B1582&amp;CHAR(34)&amp;",")</f>
        <v/>
      </c>
    </row>
    <row r="1583" spans="1:6" hidden="1">
      <c r="A1583" s="150"/>
      <c r="B1583" s="130">
        <f ca="1">IFERROR(INDIRECT($B$2&amp;"!"&amp;C1583&amp;D1583),"")</f>
        <v>0</v>
      </c>
      <c r="C1583" s="350" t="s">
        <v>131</v>
      </c>
      <c r="D1583" s="351">
        <f t="shared" ca="1" si="88"/>
        <v>62</v>
      </c>
      <c r="E1583" s="352">
        <v>12</v>
      </c>
      <c r="F1583" s="126" t="str" cm="1">
        <f t="array" aca="1" ref="F1583" ca="1">IF(OR(INDIRECT($B$2&amp;"!AM14")=$B$1350,B1583=0),"",REPT(" ",E1583)&amp;"displayFormat: "&amp;CHAR(34)&amp;"{0} Items"&amp;CHAR(34)&amp;",")</f>
        <v/>
      </c>
    </row>
    <row r="1584" spans="1:6" hidden="1">
      <c r="A1584" s="150" t="s">
        <v>1037</v>
      </c>
      <c r="B1584" s="130">
        <f ca="1">IFERROR(INDIRECT($B$2&amp;"!"&amp;C1584&amp;D1584),"")</f>
        <v>0</v>
      </c>
      <c r="C1584" s="350" t="s">
        <v>133</v>
      </c>
      <c r="D1584" s="351">
        <f t="shared" ca="1" si="88"/>
        <v>62</v>
      </c>
      <c r="E1584" s="352">
        <v>12</v>
      </c>
      <c r="F1584" s="126" t="str" cm="1">
        <f t="array" aca="1" ref="F1584" ca="1">IF(OR(INDIRECT($B$2&amp;"!AM14")=$B$1350,B1584=0),"",REPT(" ",E1584)&amp;A1584&amp;CHAR(34)&amp;B1584&amp;CHAR(34)&amp;",")</f>
        <v/>
      </c>
    </row>
    <row r="1585" spans="1:6" hidden="1">
      <c r="A1585" s="150" t="s">
        <v>65</v>
      </c>
      <c r="B1585" s="130">
        <f ca="1">IFERROR(INDIRECT($B$2&amp;"!"&amp;C1585&amp;D1585),"")</f>
        <v>0</v>
      </c>
      <c r="C1585" s="350" t="s">
        <v>131</v>
      </c>
      <c r="D1585" s="351">
        <f t="shared" ca="1" si="88"/>
        <v>62</v>
      </c>
      <c r="E1585" s="352">
        <v>9</v>
      </c>
      <c r="F1585" s="126" t="str" cm="1">
        <f t="array" aca="1" ref="F1585" ca="1">IF(OR(INDIRECT($B$2&amp;"!AM14")=$B$1350,B1585=0),"",REPT(" ",E1585)&amp;"},")</f>
        <v/>
      </c>
    </row>
    <row r="1586" spans="1:6" hidden="1">
      <c r="A1586" s="150">
        <f ca="1">IFERROR(INDIRECT($B$2&amp;"!"&amp;"C"&amp;D1586),"")</f>
        <v>0</v>
      </c>
      <c r="B1586" s="130">
        <f ca="1">IFERROR(INDIRECT($B$2&amp;"!"&amp;C1586&amp;D1586),"")</f>
        <v>0</v>
      </c>
      <c r="C1586" s="355" t="s">
        <v>131</v>
      </c>
      <c r="D1586" s="351">
        <f t="shared" ca="1" si="88"/>
        <v>63</v>
      </c>
      <c r="E1586" s="352">
        <v>9</v>
      </c>
      <c r="F1586" s="126" t="str">
        <f ca="1">IF(B1586=0,"",REPT(" ",E1586)&amp;"{ column: "&amp;CHAR(34)&amp;A1586&amp;CHAR(34)&amp;",")</f>
        <v/>
      </c>
    </row>
    <row r="1587" spans="1:6" hidden="1">
      <c r="A1587" s="150"/>
      <c r="B1587" s="130" cm="1">
        <f t="array" aca="1" ref="B1587" ca="1">INDIRECT($B$2&amp;"!"&amp;C1587&amp;D1587)</f>
        <v>0</v>
      </c>
      <c r="C1587" s="350" t="s">
        <v>131</v>
      </c>
      <c r="D1587" s="351">
        <f t="shared" ca="1" si="88"/>
        <v>63</v>
      </c>
      <c r="E1587" s="352">
        <v>12</v>
      </c>
      <c r="F1587" s="126" t="str" cm="1">
        <f t="array" aca="1" ref="F1587" ca="1">IF(OR(INDIRECT($B$2&amp;"!AM14")=$B$1350,B1587=0),"",REPT(" ",E1587)&amp;"summaryType: "&amp;CHAR(34)&amp;B1587&amp;CHAR(34)&amp;",")</f>
        <v/>
      </c>
    </row>
    <row r="1588" spans="1:6" hidden="1">
      <c r="A1588" s="150"/>
      <c r="B1588" s="130">
        <f ca="1">IFERROR(INDIRECT($B$2&amp;"!"&amp;C1588&amp;D1588),"")</f>
        <v>0</v>
      </c>
      <c r="C1588" s="350" t="s">
        <v>131</v>
      </c>
      <c r="D1588" s="351">
        <f t="shared" ca="1" si="88"/>
        <v>63</v>
      </c>
      <c r="E1588" s="352">
        <v>12</v>
      </c>
      <c r="F1588" s="126" t="str" cm="1">
        <f t="array" aca="1" ref="F1588" ca="1">IF(OR(INDIRECT($B$2&amp;"!AM14")=$B$1350,B1588=0),"",REPT(" ",E1588)&amp;"displayFormat: "&amp;CHAR(34)&amp;"{0} Items"&amp;CHAR(34)&amp;",")</f>
        <v/>
      </c>
    </row>
    <row r="1589" spans="1:6" hidden="1">
      <c r="A1589" s="150" t="s">
        <v>1037</v>
      </c>
      <c r="B1589" s="130">
        <f ca="1">IFERROR(INDIRECT($B$2&amp;"!"&amp;C1589&amp;D1589),"")</f>
        <v>0</v>
      </c>
      <c r="C1589" s="350" t="s">
        <v>133</v>
      </c>
      <c r="D1589" s="351">
        <f t="shared" ca="1" si="88"/>
        <v>63</v>
      </c>
      <c r="E1589" s="352">
        <v>12</v>
      </c>
      <c r="F1589" s="126" t="str" cm="1">
        <f t="array" aca="1" ref="F1589" ca="1">IF(OR(INDIRECT($B$2&amp;"!AM14")=$B$1350,B1589=0),"",REPT(" ",E1589)&amp;A1589&amp;CHAR(34)&amp;B1589&amp;CHAR(34)&amp;",")</f>
        <v/>
      </c>
    </row>
    <row r="1590" spans="1:6" hidden="1">
      <c r="A1590" s="150" t="s">
        <v>65</v>
      </c>
      <c r="B1590" s="130">
        <f ca="1">IFERROR(INDIRECT($B$2&amp;"!"&amp;C1590&amp;D1590),"")</f>
        <v>0</v>
      </c>
      <c r="C1590" s="350" t="s">
        <v>131</v>
      </c>
      <c r="D1590" s="351">
        <f t="shared" ca="1" si="88"/>
        <v>63</v>
      </c>
      <c r="E1590" s="352">
        <v>9</v>
      </c>
      <c r="F1590" s="126" t="str" cm="1">
        <f t="array" aca="1" ref="F1590" ca="1">IF(OR(INDIRECT($B$2&amp;"!AM14")=$B$1350,B1590=0),"",REPT(" ",E1590)&amp;"},")</f>
        <v/>
      </c>
    </row>
    <row r="1591" spans="1:6" hidden="1">
      <c r="A1591" s="150">
        <f ca="1">IFERROR(INDIRECT($B$2&amp;"!"&amp;"C"&amp;D1591),"")</f>
        <v>0</v>
      </c>
      <c r="B1591" s="130">
        <f ca="1">IFERROR(INDIRECT($B$2&amp;"!"&amp;C1591&amp;D1591),"")</f>
        <v>0</v>
      </c>
      <c r="C1591" s="355" t="s">
        <v>131</v>
      </c>
      <c r="D1591" s="351">
        <f t="shared" ca="1" si="88"/>
        <v>64</v>
      </c>
      <c r="E1591" s="352">
        <v>9</v>
      </c>
      <c r="F1591" s="126" t="str">
        <f ca="1">IF(B1591=0,"",REPT(" ",E1591)&amp;"{ column: "&amp;CHAR(34)&amp;A1591&amp;CHAR(34)&amp;",")</f>
        <v/>
      </c>
    </row>
    <row r="1592" spans="1:6" hidden="1">
      <c r="A1592" s="150"/>
      <c r="B1592" s="130" cm="1">
        <f t="array" aca="1" ref="B1592" ca="1">INDIRECT($B$2&amp;"!"&amp;C1592&amp;D1592)</f>
        <v>0</v>
      </c>
      <c r="C1592" s="350" t="s">
        <v>131</v>
      </c>
      <c r="D1592" s="351">
        <f t="shared" ca="1" si="88"/>
        <v>64</v>
      </c>
      <c r="E1592" s="352">
        <v>12</v>
      </c>
      <c r="F1592" s="126" t="str" cm="1">
        <f t="array" aca="1" ref="F1592" ca="1">IF(OR(INDIRECT($B$2&amp;"!AM14")=$B$1350,B1592=0),"",REPT(" ",E1592)&amp;"summaryType: "&amp;CHAR(34)&amp;B1592&amp;CHAR(34)&amp;",")</f>
        <v/>
      </c>
    </row>
    <row r="1593" spans="1:6" hidden="1">
      <c r="A1593" s="150"/>
      <c r="B1593" s="130">
        <f ca="1">IFERROR(INDIRECT($B$2&amp;"!"&amp;C1593&amp;D1593),"")</f>
        <v>0</v>
      </c>
      <c r="C1593" s="350" t="s">
        <v>131</v>
      </c>
      <c r="D1593" s="351">
        <f t="shared" ca="1" si="88"/>
        <v>64</v>
      </c>
      <c r="E1593" s="352">
        <v>12</v>
      </c>
      <c r="F1593" s="126" t="str" cm="1">
        <f t="array" aca="1" ref="F1593" ca="1">IF(OR(INDIRECT($B$2&amp;"!AM14")=$B$1350,B1593=0),"",REPT(" ",E1593)&amp;"displayFormat: "&amp;CHAR(34)&amp;"{0} Items"&amp;CHAR(34)&amp;",")</f>
        <v/>
      </c>
    </row>
    <row r="1594" spans="1:6" hidden="1">
      <c r="A1594" s="150" t="s">
        <v>1037</v>
      </c>
      <c r="B1594" s="130">
        <f ca="1">IFERROR(INDIRECT($B$2&amp;"!"&amp;C1594&amp;D1594),"")</f>
        <v>0</v>
      </c>
      <c r="C1594" s="350" t="s">
        <v>133</v>
      </c>
      <c r="D1594" s="351">
        <f t="shared" ca="1" si="88"/>
        <v>64</v>
      </c>
      <c r="E1594" s="352">
        <v>12</v>
      </c>
      <c r="F1594" s="126" t="str" cm="1">
        <f t="array" aca="1" ref="F1594" ca="1">IF(OR(INDIRECT($B$2&amp;"!AM14")=$B$1350,B1594=0),"",REPT(" ",E1594)&amp;A1594&amp;CHAR(34)&amp;B1594&amp;CHAR(34)&amp;",")</f>
        <v/>
      </c>
    </row>
    <row r="1595" spans="1:6" hidden="1">
      <c r="A1595" s="150" t="s">
        <v>65</v>
      </c>
      <c r="B1595" s="130">
        <f ca="1">IFERROR(INDIRECT($B$2&amp;"!"&amp;C1595&amp;D1595),"")</f>
        <v>0</v>
      </c>
      <c r="C1595" s="350" t="s">
        <v>131</v>
      </c>
      <c r="D1595" s="351">
        <f t="shared" ca="1" si="88"/>
        <v>64</v>
      </c>
      <c r="E1595" s="352">
        <v>9</v>
      </c>
      <c r="F1595" s="126" t="str" cm="1">
        <f t="array" aca="1" ref="F1595" ca="1">IF(OR(INDIRECT($B$2&amp;"!AM14")=$B$1350,B1595=0),"",REPT(" ",E1595)&amp;"},")</f>
        <v/>
      </c>
    </row>
    <row r="1596" spans="1:6" hidden="1">
      <c r="A1596" s="150">
        <f ca="1">IFERROR(INDIRECT($B$2&amp;"!"&amp;"C"&amp;D1596),"")</f>
        <v>0</v>
      </c>
      <c r="B1596" s="130">
        <f ca="1">IFERROR(INDIRECT($B$2&amp;"!"&amp;C1596&amp;D1596),"")</f>
        <v>0</v>
      </c>
      <c r="C1596" s="355" t="s">
        <v>131</v>
      </c>
      <c r="D1596" s="351">
        <f t="shared" ca="1" si="88"/>
        <v>65</v>
      </c>
      <c r="E1596" s="352">
        <v>9</v>
      </c>
      <c r="F1596" s="126" t="str">
        <f ca="1">IF(B1596=0,"",REPT(" ",E1596)&amp;"{ column: "&amp;CHAR(34)&amp;A1596&amp;CHAR(34)&amp;",")</f>
        <v/>
      </c>
    </row>
    <row r="1597" spans="1:6" hidden="1">
      <c r="A1597" s="150"/>
      <c r="B1597" s="130" cm="1">
        <f t="array" aca="1" ref="B1597" ca="1">INDIRECT($B$2&amp;"!"&amp;C1597&amp;D1597)</f>
        <v>0</v>
      </c>
      <c r="C1597" s="350" t="s">
        <v>131</v>
      </c>
      <c r="D1597" s="351">
        <f t="shared" ca="1" si="88"/>
        <v>65</v>
      </c>
      <c r="E1597" s="352">
        <v>12</v>
      </c>
      <c r="F1597" s="126" t="str" cm="1">
        <f t="array" aca="1" ref="F1597" ca="1">IF(OR(INDIRECT($B$2&amp;"!AM14")=$B$1350,B1597=0),"",REPT(" ",E1597)&amp;"summaryType: "&amp;CHAR(34)&amp;B1597&amp;CHAR(34)&amp;",")</f>
        <v/>
      </c>
    </row>
    <row r="1598" spans="1:6" hidden="1">
      <c r="A1598" s="150"/>
      <c r="B1598" s="130">
        <f ca="1">IFERROR(INDIRECT($B$2&amp;"!"&amp;C1598&amp;D1598),"")</f>
        <v>0</v>
      </c>
      <c r="C1598" s="350" t="s">
        <v>131</v>
      </c>
      <c r="D1598" s="351">
        <f t="shared" ca="1" si="88"/>
        <v>65</v>
      </c>
      <c r="E1598" s="352">
        <v>12</v>
      </c>
      <c r="F1598" s="126" t="str" cm="1">
        <f t="array" aca="1" ref="F1598" ca="1">IF(OR(INDIRECT($B$2&amp;"!AM14")=$B$1350,B1598=0),"",REPT(" ",E1598)&amp;"displayFormat: "&amp;CHAR(34)&amp;"{0} Items"&amp;CHAR(34)&amp;",")</f>
        <v/>
      </c>
    </row>
    <row r="1599" spans="1:6" hidden="1">
      <c r="A1599" s="150" t="s">
        <v>1037</v>
      </c>
      <c r="B1599" s="130">
        <f ca="1">IFERROR(INDIRECT($B$2&amp;"!"&amp;C1599&amp;D1599),"")</f>
        <v>0</v>
      </c>
      <c r="C1599" s="350" t="s">
        <v>133</v>
      </c>
      <c r="D1599" s="351">
        <f t="shared" ca="1" si="88"/>
        <v>65</v>
      </c>
      <c r="E1599" s="352">
        <v>12</v>
      </c>
      <c r="F1599" s="126" t="str" cm="1">
        <f t="array" aca="1" ref="F1599" ca="1">IF(OR(INDIRECT($B$2&amp;"!AM14")=$B$1350,B1599=0),"",REPT(" ",E1599)&amp;A1599&amp;CHAR(34)&amp;B1599&amp;CHAR(34)&amp;",")</f>
        <v/>
      </c>
    </row>
    <row r="1600" spans="1:6" hidden="1">
      <c r="A1600" s="150" t="s">
        <v>65</v>
      </c>
      <c r="B1600" s="130">
        <f ca="1">IFERROR(INDIRECT($B$2&amp;"!"&amp;C1600&amp;D1600),"")</f>
        <v>0</v>
      </c>
      <c r="C1600" s="350" t="s">
        <v>131</v>
      </c>
      <c r="D1600" s="351">
        <f t="shared" ca="1" si="88"/>
        <v>65</v>
      </c>
      <c r="E1600" s="352">
        <v>9</v>
      </c>
      <c r="F1600" s="126" t="str" cm="1">
        <f t="array" aca="1" ref="F1600" ca="1">IF(OR(INDIRECT($B$2&amp;"!AM14")=$B$1350,B1600=0),"",REPT(" ",E1600)&amp;"},")</f>
        <v/>
      </c>
    </row>
    <row r="1601" spans="1:6" hidden="1">
      <c r="A1601" s="150">
        <f ca="1">IFERROR(INDIRECT($B$2&amp;"!"&amp;"C"&amp;D1601),"")</f>
        <v>0</v>
      </c>
      <c r="B1601" s="130">
        <f ca="1">IFERROR(INDIRECT($B$2&amp;"!"&amp;C1601&amp;D1601),"")</f>
        <v>0</v>
      </c>
      <c r="C1601" s="355" t="s">
        <v>131</v>
      </c>
      <c r="D1601" s="351">
        <f t="shared" ca="1" si="88"/>
        <v>66</v>
      </c>
      <c r="E1601" s="352">
        <v>9</v>
      </c>
      <c r="F1601" s="126" t="str">
        <f ca="1">IF(B1601=0,"",REPT(" ",E1601)&amp;"{ column: "&amp;CHAR(34)&amp;A1601&amp;CHAR(34)&amp;",")</f>
        <v/>
      </c>
    </row>
    <row r="1602" spans="1:6" hidden="1">
      <c r="A1602" s="150"/>
      <c r="B1602" s="130" cm="1">
        <f t="array" aca="1" ref="B1602" ca="1">INDIRECT($B$2&amp;"!"&amp;C1602&amp;D1602)</f>
        <v>0</v>
      </c>
      <c r="C1602" s="350" t="s">
        <v>131</v>
      </c>
      <c r="D1602" s="351">
        <f t="shared" ca="1" si="88"/>
        <v>66</v>
      </c>
      <c r="E1602" s="352">
        <v>12</v>
      </c>
      <c r="F1602" s="126" t="str" cm="1">
        <f t="array" aca="1" ref="F1602" ca="1">IF(OR(INDIRECT($B$2&amp;"!AM14")=$B$1350,B1602=0),"",REPT(" ",E1602)&amp;"summaryType: "&amp;CHAR(34)&amp;B1602&amp;CHAR(34)&amp;",")</f>
        <v/>
      </c>
    </row>
    <row r="1603" spans="1:6" hidden="1">
      <c r="A1603" s="150"/>
      <c r="B1603" s="130">
        <f ca="1">IFERROR(INDIRECT($B$2&amp;"!"&amp;C1603&amp;D1603),"")</f>
        <v>0</v>
      </c>
      <c r="C1603" s="350" t="s">
        <v>131</v>
      </c>
      <c r="D1603" s="351">
        <f t="shared" ca="1" si="88"/>
        <v>66</v>
      </c>
      <c r="E1603" s="352">
        <v>12</v>
      </c>
      <c r="F1603" s="126" t="str" cm="1">
        <f t="array" aca="1" ref="F1603" ca="1">IF(OR(INDIRECT($B$2&amp;"!AM14")=$B$1350,B1603=0),"",REPT(" ",E1603)&amp;"displayFormat: "&amp;CHAR(34)&amp;"{0} Items"&amp;CHAR(34)&amp;",")</f>
        <v/>
      </c>
    </row>
    <row r="1604" spans="1:6" hidden="1">
      <c r="A1604" s="150" t="s">
        <v>1037</v>
      </c>
      <c r="B1604" s="130">
        <f ca="1">IFERROR(INDIRECT($B$2&amp;"!"&amp;C1604&amp;D1604),"")</f>
        <v>0</v>
      </c>
      <c r="C1604" s="350" t="s">
        <v>133</v>
      </c>
      <c r="D1604" s="351">
        <f t="shared" ca="1" si="88"/>
        <v>66</v>
      </c>
      <c r="E1604" s="352">
        <v>12</v>
      </c>
      <c r="F1604" s="126" t="str" cm="1">
        <f t="array" aca="1" ref="F1604" ca="1">IF(OR(INDIRECT($B$2&amp;"!AM14")=$B$1350,B1604=0),"",REPT(" ",E1604)&amp;A1604&amp;CHAR(34)&amp;B1604&amp;CHAR(34)&amp;",")</f>
        <v/>
      </c>
    </row>
    <row r="1605" spans="1:6" hidden="1">
      <c r="A1605" s="150" t="s">
        <v>65</v>
      </c>
      <c r="B1605" s="130">
        <f ca="1">IFERROR(INDIRECT($B$2&amp;"!"&amp;C1605&amp;D1605),"")</f>
        <v>0</v>
      </c>
      <c r="C1605" s="350" t="s">
        <v>131</v>
      </c>
      <c r="D1605" s="351">
        <f t="shared" ca="1" si="88"/>
        <v>66</v>
      </c>
      <c r="E1605" s="352">
        <v>9</v>
      </c>
      <c r="F1605" s="126" t="str" cm="1">
        <f t="array" aca="1" ref="F1605" ca="1">IF(OR(INDIRECT($B$2&amp;"!AM14")=$B$1350,B1605=0),"",REPT(" ",E1605)&amp;"},")</f>
        <v/>
      </c>
    </row>
    <row r="1606" spans="1:6" hidden="1">
      <c r="A1606" s="150">
        <f ca="1">IFERROR(INDIRECT($B$2&amp;"!"&amp;"C"&amp;D1606),"")</f>
        <v>0</v>
      </c>
      <c r="B1606" s="130">
        <f ca="1">IFERROR(INDIRECT($B$2&amp;"!"&amp;C1606&amp;D1606),"")</f>
        <v>0</v>
      </c>
      <c r="C1606" s="355" t="s">
        <v>131</v>
      </c>
      <c r="D1606" s="351">
        <f t="shared" ca="1" si="88"/>
        <v>67</v>
      </c>
      <c r="E1606" s="352">
        <v>9</v>
      </c>
      <c r="F1606" s="126" t="str">
        <f ca="1">IF(B1606=0,"",REPT(" ",E1606)&amp;"{ column: "&amp;CHAR(34)&amp;A1606&amp;CHAR(34)&amp;",")</f>
        <v/>
      </c>
    </row>
    <row r="1607" spans="1:6" hidden="1">
      <c r="A1607" s="150"/>
      <c r="B1607" s="130" cm="1">
        <f t="array" aca="1" ref="B1607" ca="1">INDIRECT($B$2&amp;"!"&amp;C1607&amp;D1607)</f>
        <v>0</v>
      </c>
      <c r="C1607" s="350" t="s">
        <v>131</v>
      </c>
      <c r="D1607" s="351">
        <f t="shared" ca="1" si="88"/>
        <v>67</v>
      </c>
      <c r="E1607" s="352">
        <v>12</v>
      </c>
      <c r="F1607" s="126" t="str" cm="1">
        <f t="array" aca="1" ref="F1607" ca="1">IF(OR(INDIRECT($B$2&amp;"!AM14")=$B$1350,B1607=0),"",REPT(" ",E1607)&amp;"summaryType: "&amp;CHAR(34)&amp;B1607&amp;CHAR(34)&amp;",")</f>
        <v/>
      </c>
    </row>
    <row r="1608" spans="1:6" hidden="1">
      <c r="A1608" s="150"/>
      <c r="B1608" s="130">
        <f ca="1">IFERROR(INDIRECT($B$2&amp;"!"&amp;C1608&amp;D1608),"")</f>
        <v>0</v>
      </c>
      <c r="C1608" s="350" t="s">
        <v>131</v>
      </c>
      <c r="D1608" s="351">
        <f t="shared" ca="1" si="88"/>
        <v>67</v>
      </c>
      <c r="E1608" s="352">
        <v>12</v>
      </c>
      <c r="F1608" s="126" t="str" cm="1">
        <f t="array" aca="1" ref="F1608" ca="1">IF(OR(INDIRECT($B$2&amp;"!AM14")=$B$1350,B1608=0),"",REPT(" ",E1608)&amp;"displayFormat: "&amp;CHAR(34)&amp;"{0} Items"&amp;CHAR(34)&amp;",")</f>
        <v/>
      </c>
    </row>
    <row r="1609" spans="1:6" hidden="1">
      <c r="A1609" s="150" t="s">
        <v>1037</v>
      </c>
      <c r="B1609" s="130">
        <f ca="1">IFERROR(INDIRECT($B$2&amp;"!"&amp;C1609&amp;D1609),"")</f>
        <v>0</v>
      </c>
      <c r="C1609" s="350" t="s">
        <v>133</v>
      </c>
      <c r="D1609" s="351">
        <f t="shared" ca="1" si="88"/>
        <v>67</v>
      </c>
      <c r="E1609" s="352">
        <v>12</v>
      </c>
      <c r="F1609" s="126" t="str" cm="1">
        <f t="array" aca="1" ref="F1609" ca="1">IF(OR(INDIRECT($B$2&amp;"!AM14")=$B$1350,B1609=0),"",REPT(" ",E1609)&amp;A1609&amp;CHAR(34)&amp;B1609&amp;CHAR(34)&amp;",")</f>
        <v/>
      </c>
    </row>
    <row r="1610" spans="1:6" hidden="1">
      <c r="A1610" s="150" t="s">
        <v>65</v>
      </c>
      <c r="B1610" s="130">
        <f ca="1">IFERROR(INDIRECT($B$2&amp;"!"&amp;C1610&amp;D1610),"")</f>
        <v>0</v>
      </c>
      <c r="C1610" s="350" t="s">
        <v>131</v>
      </c>
      <c r="D1610" s="351">
        <f t="shared" ca="1" si="88"/>
        <v>67</v>
      </c>
      <c r="E1610" s="352">
        <v>9</v>
      </c>
      <c r="F1610" s="126" t="str" cm="1">
        <f t="array" aca="1" ref="F1610" ca="1">IF(OR(INDIRECT($B$2&amp;"!AM14")=$B$1350,B1610=0),"",REPT(" ",E1610)&amp;"},")</f>
        <v/>
      </c>
    </row>
    <row r="1611" spans="1:6" hidden="1">
      <c r="A1611" s="150">
        <f ca="1">IFERROR(INDIRECT($B$2&amp;"!"&amp;"C"&amp;D1611),"")</f>
        <v>0</v>
      </c>
      <c r="B1611" s="130">
        <f ca="1">IFERROR(INDIRECT($B$2&amp;"!"&amp;C1611&amp;D1611),"")</f>
        <v>0</v>
      </c>
      <c r="C1611" s="355" t="s">
        <v>131</v>
      </c>
      <c r="D1611" s="351">
        <f t="shared" ca="1" si="88"/>
        <v>68</v>
      </c>
      <c r="E1611" s="352">
        <v>9</v>
      </c>
      <c r="F1611" s="126" t="str">
        <f ca="1">IF(B1611=0,"",REPT(" ",E1611)&amp;"{ column: "&amp;CHAR(34)&amp;A1611&amp;CHAR(34)&amp;",")</f>
        <v/>
      </c>
    </row>
    <row r="1612" spans="1:6" hidden="1">
      <c r="A1612" s="150"/>
      <c r="B1612" s="130" cm="1">
        <f t="array" aca="1" ref="B1612" ca="1">INDIRECT($B$2&amp;"!"&amp;C1612&amp;D1612)</f>
        <v>0</v>
      </c>
      <c r="C1612" s="350" t="s">
        <v>131</v>
      </c>
      <c r="D1612" s="351">
        <f t="shared" ca="1" si="88"/>
        <v>68</v>
      </c>
      <c r="E1612" s="352">
        <v>12</v>
      </c>
      <c r="F1612" s="126" t="str" cm="1">
        <f t="array" aca="1" ref="F1612" ca="1">IF(OR(INDIRECT($B$2&amp;"!AM14")=$B$1350,B1612=0),"",REPT(" ",E1612)&amp;"summaryType: "&amp;CHAR(34)&amp;B1612&amp;CHAR(34)&amp;",")</f>
        <v/>
      </c>
    </row>
    <row r="1613" spans="1:6" hidden="1">
      <c r="A1613" s="150"/>
      <c r="B1613" s="130">
        <f ca="1">IFERROR(INDIRECT($B$2&amp;"!"&amp;C1613&amp;D1613),"")</f>
        <v>0</v>
      </c>
      <c r="C1613" s="350" t="s">
        <v>131</v>
      </c>
      <c r="D1613" s="351">
        <f t="shared" ca="1" si="88"/>
        <v>68</v>
      </c>
      <c r="E1613" s="352">
        <v>12</v>
      </c>
      <c r="F1613" s="126" t="str" cm="1">
        <f t="array" aca="1" ref="F1613" ca="1">IF(OR(INDIRECT($B$2&amp;"!AM14")=$B$1350,B1613=0),"",REPT(" ",E1613)&amp;"displayFormat: "&amp;CHAR(34)&amp;"{0} Items"&amp;CHAR(34)&amp;",")</f>
        <v/>
      </c>
    </row>
    <row r="1614" spans="1:6" hidden="1">
      <c r="A1614" s="150" t="s">
        <v>1037</v>
      </c>
      <c r="B1614" s="130">
        <f ca="1">IFERROR(INDIRECT($B$2&amp;"!"&amp;C1614&amp;D1614),"")</f>
        <v>0</v>
      </c>
      <c r="C1614" s="350" t="s">
        <v>133</v>
      </c>
      <c r="D1614" s="351">
        <f t="shared" ca="1" si="88"/>
        <v>68</v>
      </c>
      <c r="E1614" s="352">
        <v>12</v>
      </c>
      <c r="F1614" s="126" t="str" cm="1">
        <f t="array" aca="1" ref="F1614" ca="1">IF(OR(INDIRECT($B$2&amp;"!AM14")=$B$1350,B1614=0),"",REPT(" ",E1614)&amp;A1614&amp;CHAR(34)&amp;B1614&amp;CHAR(34)&amp;",")</f>
        <v/>
      </c>
    </row>
    <row r="1615" spans="1:6" hidden="1">
      <c r="A1615" s="150" t="s">
        <v>65</v>
      </c>
      <c r="B1615" s="130">
        <f ca="1">IFERROR(INDIRECT($B$2&amp;"!"&amp;C1615&amp;D1615),"")</f>
        <v>0</v>
      </c>
      <c r="C1615" s="350" t="s">
        <v>131</v>
      </c>
      <c r="D1615" s="351">
        <f t="shared" ca="1" si="88"/>
        <v>68</v>
      </c>
      <c r="E1615" s="352">
        <v>9</v>
      </c>
      <c r="F1615" s="126" t="str" cm="1">
        <f t="array" aca="1" ref="F1615" ca="1">IF(OR(INDIRECT($B$2&amp;"!AM14")=$B$1350,B1615=0),"",REPT(" ",E1615)&amp;"},")</f>
        <v/>
      </c>
    </row>
    <row r="1616" spans="1:6" hidden="1">
      <c r="A1616" s="150">
        <f ca="1">IFERROR(INDIRECT($B$2&amp;"!"&amp;"C"&amp;D1616),"")</f>
        <v>0</v>
      </c>
      <c r="B1616" s="130">
        <f ca="1">IFERROR(INDIRECT($B$2&amp;"!"&amp;C1616&amp;D1616),"")</f>
        <v>0</v>
      </c>
      <c r="C1616" s="355" t="s">
        <v>131</v>
      </c>
      <c r="D1616" s="351">
        <f t="shared" ca="1" si="88"/>
        <v>69</v>
      </c>
      <c r="E1616" s="352">
        <v>9</v>
      </c>
      <c r="F1616" s="126" t="str">
        <f ca="1">IF(B1616=0,"",REPT(" ",E1616)&amp;"{ column: "&amp;CHAR(34)&amp;A1616&amp;CHAR(34)&amp;",")</f>
        <v/>
      </c>
    </row>
    <row r="1617" spans="1:6" hidden="1">
      <c r="A1617" s="150"/>
      <c r="B1617" s="130" cm="1">
        <f t="array" aca="1" ref="B1617" ca="1">INDIRECT($B$2&amp;"!"&amp;C1617&amp;D1617)</f>
        <v>0</v>
      </c>
      <c r="C1617" s="350" t="s">
        <v>131</v>
      </c>
      <c r="D1617" s="351">
        <f t="shared" ca="1" si="88"/>
        <v>69</v>
      </c>
      <c r="E1617" s="352">
        <v>12</v>
      </c>
      <c r="F1617" s="126" t="str" cm="1">
        <f t="array" aca="1" ref="F1617" ca="1">IF(OR(INDIRECT($B$2&amp;"!AM14")=$B$1350,B1617=0),"",REPT(" ",E1617)&amp;"summaryType: "&amp;CHAR(34)&amp;B1617&amp;CHAR(34)&amp;",")</f>
        <v/>
      </c>
    </row>
    <row r="1618" spans="1:6" hidden="1">
      <c r="A1618" s="150"/>
      <c r="B1618" s="130">
        <f ca="1">IFERROR(INDIRECT($B$2&amp;"!"&amp;C1618&amp;D1618),"")</f>
        <v>0</v>
      </c>
      <c r="C1618" s="350" t="s">
        <v>131</v>
      </c>
      <c r="D1618" s="351">
        <f t="shared" ca="1" si="88"/>
        <v>69</v>
      </c>
      <c r="E1618" s="352">
        <v>12</v>
      </c>
      <c r="F1618" s="126" t="str" cm="1">
        <f t="array" aca="1" ref="F1618" ca="1">IF(OR(INDIRECT($B$2&amp;"!AM14")=$B$1350,B1618=0),"",REPT(" ",E1618)&amp;"displayFormat: "&amp;CHAR(34)&amp;"{0} Items"&amp;CHAR(34)&amp;",")</f>
        <v/>
      </c>
    </row>
    <row r="1619" spans="1:6" hidden="1">
      <c r="A1619" s="150" t="s">
        <v>1037</v>
      </c>
      <c r="B1619" s="130">
        <f ca="1">IFERROR(INDIRECT($B$2&amp;"!"&amp;C1619&amp;D1619),"")</f>
        <v>0</v>
      </c>
      <c r="C1619" s="350" t="s">
        <v>133</v>
      </c>
      <c r="D1619" s="351">
        <f t="shared" ref="D1619:D1682" ca="1" si="89">IF(TRIM(A1618)="N",1,0)+D1618</f>
        <v>69</v>
      </c>
      <c r="E1619" s="352">
        <v>12</v>
      </c>
      <c r="F1619" s="126" t="str" cm="1">
        <f t="array" aca="1" ref="F1619" ca="1">IF(OR(INDIRECT($B$2&amp;"!AM14")=$B$1350,B1619=0),"",REPT(" ",E1619)&amp;A1619&amp;CHAR(34)&amp;B1619&amp;CHAR(34)&amp;",")</f>
        <v/>
      </c>
    </row>
    <row r="1620" spans="1:6" hidden="1">
      <c r="A1620" s="150" t="s">
        <v>65</v>
      </c>
      <c r="B1620" s="130">
        <f ca="1">IFERROR(INDIRECT($B$2&amp;"!"&amp;C1620&amp;D1620),"")</f>
        <v>0</v>
      </c>
      <c r="C1620" s="350" t="s">
        <v>131</v>
      </c>
      <c r="D1620" s="351">
        <f t="shared" ca="1" si="89"/>
        <v>69</v>
      </c>
      <c r="E1620" s="352">
        <v>9</v>
      </c>
      <c r="F1620" s="126" t="str" cm="1">
        <f t="array" aca="1" ref="F1620" ca="1">IF(OR(INDIRECT($B$2&amp;"!AM14")=$B$1350,B1620=0),"",REPT(" ",E1620)&amp;"},")</f>
        <v/>
      </c>
    </row>
    <row r="1621" spans="1:6" hidden="1">
      <c r="A1621" s="150">
        <f ca="1">IFERROR(INDIRECT($B$2&amp;"!"&amp;"C"&amp;D1621),"")</f>
        <v>0</v>
      </c>
      <c r="B1621" s="130">
        <f ca="1">IFERROR(INDIRECT($B$2&amp;"!"&amp;C1621&amp;D1621),"")</f>
        <v>0</v>
      </c>
      <c r="C1621" s="355" t="s">
        <v>131</v>
      </c>
      <c r="D1621" s="351">
        <f t="shared" ca="1" si="89"/>
        <v>70</v>
      </c>
      <c r="E1621" s="352">
        <v>9</v>
      </c>
      <c r="F1621" s="126" t="str">
        <f ca="1">IF(B1621=0,"",REPT(" ",E1621)&amp;"{ column: "&amp;CHAR(34)&amp;A1621&amp;CHAR(34)&amp;",")</f>
        <v/>
      </c>
    </row>
    <row r="1622" spans="1:6" hidden="1">
      <c r="A1622" s="150"/>
      <c r="B1622" s="130" cm="1">
        <f t="array" aca="1" ref="B1622" ca="1">INDIRECT($B$2&amp;"!"&amp;C1622&amp;D1622)</f>
        <v>0</v>
      </c>
      <c r="C1622" s="350" t="s">
        <v>131</v>
      </c>
      <c r="D1622" s="351">
        <f t="shared" ca="1" si="89"/>
        <v>70</v>
      </c>
      <c r="E1622" s="352">
        <v>12</v>
      </c>
      <c r="F1622" s="126" t="str" cm="1">
        <f t="array" aca="1" ref="F1622" ca="1">IF(OR(INDIRECT($B$2&amp;"!AM14")=$B$1350,B1622=0),"",REPT(" ",E1622)&amp;"summaryType: "&amp;CHAR(34)&amp;B1622&amp;CHAR(34)&amp;",")</f>
        <v/>
      </c>
    </row>
    <row r="1623" spans="1:6" hidden="1">
      <c r="A1623" s="150"/>
      <c r="B1623" s="130">
        <f ca="1">IFERROR(INDIRECT($B$2&amp;"!"&amp;C1623&amp;D1623),"")</f>
        <v>0</v>
      </c>
      <c r="C1623" s="350" t="s">
        <v>131</v>
      </c>
      <c r="D1623" s="351">
        <f t="shared" ca="1" si="89"/>
        <v>70</v>
      </c>
      <c r="E1623" s="352">
        <v>12</v>
      </c>
      <c r="F1623" s="126" t="str" cm="1">
        <f t="array" aca="1" ref="F1623" ca="1">IF(OR(INDIRECT($B$2&amp;"!AM14")=$B$1350,B1623=0),"",REPT(" ",E1623)&amp;"displayFormat: "&amp;CHAR(34)&amp;"{0} Items"&amp;CHAR(34)&amp;",")</f>
        <v/>
      </c>
    </row>
    <row r="1624" spans="1:6" hidden="1">
      <c r="A1624" s="150" t="s">
        <v>1037</v>
      </c>
      <c r="B1624" s="130">
        <f ca="1">IFERROR(INDIRECT($B$2&amp;"!"&amp;C1624&amp;D1624),"")</f>
        <v>0</v>
      </c>
      <c r="C1624" s="350" t="s">
        <v>133</v>
      </c>
      <c r="D1624" s="351">
        <f t="shared" ca="1" si="89"/>
        <v>70</v>
      </c>
      <c r="E1624" s="352">
        <v>12</v>
      </c>
      <c r="F1624" s="126" t="str" cm="1">
        <f t="array" aca="1" ref="F1624" ca="1">IF(OR(INDIRECT($B$2&amp;"!AM14")=$B$1350,B1624=0),"",REPT(" ",E1624)&amp;A1624&amp;CHAR(34)&amp;B1624&amp;CHAR(34)&amp;",")</f>
        <v/>
      </c>
    </row>
    <row r="1625" spans="1:6" hidden="1">
      <c r="A1625" s="150" t="s">
        <v>65</v>
      </c>
      <c r="B1625" s="130">
        <f ca="1">IFERROR(INDIRECT($B$2&amp;"!"&amp;C1625&amp;D1625),"")</f>
        <v>0</v>
      </c>
      <c r="C1625" s="350" t="s">
        <v>131</v>
      </c>
      <c r="D1625" s="351">
        <f t="shared" ca="1" si="89"/>
        <v>70</v>
      </c>
      <c r="E1625" s="352">
        <v>9</v>
      </c>
      <c r="F1625" s="126" t="str" cm="1">
        <f t="array" aca="1" ref="F1625" ca="1">IF(OR(INDIRECT($B$2&amp;"!AM14")=$B$1350,B1625=0),"",REPT(" ",E1625)&amp;"},")</f>
        <v/>
      </c>
    </row>
    <row r="1626" spans="1:6" hidden="1">
      <c r="A1626" s="150">
        <f ca="1">IFERROR(INDIRECT($B$2&amp;"!"&amp;"C"&amp;D1626),"")</f>
        <v>0</v>
      </c>
      <c r="B1626" s="130">
        <f ca="1">IFERROR(INDIRECT($B$2&amp;"!"&amp;C1626&amp;D1626),"")</f>
        <v>0</v>
      </c>
      <c r="C1626" s="355" t="s">
        <v>131</v>
      </c>
      <c r="D1626" s="351">
        <f t="shared" ca="1" si="89"/>
        <v>71</v>
      </c>
      <c r="E1626" s="352">
        <v>9</v>
      </c>
      <c r="F1626" s="126" t="str">
        <f ca="1">IF(B1626=0,"",REPT(" ",E1626)&amp;"{ column: "&amp;CHAR(34)&amp;A1626&amp;CHAR(34)&amp;",")</f>
        <v/>
      </c>
    </row>
    <row r="1627" spans="1:6" hidden="1">
      <c r="A1627" s="150"/>
      <c r="B1627" s="130" cm="1">
        <f t="array" aca="1" ref="B1627" ca="1">INDIRECT($B$2&amp;"!"&amp;C1627&amp;D1627)</f>
        <v>0</v>
      </c>
      <c r="C1627" s="350" t="s">
        <v>131</v>
      </c>
      <c r="D1627" s="351">
        <f t="shared" ca="1" si="89"/>
        <v>71</v>
      </c>
      <c r="E1627" s="352">
        <v>12</v>
      </c>
      <c r="F1627" s="126" t="str" cm="1">
        <f t="array" aca="1" ref="F1627" ca="1">IF(OR(INDIRECT($B$2&amp;"!AM14")=$B$1350,B1627=0),"",REPT(" ",E1627)&amp;"summaryType: "&amp;CHAR(34)&amp;B1627&amp;CHAR(34)&amp;",")</f>
        <v/>
      </c>
    </row>
    <row r="1628" spans="1:6" hidden="1">
      <c r="A1628" s="150"/>
      <c r="B1628" s="130">
        <f ca="1">IFERROR(INDIRECT($B$2&amp;"!"&amp;C1628&amp;D1628),"")</f>
        <v>0</v>
      </c>
      <c r="C1628" s="350" t="s">
        <v>131</v>
      </c>
      <c r="D1628" s="351">
        <f t="shared" ca="1" si="89"/>
        <v>71</v>
      </c>
      <c r="E1628" s="352">
        <v>12</v>
      </c>
      <c r="F1628" s="126" t="str" cm="1">
        <f t="array" aca="1" ref="F1628" ca="1">IF(OR(INDIRECT($B$2&amp;"!AM14")=$B$1350,B1628=0),"",REPT(" ",E1628)&amp;"displayFormat: "&amp;CHAR(34)&amp;"{0} Items"&amp;CHAR(34)&amp;",")</f>
        <v/>
      </c>
    </row>
    <row r="1629" spans="1:6" hidden="1">
      <c r="A1629" s="150" t="s">
        <v>1037</v>
      </c>
      <c r="B1629" s="130">
        <f ca="1">IFERROR(INDIRECT($B$2&amp;"!"&amp;C1629&amp;D1629),"")</f>
        <v>0</v>
      </c>
      <c r="C1629" s="350" t="s">
        <v>133</v>
      </c>
      <c r="D1629" s="351">
        <f t="shared" ca="1" si="89"/>
        <v>71</v>
      </c>
      <c r="E1629" s="352">
        <v>12</v>
      </c>
      <c r="F1629" s="126" t="str" cm="1">
        <f t="array" aca="1" ref="F1629" ca="1">IF(OR(INDIRECT($B$2&amp;"!AM14")=$B$1350,B1629=0),"",REPT(" ",E1629)&amp;A1629&amp;CHAR(34)&amp;B1629&amp;CHAR(34)&amp;",")</f>
        <v/>
      </c>
    </row>
    <row r="1630" spans="1:6" hidden="1">
      <c r="A1630" s="150" t="s">
        <v>65</v>
      </c>
      <c r="B1630" s="130">
        <f ca="1">IFERROR(INDIRECT($B$2&amp;"!"&amp;C1630&amp;D1630),"")</f>
        <v>0</v>
      </c>
      <c r="C1630" s="350" t="s">
        <v>131</v>
      </c>
      <c r="D1630" s="351">
        <f t="shared" ca="1" si="89"/>
        <v>71</v>
      </c>
      <c r="E1630" s="352">
        <v>9</v>
      </c>
      <c r="F1630" s="126" t="str" cm="1">
        <f t="array" aca="1" ref="F1630" ca="1">IF(OR(INDIRECT($B$2&amp;"!AM14")=$B$1350,B1630=0),"",REPT(" ",E1630)&amp;"},")</f>
        <v/>
      </c>
    </row>
    <row r="1631" spans="1:6" hidden="1">
      <c r="A1631" s="150">
        <f ca="1">IFERROR(INDIRECT($B$2&amp;"!"&amp;"C"&amp;D1631),"")</f>
        <v>0</v>
      </c>
      <c r="B1631" s="130">
        <f ca="1">IFERROR(INDIRECT($B$2&amp;"!"&amp;C1631&amp;D1631),"")</f>
        <v>0</v>
      </c>
      <c r="C1631" s="355" t="s">
        <v>131</v>
      </c>
      <c r="D1631" s="351">
        <f t="shared" ca="1" si="89"/>
        <v>72</v>
      </c>
      <c r="E1631" s="352">
        <v>9</v>
      </c>
      <c r="F1631" s="126" t="str">
        <f ca="1">IF(B1631=0,"",REPT(" ",E1631)&amp;"{ column: "&amp;CHAR(34)&amp;A1631&amp;CHAR(34)&amp;",")</f>
        <v/>
      </c>
    </row>
    <row r="1632" spans="1:6" hidden="1">
      <c r="A1632" s="150"/>
      <c r="B1632" s="130" cm="1">
        <f t="array" aca="1" ref="B1632" ca="1">INDIRECT($B$2&amp;"!"&amp;C1632&amp;D1632)</f>
        <v>0</v>
      </c>
      <c r="C1632" s="350" t="s">
        <v>131</v>
      </c>
      <c r="D1632" s="351">
        <f t="shared" ca="1" si="89"/>
        <v>72</v>
      </c>
      <c r="E1632" s="352">
        <v>12</v>
      </c>
      <c r="F1632" s="126" t="str" cm="1">
        <f t="array" aca="1" ref="F1632" ca="1">IF(OR(INDIRECT($B$2&amp;"!AM14")=$B$1350,B1632=0),"",REPT(" ",E1632)&amp;"summaryType: "&amp;CHAR(34)&amp;B1632&amp;CHAR(34)&amp;",")</f>
        <v/>
      </c>
    </row>
    <row r="1633" spans="1:6" hidden="1">
      <c r="A1633" s="150"/>
      <c r="B1633" s="130">
        <f ca="1">IFERROR(INDIRECT($B$2&amp;"!"&amp;C1633&amp;D1633),"")</f>
        <v>0</v>
      </c>
      <c r="C1633" s="350" t="s">
        <v>131</v>
      </c>
      <c r="D1633" s="351">
        <f t="shared" ca="1" si="89"/>
        <v>72</v>
      </c>
      <c r="E1633" s="352">
        <v>12</v>
      </c>
      <c r="F1633" s="126" t="str" cm="1">
        <f t="array" aca="1" ref="F1633" ca="1">IF(OR(INDIRECT($B$2&amp;"!AM14")=$B$1350,B1633=0),"",REPT(" ",E1633)&amp;"displayFormat: "&amp;CHAR(34)&amp;"{0} Items"&amp;CHAR(34)&amp;",")</f>
        <v/>
      </c>
    </row>
    <row r="1634" spans="1:6" hidden="1">
      <c r="A1634" s="150" t="s">
        <v>1037</v>
      </c>
      <c r="B1634" s="130">
        <f ca="1">IFERROR(INDIRECT($B$2&amp;"!"&amp;C1634&amp;D1634),"")</f>
        <v>0</v>
      </c>
      <c r="C1634" s="350" t="s">
        <v>133</v>
      </c>
      <c r="D1634" s="351">
        <f t="shared" ca="1" si="89"/>
        <v>72</v>
      </c>
      <c r="E1634" s="352">
        <v>12</v>
      </c>
      <c r="F1634" s="126" t="str" cm="1">
        <f t="array" aca="1" ref="F1634" ca="1">IF(OR(INDIRECT($B$2&amp;"!AM14")=$B$1350,B1634=0),"",REPT(" ",E1634)&amp;A1634&amp;CHAR(34)&amp;B1634&amp;CHAR(34)&amp;",")</f>
        <v/>
      </c>
    </row>
    <row r="1635" spans="1:6" hidden="1">
      <c r="A1635" s="150" t="s">
        <v>65</v>
      </c>
      <c r="B1635" s="130">
        <f ca="1">IFERROR(INDIRECT($B$2&amp;"!"&amp;C1635&amp;D1635),"")</f>
        <v>0</v>
      </c>
      <c r="C1635" s="350" t="s">
        <v>131</v>
      </c>
      <c r="D1635" s="351">
        <f t="shared" ca="1" si="89"/>
        <v>72</v>
      </c>
      <c r="E1635" s="352">
        <v>9</v>
      </c>
      <c r="F1635" s="126" t="str" cm="1">
        <f t="array" aca="1" ref="F1635" ca="1">IF(OR(INDIRECT($B$2&amp;"!AM14")=$B$1350,B1635=0),"",REPT(" ",E1635)&amp;"},")</f>
        <v/>
      </c>
    </row>
    <row r="1636" spans="1:6" hidden="1">
      <c r="A1636" s="150">
        <f ca="1">IFERROR(INDIRECT($B$2&amp;"!"&amp;"C"&amp;D1636),"")</f>
        <v>0</v>
      </c>
      <c r="B1636" s="130">
        <f ca="1">IFERROR(INDIRECT($B$2&amp;"!"&amp;C1636&amp;D1636),"")</f>
        <v>0</v>
      </c>
      <c r="C1636" s="355" t="s">
        <v>131</v>
      </c>
      <c r="D1636" s="351">
        <f t="shared" ca="1" si="89"/>
        <v>73</v>
      </c>
      <c r="E1636" s="352">
        <v>9</v>
      </c>
      <c r="F1636" s="126" t="str">
        <f ca="1">IF(B1636=0,"",REPT(" ",E1636)&amp;"{ column: "&amp;CHAR(34)&amp;A1636&amp;CHAR(34)&amp;",")</f>
        <v/>
      </c>
    </row>
    <row r="1637" spans="1:6" hidden="1">
      <c r="A1637" s="150"/>
      <c r="B1637" s="130" cm="1">
        <f t="array" aca="1" ref="B1637" ca="1">INDIRECT($B$2&amp;"!"&amp;C1637&amp;D1637)</f>
        <v>0</v>
      </c>
      <c r="C1637" s="350" t="s">
        <v>131</v>
      </c>
      <c r="D1637" s="351">
        <f t="shared" ca="1" si="89"/>
        <v>73</v>
      </c>
      <c r="E1637" s="352">
        <v>12</v>
      </c>
      <c r="F1637" s="126" t="str" cm="1">
        <f t="array" aca="1" ref="F1637" ca="1">IF(OR(INDIRECT($B$2&amp;"!AM14")=$B$1350,B1637=0),"",REPT(" ",E1637)&amp;"summaryType: "&amp;CHAR(34)&amp;B1637&amp;CHAR(34)&amp;",")</f>
        <v/>
      </c>
    </row>
    <row r="1638" spans="1:6" hidden="1">
      <c r="A1638" s="150"/>
      <c r="B1638" s="130">
        <f ca="1">IFERROR(INDIRECT($B$2&amp;"!"&amp;C1638&amp;D1638),"")</f>
        <v>0</v>
      </c>
      <c r="C1638" s="350" t="s">
        <v>131</v>
      </c>
      <c r="D1638" s="351">
        <f t="shared" ca="1" si="89"/>
        <v>73</v>
      </c>
      <c r="E1638" s="352">
        <v>12</v>
      </c>
      <c r="F1638" s="126" t="str" cm="1">
        <f t="array" aca="1" ref="F1638" ca="1">IF(OR(INDIRECT($B$2&amp;"!AM14")=$B$1350,B1638=0),"",REPT(" ",E1638)&amp;"displayFormat: "&amp;CHAR(34)&amp;"{0} Items"&amp;CHAR(34)&amp;",")</f>
        <v/>
      </c>
    </row>
    <row r="1639" spans="1:6" hidden="1">
      <c r="A1639" s="150" t="s">
        <v>1037</v>
      </c>
      <c r="B1639" s="130">
        <f ca="1">IFERROR(INDIRECT($B$2&amp;"!"&amp;C1639&amp;D1639),"")</f>
        <v>0</v>
      </c>
      <c r="C1639" s="350" t="s">
        <v>133</v>
      </c>
      <c r="D1639" s="351">
        <f t="shared" ca="1" si="89"/>
        <v>73</v>
      </c>
      <c r="E1639" s="352">
        <v>12</v>
      </c>
      <c r="F1639" s="126" t="str" cm="1">
        <f t="array" aca="1" ref="F1639" ca="1">IF(OR(INDIRECT($B$2&amp;"!AM14")=$B$1350,B1639=0),"",REPT(" ",E1639)&amp;A1639&amp;CHAR(34)&amp;B1639&amp;CHAR(34)&amp;",")</f>
        <v/>
      </c>
    </row>
    <row r="1640" spans="1:6" hidden="1">
      <c r="A1640" s="150" t="s">
        <v>65</v>
      </c>
      <c r="B1640" s="130">
        <f ca="1">IFERROR(INDIRECT($B$2&amp;"!"&amp;C1640&amp;D1640),"")</f>
        <v>0</v>
      </c>
      <c r="C1640" s="350" t="s">
        <v>131</v>
      </c>
      <c r="D1640" s="351">
        <f t="shared" ca="1" si="89"/>
        <v>73</v>
      </c>
      <c r="E1640" s="352">
        <v>9</v>
      </c>
      <c r="F1640" s="126" t="str" cm="1">
        <f t="array" aca="1" ref="F1640" ca="1">IF(OR(INDIRECT($B$2&amp;"!AM14")=$B$1350,B1640=0),"",REPT(" ",E1640)&amp;"},")</f>
        <v/>
      </c>
    </row>
    <row r="1641" spans="1:6" hidden="1">
      <c r="A1641" s="150">
        <f ca="1">IFERROR(INDIRECT($B$2&amp;"!"&amp;"C"&amp;D1641),"")</f>
        <v>0</v>
      </c>
      <c r="B1641" s="130">
        <f ca="1">IFERROR(INDIRECT($B$2&amp;"!"&amp;C1641&amp;D1641),"")</f>
        <v>0</v>
      </c>
      <c r="C1641" s="355" t="s">
        <v>131</v>
      </c>
      <c r="D1641" s="351">
        <f t="shared" ca="1" si="89"/>
        <v>74</v>
      </c>
      <c r="E1641" s="352">
        <v>9</v>
      </c>
      <c r="F1641" s="126" t="str">
        <f ca="1">IF(B1641=0,"",REPT(" ",E1641)&amp;"{ column: "&amp;CHAR(34)&amp;A1641&amp;CHAR(34)&amp;",")</f>
        <v/>
      </c>
    </row>
    <row r="1642" spans="1:6" hidden="1">
      <c r="A1642" s="150"/>
      <c r="B1642" s="130" cm="1">
        <f t="array" aca="1" ref="B1642" ca="1">INDIRECT($B$2&amp;"!"&amp;C1642&amp;D1642)</f>
        <v>0</v>
      </c>
      <c r="C1642" s="350" t="s">
        <v>131</v>
      </c>
      <c r="D1642" s="351">
        <f t="shared" ca="1" si="89"/>
        <v>74</v>
      </c>
      <c r="E1642" s="352">
        <v>12</v>
      </c>
      <c r="F1642" s="126" t="str" cm="1">
        <f t="array" aca="1" ref="F1642" ca="1">IF(OR(INDIRECT($B$2&amp;"!AM14")=$B$1350,B1642=0),"",REPT(" ",E1642)&amp;"summaryType: "&amp;CHAR(34)&amp;B1642&amp;CHAR(34)&amp;",")</f>
        <v/>
      </c>
    </row>
    <row r="1643" spans="1:6" hidden="1">
      <c r="A1643" s="150"/>
      <c r="B1643" s="130">
        <f ca="1">IFERROR(INDIRECT($B$2&amp;"!"&amp;C1643&amp;D1643),"")</f>
        <v>0</v>
      </c>
      <c r="C1643" s="350" t="s">
        <v>131</v>
      </c>
      <c r="D1643" s="351">
        <f t="shared" ca="1" si="89"/>
        <v>74</v>
      </c>
      <c r="E1643" s="352">
        <v>12</v>
      </c>
      <c r="F1643" s="126" t="str" cm="1">
        <f t="array" aca="1" ref="F1643" ca="1">IF(OR(INDIRECT($B$2&amp;"!AM14")=$B$1350,B1643=0),"",REPT(" ",E1643)&amp;"displayFormat: "&amp;CHAR(34)&amp;"{0} Items"&amp;CHAR(34)&amp;",")</f>
        <v/>
      </c>
    </row>
    <row r="1644" spans="1:6" hidden="1">
      <c r="A1644" s="150" t="s">
        <v>1037</v>
      </c>
      <c r="B1644" s="130">
        <f ca="1">IFERROR(INDIRECT($B$2&amp;"!"&amp;C1644&amp;D1644),"")</f>
        <v>0</v>
      </c>
      <c r="C1644" s="350" t="s">
        <v>133</v>
      </c>
      <c r="D1644" s="351">
        <f t="shared" ca="1" si="89"/>
        <v>74</v>
      </c>
      <c r="E1644" s="352">
        <v>12</v>
      </c>
      <c r="F1644" s="126" t="str" cm="1">
        <f t="array" aca="1" ref="F1644" ca="1">IF(OR(INDIRECT($B$2&amp;"!AM14")=$B$1350,B1644=0),"",REPT(" ",E1644)&amp;A1644&amp;CHAR(34)&amp;B1644&amp;CHAR(34)&amp;",")</f>
        <v/>
      </c>
    </row>
    <row r="1645" spans="1:6" hidden="1">
      <c r="A1645" s="150" t="s">
        <v>65</v>
      </c>
      <c r="B1645" s="130">
        <f ca="1">IFERROR(INDIRECT($B$2&amp;"!"&amp;C1645&amp;D1645),"")</f>
        <v>0</v>
      </c>
      <c r="C1645" s="350" t="s">
        <v>131</v>
      </c>
      <c r="D1645" s="351">
        <f t="shared" ca="1" si="89"/>
        <v>74</v>
      </c>
      <c r="E1645" s="352">
        <v>9</v>
      </c>
      <c r="F1645" s="126" t="str" cm="1">
        <f t="array" aca="1" ref="F1645" ca="1">IF(OR(INDIRECT($B$2&amp;"!AM14")=$B$1350,B1645=0),"",REPT(" ",E1645)&amp;"},")</f>
        <v/>
      </c>
    </row>
    <row r="1646" spans="1:6" hidden="1">
      <c r="A1646" s="150">
        <f ca="1">IFERROR(INDIRECT($B$2&amp;"!"&amp;"C"&amp;D1646),"")</f>
        <v>0</v>
      </c>
      <c r="B1646" s="130">
        <f ca="1">IFERROR(INDIRECT($B$2&amp;"!"&amp;C1646&amp;D1646),"")</f>
        <v>0</v>
      </c>
      <c r="C1646" s="355" t="s">
        <v>131</v>
      </c>
      <c r="D1646" s="351">
        <f t="shared" ca="1" si="89"/>
        <v>75</v>
      </c>
      <c r="E1646" s="352">
        <v>9</v>
      </c>
      <c r="F1646" s="126" t="str">
        <f ca="1">IF(B1646=0,"",REPT(" ",E1646)&amp;"{ column: "&amp;CHAR(34)&amp;A1646&amp;CHAR(34)&amp;",")</f>
        <v/>
      </c>
    </row>
    <row r="1647" spans="1:6" hidden="1">
      <c r="A1647" s="150"/>
      <c r="B1647" s="130" cm="1">
        <f t="array" aca="1" ref="B1647" ca="1">INDIRECT($B$2&amp;"!"&amp;C1647&amp;D1647)</f>
        <v>0</v>
      </c>
      <c r="C1647" s="350" t="s">
        <v>131</v>
      </c>
      <c r="D1647" s="351">
        <f t="shared" ca="1" si="89"/>
        <v>75</v>
      </c>
      <c r="E1647" s="352">
        <v>12</v>
      </c>
      <c r="F1647" s="126" t="str" cm="1">
        <f t="array" aca="1" ref="F1647" ca="1">IF(OR(INDIRECT($B$2&amp;"!AM14")=$B$1350,B1647=0),"",REPT(" ",E1647)&amp;"summaryType: "&amp;CHAR(34)&amp;B1647&amp;CHAR(34)&amp;",")</f>
        <v/>
      </c>
    </row>
    <row r="1648" spans="1:6" hidden="1">
      <c r="A1648" s="150"/>
      <c r="B1648" s="130">
        <f ca="1">IFERROR(INDIRECT($B$2&amp;"!"&amp;C1648&amp;D1648),"")</f>
        <v>0</v>
      </c>
      <c r="C1648" s="350" t="s">
        <v>131</v>
      </c>
      <c r="D1648" s="351">
        <f t="shared" ca="1" si="89"/>
        <v>75</v>
      </c>
      <c r="E1648" s="352">
        <v>12</v>
      </c>
      <c r="F1648" s="126" t="str" cm="1">
        <f t="array" aca="1" ref="F1648" ca="1">IF(OR(INDIRECT($B$2&amp;"!AM14")=$B$1350,B1648=0),"",REPT(" ",E1648)&amp;"displayFormat: "&amp;CHAR(34)&amp;"{0} Items"&amp;CHAR(34)&amp;",")</f>
        <v/>
      </c>
    </row>
    <row r="1649" spans="1:6" hidden="1">
      <c r="A1649" s="150" t="s">
        <v>1037</v>
      </c>
      <c r="B1649" s="130">
        <f ca="1">IFERROR(INDIRECT($B$2&amp;"!"&amp;C1649&amp;D1649),"")</f>
        <v>0</v>
      </c>
      <c r="C1649" s="350" t="s">
        <v>133</v>
      </c>
      <c r="D1649" s="351">
        <f t="shared" ca="1" si="89"/>
        <v>75</v>
      </c>
      <c r="E1649" s="352">
        <v>12</v>
      </c>
      <c r="F1649" s="126" t="str" cm="1">
        <f t="array" aca="1" ref="F1649" ca="1">IF(OR(INDIRECT($B$2&amp;"!AM14")=$B$1350,B1649=0),"",REPT(" ",E1649)&amp;A1649&amp;CHAR(34)&amp;B1649&amp;CHAR(34)&amp;",")</f>
        <v/>
      </c>
    </row>
    <row r="1650" spans="1:6" hidden="1">
      <c r="A1650" s="150" t="s">
        <v>65</v>
      </c>
      <c r="B1650" s="130">
        <f ca="1">IFERROR(INDIRECT($B$2&amp;"!"&amp;C1650&amp;D1650),"")</f>
        <v>0</v>
      </c>
      <c r="C1650" s="350" t="s">
        <v>131</v>
      </c>
      <c r="D1650" s="351">
        <f t="shared" ca="1" si="89"/>
        <v>75</v>
      </c>
      <c r="E1650" s="352">
        <v>9</v>
      </c>
      <c r="F1650" s="126" t="str" cm="1">
        <f t="array" aca="1" ref="F1650" ca="1">IF(OR(INDIRECT($B$2&amp;"!AM14")=$B$1350,B1650=0),"",REPT(" ",E1650)&amp;"},")</f>
        <v/>
      </c>
    </row>
    <row r="1651" spans="1:6" hidden="1">
      <c r="A1651" s="150">
        <f ca="1">IFERROR(INDIRECT($B$2&amp;"!"&amp;"C"&amp;D1651),"")</f>
        <v>0</v>
      </c>
      <c r="B1651" s="130">
        <f ca="1">IFERROR(INDIRECT($B$2&amp;"!"&amp;C1651&amp;D1651),"")</f>
        <v>0</v>
      </c>
      <c r="C1651" s="355" t="s">
        <v>131</v>
      </c>
      <c r="D1651" s="351">
        <f t="shared" ca="1" si="89"/>
        <v>76</v>
      </c>
      <c r="E1651" s="352">
        <v>9</v>
      </c>
      <c r="F1651" s="126" t="str">
        <f ca="1">IF(B1651=0,"",REPT(" ",E1651)&amp;"{ column: "&amp;CHAR(34)&amp;A1651&amp;CHAR(34)&amp;",")</f>
        <v/>
      </c>
    </row>
    <row r="1652" spans="1:6" hidden="1">
      <c r="A1652" s="150"/>
      <c r="B1652" s="130" cm="1">
        <f t="array" aca="1" ref="B1652" ca="1">INDIRECT($B$2&amp;"!"&amp;C1652&amp;D1652)</f>
        <v>0</v>
      </c>
      <c r="C1652" s="350" t="s">
        <v>131</v>
      </c>
      <c r="D1652" s="351">
        <f t="shared" ca="1" si="89"/>
        <v>76</v>
      </c>
      <c r="E1652" s="352">
        <v>12</v>
      </c>
      <c r="F1652" s="126" t="str" cm="1">
        <f t="array" aca="1" ref="F1652" ca="1">IF(OR(INDIRECT($B$2&amp;"!AM14")=$B$1350,B1652=0),"",REPT(" ",E1652)&amp;"summaryType: "&amp;CHAR(34)&amp;B1652&amp;CHAR(34)&amp;",")</f>
        <v/>
      </c>
    </row>
    <row r="1653" spans="1:6" hidden="1">
      <c r="A1653" s="150"/>
      <c r="B1653" s="130">
        <f ca="1">IFERROR(INDIRECT($B$2&amp;"!"&amp;C1653&amp;D1653),"")</f>
        <v>0</v>
      </c>
      <c r="C1653" s="350" t="s">
        <v>131</v>
      </c>
      <c r="D1653" s="351">
        <f t="shared" ca="1" si="89"/>
        <v>76</v>
      </c>
      <c r="E1653" s="352">
        <v>12</v>
      </c>
      <c r="F1653" s="126" t="str" cm="1">
        <f t="array" aca="1" ref="F1653" ca="1">IF(OR(INDIRECT($B$2&amp;"!AM14")=$B$1350,B1653=0),"",REPT(" ",E1653)&amp;"displayFormat: "&amp;CHAR(34)&amp;"{0} Items"&amp;CHAR(34)&amp;",")</f>
        <v/>
      </c>
    </row>
    <row r="1654" spans="1:6" hidden="1">
      <c r="A1654" s="150" t="s">
        <v>1037</v>
      </c>
      <c r="B1654" s="130">
        <f ca="1">IFERROR(INDIRECT($B$2&amp;"!"&amp;C1654&amp;D1654),"")</f>
        <v>0</v>
      </c>
      <c r="C1654" s="350" t="s">
        <v>133</v>
      </c>
      <c r="D1654" s="351">
        <f t="shared" ca="1" si="89"/>
        <v>76</v>
      </c>
      <c r="E1654" s="352">
        <v>12</v>
      </c>
      <c r="F1654" s="126" t="str" cm="1">
        <f t="array" aca="1" ref="F1654" ca="1">IF(OR(INDIRECT($B$2&amp;"!AM14")=$B$1350,B1654=0),"",REPT(" ",E1654)&amp;A1654&amp;CHAR(34)&amp;B1654&amp;CHAR(34)&amp;",")</f>
        <v/>
      </c>
    </row>
    <row r="1655" spans="1:6" hidden="1">
      <c r="A1655" s="150" t="s">
        <v>65</v>
      </c>
      <c r="B1655" s="130">
        <f ca="1">IFERROR(INDIRECT($B$2&amp;"!"&amp;C1655&amp;D1655),"")</f>
        <v>0</v>
      </c>
      <c r="C1655" s="350" t="s">
        <v>131</v>
      </c>
      <c r="D1655" s="351">
        <f t="shared" ca="1" si="89"/>
        <v>76</v>
      </c>
      <c r="E1655" s="352">
        <v>9</v>
      </c>
      <c r="F1655" s="126" t="str" cm="1">
        <f t="array" aca="1" ref="F1655" ca="1">IF(OR(INDIRECT($B$2&amp;"!AM14")=$B$1350,B1655=0),"",REPT(" ",E1655)&amp;"},")</f>
        <v/>
      </c>
    </row>
    <row r="1656" spans="1:6" hidden="1">
      <c r="A1656" s="150">
        <f ca="1">IFERROR(INDIRECT($B$2&amp;"!"&amp;"C"&amp;D1656),"")</f>
        <v>0</v>
      </c>
      <c r="B1656" s="130">
        <f ca="1">IFERROR(INDIRECT($B$2&amp;"!"&amp;C1656&amp;D1656),"")</f>
        <v>0</v>
      </c>
      <c r="C1656" s="355" t="s">
        <v>131</v>
      </c>
      <c r="D1656" s="351">
        <f t="shared" ca="1" si="89"/>
        <v>77</v>
      </c>
      <c r="E1656" s="352">
        <v>9</v>
      </c>
      <c r="F1656" s="126" t="str">
        <f ca="1">IF(B1656=0,"",REPT(" ",E1656)&amp;"{ column: "&amp;CHAR(34)&amp;A1656&amp;CHAR(34)&amp;",")</f>
        <v/>
      </c>
    </row>
    <row r="1657" spans="1:6" hidden="1">
      <c r="A1657" s="150"/>
      <c r="B1657" s="130" cm="1">
        <f t="array" aca="1" ref="B1657" ca="1">INDIRECT($B$2&amp;"!"&amp;C1657&amp;D1657)</f>
        <v>0</v>
      </c>
      <c r="C1657" s="350" t="s">
        <v>131</v>
      </c>
      <c r="D1657" s="351">
        <f t="shared" ca="1" si="89"/>
        <v>77</v>
      </c>
      <c r="E1657" s="352">
        <v>12</v>
      </c>
      <c r="F1657" s="126" t="str" cm="1">
        <f t="array" aca="1" ref="F1657" ca="1">IF(OR(INDIRECT($B$2&amp;"!AM14")=$B$1350,B1657=0),"",REPT(" ",E1657)&amp;"summaryType: "&amp;CHAR(34)&amp;B1657&amp;CHAR(34)&amp;",")</f>
        <v/>
      </c>
    </row>
    <row r="1658" spans="1:6" hidden="1">
      <c r="A1658" s="150"/>
      <c r="B1658" s="130">
        <f ca="1">IFERROR(INDIRECT($B$2&amp;"!"&amp;C1658&amp;D1658),"")</f>
        <v>0</v>
      </c>
      <c r="C1658" s="350" t="s">
        <v>131</v>
      </c>
      <c r="D1658" s="351">
        <f t="shared" ca="1" si="89"/>
        <v>77</v>
      </c>
      <c r="E1658" s="352">
        <v>12</v>
      </c>
      <c r="F1658" s="126" t="str" cm="1">
        <f t="array" aca="1" ref="F1658" ca="1">IF(OR(INDIRECT($B$2&amp;"!AM14")=$B$1350,B1658=0),"",REPT(" ",E1658)&amp;"displayFormat: "&amp;CHAR(34)&amp;"{0} Items"&amp;CHAR(34)&amp;",")</f>
        <v/>
      </c>
    </row>
    <row r="1659" spans="1:6" hidden="1">
      <c r="A1659" s="150" t="s">
        <v>1037</v>
      </c>
      <c r="B1659" s="130">
        <f ca="1">IFERROR(INDIRECT($B$2&amp;"!"&amp;C1659&amp;D1659),"")</f>
        <v>0</v>
      </c>
      <c r="C1659" s="350" t="s">
        <v>133</v>
      </c>
      <c r="D1659" s="351">
        <f t="shared" ca="1" si="89"/>
        <v>77</v>
      </c>
      <c r="E1659" s="352">
        <v>12</v>
      </c>
      <c r="F1659" s="126" t="str" cm="1">
        <f t="array" aca="1" ref="F1659" ca="1">IF(OR(INDIRECT($B$2&amp;"!AM14")=$B$1350,B1659=0),"",REPT(" ",E1659)&amp;A1659&amp;CHAR(34)&amp;B1659&amp;CHAR(34)&amp;",")</f>
        <v/>
      </c>
    </row>
    <row r="1660" spans="1:6" hidden="1">
      <c r="A1660" s="150" t="s">
        <v>65</v>
      </c>
      <c r="B1660" s="130">
        <f ca="1">IFERROR(INDIRECT($B$2&amp;"!"&amp;C1660&amp;D1660),"")</f>
        <v>0</v>
      </c>
      <c r="C1660" s="350" t="s">
        <v>131</v>
      </c>
      <c r="D1660" s="351">
        <f t="shared" ca="1" si="89"/>
        <v>77</v>
      </c>
      <c r="E1660" s="352">
        <v>9</v>
      </c>
      <c r="F1660" s="126" t="str" cm="1">
        <f t="array" aca="1" ref="F1660" ca="1">IF(OR(INDIRECT($B$2&amp;"!AM14")=$B$1350,B1660=0),"",REPT(" ",E1660)&amp;"},")</f>
        <v/>
      </c>
    </row>
    <row r="1661" spans="1:6" hidden="1">
      <c r="A1661" s="150">
        <f ca="1">IFERROR(INDIRECT($B$2&amp;"!"&amp;"C"&amp;D1661),"")</f>
        <v>0</v>
      </c>
      <c r="B1661" s="130">
        <f ca="1">IFERROR(INDIRECT($B$2&amp;"!"&amp;C1661&amp;D1661),"")</f>
        <v>0</v>
      </c>
      <c r="C1661" s="355" t="s">
        <v>131</v>
      </c>
      <c r="D1661" s="351">
        <f t="shared" ca="1" si="89"/>
        <v>78</v>
      </c>
      <c r="E1661" s="352">
        <v>9</v>
      </c>
      <c r="F1661" s="126" t="str">
        <f ca="1">IF(B1661=0,"",REPT(" ",E1661)&amp;"{ column: "&amp;CHAR(34)&amp;A1661&amp;CHAR(34)&amp;",")</f>
        <v/>
      </c>
    </row>
    <row r="1662" spans="1:6" hidden="1">
      <c r="A1662" s="150"/>
      <c r="B1662" s="130" cm="1">
        <f t="array" aca="1" ref="B1662" ca="1">INDIRECT($B$2&amp;"!"&amp;C1662&amp;D1662)</f>
        <v>0</v>
      </c>
      <c r="C1662" s="350" t="s">
        <v>131</v>
      </c>
      <c r="D1662" s="351">
        <f t="shared" ca="1" si="89"/>
        <v>78</v>
      </c>
      <c r="E1662" s="352">
        <v>12</v>
      </c>
      <c r="F1662" s="126" t="str" cm="1">
        <f t="array" aca="1" ref="F1662" ca="1">IF(OR(INDIRECT($B$2&amp;"!AM14")=$B$1350,B1662=0),"",REPT(" ",E1662)&amp;"summaryType: "&amp;CHAR(34)&amp;B1662&amp;CHAR(34)&amp;",")</f>
        <v/>
      </c>
    </row>
    <row r="1663" spans="1:6" hidden="1">
      <c r="A1663" s="150"/>
      <c r="B1663" s="130">
        <f ca="1">IFERROR(INDIRECT($B$2&amp;"!"&amp;C1663&amp;D1663),"")</f>
        <v>0</v>
      </c>
      <c r="C1663" s="350" t="s">
        <v>131</v>
      </c>
      <c r="D1663" s="351">
        <f t="shared" ca="1" si="89"/>
        <v>78</v>
      </c>
      <c r="E1663" s="352">
        <v>12</v>
      </c>
      <c r="F1663" s="126" t="str" cm="1">
        <f t="array" aca="1" ref="F1663" ca="1">IF(OR(INDIRECT($B$2&amp;"!AM14")=$B$1350,B1663=0),"",REPT(" ",E1663)&amp;"displayFormat: "&amp;CHAR(34)&amp;"{0} Items"&amp;CHAR(34)&amp;",")</f>
        <v/>
      </c>
    </row>
    <row r="1664" spans="1:6" hidden="1">
      <c r="A1664" s="150" t="s">
        <v>1037</v>
      </c>
      <c r="B1664" s="130">
        <f ca="1">IFERROR(INDIRECT($B$2&amp;"!"&amp;C1664&amp;D1664),"")</f>
        <v>0</v>
      </c>
      <c r="C1664" s="350" t="s">
        <v>133</v>
      </c>
      <c r="D1664" s="351">
        <f t="shared" ca="1" si="89"/>
        <v>78</v>
      </c>
      <c r="E1664" s="352">
        <v>12</v>
      </c>
      <c r="F1664" s="126" t="str" cm="1">
        <f t="array" aca="1" ref="F1664" ca="1">IF(OR(INDIRECT($B$2&amp;"!AM14")=$B$1350,B1664=0),"",REPT(" ",E1664)&amp;A1664&amp;CHAR(34)&amp;B1664&amp;CHAR(34)&amp;",")</f>
        <v/>
      </c>
    </row>
    <row r="1665" spans="1:6" hidden="1">
      <c r="A1665" s="150" t="s">
        <v>65</v>
      </c>
      <c r="B1665" s="130">
        <f ca="1">IFERROR(INDIRECT($B$2&amp;"!"&amp;C1665&amp;D1665),"")</f>
        <v>0</v>
      </c>
      <c r="C1665" s="350" t="s">
        <v>131</v>
      </c>
      <c r="D1665" s="351">
        <f t="shared" ca="1" si="89"/>
        <v>78</v>
      </c>
      <c r="E1665" s="352">
        <v>9</v>
      </c>
      <c r="F1665" s="126" t="str" cm="1">
        <f t="array" aca="1" ref="F1665" ca="1">IF(OR(INDIRECT($B$2&amp;"!AM14")=$B$1350,B1665=0),"",REPT(" ",E1665)&amp;"},")</f>
        <v/>
      </c>
    </row>
    <row r="1666" spans="1:6" hidden="1">
      <c r="A1666" s="150">
        <f ca="1">IFERROR(INDIRECT($B$2&amp;"!"&amp;"C"&amp;D1666),"")</f>
        <v>0</v>
      </c>
      <c r="B1666" s="130">
        <f ca="1">IFERROR(INDIRECT($B$2&amp;"!"&amp;C1666&amp;D1666),"")</f>
        <v>0</v>
      </c>
      <c r="C1666" s="355" t="s">
        <v>131</v>
      </c>
      <c r="D1666" s="351">
        <f t="shared" ca="1" si="89"/>
        <v>79</v>
      </c>
      <c r="E1666" s="352">
        <v>9</v>
      </c>
      <c r="F1666" s="126" t="str">
        <f ca="1">IF(B1666=0,"",REPT(" ",E1666)&amp;"{ column: "&amp;CHAR(34)&amp;A1666&amp;CHAR(34)&amp;",")</f>
        <v/>
      </c>
    </row>
    <row r="1667" spans="1:6" hidden="1">
      <c r="A1667" s="150"/>
      <c r="B1667" s="130" cm="1">
        <f t="array" aca="1" ref="B1667" ca="1">INDIRECT($B$2&amp;"!"&amp;C1667&amp;D1667)</f>
        <v>0</v>
      </c>
      <c r="C1667" s="350" t="s">
        <v>131</v>
      </c>
      <c r="D1667" s="351">
        <f t="shared" ca="1" si="89"/>
        <v>79</v>
      </c>
      <c r="E1667" s="352">
        <v>12</v>
      </c>
      <c r="F1667" s="126" t="str" cm="1">
        <f t="array" aca="1" ref="F1667" ca="1">IF(OR(INDIRECT($B$2&amp;"!AM14")=$B$1350,B1667=0),"",REPT(" ",E1667)&amp;"summaryType: "&amp;CHAR(34)&amp;B1667&amp;CHAR(34)&amp;",")</f>
        <v/>
      </c>
    </row>
    <row r="1668" spans="1:6" hidden="1">
      <c r="A1668" s="150"/>
      <c r="B1668" s="130">
        <f ca="1">IFERROR(INDIRECT($B$2&amp;"!"&amp;C1668&amp;D1668),"")</f>
        <v>0</v>
      </c>
      <c r="C1668" s="350" t="s">
        <v>131</v>
      </c>
      <c r="D1668" s="351">
        <f t="shared" ca="1" si="89"/>
        <v>79</v>
      </c>
      <c r="E1668" s="352">
        <v>12</v>
      </c>
      <c r="F1668" s="126" t="str" cm="1">
        <f t="array" aca="1" ref="F1668" ca="1">IF(OR(INDIRECT($B$2&amp;"!AM14")=$B$1350,B1668=0),"",REPT(" ",E1668)&amp;"displayFormat: "&amp;CHAR(34)&amp;"{0} Items"&amp;CHAR(34)&amp;",")</f>
        <v/>
      </c>
    </row>
    <row r="1669" spans="1:6" hidden="1">
      <c r="A1669" s="150" t="s">
        <v>1037</v>
      </c>
      <c r="B1669" s="130">
        <f ca="1">IFERROR(INDIRECT($B$2&amp;"!"&amp;C1669&amp;D1669),"")</f>
        <v>0</v>
      </c>
      <c r="C1669" s="350" t="s">
        <v>133</v>
      </c>
      <c r="D1669" s="351">
        <f t="shared" ca="1" si="89"/>
        <v>79</v>
      </c>
      <c r="E1669" s="352">
        <v>12</v>
      </c>
      <c r="F1669" s="126" t="str" cm="1">
        <f t="array" aca="1" ref="F1669" ca="1">IF(OR(INDIRECT($B$2&amp;"!AM14")=$B$1350,B1669=0),"",REPT(" ",E1669)&amp;A1669&amp;CHAR(34)&amp;B1669&amp;CHAR(34)&amp;",")</f>
        <v/>
      </c>
    </row>
    <row r="1670" spans="1:6" hidden="1">
      <c r="A1670" s="150" t="s">
        <v>65</v>
      </c>
      <c r="B1670" s="130">
        <f ca="1">IFERROR(INDIRECT($B$2&amp;"!"&amp;C1670&amp;D1670),"")</f>
        <v>0</v>
      </c>
      <c r="C1670" s="350" t="s">
        <v>131</v>
      </c>
      <c r="D1670" s="351">
        <f t="shared" ca="1" si="89"/>
        <v>79</v>
      </c>
      <c r="E1670" s="352">
        <v>9</v>
      </c>
      <c r="F1670" s="126" t="str" cm="1">
        <f t="array" aca="1" ref="F1670" ca="1">IF(OR(INDIRECT($B$2&amp;"!AM14")=$B$1350,B1670=0),"",REPT(" ",E1670)&amp;"},")</f>
        <v/>
      </c>
    </row>
    <row r="1671" spans="1:6" hidden="1">
      <c r="A1671" s="150">
        <f ca="1">IFERROR(INDIRECT($B$2&amp;"!"&amp;"C"&amp;D1671),"")</f>
        <v>0</v>
      </c>
      <c r="B1671" s="130">
        <f ca="1">IFERROR(INDIRECT($B$2&amp;"!"&amp;C1671&amp;D1671),"")</f>
        <v>0</v>
      </c>
      <c r="C1671" s="355" t="s">
        <v>131</v>
      </c>
      <c r="D1671" s="351">
        <f t="shared" ca="1" si="89"/>
        <v>80</v>
      </c>
      <c r="E1671" s="352">
        <v>9</v>
      </c>
      <c r="F1671" s="126" t="str">
        <f ca="1">IF(B1671=0,"",REPT(" ",E1671)&amp;"{ column: "&amp;CHAR(34)&amp;A1671&amp;CHAR(34)&amp;",")</f>
        <v/>
      </c>
    </row>
    <row r="1672" spans="1:6" hidden="1">
      <c r="A1672" s="150"/>
      <c r="B1672" s="130" cm="1">
        <f t="array" aca="1" ref="B1672" ca="1">INDIRECT($B$2&amp;"!"&amp;C1672&amp;D1672)</f>
        <v>0</v>
      </c>
      <c r="C1672" s="350" t="s">
        <v>131</v>
      </c>
      <c r="D1672" s="351">
        <f t="shared" ca="1" si="89"/>
        <v>80</v>
      </c>
      <c r="E1672" s="352">
        <v>12</v>
      </c>
      <c r="F1672" s="126" t="str" cm="1">
        <f t="array" aca="1" ref="F1672" ca="1">IF(OR(INDIRECT($B$2&amp;"!AM14")=$B$1350,B1672=0),"",REPT(" ",E1672)&amp;"summaryType: "&amp;CHAR(34)&amp;B1672&amp;CHAR(34)&amp;",")</f>
        <v/>
      </c>
    </row>
    <row r="1673" spans="1:6" hidden="1">
      <c r="A1673" s="150"/>
      <c r="B1673" s="130">
        <f ca="1">IFERROR(INDIRECT($B$2&amp;"!"&amp;C1673&amp;D1673),"")</f>
        <v>0</v>
      </c>
      <c r="C1673" s="350" t="s">
        <v>131</v>
      </c>
      <c r="D1673" s="351">
        <f t="shared" ca="1" si="89"/>
        <v>80</v>
      </c>
      <c r="E1673" s="352">
        <v>12</v>
      </c>
      <c r="F1673" s="126" t="str" cm="1">
        <f t="array" aca="1" ref="F1673" ca="1">IF(OR(INDIRECT($B$2&amp;"!AM14")=$B$1350,B1673=0),"",REPT(" ",E1673)&amp;"displayFormat: "&amp;CHAR(34)&amp;"{0} Items"&amp;CHAR(34)&amp;",")</f>
        <v/>
      </c>
    </row>
    <row r="1674" spans="1:6" hidden="1">
      <c r="A1674" s="150" t="s">
        <v>1037</v>
      </c>
      <c r="B1674" s="130">
        <f ca="1">IFERROR(INDIRECT($B$2&amp;"!"&amp;C1674&amp;D1674),"")</f>
        <v>0</v>
      </c>
      <c r="C1674" s="350" t="s">
        <v>133</v>
      </c>
      <c r="D1674" s="351">
        <f t="shared" ca="1" si="89"/>
        <v>80</v>
      </c>
      <c r="E1674" s="352">
        <v>12</v>
      </c>
      <c r="F1674" s="126" t="str" cm="1">
        <f t="array" aca="1" ref="F1674" ca="1">IF(OR(INDIRECT($B$2&amp;"!AM14")=$B$1350,B1674=0),"",REPT(" ",E1674)&amp;A1674&amp;CHAR(34)&amp;B1674&amp;CHAR(34)&amp;",")</f>
        <v/>
      </c>
    </row>
    <row r="1675" spans="1:6" hidden="1">
      <c r="A1675" s="150" t="s">
        <v>65</v>
      </c>
      <c r="B1675" s="130">
        <f ca="1">IFERROR(INDIRECT($B$2&amp;"!"&amp;C1675&amp;D1675),"")</f>
        <v>0</v>
      </c>
      <c r="C1675" s="350" t="s">
        <v>131</v>
      </c>
      <c r="D1675" s="351">
        <f t="shared" ca="1" si="89"/>
        <v>80</v>
      </c>
      <c r="E1675" s="352">
        <v>9</v>
      </c>
      <c r="F1675" s="126" t="str" cm="1">
        <f t="array" aca="1" ref="F1675" ca="1">IF(OR(INDIRECT($B$2&amp;"!AM14")=$B$1350,B1675=0),"",REPT(" ",E1675)&amp;"},")</f>
        <v/>
      </c>
    </row>
    <row r="1676" spans="1:6" hidden="1">
      <c r="A1676" s="150">
        <f ca="1">IFERROR(INDIRECT($B$2&amp;"!"&amp;"C"&amp;D1676),"")</f>
        <v>0</v>
      </c>
      <c r="B1676" s="130">
        <f ca="1">IFERROR(INDIRECT($B$2&amp;"!"&amp;C1676&amp;D1676),"")</f>
        <v>0</v>
      </c>
      <c r="C1676" s="355" t="s">
        <v>131</v>
      </c>
      <c r="D1676" s="351">
        <f t="shared" ca="1" si="89"/>
        <v>81</v>
      </c>
      <c r="E1676" s="352">
        <v>9</v>
      </c>
      <c r="F1676" s="126" t="str">
        <f ca="1">IF(B1676=0,"",REPT(" ",E1676)&amp;"{ column: "&amp;CHAR(34)&amp;A1676&amp;CHAR(34)&amp;",")</f>
        <v/>
      </c>
    </row>
    <row r="1677" spans="1:6" hidden="1">
      <c r="A1677" s="150"/>
      <c r="B1677" s="130" cm="1">
        <f t="array" aca="1" ref="B1677" ca="1">INDIRECT($B$2&amp;"!"&amp;C1677&amp;D1677)</f>
        <v>0</v>
      </c>
      <c r="C1677" s="350" t="s">
        <v>131</v>
      </c>
      <c r="D1677" s="351">
        <f t="shared" ca="1" si="89"/>
        <v>81</v>
      </c>
      <c r="E1677" s="352">
        <v>12</v>
      </c>
      <c r="F1677" s="126" t="str" cm="1">
        <f t="array" aca="1" ref="F1677" ca="1">IF(OR(INDIRECT($B$2&amp;"!AM14")=$B$1350,B1677=0),"",REPT(" ",E1677)&amp;"summaryType: "&amp;CHAR(34)&amp;B1677&amp;CHAR(34)&amp;",")</f>
        <v/>
      </c>
    </row>
    <row r="1678" spans="1:6" hidden="1">
      <c r="A1678" s="150"/>
      <c r="B1678" s="130">
        <f ca="1">IFERROR(INDIRECT($B$2&amp;"!"&amp;C1678&amp;D1678),"")</f>
        <v>0</v>
      </c>
      <c r="C1678" s="350" t="s">
        <v>131</v>
      </c>
      <c r="D1678" s="351">
        <f t="shared" ca="1" si="89"/>
        <v>81</v>
      </c>
      <c r="E1678" s="352">
        <v>12</v>
      </c>
      <c r="F1678" s="126" t="str" cm="1">
        <f t="array" aca="1" ref="F1678" ca="1">IF(OR(INDIRECT($B$2&amp;"!AM14")=$B$1350,B1678=0),"",REPT(" ",E1678)&amp;"displayFormat: "&amp;CHAR(34)&amp;"{0} Items"&amp;CHAR(34)&amp;",")</f>
        <v/>
      </c>
    </row>
    <row r="1679" spans="1:6" hidden="1">
      <c r="A1679" s="150" t="s">
        <v>1037</v>
      </c>
      <c r="B1679" s="130">
        <f ca="1">IFERROR(INDIRECT($B$2&amp;"!"&amp;C1679&amp;D1679),"")</f>
        <v>0</v>
      </c>
      <c r="C1679" s="350" t="s">
        <v>133</v>
      </c>
      <c r="D1679" s="351">
        <f t="shared" ca="1" si="89"/>
        <v>81</v>
      </c>
      <c r="E1679" s="352">
        <v>12</v>
      </c>
      <c r="F1679" s="126" t="str" cm="1">
        <f t="array" aca="1" ref="F1679" ca="1">IF(OR(INDIRECT($B$2&amp;"!AM14")=$B$1350,B1679=0),"",REPT(" ",E1679)&amp;A1679&amp;CHAR(34)&amp;B1679&amp;CHAR(34)&amp;",")</f>
        <v/>
      </c>
    </row>
    <row r="1680" spans="1:6" hidden="1">
      <c r="A1680" s="150" t="s">
        <v>65</v>
      </c>
      <c r="B1680" s="130">
        <f ca="1">IFERROR(INDIRECT($B$2&amp;"!"&amp;C1680&amp;D1680),"")</f>
        <v>0</v>
      </c>
      <c r="C1680" s="350" t="s">
        <v>131</v>
      </c>
      <c r="D1680" s="351">
        <f t="shared" ca="1" si="89"/>
        <v>81</v>
      </c>
      <c r="E1680" s="352">
        <v>9</v>
      </c>
      <c r="F1680" s="126" t="str" cm="1">
        <f t="array" aca="1" ref="F1680" ca="1">IF(OR(INDIRECT($B$2&amp;"!AM14")=$B$1350,B1680=0),"",REPT(" ",E1680)&amp;"},")</f>
        <v/>
      </c>
    </row>
    <row r="1681" spans="1:6" hidden="1">
      <c r="A1681" s="150">
        <f ca="1">IFERROR(INDIRECT($B$2&amp;"!"&amp;"C"&amp;D1681),"")</f>
        <v>0</v>
      </c>
      <c r="B1681" s="130">
        <f ca="1">IFERROR(INDIRECT($B$2&amp;"!"&amp;C1681&amp;D1681),"")</f>
        <v>0</v>
      </c>
      <c r="C1681" s="355" t="s">
        <v>131</v>
      </c>
      <c r="D1681" s="351">
        <f t="shared" ca="1" si="89"/>
        <v>82</v>
      </c>
      <c r="E1681" s="352">
        <v>9</v>
      </c>
      <c r="F1681" s="126" t="str">
        <f ca="1">IF(B1681=0,"",REPT(" ",E1681)&amp;"{ column: "&amp;CHAR(34)&amp;A1681&amp;CHAR(34)&amp;",")</f>
        <v/>
      </c>
    </row>
    <row r="1682" spans="1:6" hidden="1">
      <c r="A1682" s="150"/>
      <c r="B1682" s="130" cm="1">
        <f t="array" aca="1" ref="B1682" ca="1">INDIRECT($B$2&amp;"!"&amp;C1682&amp;D1682)</f>
        <v>0</v>
      </c>
      <c r="C1682" s="350" t="s">
        <v>131</v>
      </c>
      <c r="D1682" s="351">
        <f t="shared" ca="1" si="89"/>
        <v>82</v>
      </c>
      <c r="E1682" s="352">
        <v>12</v>
      </c>
      <c r="F1682" s="126" t="str" cm="1">
        <f t="array" aca="1" ref="F1682" ca="1">IF(OR(INDIRECT($B$2&amp;"!AM14")=$B$1350,B1682=0),"",REPT(" ",E1682)&amp;"summaryType: "&amp;CHAR(34)&amp;B1682&amp;CHAR(34)&amp;",")</f>
        <v/>
      </c>
    </row>
    <row r="1683" spans="1:6" hidden="1">
      <c r="A1683" s="150"/>
      <c r="B1683" s="130">
        <f ca="1">IFERROR(INDIRECT($B$2&amp;"!"&amp;C1683&amp;D1683),"")</f>
        <v>0</v>
      </c>
      <c r="C1683" s="350" t="s">
        <v>131</v>
      </c>
      <c r="D1683" s="351">
        <f t="shared" ref="D1683:D1746" ca="1" si="90">IF(TRIM(A1682)="N",1,0)+D1682</f>
        <v>82</v>
      </c>
      <c r="E1683" s="352">
        <v>12</v>
      </c>
      <c r="F1683" s="126" t="str" cm="1">
        <f t="array" aca="1" ref="F1683" ca="1">IF(OR(INDIRECT($B$2&amp;"!AM14")=$B$1350,B1683=0),"",REPT(" ",E1683)&amp;"displayFormat: "&amp;CHAR(34)&amp;"{0} Items"&amp;CHAR(34)&amp;",")</f>
        <v/>
      </c>
    </row>
    <row r="1684" spans="1:6" hidden="1">
      <c r="A1684" s="150" t="s">
        <v>1037</v>
      </c>
      <c r="B1684" s="130">
        <f ca="1">IFERROR(INDIRECT($B$2&amp;"!"&amp;C1684&amp;D1684),"")</f>
        <v>0</v>
      </c>
      <c r="C1684" s="350" t="s">
        <v>133</v>
      </c>
      <c r="D1684" s="351">
        <f t="shared" ca="1" si="90"/>
        <v>82</v>
      </c>
      <c r="E1684" s="352">
        <v>12</v>
      </c>
      <c r="F1684" s="126" t="str" cm="1">
        <f t="array" aca="1" ref="F1684" ca="1">IF(OR(INDIRECT($B$2&amp;"!AM14")=$B$1350,B1684=0),"",REPT(" ",E1684)&amp;A1684&amp;CHAR(34)&amp;B1684&amp;CHAR(34)&amp;",")</f>
        <v/>
      </c>
    </row>
    <row r="1685" spans="1:6" hidden="1">
      <c r="A1685" s="150" t="s">
        <v>65</v>
      </c>
      <c r="B1685" s="130">
        <f ca="1">IFERROR(INDIRECT($B$2&amp;"!"&amp;C1685&amp;D1685),"")</f>
        <v>0</v>
      </c>
      <c r="C1685" s="350" t="s">
        <v>131</v>
      </c>
      <c r="D1685" s="351">
        <f t="shared" ca="1" si="90"/>
        <v>82</v>
      </c>
      <c r="E1685" s="352">
        <v>9</v>
      </c>
      <c r="F1685" s="126" t="str" cm="1">
        <f t="array" aca="1" ref="F1685" ca="1">IF(OR(INDIRECT($B$2&amp;"!AM14")=$B$1350,B1685=0),"",REPT(" ",E1685)&amp;"},")</f>
        <v/>
      </c>
    </row>
    <row r="1686" spans="1:6" hidden="1">
      <c r="A1686" s="150">
        <f ca="1">IFERROR(INDIRECT($B$2&amp;"!"&amp;"C"&amp;D1686),"")</f>
        <v>0</v>
      </c>
      <c r="B1686" s="130">
        <f ca="1">IFERROR(INDIRECT($B$2&amp;"!"&amp;C1686&amp;D1686),"")</f>
        <v>0</v>
      </c>
      <c r="C1686" s="355" t="s">
        <v>131</v>
      </c>
      <c r="D1686" s="351">
        <f t="shared" ca="1" si="90"/>
        <v>83</v>
      </c>
      <c r="E1686" s="352">
        <v>9</v>
      </c>
      <c r="F1686" s="126" t="str">
        <f ca="1">IF(B1686=0,"",REPT(" ",E1686)&amp;"{ column: "&amp;CHAR(34)&amp;A1686&amp;CHAR(34)&amp;",")</f>
        <v/>
      </c>
    </row>
    <row r="1687" spans="1:6" hidden="1">
      <c r="A1687" s="150"/>
      <c r="B1687" s="130" cm="1">
        <f t="array" aca="1" ref="B1687" ca="1">INDIRECT($B$2&amp;"!"&amp;C1687&amp;D1687)</f>
        <v>0</v>
      </c>
      <c r="C1687" s="350" t="s">
        <v>131</v>
      </c>
      <c r="D1687" s="351">
        <f t="shared" ca="1" si="90"/>
        <v>83</v>
      </c>
      <c r="E1687" s="352">
        <v>12</v>
      </c>
      <c r="F1687" s="126" t="str" cm="1">
        <f t="array" aca="1" ref="F1687" ca="1">IF(OR(INDIRECT($B$2&amp;"!AM14")=$B$1350,B1687=0),"",REPT(" ",E1687)&amp;"summaryType: "&amp;CHAR(34)&amp;B1687&amp;CHAR(34)&amp;",")</f>
        <v/>
      </c>
    </row>
    <row r="1688" spans="1:6" hidden="1">
      <c r="A1688" s="150"/>
      <c r="B1688" s="130">
        <f ca="1">IFERROR(INDIRECT($B$2&amp;"!"&amp;C1688&amp;D1688),"")</f>
        <v>0</v>
      </c>
      <c r="C1688" s="350" t="s">
        <v>131</v>
      </c>
      <c r="D1688" s="351">
        <f t="shared" ca="1" si="90"/>
        <v>83</v>
      </c>
      <c r="E1688" s="352">
        <v>12</v>
      </c>
      <c r="F1688" s="126" t="str" cm="1">
        <f t="array" aca="1" ref="F1688" ca="1">IF(OR(INDIRECT($B$2&amp;"!AM14")=$B$1350,B1688=0),"",REPT(" ",E1688)&amp;"displayFormat: "&amp;CHAR(34)&amp;"{0} Items"&amp;CHAR(34)&amp;",")</f>
        <v/>
      </c>
    </row>
    <row r="1689" spans="1:6" hidden="1">
      <c r="A1689" s="150" t="s">
        <v>1037</v>
      </c>
      <c r="B1689" s="130">
        <f ca="1">IFERROR(INDIRECT($B$2&amp;"!"&amp;C1689&amp;D1689),"")</f>
        <v>0</v>
      </c>
      <c r="C1689" s="350" t="s">
        <v>133</v>
      </c>
      <c r="D1689" s="351">
        <f t="shared" ca="1" si="90"/>
        <v>83</v>
      </c>
      <c r="E1689" s="352">
        <v>12</v>
      </c>
      <c r="F1689" s="126" t="str" cm="1">
        <f t="array" aca="1" ref="F1689" ca="1">IF(OR(INDIRECT($B$2&amp;"!AM14")=$B$1350,B1689=0),"",REPT(" ",E1689)&amp;A1689&amp;CHAR(34)&amp;B1689&amp;CHAR(34)&amp;",")</f>
        <v/>
      </c>
    </row>
    <row r="1690" spans="1:6" hidden="1">
      <c r="A1690" s="150" t="s">
        <v>65</v>
      </c>
      <c r="B1690" s="130">
        <f ca="1">IFERROR(INDIRECT($B$2&amp;"!"&amp;C1690&amp;D1690),"")</f>
        <v>0</v>
      </c>
      <c r="C1690" s="350" t="s">
        <v>131</v>
      </c>
      <c r="D1690" s="351">
        <f t="shared" ca="1" si="90"/>
        <v>83</v>
      </c>
      <c r="E1690" s="352">
        <v>9</v>
      </c>
      <c r="F1690" s="126" t="str" cm="1">
        <f t="array" aca="1" ref="F1690" ca="1">IF(OR(INDIRECT($B$2&amp;"!AM14")=$B$1350,B1690=0),"",REPT(" ",E1690)&amp;"},")</f>
        <v/>
      </c>
    </row>
    <row r="1691" spans="1:6" hidden="1">
      <c r="A1691" s="150">
        <f ca="1">IFERROR(INDIRECT($B$2&amp;"!"&amp;"C"&amp;D1691),"")</f>
        <v>0</v>
      </c>
      <c r="B1691" s="130">
        <f ca="1">IFERROR(INDIRECT($B$2&amp;"!"&amp;C1691&amp;D1691),"")</f>
        <v>0</v>
      </c>
      <c r="C1691" s="355" t="s">
        <v>131</v>
      </c>
      <c r="D1691" s="351">
        <f t="shared" ca="1" si="90"/>
        <v>84</v>
      </c>
      <c r="E1691" s="352">
        <v>9</v>
      </c>
      <c r="F1691" s="126" t="str">
        <f ca="1">IF(B1691=0,"",REPT(" ",E1691)&amp;"{ column: "&amp;CHAR(34)&amp;A1691&amp;CHAR(34)&amp;",")</f>
        <v/>
      </c>
    </row>
    <row r="1692" spans="1:6" hidden="1">
      <c r="A1692" s="150"/>
      <c r="B1692" s="130" cm="1">
        <f t="array" aca="1" ref="B1692" ca="1">INDIRECT($B$2&amp;"!"&amp;C1692&amp;D1692)</f>
        <v>0</v>
      </c>
      <c r="C1692" s="350" t="s">
        <v>131</v>
      </c>
      <c r="D1692" s="351">
        <f t="shared" ca="1" si="90"/>
        <v>84</v>
      </c>
      <c r="E1692" s="352">
        <v>12</v>
      </c>
      <c r="F1692" s="126" t="str" cm="1">
        <f t="array" aca="1" ref="F1692" ca="1">IF(OR(INDIRECT($B$2&amp;"!AM14")=$B$1350,B1692=0),"",REPT(" ",E1692)&amp;"summaryType: "&amp;CHAR(34)&amp;B1692&amp;CHAR(34)&amp;",")</f>
        <v/>
      </c>
    </row>
    <row r="1693" spans="1:6" hidden="1">
      <c r="A1693" s="150"/>
      <c r="B1693" s="130">
        <f ca="1">IFERROR(INDIRECT($B$2&amp;"!"&amp;C1693&amp;D1693),"")</f>
        <v>0</v>
      </c>
      <c r="C1693" s="350" t="s">
        <v>131</v>
      </c>
      <c r="D1693" s="351">
        <f t="shared" ca="1" si="90"/>
        <v>84</v>
      </c>
      <c r="E1693" s="352">
        <v>12</v>
      </c>
      <c r="F1693" s="126" t="str" cm="1">
        <f t="array" aca="1" ref="F1693" ca="1">IF(OR(INDIRECT($B$2&amp;"!AM14")=$B$1350,B1693=0),"",REPT(" ",E1693)&amp;"displayFormat: "&amp;CHAR(34)&amp;"{0} Items"&amp;CHAR(34)&amp;",")</f>
        <v/>
      </c>
    </row>
    <row r="1694" spans="1:6" hidden="1">
      <c r="A1694" s="150" t="s">
        <v>1037</v>
      </c>
      <c r="B1694" s="130">
        <f ca="1">IFERROR(INDIRECT($B$2&amp;"!"&amp;C1694&amp;D1694),"")</f>
        <v>0</v>
      </c>
      <c r="C1694" s="350" t="s">
        <v>133</v>
      </c>
      <c r="D1694" s="351">
        <f t="shared" ca="1" si="90"/>
        <v>84</v>
      </c>
      <c r="E1694" s="352">
        <v>12</v>
      </c>
      <c r="F1694" s="126" t="str" cm="1">
        <f t="array" aca="1" ref="F1694" ca="1">IF(OR(INDIRECT($B$2&amp;"!AM14")=$B$1350,B1694=0),"",REPT(" ",E1694)&amp;A1694&amp;CHAR(34)&amp;B1694&amp;CHAR(34)&amp;",")</f>
        <v/>
      </c>
    </row>
    <row r="1695" spans="1:6" hidden="1">
      <c r="A1695" s="150" t="s">
        <v>65</v>
      </c>
      <c r="B1695" s="130">
        <f ca="1">IFERROR(INDIRECT($B$2&amp;"!"&amp;C1695&amp;D1695),"")</f>
        <v>0</v>
      </c>
      <c r="C1695" s="350" t="s">
        <v>131</v>
      </c>
      <c r="D1695" s="351">
        <f t="shared" ca="1" si="90"/>
        <v>84</v>
      </c>
      <c r="E1695" s="352">
        <v>9</v>
      </c>
      <c r="F1695" s="126" t="str" cm="1">
        <f t="array" aca="1" ref="F1695" ca="1">IF(OR(INDIRECT($B$2&amp;"!AM14")=$B$1350,B1695=0),"",REPT(" ",E1695)&amp;"},")</f>
        <v/>
      </c>
    </row>
    <row r="1696" spans="1:6" hidden="1">
      <c r="A1696" s="150">
        <f ca="1">IFERROR(INDIRECT($B$2&amp;"!"&amp;"C"&amp;D1696),"")</f>
        <v>0</v>
      </c>
      <c r="B1696" s="130">
        <f ca="1">IFERROR(INDIRECT($B$2&amp;"!"&amp;C1696&amp;D1696),"")</f>
        <v>0</v>
      </c>
      <c r="C1696" s="355" t="s">
        <v>131</v>
      </c>
      <c r="D1696" s="351">
        <f t="shared" ca="1" si="90"/>
        <v>85</v>
      </c>
      <c r="E1696" s="352">
        <v>9</v>
      </c>
      <c r="F1696" s="126" t="str">
        <f ca="1">IF(B1696=0,"",REPT(" ",E1696)&amp;"{ column: "&amp;CHAR(34)&amp;A1696&amp;CHAR(34)&amp;",")</f>
        <v/>
      </c>
    </row>
    <row r="1697" spans="1:6" hidden="1">
      <c r="A1697" s="150"/>
      <c r="B1697" s="130" cm="1">
        <f t="array" aca="1" ref="B1697" ca="1">INDIRECT($B$2&amp;"!"&amp;C1697&amp;D1697)</f>
        <v>0</v>
      </c>
      <c r="C1697" s="350" t="s">
        <v>131</v>
      </c>
      <c r="D1697" s="351">
        <f t="shared" ca="1" si="90"/>
        <v>85</v>
      </c>
      <c r="E1697" s="352">
        <v>12</v>
      </c>
      <c r="F1697" s="126" t="str" cm="1">
        <f t="array" aca="1" ref="F1697" ca="1">IF(OR(INDIRECT($B$2&amp;"!AM14")=$B$1350,B1697=0),"",REPT(" ",E1697)&amp;"summaryType: "&amp;CHAR(34)&amp;B1697&amp;CHAR(34)&amp;",")</f>
        <v/>
      </c>
    </row>
    <row r="1698" spans="1:6" hidden="1">
      <c r="A1698" s="150"/>
      <c r="B1698" s="130">
        <f ca="1">IFERROR(INDIRECT($B$2&amp;"!"&amp;C1698&amp;D1698),"")</f>
        <v>0</v>
      </c>
      <c r="C1698" s="350" t="s">
        <v>131</v>
      </c>
      <c r="D1698" s="351">
        <f t="shared" ca="1" si="90"/>
        <v>85</v>
      </c>
      <c r="E1698" s="352">
        <v>12</v>
      </c>
      <c r="F1698" s="126" t="str" cm="1">
        <f t="array" aca="1" ref="F1698" ca="1">IF(OR(INDIRECT($B$2&amp;"!AM14")=$B$1350,B1698=0),"",REPT(" ",E1698)&amp;"displayFormat: "&amp;CHAR(34)&amp;"{0} Items"&amp;CHAR(34)&amp;",")</f>
        <v/>
      </c>
    </row>
    <row r="1699" spans="1:6" hidden="1">
      <c r="A1699" s="150" t="s">
        <v>1037</v>
      </c>
      <c r="B1699" s="130">
        <f ca="1">IFERROR(INDIRECT($B$2&amp;"!"&amp;C1699&amp;D1699),"")</f>
        <v>0</v>
      </c>
      <c r="C1699" s="350" t="s">
        <v>133</v>
      </c>
      <c r="D1699" s="351">
        <f t="shared" ca="1" si="90"/>
        <v>85</v>
      </c>
      <c r="E1699" s="352">
        <v>12</v>
      </c>
      <c r="F1699" s="126" t="str" cm="1">
        <f t="array" aca="1" ref="F1699" ca="1">IF(OR(INDIRECT($B$2&amp;"!AM14")=$B$1350,B1699=0),"",REPT(" ",E1699)&amp;A1699&amp;CHAR(34)&amp;B1699&amp;CHAR(34)&amp;",")</f>
        <v/>
      </c>
    </row>
    <row r="1700" spans="1:6" hidden="1">
      <c r="A1700" s="150" t="s">
        <v>65</v>
      </c>
      <c r="B1700" s="130">
        <f ca="1">IFERROR(INDIRECT($B$2&amp;"!"&amp;C1700&amp;D1700),"")</f>
        <v>0</v>
      </c>
      <c r="C1700" s="350" t="s">
        <v>131</v>
      </c>
      <c r="D1700" s="351">
        <f t="shared" ca="1" si="90"/>
        <v>85</v>
      </c>
      <c r="E1700" s="352">
        <v>9</v>
      </c>
      <c r="F1700" s="126" t="str" cm="1">
        <f t="array" aca="1" ref="F1700" ca="1">IF(OR(INDIRECT($B$2&amp;"!AM14")=$B$1350,B1700=0),"",REPT(" ",E1700)&amp;"},")</f>
        <v/>
      </c>
    </row>
    <row r="1701" spans="1:6" hidden="1">
      <c r="A1701" s="150">
        <f ca="1">IFERROR(INDIRECT($B$2&amp;"!"&amp;"C"&amp;D1701),"")</f>
        <v>0</v>
      </c>
      <c r="B1701" s="130">
        <f ca="1">IFERROR(INDIRECT($B$2&amp;"!"&amp;C1701&amp;D1701),"")</f>
        <v>0</v>
      </c>
      <c r="C1701" s="355" t="s">
        <v>131</v>
      </c>
      <c r="D1701" s="351">
        <f t="shared" ca="1" si="90"/>
        <v>86</v>
      </c>
      <c r="E1701" s="352">
        <v>9</v>
      </c>
      <c r="F1701" s="126" t="str">
        <f ca="1">IF(B1701=0,"",REPT(" ",E1701)&amp;"{ column: "&amp;CHAR(34)&amp;A1701&amp;CHAR(34)&amp;",")</f>
        <v/>
      </c>
    </row>
    <row r="1702" spans="1:6" hidden="1">
      <c r="A1702" s="150"/>
      <c r="B1702" s="130" cm="1">
        <f t="array" aca="1" ref="B1702" ca="1">INDIRECT($B$2&amp;"!"&amp;C1702&amp;D1702)</f>
        <v>0</v>
      </c>
      <c r="C1702" s="350" t="s">
        <v>131</v>
      </c>
      <c r="D1702" s="351">
        <f t="shared" ca="1" si="90"/>
        <v>86</v>
      </c>
      <c r="E1702" s="352">
        <v>12</v>
      </c>
      <c r="F1702" s="126" t="str" cm="1">
        <f t="array" aca="1" ref="F1702" ca="1">IF(OR(INDIRECT($B$2&amp;"!AM14")=$B$1350,B1702=0),"",REPT(" ",E1702)&amp;"summaryType: "&amp;CHAR(34)&amp;B1702&amp;CHAR(34)&amp;",")</f>
        <v/>
      </c>
    </row>
    <row r="1703" spans="1:6" hidden="1">
      <c r="A1703" s="150"/>
      <c r="B1703" s="130">
        <f ca="1">IFERROR(INDIRECT($B$2&amp;"!"&amp;C1703&amp;D1703),"")</f>
        <v>0</v>
      </c>
      <c r="C1703" s="350" t="s">
        <v>131</v>
      </c>
      <c r="D1703" s="351">
        <f t="shared" ca="1" si="90"/>
        <v>86</v>
      </c>
      <c r="E1703" s="352">
        <v>12</v>
      </c>
      <c r="F1703" s="126" t="str" cm="1">
        <f t="array" aca="1" ref="F1703" ca="1">IF(OR(INDIRECT($B$2&amp;"!AM14")=$B$1350,B1703=0),"",REPT(" ",E1703)&amp;"displayFormat: "&amp;CHAR(34)&amp;"{0} Items"&amp;CHAR(34)&amp;",")</f>
        <v/>
      </c>
    </row>
    <row r="1704" spans="1:6" hidden="1">
      <c r="A1704" s="150" t="s">
        <v>1037</v>
      </c>
      <c r="B1704" s="130">
        <f ca="1">IFERROR(INDIRECT($B$2&amp;"!"&amp;C1704&amp;D1704),"")</f>
        <v>0</v>
      </c>
      <c r="C1704" s="350" t="s">
        <v>133</v>
      </c>
      <c r="D1704" s="351">
        <f t="shared" ca="1" si="90"/>
        <v>86</v>
      </c>
      <c r="E1704" s="352">
        <v>12</v>
      </c>
      <c r="F1704" s="126" t="str" cm="1">
        <f t="array" aca="1" ref="F1704" ca="1">IF(OR(INDIRECT($B$2&amp;"!AM14")=$B$1350,B1704=0),"",REPT(" ",E1704)&amp;A1704&amp;CHAR(34)&amp;B1704&amp;CHAR(34)&amp;",")</f>
        <v/>
      </c>
    </row>
    <row r="1705" spans="1:6" hidden="1">
      <c r="A1705" s="150" t="s">
        <v>65</v>
      </c>
      <c r="B1705" s="130">
        <f ca="1">IFERROR(INDIRECT($B$2&amp;"!"&amp;C1705&amp;D1705),"")</f>
        <v>0</v>
      </c>
      <c r="C1705" s="350" t="s">
        <v>131</v>
      </c>
      <c r="D1705" s="351">
        <f t="shared" ca="1" si="90"/>
        <v>86</v>
      </c>
      <c r="E1705" s="352">
        <v>9</v>
      </c>
      <c r="F1705" s="126" t="str" cm="1">
        <f t="array" aca="1" ref="F1705" ca="1">IF(OR(INDIRECT($B$2&amp;"!AM14")=$B$1350,B1705=0),"",REPT(" ",E1705)&amp;"},")</f>
        <v/>
      </c>
    </row>
    <row r="1706" spans="1:6" hidden="1">
      <c r="A1706" s="150">
        <f ca="1">IFERROR(INDIRECT($B$2&amp;"!"&amp;"C"&amp;D1706),"")</f>
        <v>0</v>
      </c>
      <c r="B1706" s="130">
        <f ca="1">IFERROR(INDIRECT($B$2&amp;"!"&amp;C1706&amp;D1706),"")</f>
        <v>0</v>
      </c>
      <c r="C1706" s="355" t="s">
        <v>131</v>
      </c>
      <c r="D1706" s="351">
        <f t="shared" ca="1" si="90"/>
        <v>87</v>
      </c>
      <c r="E1706" s="352">
        <v>9</v>
      </c>
      <c r="F1706" s="126" t="str">
        <f ca="1">IF(B1706=0,"",REPT(" ",E1706)&amp;"{ column: "&amp;CHAR(34)&amp;A1706&amp;CHAR(34)&amp;",")</f>
        <v/>
      </c>
    </row>
    <row r="1707" spans="1:6" hidden="1">
      <c r="A1707" s="150"/>
      <c r="B1707" s="130" cm="1">
        <f t="array" aca="1" ref="B1707" ca="1">INDIRECT($B$2&amp;"!"&amp;C1707&amp;D1707)</f>
        <v>0</v>
      </c>
      <c r="C1707" s="350" t="s">
        <v>131</v>
      </c>
      <c r="D1707" s="351">
        <f t="shared" ca="1" si="90"/>
        <v>87</v>
      </c>
      <c r="E1707" s="352">
        <v>12</v>
      </c>
      <c r="F1707" s="126" t="str" cm="1">
        <f t="array" aca="1" ref="F1707" ca="1">IF(OR(INDIRECT($B$2&amp;"!AM14")=$B$1350,B1707=0),"",REPT(" ",E1707)&amp;"summaryType: "&amp;CHAR(34)&amp;B1707&amp;CHAR(34)&amp;",")</f>
        <v/>
      </c>
    </row>
    <row r="1708" spans="1:6" hidden="1">
      <c r="A1708" s="150"/>
      <c r="B1708" s="130">
        <f ca="1">IFERROR(INDIRECT($B$2&amp;"!"&amp;C1708&amp;D1708),"")</f>
        <v>0</v>
      </c>
      <c r="C1708" s="350" t="s">
        <v>131</v>
      </c>
      <c r="D1708" s="351">
        <f t="shared" ca="1" si="90"/>
        <v>87</v>
      </c>
      <c r="E1708" s="352">
        <v>12</v>
      </c>
      <c r="F1708" s="126" t="str" cm="1">
        <f t="array" aca="1" ref="F1708" ca="1">IF(OR(INDIRECT($B$2&amp;"!AM14")=$B$1350,B1708=0),"",REPT(" ",E1708)&amp;"displayFormat: "&amp;CHAR(34)&amp;"{0} Items"&amp;CHAR(34)&amp;",")</f>
        <v/>
      </c>
    </row>
    <row r="1709" spans="1:6" hidden="1">
      <c r="A1709" s="150" t="s">
        <v>1037</v>
      </c>
      <c r="B1709" s="130">
        <f ca="1">IFERROR(INDIRECT($B$2&amp;"!"&amp;C1709&amp;D1709),"")</f>
        <v>0</v>
      </c>
      <c r="C1709" s="350" t="s">
        <v>133</v>
      </c>
      <c r="D1709" s="351">
        <f t="shared" ca="1" si="90"/>
        <v>87</v>
      </c>
      <c r="E1709" s="352">
        <v>12</v>
      </c>
      <c r="F1709" s="126" t="str" cm="1">
        <f t="array" aca="1" ref="F1709" ca="1">IF(OR(INDIRECT($B$2&amp;"!AM14")=$B$1350,B1709=0),"",REPT(" ",E1709)&amp;A1709&amp;CHAR(34)&amp;B1709&amp;CHAR(34)&amp;",")</f>
        <v/>
      </c>
    </row>
    <row r="1710" spans="1:6" hidden="1">
      <c r="A1710" s="150" t="s">
        <v>65</v>
      </c>
      <c r="B1710" s="130">
        <f ca="1">IFERROR(INDIRECT($B$2&amp;"!"&amp;C1710&amp;D1710),"")</f>
        <v>0</v>
      </c>
      <c r="C1710" s="350" t="s">
        <v>131</v>
      </c>
      <c r="D1710" s="351">
        <f t="shared" ca="1" si="90"/>
        <v>87</v>
      </c>
      <c r="E1710" s="352">
        <v>9</v>
      </c>
      <c r="F1710" s="126" t="str" cm="1">
        <f t="array" aca="1" ref="F1710" ca="1">IF(OR(INDIRECT($B$2&amp;"!AM14")=$B$1350,B1710=0),"",REPT(" ",E1710)&amp;"},")</f>
        <v/>
      </c>
    </row>
    <row r="1711" spans="1:6" hidden="1">
      <c r="A1711" s="150">
        <f ca="1">IFERROR(INDIRECT($B$2&amp;"!"&amp;"C"&amp;D1711),"")</f>
        <v>0</v>
      </c>
      <c r="B1711" s="130">
        <f ca="1">IFERROR(INDIRECT($B$2&amp;"!"&amp;C1711&amp;D1711),"")</f>
        <v>0</v>
      </c>
      <c r="C1711" s="355" t="s">
        <v>131</v>
      </c>
      <c r="D1711" s="351">
        <f t="shared" ca="1" si="90"/>
        <v>88</v>
      </c>
      <c r="E1711" s="352">
        <v>9</v>
      </c>
      <c r="F1711" s="126" t="str">
        <f ca="1">IF(B1711=0,"",REPT(" ",E1711)&amp;"{ column: "&amp;CHAR(34)&amp;A1711&amp;CHAR(34)&amp;",")</f>
        <v/>
      </c>
    </row>
    <row r="1712" spans="1:6" hidden="1">
      <c r="A1712" s="150"/>
      <c r="B1712" s="130" cm="1">
        <f t="array" aca="1" ref="B1712" ca="1">INDIRECT($B$2&amp;"!"&amp;C1712&amp;D1712)</f>
        <v>0</v>
      </c>
      <c r="C1712" s="350" t="s">
        <v>131</v>
      </c>
      <c r="D1712" s="351">
        <f t="shared" ca="1" si="90"/>
        <v>88</v>
      </c>
      <c r="E1712" s="352">
        <v>12</v>
      </c>
      <c r="F1712" s="126" t="str" cm="1">
        <f t="array" aca="1" ref="F1712" ca="1">IF(OR(INDIRECT($B$2&amp;"!AM14")=$B$1350,B1712=0),"",REPT(" ",E1712)&amp;"summaryType: "&amp;CHAR(34)&amp;B1712&amp;CHAR(34)&amp;",")</f>
        <v/>
      </c>
    </row>
    <row r="1713" spans="1:6" hidden="1">
      <c r="A1713" s="150"/>
      <c r="B1713" s="130">
        <f ca="1">IFERROR(INDIRECT($B$2&amp;"!"&amp;C1713&amp;D1713),"")</f>
        <v>0</v>
      </c>
      <c r="C1713" s="350" t="s">
        <v>131</v>
      </c>
      <c r="D1713" s="351">
        <f t="shared" ca="1" si="90"/>
        <v>88</v>
      </c>
      <c r="E1713" s="352">
        <v>12</v>
      </c>
      <c r="F1713" s="126" t="str" cm="1">
        <f t="array" aca="1" ref="F1713" ca="1">IF(OR(INDIRECT($B$2&amp;"!AM14")=$B$1350,B1713=0),"",REPT(" ",E1713)&amp;"displayFormat: "&amp;CHAR(34)&amp;"{0} Items"&amp;CHAR(34)&amp;",")</f>
        <v/>
      </c>
    </row>
    <row r="1714" spans="1:6" hidden="1">
      <c r="A1714" s="150" t="s">
        <v>1037</v>
      </c>
      <c r="B1714" s="130">
        <f ca="1">IFERROR(INDIRECT($B$2&amp;"!"&amp;C1714&amp;D1714),"")</f>
        <v>0</v>
      </c>
      <c r="C1714" s="350" t="s">
        <v>133</v>
      </c>
      <c r="D1714" s="351">
        <f t="shared" ca="1" si="90"/>
        <v>88</v>
      </c>
      <c r="E1714" s="352">
        <v>12</v>
      </c>
      <c r="F1714" s="126" t="str" cm="1">
        <f t="array" aca="1" ref="F1714" ca="1">IF(OR(INDIRECT($B$2&amp;"!AM14")=$B$1350,B1714=0),"",REPT(" ",E1714)&amp;A1714&amp;CHAR(34)&amp;B1714&amp;CHAR(34)&amp;",")</f>
        <v/>
      </c>
    </row>
    <row r="1715" spans="1:6" hidden="1">
      <c r="A1715" s="150" t="s">
        <v>65</v>
      </c>
      <c r="B1715" s="130">
        <f ca="1">IFERROR(INDIRECT($B$2&amp;"!"&amp;C1715&amp;D1715),"")</f>
        <v>0</v>
      </c>
      <c r="C1715" s="350" t="s">
        <v>131</v>
      </c>
      <c r="D1715" s="351">
        <f t="shared" ca="1" si="90"/>
        <v>88</v>
      </c>
      <c r="E1715" s="352">
        <v>9</v>
      </c>
      <c r="F1715" s="126" t="str" cm="1">
        <f t="array" aca="1" ref="F1715" ca="1">IF(OR(INDIRECT($B$2&amp;"!AM14")=$B$1350,B1715=0),"",REPT(" ",E1715)&amp;"},")</f>
        <v/>
      </c>
    </row>
    <row r="1716" spans="1:6" hidden="1">
      <c r="A1716" s="150">
        <f ca="1">IFERROR(INDIRECT($B$2&amp;"!"&amp;"C"&amp;D1716),"")</f>
        <v>0</v>
      </c>
      <c r="B1716" s="130">
        <f ca="1">IFERROR(INDIRECT($B$2&amp;"!"&amp;C1716&amp;D1716),"")</f>
        <v>0</v>
      </c>
      <c r="C1716" s="355" t="s">
        <v>131</v>
      </c>
      <c r="D1716" s="351">
        <f t="shared" ca="1" si="90"/>
        <v>89</v>
      </c>
      <c r="E1716" s="352">
        <v>9</v>
      </c>
      <c r="F1716" s="126" t="str">
        <f ca="1">IF(B1716=0,"",REPT(" ",E1716)&amp;"{ column: "&amp;CHAR(34)&amp;A1716&amp;CHAR(34)&amp;",")</f>
        <v/>
      </c>
    </row>
    <row r="1717" spans="1:6" hidden="1">
      <c r="A1717" s="150"/>
      <c r="B1717" s="130" cm="1">
        <f t="array" aca="1" ref="B1717" ca="1">INDIRECT($B$2&amp;"!"&amp;C1717&amp;D1717)</f>
        <v>0</v>
      </c>
      <c r="C1717" s="350" t="s">
        <v>131</v>
      </c>
      <c r="D1717" s="351">
        <f t="shared" ca="1" si="90"/>
        <v>89</v>
      </c>
      <c r="E1717" s="352">
        <v>12</v>
      </c>
      <c r="F1717" s="126" t="str" cm="1">
        <f t="array" aca="1" ref="F1717" ca="1">IF(OR(INDIRECT($B$2&amp;"!AM14")=$B$1350,B1717=0),"",REPT(" ",E1717)&amp;"summaryType: "&amp;CHAR(34)&amp;B1717&amp;CHAR(34)&amp;",")</f>
        <v/>
      </c>
    </row>
    <row r="1718" spans="1:6" hidden="1">
      <c r="A1718" s="150"/>
      <c r="B1718" s="130">
        <f ca="1">IFERROR(INDIRECT($B$2&amp;"!"&amp;C1718&amp;D1718),"")</f>
        <v>0</v>
      </c>
      <c r="C1718" s="350" t="s">
        <v>131</v>
      </c>
      <c r="D1718" s="351">
        <f t="shared" ca="1" si="90"/>
        <v>89</v>
      </c>
      <c r="E1718" s="352">
        <v>12</v>
      </c>
      <c r="F1718" s="126" t="str" cm="1">
        <f t="array" aca="1" ref="F1718" ca="1">IF(OR(INDIRECT($B$2&amp;"!AM14")=$B$1350,B1718=0),"",REPT(" ",E1718)&amp;"displayFormat: "&amp;CHAR(34)&amp;"{0} Items"&amp;CHAR(34)&amp;",")</f>
        <v/>
      </c>
    </row>
    <row r="1719" spans="1:6" hidden="1">
      <c r="A1719" s="150" t="s">
        <v>1037</v>
      </c>
      <c r="B1719" s="130">
        <f ca="1">IFERROR(INDIRECT($B$2&amp;"!"&amp;C1719&amp;D1719),"")</f>
        <v>0</v>
      </c>
      <c r="C1719" s="350" t="s">
        <v>133</v>
      </c>
      <c r="D1719" s="351">
        <f t="shared" ca="1" si="90"/>
        <v>89</v>
      </c>
      <c r="E1719" s="352">
        <v>12</v>
      </c>
      <c r="F1719" s="126" t="str" cm="1">
        <f t="array" aca="1" ref="F1719" ca="1">IF(OR(INDIRECT($B$2&amp;"!AM14")=$B$1350,B1719=0),"",REPT(" ",E1719)&amp;A1719&amp;CHAR(34)&amp;B1719&amp;CHAR(34)&amp;",")</f>
        <v/>
      </c>
    </row>
    <row r="1720" spans="1:6" hidden="1">
      <c r="A1720" s="150" t="s">
        <v>65</v>
      </c>
      <c r="B1720" s="130">
        <f ca="1">IFERROR(INDIRECT($B$2&amp;"!"&amp;C1720&amp;D1720),"")</f>
        <v>0</v>
      </c>
      <c r="C1720" s="350" t="s">
        <v>131</v>
      </c>
      <c r="D1720" s="351">
        <f t="shared" ca="1" si="90"/>
        <v>89</v>
      </c>
      <c r="E1720" s="352">
        <v>9</v>
      </c>
      <c r="F1720" s="126" t="str" cm="1">
        <f t="array" aca="1" ref="F1720" ca="1">IF(OR(INDIRECT($B$2&amp;"!AM14")=$B$1350,B1720=0),"",REPT(" ",E1720)&amp;"},")</f>
        <v/>
      </c>
    </row>
    <row r="1721" spans="1:6" hidden="1">
      <c r="A1721" s="150">
        <f ca="1">IFERROR(INDIRECT($B$2&amp;"!"&amp;"C"&amp;D1721),"")</f>
        <v>0</v>
      </c>
      <c r="B1721" s="130">
        <f ca="1">IFERROR(INDIRECT($B$2&amp;"!"&amp;C1721&amp;D1721),"")</f>
        <v>0</v>
      </c>
      <c r="C1721" s="355" t="s">
        <v>131</v>
      </c>
      <c r="D1721" s="351">
        <f t="shared" ca="1" si="90"/>
        <v>90</v>
      </c>
      <c r="E1721" s="352">
        <v>9</v>
      </c>
      <c r="F1721" s="126" t="str">
        <f ca="1">IF(B1721=0,"",REPT(" ",E1721)&amp;"{ column: "&amp;CHAR(34)&amp;A1721&amp;CHAR(34)&amp;",")</f>
        <v/>
      </c>
    </row>
    <row r="1722" spans="1:6" hidden="1">
      <c r="A1722" s="150"/>
      <c r="B1722" s="130" cm="1">
        <f t="array" aca="1" ref="B1722" ca="1">INDIRECT($B$2&amp;"!"&amp;C1722&amp;D1722)</f>
        <v>0</v>
      </c>
      <c r="C1722" s="350" t="s">
        <v>131</v>
      </c>
      <c r="D1722" s="351">
        <f t="shared" ca="1" si="90"/>
        <v>90</v>
      </c>
      <c r="E1722" s="352">
        <v>12</v>
      </c>
      <c r="F1722" s="126" t="str" cm="1">
        <f t="array" aca="1" ref="F1722" ca="1">IF(OR(INDIRECT($B$2&amp;"!AM14")=$B$1350,B1722=0),"",REPT(" ",E1722)&amp;"summaryType: "&amp;CHAR(34)&amp;B1722&amp;CHAR(34)&amp;",")</f>
        <v/>
      </c>
    </row>
    <row r="1723" spans="1:6" hidden="1">
      <c r="A1723" s="150"/>
      <c r="B1723" s="130">
        <f ca="1">IFERROR(INDIRECT($B$2&amp;"!"&amp;C1723&amp;D1723),"")</f>
        <v>0</v>
      </c>
      <c r="C1723" s="350" t="s">
        <v>131</v>
      </c>
      <c r="D1723" s="351">
        <f t="shared" ca="1" si="90"/>
        <v>90</v>
      </c>
      <c r="E1723" s="352">
        <v>12</v>
      </c>
      <c r="F1723" s="126" t="str" cm="1">
        <f t="array" aca="1" ref="F1723" ca="1">IF(OR(INDIRECT($B$2&amp;"!AM14")=$B$1350,B1723=0),"",REPT(" ",E1723)&amp;"displayFormat: "&amp;CHAR(34)&amp;"{0} Items"&amp;CHAR(34)&amp;",")</f>
        <v/>
      </c>
    </row>
    <row r="1724" spans="1:6" hidden="1">
      <c r="A1724" s="150" t="s">
        <v>1037</v>
      </c>
      <c r="B1724" s="130">
        <f ca="1">IFERROR(INDIRECT($B$2&amp;"!"&amp;C1724&amp;D1724),"")</f>
        <v>0</v>
      </c>
      <c r="C1724" s="350" t="s">
        <v>133</v>
      </c>
      <c r="D1724" s="351">
        <f t="shared" ca="1" si="90"/>
        <v>90</v>
      </c>
      <c r="E1724" s="352">
        <v>12</v>
      </c>
      <c r="F1724" s="126" t="str" cm="1">
        <f t="array" aca="1" ref="F1724" ca="1">IF(OR(INDIRECT($B$2&amp;"!AM14")=$B$1350,B1724=0),"",REPT(" ",E1724)&amp;A1724&amp;CHAR(34)&amp;B1724&amp;CHAR(34)&amp;",")</f>
        <v/>
      </c>
    </row>
    <row r="1725" spans="1:6" hidden="1">
      <c r="A1725" s="150" t="s">
        <v>65</v>
      </c>
      <c r="B1725" s="130">
        <f ca="1">IFERROR(INDIRECT($B$2&amp;"!"&amp;C1725&amp;D1725),"")</f>
        <v>0</v>
      </c>
      <c r="C1725" s="350" t="s">
        <v>131</v>
      </c>
      <c r="D1725" s="351">
        <f t="shared" ca="1" si="90"/>
        <v>90</v>
      </c>
      <c r="E1725" s="352">
        <v>9</v>
      </c>
      <c r="F1725" s="126" t="str" cm="1">
        <f t="array" aca="1" ref="F1725" ca="1">IF(OR(INDIRECT($B$2&amp;"!AM14")=$B$1350,B1725=0),"",REPT(" ",E1725)&amp;"},")</f>
        <v/>
      </c>
    </row>
    <row r="1726" spans="1:6" hidden="1">
      <c r="A1726" s="150">
        <f ca="1">IFERROR(INDIRECT($B$2&amp;"!"&amp;"C"&amp;D1726),"")</f>
        <v>0</v>
      </c>
      <c r="B1726" s="130">
        <f ca="1">IFERROR(INDIRECT($B$2&amp;"!"&amp;C1726&amp;D1726),"")</f>
        <v>0</v>
      </c>
      <c r="C1726" s="355" t="s">
        <v>131</v>
      </c>
      <c r="D1726" s="351">
        <f t="shared" ca="1" si="90"/>
        <v>91</v>
      </c>
      <c r="E1726" s="352">
        <v>9</v>
      </c>
      <c r="F1726" s="126" t="str">
        <f ca="1">IF(B1726=0,"",REPT(" ",E1726)&amp;"{ column: "&amp;CHAR(34)&amp;A1726&amp;CHAR(34)&amp;",")</f>
        <v/>
      </c>
    </row>
    <row r="1727" spans="1:6" hidden="1">
      <c r="A1727" s="150"/>
      <c r="B1727" s="130" cm="1">
        <f t="array" aca="1" ref="B1727" ca="1">INDIRECT($B$2&amp;"!"&amp;C1727&amp;D1727)</f>
        <v>0</v>
      </c>
      <c r="C1727" s="350" t="s">
        <v>131</v>
      </c>
      <c r="D1727" s="351">
        <f t="shared" ca="1" si="90"/>
        <v>91</v>
      </c>
      <c r="E1727" s="352">
        <v>12</v>
      </c>
      <c r="F1727" s="126" t="str" cm="1">
        <f t="array" aca="1" ref="F1727" ca="1">IF(OR(INDIRECT($B$2&amp;"!AM14")=$B$1350,B1727=0),"",REPT(" ",E1727)&amp;"summaryType: "&amp;CHAR(34)&amp;B1727&amp;CHAR(34)&amp;",")</f>
        <v/>
      </c>
    </row>
    <row r="1728" spans="1:6" hidden="1">
      <c r="A1728" s="150"/>
      <c r="B1728" s="130">
        <f ca="1">IFERROR(INDIRECT($B$2&amp;"!"&amp;C1728&amp;D1728),"")</f>
        <v>0</v>
      </c>
      <c r="C1728" s="350" t="s">
        <v>131</v>
      </c>
      <c r="D1728" s="351">
        <f t="shared" ca="1" si="90"/>
        <v>91</v>
      </c>
      <c r="E1728" s="352">
        <v>12</v>
      </c>
      <c r="F1728" s="126" t="str" cm="1">
        <f t="array" aca="1" ref="F1728" ca="1">IF(OR(INDIRECT($B$2&amp;"!AM14")=$B$1350,B1728=0),"",REPT(" ",E1728)&amp;"displayFormat: "&amp;CHAR(34)&amp;"{0} Items"&amp;CHAR(34)&amp;",")</f>
        <v/>
      </c>
    </row>
    <row r="1729" spans="1:6" hidden="1">
      <c r="A1729" s="150" t="s">
        <v>1037</v>
      </c>
      <c r="B1729" s="130">
        <f ca="1">IFERROR(INDIRECT($B$2&amp;"!"&amp;C1729&amp;D1729),"")</f>
        <v>0</v>
      </c>
      <c r="C1729" s="350" t="s">
        <v>133</v>
      </c>
      <c r="D1729" s="351">
        <f t="shared" ca="1" si="90"/>
        <v>91</v>
      </c>
      <c r="E1729" s="352">
        <v>12</v>
      </c>
      <c r="F1729" s="126" t="str" cm="1">
        <f t="array" aca="1" ref="F1729" ca="1">IF(OR(INDIRECT($B$2&amp;"!AM14")=$B$1350,B1729=0),"",REPT(" ",E1729)&amp;A1729&amp;CHAR(34)&amp;B1729&amp;CHAR(34)&amp;",")</f>
        <v/>
      </c>
    </row>
    <row r="1730" spans="1:6" hidden="1">
      <c r="A1730" s="150" t="s">
        <v>65</v>
      </c>
      <c r="B1730" s="130">
        <f ca="1">IFERROR(INDIRECT($B$2&amp;"!"&amp;C1730&amp;D1730),"")</f>
        <v>0</v>
      </c>
      <c r="C1730" s="350" t="s">
        <v>131</v>
      </c>
      <c r="D1730" s="351">
        <f t="shared" ca="1" si="90"/>
        <v>91</v>
      </c>
      <c r="E1730" s="352">
        <v>9</v>
      </c>
      <c r="F1730" s="126" t="str" cm="1">
        <f t="array" aca="1" ref="F1730" ca="1">IF(OR(INDIRECT($B$2&amp;"!AM14")=$B$1350,B1730=0),"",REPT(" ",E1730)&amp;"},")</f>
        <v/>
      </c>
    </row>
    <row r="1731" spans="1:6" hidden="1">
      <c r="A1731" s="150">
        <f ca="1">IFERROR(INDIRECT($B$2&amp;"!"&amp;"C"&amp;D1731),"")</f>
        <v>0</v>
      </c>
      <c r="B1731" s="130">
        <f ca="1">IFERROR(INDIRECT($B$2&amp;"!"&amp;C1731&amp;D1731),"")</f>
        <v>0</v>
      </c>
      <c r="C1731" s="355" t="s">
        <v>131</v>
      </c>
      <c r="D1731" s="351">
        <f t="shared" ca="1" si="90"/>
        <v>92</v>
      </c>
      <c r="E1731" s="352">
        <v>9</v>
      </c>
      <c r="F1731" s="126" t="str">
        <f ca="1">IF(B1731=0,"",REPT(" ",E1731)&amp;"{ column: "&amp;CHAR(34)&amp;A1731&amp;CHAR(34)&amp;",")</f>
        <v/>
      </c>
    </row>
    <row r="1732" spans="1:6" hidden="1">
      <c r="A1732" s="150"/>
      <c r="B1732" s="130" cm="1">
        <f t="array" aca="1" ref="B1732" ca="1">INDIRECT($B$2&amp;"!"&amp;C1732&amp;D1732)</f>
        <v>0</v>
      </c>
      <c r="C1732" s="350" t="s">
        <v>131</v>
      </c>
      <c r="D1732" s="351">
        <f t="shared" ca="1" si="90"/>
        <v>92</v>
      </c>
      <c r="E1732" s="352">
        <v>12</v>
      </c>
      <c r="F1732" s="126" t="str" cm="1">
        <f t="array" aca="1" ref="F1732" ca="1">IF(OR(INDIRECT($B$2&amp;"!AM14")=$B$1350,B1732=0),"",REPT(" ",E1732)&amp;"summaryType: "&amp;CHAR(34)&amp;B1732&amp;CHAR(34)&amp;",")</f>
        <v/>
      </c>
    </row>
    <row r="1733" spans="1:6" hidden="1">
      <c r="A1733" s="150"/>
      <c r="B1733" s="130">
        <f ca="1">IFERROR(INDIRECT($B$2&amp;"!"&amp;C1733&amp;D1733),"")</f>
        <v>0</v>
      </c>
      <c r="C1733" s="350" t="s">
        <v>131</v>
      </c>
      <c r="D1733" s="351">
        <f t="shared" ca="1" si="90"/>
        <v>92</v>
      </c>
      <c r="E1733" s="352">
        <v>12</v>
      </c>
      <c r="F1733" s="126" t="str" cm="1">
        <f t="array" aca="1" ref="F1733" ca="1">IF(OR(INDIRECT($B$2&amp;"!AM14")=$B$1350,B1733=0),"",REPT(" ",E1733)&amp;"displayFormat: "&amp;CHAR(34)&amp;"{0} Items"&amp;CHAR(34)&amp;",")</f>
        <v/>
      </c>
    </row>
    <row r="1734" spans="1:6" hidden="1">
      <c r="A1734" s="150" t="s">
        <v>1037</v>
      </c>
      <c r="B1734" s="130">
        <f ca="1">IFERROR(INDIRECT($B$2&amp;"!"&amp;C1734&amp;D1734),"")</f>
        <v>0</v>
      </c>
      <c r="C1734" s="350" t="s">
        <v>133</v>
      </c>
      <c r="D1734" s="351">
        <f t="shared" ca="1" si="90"/>
        <v>92</v>
      </c>
      <c r="E1734" s="352">
        <v>12</v>
      </c>
      <c r="F1734" s="126" t="str" cm="1">
        <f t="array" aca="1" ref="F1734" ca="1">IF(OR(INDIRECT($B$2&amp;"!AM14")=$B$1350,B1734=0),"",REPT(" ",E1734)&amp;A1734&amp;CHAR(34)&amp;B1734&amp;CHAR(34)&amp;",")</f>
        <v/>
      </c>
    </row>
    <row r="1735" spans="1:6" hidden="1">
      <c r="A1735" s="150" t="s">
        <v>65</v>
      </c>
      <c r="B1735" s="130">
        <f ca="1">IFERROR(INDIRECT($B$2&amp;"!"&amp;C1735&amp;D1735),"")</f>
        <v>0</v>
      </c>
      <c r="C1735" s="350" t="s">
        <v>131</v>
      </c>
      <c r="D1735" s="351">
        <f t="shared" ca="1" si="90"/>
        <v>92</v>
      </c>
      <c r="E1735" s="352">
        <v>9</v>
      </c>
      <c r="F1735" s="126" t="str" cm="1">
        <f t="array" aca="1" ref="F1735" ca="1">IF(OR(INDIRECT($B$2&amp;"!AM14")=$B$1350,B1735=0),"",REPT(" ",E1735)&amp;"},")</f>
        <v/>
      </c>
    </row>
    <row r="1736" spans="1:6" hidden="1">
      <c r="A1736" s="150">
        <f ca="1">IFERROR(INDIRECT($B$2&amp;"!"&amp;"C"&amp;D1736),"")</f>
        <v>0</v>
      </c>
      <c r="B1736" s="130">
        <f ca="1">IFERROR(INDIRECT($B$2&amp;"!"&amp;C1736&amp;D1736),"")</f>
        <v>0</v>
      </c>
      <c r="C1736" s="355" t="s">
        <v>131</v>
      </c>
      <c r="D1736" s="351">
        <f t="shared" ca="1" si="90"/>
        <v>93</v>
      </c>
      <c r="E1736" s="352">
        <v>9</v>
      </c>
      <c r="F1736" s="126" t="str">
        <f ca="1">IF(B1736=0,"",REPT(" ",E1736)&amp;"{ column: "&amp;CHAR(34)&amp;A1736&amp;CHAR(34)&amp;",")</f>
        <v/>
      </c>
    </row>
    <row r="1737" spans="1:6" hidden="1">
      <c r="A1737" s="150"/>
      <c r="B1737" s="130" cm="1">
        <f t="array" aca="1" ref="B1737" ca="1">INDIRECT($B$2&amp;"!"&amp;C1737&amp;D1737)</f>
        <v>0</v>
      </c>
      <c r="C1737" s="350" t="s">
        <v>131</v>
      </c>
      <c r="D1737" s="351">
        <f t="shared" ca="1" si="90"/>
        <v>93</v>
      </c>
      <c r="E1737" s="352">
        <v>12</v>
      </c>
      <c r="F1737" s="126" t="str" cm="1">
        <f t="array" aca="1" ref="F1737" ca="1">IF(OR(INDIRECT($B$2&amp;"!AM14")=$B$1350,B1737=0),"",REPT(" ",E1737)&amp;"summaryType: "&amp;CHAR(34)&amp;B1737&amp;CHAR(34)&amp;",")</f>
        <v/>
      </c>
    </row>
    <row r="1738" spans="1:6" hidden="1">
      <c r="A1738" s="150"/>
      <c r="B1738" s="130">
        <f ca="1">IFERROR(INDIRECT($B$2&amp;"!"&amp;C1738&amp;D1738),"")</f>
        <v>0</v>
      </c>
      <c r="C1738" s="350" t="s">
        <v>131</v>
      </c>
      <c r="D1738" s="351">
        <f t="shared" ca="1" si="90"/>
        <v>93</v>
      </c>
      <c r="E1738" s="352">
        <v>12</v>
      </c>
      <c r="F1738" s="126" t="str" cm="1">
        <f t="array" aca="1" ref="F1738" ca="1">IF(OR(INDIRECT($B$2&amp;"!AM14")=$B$1350,B1738=0),"",REPT(" ",E1738)&amp;"displayFormat: "&amp;CHAR(34)&amp;"{0} Items"&amp;CHAR(34)&amp;",")</f>
        <v/>
      </c>
    </row>
    <row r="1739" spans="1:6" hidden="1">
      <c r="A1739" s="150" t="s">
        <v>1037</v>
      </c>
      <c r="B1739" s="130">
        <f ca="1">IFERROR(INDIRECT($B$2&amp;"!"&amp;C1739&amp;D1739),"")</f>
        <v>0</v>
      </c>
      <c r="C1739" s="350" t="s">
        <v>133</v>
      </c>
      <c r="D1739" s="351">
        <f t="shared" ca="1" si="90"/>
        <v>93</v>
      </c>
      <c r="E1739" s="352">
        <v>12</v>
      </c>
      <c r="F1739" s="126" t="str" cm="1">
        <f t="array" aca="1" ref="F1739" ca="1">IF(OR(INDIRECT($B$2&amp;"!AM14")=$B$1350,B1739=0),"",REPT(" ",E1739)&amp;A1739&amp;CHAR(34)&amp;B1739&amp;CHAR(34)&amp;",")</f>
        <v/>
      </c>
    </row>
    <row r="1740" spans="1:6" hidden="1">
      <c r="A1740" s="150" t="s">
        <v>65</v>
      </c>
      <c r="B1740" s="130">
        <f ca="1">IFERROR(INDIRECT($B$2&amp;"!"&amp;C1740&amp;D1740),"")</f>
        <v>0</v>
      </c>
      <c r="C1740" s="350" t="s">
        <v>131</v>
      </c>
      <c r="D1740" s="351">
        <f t="shared" ca="1" si="90"/>
        <v>93</v>
      </c>
      <c r="E1740" s="352">
        <v>9</v>
      </c>
      <c r="F1740" s="126" t="str" cm="1">
        <f t="array" aca="1" ref="F1740" ca="1">IF(OR(INDIRECT($B$2&amp;"!AM14")=$B$1350,B1740=0),"",REPT(" ",E1740)&amp;"},")</f>
        <v/>
      </c>
    </row>
    <row r="1741" spans="1:6" hidden="1">
      <c r="A1741" s="150">
        <f ca="1">IFERROR(INDIRECT($B$2&amp;"!"&amp;"C"&amp;D1741),"")</f>
        <v>0</v>
      </c>
      <c r="B1741" s="130">
        <f ca="1">IFERROR(INDIRECT($B$2&amp;"!"&amp;C1741&amp;D1741),"")</f>
        <v>0</v>
      </c>
      <c r="C1741" s="355" t="s">
        <v>131</v>
      </c>
      <c r="D1741" s="351">
        <f t="shared" ca="1" si="90"/>
        <v>94</v>
      </c>
      <c r="E1741" s="352">
        <v>9</v>
      </c>
      <c r="F1741" s="126" t="str">
        <f ca="1">IF(B1741=0,"",REPT(" ",E1741)&amp;"{ column: "&amp;CHAR(34)&amp;A1741&amp;CHAR(34)&amp;",")</f>
        <v/>
      </c>
    </row>
    <row r="1742" spans="1:6" hidden="1">
      <c r="A1742" s="150"/>
      <c r="B1742" s="130" cm="1">
        <f t="array" aca="1" ref="B1742" ca="1">INDIRECT($B$2&amp;"!"&amp;C1742&amp;D1742)</f>
        <v>0</v>
      </c>
      <c r="C1742" s="350" t="s">
        <v>131</v>
      </c>
      <c r="D1742" s="351">
        <f t="shared" ca="1" si="90"/>
        <v>94</v>
      </c>
      <c r="E1742" s="352">
        <v>12</v>
      </c>
      <c r="F1742" s="126" t="str" cm="1">
        <f t="array" aca="1" ref="F1742" ca="1">IF(OR(INDIRECT($B$2&amp;"!AM14")=$B$1350,B1742=0),"",REPT(" ",E1742)&amp;"summaryType: "&amp;CHAR(34)&amp;B1742&amp;CHAR(34)&amp;",")</f>
        <v/>
      </c>
    </row>
    <row r="1743" spans="1:6" hidden="1">
      <c r="A1743" s="150"/>
      <c r="B1743" s="130">
        <f ca="1">IFERROR(INDIRECT($B$2&amp;"!"&amp;C1743&amp;D1743),"")</f>
        <v>0</v>
      </c>
      <c r="C1743" s="350" t="s">
        <v>131</v>
      </c>
      <c r="D1743" s="351">
        <f t="shared" ca="1" si="90"/>
        <v>94</v>
      </c>
      <c r="E1743" s="352">
        <v>12</v>
      </c>
      <c r="F1743" s="126" t="str" cm="1">
        <f t="array" aca="1" ref="F1743" ca="1">IF(OR(INDIRECT($B$2&amp;"!AM14")=$B$1350,B1743=0),"",REPT(" ",E1743)&amp;"displayFormat: "&amp;CHAR(34)&amp;"{0} Items"&amp;CHAR(34)&amp;",")</f>
        <v/>
      </c>
    </row>
    <row r="1744" spans="1:6" hidden="1">
      <c r="A1744" s="150" t="s">
        <v>1037</v>
      </c>
      <c r="B1744" s="130">
        <f ca="1">IFERROR(INDIRECT($B$2&amp;"!"&amp;C1744&amp;D1744),"")</f>
        <v>0</v>
      </c>
      <c r="C1744" s="350" t="s">
        <v>133</v>
      </c>
      <c r="D1744" s="351">
        <f t="shared" ca="1" si="90"/>
        <v>94</v>
      </c>
      <c r="E1744" s="352">
        <v>12</v>
      </c>
      <c r="F1744" s="126" t="str" cm="1">
        <f t="array" aca="1" ref="F1744" ca="1">IF(OR(INDIRECT($B$2&amp;"!AM14")=$B$1350,B1744=0),"",REPT(" ",E1744)&amp;A1744&amp;CHAR(34)&amp;B1744&amp;CHAR(34)&amp;",")</f>
        <v/>
      </c>
    </row>
    <row r="1745" spans="1:6" hidden="1">
      <c r="A1745" s="150" t="s">
        <v>65</v>
      </c>
      <c r="B1745" s="130">
        <f ca="1">IFERROR(INDIRECT($B$2&amp;"!"&amp;C1745&amp;D1745),"")</f>
        <v>0</v>
      </c>
      <c r="C1745" s="350" t="s">
        <v>131</v>
      </c>
      <c r="D1745" s="351">
        <f t="shared" ca="1" si="90"/>
        <v>94</v>
      </c>
      <c r="E1745" s="352">
        <v>9</v>
      </c>
      <c r="F1745" s="126" t="str" cm="1">
        <f t="array" aca="1" ref="F1745" ca="1">IF(OR(INDIRECT($B$2&amp;"!AM14")=$B$1350,B1745=0),"",REPT(" ",E1745)&amp;"},")</f>
        <v/>
      </c>
    </row>
    <row r="1746" spans="1:6" hidden="1">
      <c r="A1746" s="150">
        <f ca="1">IFERROR(INDIRECT($B$2&amp;"!"&amp;"C"&amp;D1746),"")</f>
        <v>0</v>
      </c>
      <c r="B1746" s="130">
        <f ca="1">IFERROR(INDIRECT($B$2&amp;"!"&amp;C1746&amp;D1746),"")</f>
        <v>0</v>
      </c>
      <c r="C1746" s="355" t="s">
        <v>131</v>
      </c>
      <c r="D1746" s="351">
        <f t="shared" ca="1" si="90"/>
        <v>95</v>
      </c>
      <c r="E1746" s="352">
        <v>9</v>
      </c>
      <c r="F1746" s="126" t="str">
        <f ca="1">IF(B1746=0,"",REPT(" ",E1746)&amp;"{ column: "&amp;CHAR(34)&amp;A1746&amp;CHAR(34)&amp;",")</f>
        <v/>
      </c>
    </row>
    <row r="1747" spans="1:6" hidden="1">
      <c r="A1747" s="150"/>
      <c r="B1747" s="130" cm="1">
        <f t="array" aca="1" ref="B1747" ca="1">INDIRECT($B$2&amp;"!"&amp;C1747&amp;D1747)</f>
        <v>0</v>
      </c>
      <c r="C1747" s="350" t="s">
        <v>131</v>
      </c>
      <c r="D1747" s="351">
        <f t="shared" ref="D1747:D1810" ca="1" si="91">IF(TRIM(A1746)="N",1,0)+D1746</f>
        <v>95</v>
      </c>
      <c r="E1747" s="352">
        <v>12</v>
      </c>
      <c r="F1747" s="126" t="str" cm="1">
        <f t="array" aca="1" ref="F1747" ca="1">IF(OR(INDIRECT($B$2&amp;"!AM14")=$B$1350,B1747=0),"",REPT(" ",E1747)&amp;"summaryType: "&amp;CHAR(34)&amp;B1747&amp;CHAR(34)&amp;",")</f>
        <v/>
      </c>
    </row>
    <row r="1748" spans="1:6" hidden="1">
      <c r="A1748" s="150"/>
      <c r="B1748" s="130">
        <f ca="1">IFERROR(INDIRECT($B$2&amp;"!"&amp;C1748&amp;D1748),"")</f>
        <v>0</v>
      </c>
      <c r="C1748" s="350" t="s">
        <v>131</v>
      </c>
      <c r="D1748" s="351">
        <f t="shared" ca="1" si="91"/>
        <v>95</v>
      </c>
      <c r="E1748" s="352">
        <v>12</v>
      </c>
      <c r="F1748" s="126" t="str" cm="1">
        <f t="array" aca="1" ref="F1748" ca="1">IF(OR(INDIRECT($B$2&amp;"!AM14")=$B$1350,B1748=0),"",REPT(" ",E1748)&amp;"displayFormat: "&amp;CHAR(34)&amp;"{0} Items"&amp;CHAR(34)&amp;",")</f>
        <v/>
      </c>
    </row>
    <row r="1749" spans="1:6" hidden="1">
      <c r="A1749" s="150" t="s">
        <v>1037</v>
      </c>
      <c r="B1749" s="130">
        <f ca="1">IFERROR(INDIRECT($B$2&amp;"!"&amp;C1749&amp;D1749),"")</f>
        <v>0</v>
      </c>
      <c r="C1749" s="350" t="s">
        <v>133</v>
      </c>
      <c r="D1749" s="351">
        <f t="shared" ca="1" si="91"/>
        <v>95</v>
      </c>
      <c r="E1749" s="352">
        <v>12</v>
      </c>
      <c r="F1749" s="126" t="str" cm="1">
        <f t="array" aca="1" ref="F1749" ca="1">IF(OR(INDIRECT($B$2&amp;"!AM14")=$B$1350,B1749=0),"",REPT(" ",E1749)&amp;A1749&amp;CHAR(34)&amp;B1749&amp;CHAR(34)&amp;",")</f>
        <v/>
      </c>
    </row>
    <row r="1750" spans="1:6" hidden="1">
      <c r="A1750" s="150" t="s">
        <v>65</v>
      </c>
      <c r="B1750" s="130">
        <f ca="1">IFERROR(INDIRECT($B$2&amp;"!"&amp;C1750&amp;D1750),"")</f>
        <v>0</v>
      </c>
      <c r="C1750" s="350" t="s">
        <v>131</v>
      </c>
      <c r="D1750" s="351">
        <f t="shared" ca="1" si="91"/>
        <v>95</v>
      </c>
      <c r="E1750" s="352">
        <v>9</v>
      </c>
      <c r="F1750" s="126" t="str" cm="1">
        <f t="array" aca="1" ref="F1750" ca="1">IF(OR(INDIRECT($B$2&amp;"!AM14")=$B$1350,B1750=0),"",REPT(" ",E1750)&amp;"},")</f>
        <v/>
      </c>
    </row>
    <row r="1751" spans="1:6" hidden="1">
      <c r="A1751" s="150">
        <f ca="1">IFERROR(INDIRECT($B$2&amp;"!"&amp;"C"&amp;D1751),"")</f>
        <v>0</v>
      </c>
      <c r="B1751" s="130">
        <f ca="1">IFERROR(INDIRECT($B$2&amp;"!"&amp;C1751&amp;D1751),"")</f>
        <v>0</v>
      </c>
      <c r="C1751" s="355" t="s">
        <v>131</v>
      </c>
      <c r="D1751" s="351">
        <f t="shared" ca="1" si="91"/>
        <v>96</v>
      </c>
      <c r="E1751" s="352">
        <v>9</v>
      </c>
      <c r="F1751" s="126" t="str">
        <f ca="1">IF(B1751=0,"",REPT(" ",E1751)&amp;"{ column: "&amp;CHAR(34)&amp;A1751&amp;CHAR(34)&amp;",")</f>
        <v/>
      </c>
    </row>
    <row r="1752" spans="1:6" hidden="1">
      <c r="A1752" s="150"/>
      <c r="B1752" s="130" cm="1">
        <f t="array" aca="1" ref="B1752" ca="1">INDIRECT($B$2&amp;"!"&amp;C1752&amp;D1752)</f>
        <v>0</v>
      </c>
      <c r="C1752" s="350" t="s">
        <v>131</v>
      </c>
      <c r="D1752" s="351">
        <f t="shared" ca="1" si="91"/>
        <v>96</v>
      </c>
      <c r="E1752" s="352">
        <v>12</v>
      </c>
      <c r="F1752" s="126" t="str" cm="1">
        <f t="array" aca="1" ref="F1752" ca="1">IF(OR(INDIRECT($B$2&amp;"!AM14")=$B$1350,B1752=0),"",REPT(" ",E1752)&amp;"summaryType: "&amp;CHAR(34)&amp;B1752&amp;CHAR(34)&amp;",")</f>
        <v/>
      </c>
    </row>
    <row r="1753" spans="1:6" hidden="1">
      <c r="A1753" s="150"/>
      <c r="B1753" s="130">
        <f ca="1">IFERROR(INDIRECT($B$2&amp;"!"&amp;C1753&amp;D1753),"")</f>
        <v>0</v>
      </c>
      <c r="C1753" s="350" t="s">
        <v>131</v>
      </c>
      <c r="D1753" s="351">
        <f t="shared" ca="1" si="91"/>
        <v>96</v>
      </c>
      <c r="E1753" s="352">
        <v>12</v>
      </c>
      <c r="F1753" s="126" t="str" cm="1">
        <f t="array" aca="1" ref="F1753" ca="1">IF(OR(INDIRECT($B$2&amp;"!AM14")=$B$1350,B1753=0),"",REPT(" ",E1753)&amp;"displayFormat: "&amp;CHAR(34)&amp;"{0} Items"&amp;CHAR(34)&amp;",")</f>
        <v/>
      </c>
    </row>
    <row r="1754" spans="1:6" hidden="1">
      <c r="A1754" s="150" t="s">
        <v>1037</v>
      </c>
      <c r="B1754" s="130">
        <f ca="1">IFERROR(INDIRECT($B$2&amp;"!"&amp;C1754&amp;D1754),"")</f>
        <v>0</v>
      </c>
      <c r="C1754" s="350" t="s">
        <v>133</v>
      </c>
      <c r="D1754" s="351">
        <f t="shared" ca="1" si="91"/>
        <v>96</v>
      </c>
      <c r="E1754" s="352">
        <v>12</v>
      </c>
      <c r="F1754" s="126" t="str" cm="1">
        <f t="array" aca="1" ref="F1754" ca="1">IF(OR(INDIRECT($B$2&amp;"!AM14")=$B$1350,B1754=0),"",REPT(" ",E1754)&amp;A1754&amp;CHAR(34)&amp;B1754&amp;CHAR(34)&amp;",")</f>
        <v/>
      </c>
    </row>
    <row r="1755" spans="1:6" hidden="1">
      <c r="A1755" s="150" t="s">
        <v>65</v>
      </c>
      <c r="B1755" s="130">
        <f ca="1">IFERROR(INDIRECT($B$2&amp;"!"&amp;C1755&amp;D1755),"")</f>
        <v>0</v>
      </c>
      <c r="C1755" s="350" t="s">
        <v>131</v>
      </c>
      <c r="D1755" s="351">
        <f t="shared" ca="1" si="91"/>
        <v>96</v>
      </c>
      <c r="E1755" s="352">
        <v>9</v>
      </c>
      <c r="F1755" s="126" t="str" cm="1">
        <f t="array" aca="1" ref="F1755" ca="1">IF(OR(INDIRECT($B$2&amp;"!AM14")=$B$1350,B1755=0),"",REPT(" ",E1755)&amp;"},")</f>
        <v/>
      </c>
    </row>
    <row r="1756" spans="1:6" hidden="1">
      <c r="A1756" s="150">
        <f ca="1">IFERROR(INDIRECT($B$2&amp;"!"&amp;"C"&amp;D1756),"")</f>
        <v>0</v>
      </c>
      <c r="B1756" s="130">
        <f ca="1">IFERROR(INDIRECT($B$2&amp;"!"&amp;C1756&amp;D1756),"")</f>
        <v>0</v>
      </c>
      <c r="C1756" s="355" t="s">
        <v>131</v>
      </c>
      <c r="D1756" s="351">
        <f t="shared" ca="1" si="91"/>
        <v>97</v>
      </c>
      <c r="E1756" s="352">
        <v>9</v>
      </c>
      <c r="F1756" s="126" t="str">
        <f ca="1">IF(B1756=0,"",REPT(" ",E1756)&amp;"{ column: "&amp;CHAR(34)&amp;A1756&amp;CHAR(34)&amp;",")</f>
        <v/>
      </c>
    </row>
    <row r="1757" spans="1:6" hidden="1">
      <c r="A1757" s="150"/>
      <c r="B1757" s="130" cm="1">
        <f t="array" aca="1" ref="B1757" ca="1">INDIRECT($B$2&amp;"!"&amp;C1757&amp;D1757)</f>
        <v>0</v>
      </c>
      <c r="C1757" s="350" t="s">
        <v>131</v>
      </c>
      <c r="D1757" s="351">
        <f t="shared" ca="1" si="91"/>
        <v>97</v>
      </c>
      <c r="E1757" s="352">
        <v>12</v>
      </c>
      <c r="F1757" s="126" t="str" cm="1">
        <f t="array" aca="1" ref="F1757" ca="1">IF(OR(INDIRECT($B$2&amp;"!AM14")=$B$1350,B1757=0),"",REPT(" ",E1757)&amp;"summaryType: "&amp;CHAR(34)&amp;B1757&amp;CHAR(34)&amp;",")</f>
        <v/>
      </c>
    </row>
    <row r="1758" spans="1:6" hidden="1">
      <c r="A1758" s="150"/>
      <c r="B1758" s="130">
        <f ca="1">IFERROR(INDIRECT($B$2&amp;"!"&amp;C1758&amp;D1758),"")</f>
        <v>0</v>
      </c>
      <c r="C1758" s="350" t="s">
        <v>131</v>
      </c>
      <c r="D1758" s="351">
        <f t="shared" ca="1" si="91"/>
        <v>97</v>
      </c>
      <c r="E1758" s="352">
        <v>12</v>
      </c>
      <c r="F1758" s="126" t="str" cm="1">
        <f t="array" aca="1" ref="F1758" ca="1">IF(OR(INDIRECT($B$2&amp;"!AM14")=$B$1350,B1758=0),"",REPT(" ",E1758)&amp;"displayFormat: "&amp;CHAR(34)&amp;"{0} Items"&amp;CHAR(34)&amp;",")</f>
        <v/>
      </c>
    </row>
    <row r="1759" spans="1:6" hidden="1">
      <c r="A1759" s="150" t="s">
        <v>1037</v>
      </c>
      <c r="B1759" s="130">
        <f ca="1">IFERROR(INDIRECT($B$2&amp;"!"&amp;C1759&amp;D1759),"")</f>
        <v>0</v>
      </c>
      <c r="C1759" s="350" t="s">
        <v>133</v>
      </c>
      <c r="D1759" s="351">
        <f t="shared" ca="1" si="91"/>
        <v>97</v>
      </c>
      <c r="E1759" s="352">
        <v>12</v>
      </c>
      <c r="F1759" s="126" t="str" cm="1">
        <f t="array" aca="1" ref="F1759" ca="1">IF(OR(INDIRECT($B$2&amp;"!AM14")=$B$1350,B1759=0),"",REPT(" ",E1759)&amp;A1759&amp;CHAR(34)&amp;B1759&amp;CHAR(34)&amp;",")</f>
        <v/>
      </c>
    </row>
    <row r="1760" spans="1:6" hidden="1">
      <c r="A1760" s="150" t="s">
        <v>65</v>
      </c>
      <c r="B1760" s="130">
        <f ca="1">IFERROR(INDIRECT($B$2&amp;"!"&amp;C1760&amp;D1760),"")</f>
        <v>0</v>
      </c>
      <c r="C1760" s="350" t="s">
        <v>131</v>
      </c>
      <c r="D1760" s="351">
        <f t="shared" ca="1" si="91"/>
        <v>97</v>
      </c>
      <c r="E1760" s="352">
        <v>9</v>
      </c>
      <c r="F1760" s="126" t="str" cm="1">
        <f t="array" aca="1" ref="F1760" ca="1">IF(OR(INDIRECT($B$2&amp;"!AM14")=$B$1350,B1760=0),"",REPT(" ",E1760)&amp;"},")</f>
        <v/>
      </c>
    </row>
    <row r="1761" spans="1:6" hidden="1">
      <c r="A1761" s="150">
        <f ca="1">IFERROR(INDIRECT($B$2&amp;"!"&amp;"C"&amp;D1761),"")</f>
        <v>0</v>
      </c>
      <c r="B1761" s="130">
        <f ca="1">IFERROR(INDIRECT($B$2&amp;"!"&amp;C1761&amp;D1761),"")</f>
        <v>0</v>
      </c>
      <c r="C1761" s="355" t="s">
        <v>131</v>
      </c>
      <c r="D1761" s="351">
        <f t="shared" ca="1" si="91"/>
        <v>98</v>
      </c>
      <c r="E1761" s="352">
        <v>9</v>
      </c>
      <c r="F1761" s="126" t="str">
        <f ca="1">IF(B1761=0,"",REPT(" ",E1761)&amp;"{ column: "&amp;CHAR(34)&amp;A1761&amp;CHAR(34)&amp;",")</f>
        <v/>
      </c>
    </row>
    <row r="1762" spans="1:6" hidden="1">
      <c r="A1762" s="150"/>
      <c r="B1762" s="130" cm="1">
        <f t="array" aca="1" ref="B1762" ca="1">INDIRECT($B$2&amp;"!"&amp;C1762&amp;D1762)</f>
        <v>0</v>
      </c>
      <c r="C1762" s="350" t="s">
        <v>131</v>
      </c>
      <c r="D1762" s="351">
        <f t="shared" ca="1" si="91"/>
        <v>98</v>
      </c>
      <c r="E1762" s="352">
        <v>12</v>
      </c>
      <c r="F1762" s="126" t="str" cm="1">
        <f t="array" aca="1" ref="F1762" ca="1">IF(OR(INDIRECT($B$2&amp;"!AM14")=$B$1350,B1762=0),"",REPT(" ",E1762)&amp;"summaryType: "&amp;CHAR(34)&amp;B1762&amp;CHAR(34)&amp;",")</f>
        <v/>
      </c>
    </row>
    <row r="1763" spans="1:6" hidden="1">
      <c r="A1763" s="150"/>
      <c r="B1763" s="130">
        <f ca="1">IFERROR(INDIRECT($B$2&amp;"!"&amp;C1763&amp;D1763),"")</f>
        <v>0</v>
      </c>
      <c r="C1763" s="350" t="s">
        <v>131</v>
      </c>
      <c r="D1763" s="351">
        <f t="shared" ca="1" si="91"/>
        <v>98</v>
      </c>
      <c r="E1763" s="352">
        <v>12</v>
      </c>
      <c r="F1763" s="126" t="str" cm="1">
        <f t="array" aca="1" ref="F1763" ca="1">IF(OR(INDIRECT($B$2&amp;"!AM14")=$B$1350,B1763=0),"",REPT(" ",E1763)&amp;"displayFormat: "&amp;CHAR(34)&amp;"{0} Items"&amp;CHAR(34)&amp;",")</f>
        <v/>
      </c>
    </row>
    <row r="1764" spans="1:6" hidden="1">
      <c r="A1764" s="150" t="s">
        <v>1037</v>
      </c>
      <c r="B1764" s="130">
        <f ca="1">IFERROR(INDIRECT($B$2&amp;"!"&amp;C1764&amp;D1764),"")</f>
        <v>0</v>
      </c>
      <c r="C1764" s="350" t="s">
        <v>133</v>
      </c>
      <c r="D1764" s="351">
        <f t="shared" ca="1" si="91"/>
        <v>98</v>
      </c>
      <c r="E1764" s="352">
        <v>12</v>
      </c>
      <c r="F1764" s="126" t="str" cm="1">
        <f t="array" aca="1" ref="F1764" ca="1">IF(OR(INDIRECT($B$2&amp;"!AM14")=$B$1350,B1764=0),"",REPT(" ",E1764)&amp;A1764&amp;CHAR(34)&amp;B1764&amp;CHAR(34)&amp;",")</f>
        <v/>
      </c>
    </row>
    <row r="1765" spans="1:6" hidden="1">
      <c r="A1765" s="150" t="s">
        <v>65</v>
      </c>
      <c r="B1765" s="130">
        <f ca="1">IFERROR(INDIRECT($B$2&amp;"!"&amp;C1765&amp;D1765),"")</f>
        <v>0</v>
      </c>
      <c r="C1765" s="350" t="s">
        <v>131</v>
      </c>
      <c r="D1765" s="351">
        <f t="shared" ca="1" si="91"/>
        <v>98</v>
      </c>
      <c r="E1765" s="352">
        <v>9</v>
      </c>
      <c r="F1765" s="126" t="str" cm="1">
        <f t="array" aca="1" ref="F1765" ca="1">IF(OR(INDIRECT($B$2&amp;"!AM14")=$B$1350,B1765=0),"",REPT(" ",E1765)&amp;"},")</f>
        <v/>
      </c>
    </row>
    <row r="1766" spans="1:6" hidden="1">
      <c r="A1766" s="150">
        <f ca="1">IFERROR(INDIRECT($B$2&amp;"!"&amp;"C"&amp;D1766),"")</f>
        <v>0</v>
      </c>
      <c r="B1766" s="130">
        <f ca="1">IFERROR(INDIRECT($B$2&amp;"!"&amp;C1766&amp;D1766),"")</f>
        <v>0</v>
      </c>
      <c r="C1766" s="355" t="s">
        <v>131</v>
      </c>
      <c r="D1766" s="351">
        <f t="shared" ca="1" si="91"/>
        <v>99</v>
      </c>
      <c r="E1766" s="352">
        <v>9</v>
      </c>
      <c r="F1766" s="126" t="str">
        <f ca="1">IF(B1766=0,"",REPT(" ",E1766)&amp;"{ column: "&amp;CHAR(34)&amp;A1766&amp;CHAR(34)&amp;",")</f>
        <v/>
      </c>
    </row>
    <row r="1767" spans="1:6" hidden="1">
      <c r="A1767" s="150"/>
      <c r="B1767" s="130" cm="1">
        <f t="array" aca="1" ref="B1767" ca="1">INDIRECT($B$2&amp;"!"&amp;C1767&amp;D1767)</f>
        <v>0</v>
      </c>
      <c r="C1767" s="350" t="s">
        <v>131</v>
      </c>
      <c r="D1767" s="351">
        <f t="shared" ca="1" si="91"/>
        <v>99</v>
      </c>
      <c r="E1767" s="352">
        <v>12</v>
      </c>
      <c r="F1767" s="126" t="str" cm="1">
        <f t="array" aca="1" ref="F1767" ca="1">IF(OR(INDIRECT($B$2&amp;"!AM14")=$B$1350,B1767=0),"",REPT(" ",E1767)&amp;"summaryType: "&amp;CHAR(34)&amp;B1767&amp;CHAR(34)&amp;",")</f>
        <v/>
      </c>
    </row>
    <row r="1768" spans="1:6" hidden="1">
      <c r="A1768" s="150"/>
      <c r="B1768" s="130">
        <f ca="1">IFERROR(INDIRECT($B$2&amp;"!"&amp;C1768&amp;D1768),"")</f>
        <v>0</v>
      </c>
      <c r="C1768" s="350" t="s">
        <v>131</v>
      </c>
      <c r="D1768" s="351">
        <f t="shared" ca="1" si="91"/>
        <v>99</v>
      </c>
      <c r="E1768" s="352">
        <v>12</v>
      </c>
      <c r="F1768" s="126" t="str" cm="1">
        <f t="array" aca="1" ref="F1768" ca="1">IF(OR(INDIRECT($B$2&amp;"!AM14")=$B$1350,B1768=0),"",REPT(" ",E1768)&amp;"displayFormat: "&amp;CHAR(34)&amp;"{0} Items"&amp;CHAR(34)&amp;",")</f>
        <v/>
      </c>
    </row>
    <row r="1769" spans="1:6" hidden="1">
      <c r="A1769" s="150" t="s">
        <v>1037</v>
      </c>
      <c r="B1769" s="130">
        <f ca="1">IFERROR(INDIRECT($B$2&amp;"!"&amp;C1769&amp;D1769),"")</f>
        <v>0</v>
      </c>
      <c r="C1769" s="350" t="s">
        <v>133</v>
      </c>
      <c r="D1769" s="351">
        <f t="shared" ca="1" si="91"/>
        <v>99</v>
      </c>
      <c r="E1769" s="352">
        <v>12</v>
      </c>
      <c r="F1769" s="126" t="str" cm="1">
        <f t="array" aca="1" ref="F1769" ca="1">IF(OR(INDIRECT($B$2&amp;"!AM14")=$B$1350,B1769=0),"",REPT(" ",E1769)&amp;A1769&amp;CHAR(34)&amp;B1769&amp;CHAR(34)&amp;",")</f>
        <v/>
      </c>
    </row>
    <row r="1770" spans="1:6" hidden="1">
      <c r="A1770" s="150" t="s">
        <v>65</v>
      </c>
      <c r="B1770" s="130">
        <f ca="1">IFERROR(INDIRECT($B$2&amp;"!"&amp;C1770&amp;D1770),"")</f>
        <v>0</v>
      </c>
      <c r="C1770" s="350" t="s">
        <v>131</v>
      </c>
      <c r="D1770" s="351">
        <f t="shared" ca="1" si="91"/>
        <v>99</v>
      </c>
      <c r="E1770" s="352">
        <v>9</v>
      </c>
      <c r="F1770" s="126" t="str" cm="1">
        <f t="array" aca="1" ref="F1770" ca="1">IF(OR(INDIRECT($B$2&amp;"!AM14")=$B$1350,B1770=0),"",REPT(" ",E1770)&amp;"},")</f>
        <v/>
      </c>
    </row>
    <row r="1771" spans="1:6" hidden="1">
      <c r="A1771" s="150">
        <f ca="1">IFERROR(INDIRECT($B$2&amp;"!"&amp;"C"&amp;D1771),"")</f>
        <v>0</v>
      </c>
      <c r="B1771" s="130">
        <f ca="1">IFERROR(INDIRECT($B$2&amp;"!"&amp;C1771&amp;D1771),"")</f>
        <v>0</v>
      </c>
      <c r="C1771" s="355" t="s">
        <v>131</v>
      </c>
      <c r="D1771" s="351">
        <f t="shared" ca="1" si="91"/>
        <v>100</v>
      </c>
      <c r="E1771" s="352">
        <v>9</v>
      </c>
      <c r="F1771" s="126" t="str">
        <f ca="1">IF(B1771=0,"",REPT(" ",E1771)&amp;"{ column: "&amp;CHAR(34)&amp;A1771&amp;CHAR(34)&amp;",")</f>
        <v/>
      </c>
    </row>
    <row r="1772" spans="1:6" hidden="1">
      <c r="A1772" s="150"/>
      <c r="B1772" s="130" cm="1">
        <f t="array" aca="1" ref="B1772" ca="1">INDIRECT($B$2&amp;"!"&amp;C1772&amp;D1772)</f>
        <v>0</v>
      </c>
      <c r="C1772" s="350" t="s">
        <v>131</v>
      </c>
      <c r="D1772" s="351">
        <f t="shared" ca="1" si="91"/>
        <v>100</v>
      </c>
      <c r="E1772" s="352">
        <v>12</v>
      </c>
      <c r="F1772" s="126" t="str" cm="1">
        <f t="array" aca="1" ref="F1772" ca="1">IF(OR(INDIRECT($B$2&amp;"!AM14")=$B$1350,B1772=0),"",REPT(" ",E1772)&amp;"summaryType: "&amp;CHAR(34)&amp;B1772&amp;CHAR(34)&amp;",")</f>
        <v/>
      </c>
    </row>
    <row r="1773" spans="1:6" hidden="1">
      <c r="A1773" s="150"/>
      <c r="B1773" s="130">
        <f ca="1">IFERROR(INDIRECT($B$2&amp;"!"&amp;C1773&amp;D1773),"")</f>
        <v>0</v>
      </c>
      <c r="C1773" s="350" t="s">
        <v>131</v>
      </c>
      <c r="D1773" s="351">
        <f t="shared" ca="1" si="91"/>
        <v>100</v>
      </c>
      <c r="E1773" s="352">
        <v>12</v>
      </c>
      <c r="F1773" s="126" t="str" cm="1">
        <f t="array" aca="1" ref="F1773" ca="1">IF(OR(INDIRECT($B$2&amp;"!AM14")=$B$1350,B1773=0),"",REPT(" ",E1773)&amp;"displayFormat: "&amp;CHAR(34)&amp;"{0} Items"&amp;CHAR(34)&amp;",")</f>
        <v/>
      </c>
    </row>
    <row r="1774" spans="1:6" hidden="1">
      <c r="A1774" s="150" t="s">
        <v>1037</v>
      </c>
      <c r="B1774" s="130">
        <f ca="1">IFERROR(INDIRECT($B$2&amp;"!"&amp;C1774&amp;D1774),"")</f>
        <v>0</v>
      </c>
      <c r="C1774" s="350" t="s">
        <v>133</v>
      </c>
      <c r="D1774" s="351">
        <f t="shared" ca="1" si="91"/>
        <v>100</v>
      </c>
      <c r="E1774" s="352">
        <v>12</v>
      </c>
      <c r="F1774" s="126" t="str" cm="1">
        <f t="array" aca="1" ref="F1774" ca="1">IF(OR(INDIRECT($B$2&amp;"!AM14")=$B$1350,B1774=0),"",REPT(" ",E1774)&amp;A1774&amp;CHAR(34)&amp;B1774&amp;CHAR(34)&amp;",")</f>
        <v/>
      </c>
    </row>
    <row r="1775" spans="1:6" hidden="1">
      <c r="A1775" s="150" t="s">
        <v>65</v>
      </c>
      <c r="B1775" s="130">
        <f ca="1">IFERROR(INDIRECT($B$2&amp;"!"&amp;C1775&amp;D1775),"")</f>
        <v>0</v>
      </c>
      <c r="C1775" s="350" t="s">
        <v>131</v>
      </c>
      <c r="D1775" s="351">
        <f t="shared" ca="1" si="91"/>
        <v>100</v>
      </c>
      <c r="E1775" s="352">
        <v>9</v>
      </c>
      <c r="F1775" s="126" t="str" cm="1">
        <f t="array" aca="1" ref="F1775" ca="1">IF(OR(INDIRECT($B$2&amp;"!AM14")=$B$1350,B1775=0),"",REPT(" ",E1775)&amp;"},")</f>
        <v/>
      </c>
    </row>
    <row r="1776" spans="1:6" hidden="1">
      <c r="A1776" s="150">
        <f ca="1">IFERROR(INDIRECT($B$2&amp;"!"&amp;"C"&amp;D1776),"")</f>
        <v>0</v>
      </c>
      <c r="B1776" s="130">
        <f ca="1">IFERROR(INDIRECT($B$2&amp;"!"&amp;C1776&amp;D1776),"")</f>
        <v>0</v>
      </c>
      <c r="C1776" s="355" t="s">
        <v>131</v>
      </c>
      <c r="D1776" s="351">
        <f t="shared" ca="1" si="91"/>
        <v>101</v>
      </c>
      <c r="E1776" s="352">
        <v>9</v>
      </c>
      <c r="F1776" s="126" t="str">
        <f ca="1">IF(B1776=0,"",REPT(" ",E1776)&amp;"{ column: "&amp;CHAR(34)&amp;A1776&amp;CHAR(34)&amp;",")</f>
        <v/>
      </c>
    </row>
    <row r="1777" spans="1:6" hidden="1">
      <c r="A1777" s="150"/>
      <c r="B1777" s="130" cm="1">
        <f t="array" aca="1" ref="B1777" ca="1">INDIRECT($B$2&amp;"!"&amp;C1777&amp;D1777)</f>
        <v>0</v>
      </c>
      <c r="C1777" s="350" t="s">
        <v>131</v>
      </c>
      <c r="D1777" s="351">
        <f t="shared" ca="1" si="91"/>
        <v>101</v>
      </c>
      <c r="E1777" s="352">
        <v>12</v>
      </c>
      <c r="F1777" s="126" t="str" cm="1">
        <f t="array" aca="1" ref="F1777" ca="1">IF(OR(INDIRECT($B$2&amp;"!AM14")=$B$1350,B1777=0),"",REPT(" ",E1777)&amp;"summaryType: "&amp;CHAR(34)&amp;B1777&amp;CHAR(34)&amp;",")</f>
        <v/>
      </c>
    </row>
    <row r="1778" spans="1:6" hidden="1">
      <c r="A1778" s="150"/>
      <c r="B1778" s="130">
        <f ca="1">IFERROR(INDIRECT($B$2&amp;"!"&amp;C1778&amp;D1778),"")</f>
        <v>0</v>
      </c>
      <c r="C1778" s="350" t="s">
        <v>131</v>
      </c>
      <c r="D1778" s="351">
        <f t="shared" ca="1" si="91"/>
        <v>101</v>
      </c>
      <c r="E1778" s="352">
        <v>12</v>
      </c>
      <c r="F1778" s="126" t="str" cm="1">
        <f t="array" aca="1" ref="F1778" ca="1">IF(OR(INDIRECT($B$2&amp;"!AM14")=$B$1350,B1778=0),"",REPT(" ",E1778)&amp;"displayFormat: "&amp;CHAR(34)&amp;"{0} Items"&amp;CHAR(34)&amp;",")</f>
        <v/>
      </c>
    </row>
    <row r="1779" spans="1:6" hidden="1">
      <c r="A1779" s="150" t="s">
        <v>1037</v>
      </c>
      <c r="B1779" s="130">
        <f ca="1">IFERROR(INDIRECT($B$2&amp;"!"&amp;C1779&amp;D1779),"")</f>
        <v>0</v>
      </c>
      <c r="C1779" s="350" t="s">
        <v>133</v>
      </c>
      <c r="D1779" s="351">
        <f t="shared" ca="1" si="91"/>
        <v>101</v>
      </c>
      <c r="E1779" s="352">
        <v>12</v>
      </c>
      <c r="F1779" s="126" t="str" cm="1">
        <f t="array" aca="1" ref="F1779" ca="1">IF(OR(INDIRECT($B$2&amp;"!AM14")=$B$1350,B1779=0),"",REPT(" ",E1779)&amp;A1779&amp;CHAR(34)&amp;B1779&amp;CHAR(34)&amp;",")</f>
        <v/>
      </c>
    </row>
    <row r="1780" spans="1:6" hidden="1">
      <c r="A1780" s="150" t="s">
        <v>65</v>
      </c>
      <c r="B1780" s="130">
        <f ca="1">IFERROR(INDIRECT($B$2&amp;"!"&amp;C1780&amp;D1780),"")</f>
        <v>0</v>
      </c>
      <c r="C1780" s="350" t="s">
        <v>131</v>
      </c>
      <c r="D1780" s="351">
        <f t="shared" ca="1" si="91"/>
        <v>101</v>
      </c>
      <c r="E1780" s="352">
        <v>9</v>
      </c>
      <c r="F1780" s="126" t="str" cm="1">
        <f t="array" aca="1" ref="F1780" ca="1">IF(OR(INDIRECT($B$2&amp;"!AM14")=$B$1350,B1780=0),"",REPT(" ",E1780)&amp;"},")</f>
        <v/>
      </c>
    </row>
    <row r="1781" spans="1:6" hidden="1">
      <c r="A1781" s="150">
        <f ca="1">IFERROR(INDIRECT($B$2&amp;"!"&amp;"C"&amp;D1781),"")</f>
        <v>0</v>
      </c>
      <c r="B1781" s="130">
        <f ca="1">IFERROR(INDIRECT($B$2&amp;"!"&amp;C1781&amp;D1781),"")</f>
        <v>0</v>
      </c>
      <c r="C1781" s="355" t="s">
        <v>131</v>
      </c>
      <c r="D1781" s="351">
        <f t="shared" ca="1" si="91"/>
        <v>102</v>
      </c>
      <c r="E1781" s="352">
        <v>9</v>
      </c>
      <c r="F1781" s="126" t="str">
        <f ca="1">IF(B1781=0,"",REPT(" ",E1781)&amp;"{ column: "&amp;CHAR(34)&amp;A1781&amp;CHAR(34)&amp;",")</f>
        <v/>
      </c>
    </row>
    <row r="1782" spans="1:6" hidden="1">
      <c r="A1782" s="150"/>
      <c r="B1782" s="130" cm="1">
        <f t="array" aca="1" ref="B1782" ca="1">INDIRECT($B$2&amp;"!"&amp;C1782&amp;D1782)</f>
        <v>0</v>
      </c>
      <c r="C1782" s="350" t="s">
        <v>131</v>
      </c>
      <c r="D1782" s="351">
        <f t="shared" ca="1" si="91"/>
        <v>102</v>
      </c>
      <c r="E1782" s="352">
        <v>12</v>
      </c>
      <c r="F1782" s="126" t="str" cm="1">
        <f t="array" aca="1" ref="F1782" ca="1">IF(OR(INDIRECT($B$2&amp;"!AM14")=$B$1350,B1782=0),"",REPT(" ",E1782)&amp;"summaryType: "&amp;CHAR(34)&amp;B1782&amp;CHAR(34)&amp;",")</f>
        <v/>
      </c>
    </row>
    <row r="1783" spans="1:6" hidden="1">
      <c r="A1783" s="150"/>
      <c r="B1783" s="130">
        <f ca="1">IFERROR(INDIRECT($B$2&amp;"!"&amp;C1783&amp;D1783),"")</f>
        <v>0</v>
      </c>
      <c r="C1783" s="350" t="s">
        <v>131</v>
      </c>
      <c r="D1783" s="351">
        <f t="shared" ca="1" si="91"/>
        <v>102</v>
      </c>
      <c r="E1783" s="352">
        <v>12</v>
      </c>
      <c r="F1783" s="126" t="str" cm="1">
        <f t="array" aca="1" ref="F1783" ca="1">IF(OR(INDIRECT($B$2&amp;"!AM14")=$B$1350,B1783=0),"",REPT(" ",E1783)&amp;"displayFormat: "&amp;CHAR(34)&amp;"{0} Items"&amp;CHAR(34)&amp;",")</f>
        <v/>
      </c>
    </row>
    <row r="1784" spans="1:6" hidden="1">
      <c r="A1784" s="150" t="s">
        <v>1037</v>
      </c>
      <c r="B1784" s="130">
        <f ca="1">IFERROR(INDIRECT($B$2&amp;"!"&amp;C1784&amp;D1784),"")</f>
        <v>0</v>
      </c>
      <c r="C1784" s="350" t="s">
        <v>133</v>
      </c>
      <c r="D1784" s="351">
        <f t="shared" ca="1" si="91"/>
        <v>102</v>
      </c>
      <c r="E1784" s="352">
        <v>12</v>
      </c>
      <c r="F1784" s="126" t="str" cm="1">
        <f t="array" aca="1" ref="F1784" ca="1">IF(OR(INDIRECT($B$2&amp;"!AM14")=$B$1350,B1784=0),"",REPT(" ",E1784)&amp;A1784&amp;CHAR(34)&amp;B1784&amp;CHAR(34)&amp;",")</f>
        <v/>
      </c>
    </row>
    <row r="1785" spans="1:6" hidden="1">
      <c r="A1785" s="150" t="s">
        <v>65</v>
      </c>
      <c r="B1785" s="130">
        <f ca="1">IFERROR(INDIRECT($B$2&amp;"!"&amp;C1785&amp;D1785),"")</f>
        <v>0</v>
      </c>
      <c r="C1785" s="350" t="s">
        <v>131</v>
      </c>
      <c r="D1785" s="351">
        <f t="shared" ca="1" si="91"/>
        <v>102</v>
      </c>
      <c r="E1785" s="352">
        <v>9</v>
      </c>
      <c r="F1785" s="126" t="str" cm="1">
        <f t="array" aca="1" ref="F1785" ca="1">IF(OR(INDIRECT($B$2&amp;"!AM14")=$B$1350,B1785=0),"",REPT(" ",E1785)&amp;"},")</f>
        <v/>
      </c>
    </row>
    <row r="1786" spans="1:6" hidden="1">
      <c r="A1786" s="150">
        <f ca="1">IFERROR(INDIRECT($B$2&amp;"!"&amp;"C"&amp;D1786),"")</f>
        <v>0</v>
      </c>
      <c r="B1786" s="130">
        <f ca="1">IFERROR(INDIRECT($B$2&amp;"!"&amp;C1786&amp;D1786),"")</f>
        <v>0</v>
      </c>
      <c r="C1786" s="355" t="s">
        <v>131</v>
      </c>
      <c r="D1786" s="351">
        <f t="shared" ca="1" si="91"/>
        <v>103</v>
      </c>
      <c r="E1786" s="352">
        <v>9</v>
      </c>
      <c r="F1786" s="126" t="str">
        <f ca="1">IF(B1786=0,"",REPT(" ",E1786)&amp;"{ column: "&amp;CHAR(34)&amp;A1786&amp;CHAR(34)&amp;",")</f>
        <v/>
      </c>
    </row>
    <row r="1787" spans="1:6" hidden="1">
      <c r="A1787" s="150"/>
      <c r="B1787" s="130" cm="1">
        <f t="array" aca="1" ref="B1787" ca="1">INDIRECT($B$2&amp;"!"&amp;C1787&amp;D1787)</f>
        <v>0</v>
      </c>
      <c r="C1787" s="350" t="s">
        <v>131</v>
      </c>
      <c r="D1787" s="351">
        <f t="shared" ca="1" si="91"/>
        <v>103</v>
      </c>
      <c r="E1787" s="352">
        <v>12</v>
      </c>
      <c r="F1787" s="126" t="str" cm="1">
        <f t="array" aca="1" ref="F1787" ca="1">IF(OR(INDIRECT($B$2&amp;"!AM14")=$B$1350,B1787=0),"",REPT(" ",E1787)&amp;"summaryType: "&amp;CHAR(34)&amp;B1787&amp;CHAR(34)&amp;",")</f>
        <v/>
      </c>
    </row>
    <row r="1788" spans="1:6" hidden="1">
      <c r="A1788" s="150"/>
      <c r="B1788" s="130">
        <f ca="1">IFERROR(INDIRECT($B$2&amp;"!"&amp;C1788&amp;D1788),"")</f>
        <v>0</v>
      </c>
      <c r="C1788" s="350" t="s">
        <v>131</v>
      </c>
      <c r="D1788" s="351">
        <f t="shared" ca="1" si="91"/>
        <v>103</v>
      </c>
      <c r="E1788" s="352">
        <v>12</v>
      </c>
      <c r="F1788" s="126" t="str" cm="1">
        <f t="array" aca="1" ref="F1788" ca="1">IF(OR(INDIRECT($B$2&amp;"!AM14")=$B$1350,B1788=0),"",REPT(" ",E1788)&amp;"displayFormat: "&amp;CHAR(34)&amp;"{0} Items"&amp;CHAR(34)&amp;",")</f>
        <v/>
      </c>
    </row>
    <row r="1789" spans="1:6" hidden="1">
      <c r="A1789" s="150" t="s">
        <v>1037</v>
      </c>
      <c r="B1789" s="130">
        <f ca="1">IFERROR(INDIRECT($B$2&amp;"!"&amp;C1789&amp;D1789),"")</f>
        <v>0</v>
      </c>
      <c r="C1789" s="350" t="s">
        <v>133</v>
      </c>
      <c r="D1789" s="351">
        <f t="shared" ca="1" si="91"/>
        <v>103</v>
      </c>
      <c r="E1789" s="352">
        <v>12</v>
      </c>
      <c r="F1789" s="126" t="str" cm="1">
        <f t="array" aca="1" ref="F1789" ca="1">IF(OR(INDIRECT($B$2&amp;"!AM14")=$B$1350,B1789=0),"",REPT(" ",E1789)&amp;A1789&amp;CHAR(34)&amp;B1789&amp;CHAR(34)&amp;",")</f>
        <v/>
      </c>
    </row>
    <row r="1790" spans="1:6" hidden="1">
      <c r="A1790" s="150" t="s">
        <v>65</v>
      </c>
      <c r="B1790" s="130">
        <f ca="1">IFERROR(INDIRECT($B$2&amp;"!"&amp;C1790&amp;D1790),"")</f>
        <v>0</v>
      </c>
      <c r="C1790" s="350" t="s">
        <v>131</v>
      </c>
      <c r="D1790" s="351">
        <f t="shared" ca="1" si="91"/>
        <v>103</v>
      </c>
      <c r="E1790" s="352">
        <v>9</v>
      </c>
      <c r="F1790" s="126" t="str" cm="1">
        <f t="array" aca="1" ref="F1790" ca="1">IF(OR(INDIRECT($B$2&amp;"!AM14")=$B$1350,B1790=0),"",REPT(" ",E1790)&amp;"},")</f>
        <v/>
      </c>
    </row>
    <row r="1791" spans="1:6" hidden="1">
      <c r="A1791" s="150">
        <f ca="1">IFERROR(INDIRECT($B$2&amp;"!"&amp;"C"&amp;D1791),"")</f>
        <v>0</v>
      </c>
      <c r="B1791" s="130">
        <f ca="1">IFERROR(INDIRECT($B$2&amp;"!"&amp;C1791&amp;D1791),"")</f>
        <v>0</v>
      </c>
      <c r="C1791" s="355" t="s">
        <v>131</v>
      </c>
      <c r="D1791" s="351">
        <f t="shared" ca="1" si="91"/>
        <v>104</v>
      </c>
      <c r="E1791" s="352">
        <v>9</v>
      </c>
      <c r="F1791" s="126" t="str">
        <f ca="1">IF(B1791=0,"",REPT(" ",E1791)&amp;"{ column: "&amp;CHAR(34)&amp;A1791&amp;CHAR(34)&amp;",")</f>
        <v/>
      </c>
    </row>
    <row r="1792" spans="1:6" hidden="1">
      <c r="A1792" s="150"/>
      <c r="B1792" s="130" cm="1">
        <f t="array" aca="1" ref="B1792" ca="1">INDIRECT($B$2&amp;"!"&amp;C1792&amp;D1792)</f>
        <v>0</v>
      </c>
      <c r="C1792" s="350" t="s">
        <v>131</v>
      </c>
      <c r="D1792" s="351">
        <f t="shared" ca="1" si="91"/>
        <v>104</v>
      </c>
      <c r="E1792" s="352">
        <v>12</v>
      </c>
      <c r="F1792" s="126" t="str" cm="1">
        <f t="array" aca="1" ref="F1792" ca="1">IF(OR(INDIRECT($B$2&amp;"!AM14")=$B$1350,B1792=0),"",REPT(" ",E1792)&amp;"summaryType: "&amp;CHAR(34)&amp;B1792&amp;CHAR(34)&amp;",")</f>
        <v/>
      </c>
    </row>
    <row r="1793" spans="1:6" hidden="1">
      <c r="A1793" s="150"/>
      <c r="B1793" s="130">
        <f ca="1">IFERROR(INDIRECT($B$2&amp;"!"&amp;C1793&amp;D1793),"")</f>
        <v>0</v>
      </c>
      <c r="C1793" s="350" t="s">
        <v>131</v>
      </c>
      <c r="D1793" s="351">
        <f t="shared" ca="1" si="91"/>
        <v>104</v>
      </c>
      <c r="E1793" s="352">
        <v>12</v>
      </c>
      <c r="F1793" s="126" t="str" cm="1">
        <f t="array" aca="1" ref="F1793" ca="1">IF(OR(INDIRECT($B$2&amp;"!AM14")=$B$1350,B1793=0),"",REPT(" ",E1793)&amp;"displayFormat: "&amp;CHAR(34)&amp;"{0} Items"&amp;CHAR(34)&amp;",")</f>
        <v/>
      </c>
    </row>
    <row r="1794" spans="1:6" hidden="1">
      <c r="A1794" s="150" t="s">
        <v>1037</v>
      </c>
      <c r="B1794" s="130">
        <f ca="1">IFERROR(INDIRECT($B$2&amp;"!"&amp;C1794&amp;D1794),"")</f>
        <v>0</v>
      </c>
      <c r="C1794" s="350" t="s">
        <v>133</v>
      </c>
      <c r="D1794" s="351">
        <f t="shared" ca="1" si="91"/>
        <v>104</v>
      </c>
      <c r="E1794" s="352">
        <v>12</v>
      </c>
      <c r="F1794" s="126" t="str" cm="1">
        <f t="array" aca="1" ref="F1794" ca="1">IF(OR(INDIRECT($B$2&amp;"!AM14")=$B$1350,B1794=0),"",REPT(" ",E1794)&amp;A1794&amp;CHAR(34)&amp;B1794&amp;CHAR(34)&amp;",")</f>
        <v/>
      </c>
    </row>
    <row r="1795" spans="1:6" hidden="1">
      <c r="A1795" s="150" t="s">
        <v>65</v>
      </c>
      <c r="B1795" s="130">
        <f ca="1">IFERROR(INDIRECT($B$2&amp;"!"&amp;C1795&amp;D1795),"")</f>
        <v>0</v>
      </c>
      <c r="C1795" s="350" t="s">
        <v>131</v>
      </c>
      <c r="D1795" s="351">
        <f t="shared" ca="1" si="91"/>
        <v>104</v>
      </c>
      <c r="E1795" s="352">
        <v>9</v>
      </c>
      <c r="F1795" s="126" t="str" cm="1">
        <f t="array" aca="1" ref="F1795" ca="1">IF(OR(INDIRECT($B$2&amp;"!AM14")=$B$1350,B1795=0),"",REPT(" ",E1795)&amp;"},")</f>
        <v/>
      </c>
    </row>
    <row r="1796" spans="1:6" hidden="1">
      <c r="A1796" s="150">
        <f ca="1">IFERROR(INDIRECT($B$2&amp;"!"&amp;"C"&amp;D1796),"")</f>
        <v>0</v>
      </c>
      <c r="B1796" s="130">
        <f ca="1">IFERROR(INDIRECT($B$2&amp;"!"&amp;C1796&amp;D1796),"")</f>
        <v>0</v>
      </c>
      <c r="C1796" s="355" t="s">
        <v>131</v>
      </c>
      <c r="D1796" s="351">
        <f t="shared" ca="1" si="91"/>
        <v>105</v>
      </c>
      <c r="E1796" s="352">
        <v>9</v>
      </c>
      <c r="F1796" s="126" t="str">
        <f ca="1">IF(B1796=0,"",REPT(" ",E1796)&amp;"{ column: "&amp;CHAR(34)&amp;A1796&amp;CHAR(34)&amp;",")</f>
        <v/>
      </c>
    </row>
    <row r="1797" spans="1:6" hidden="1">
      <c r="A1797" s="150"/>
      <c r="B1797" s="130" cm="1">
        <f t="array" aca="1" ref="B1797" ca="1">INDIRECT($B$2&amp;"!"&amp;C1797&amp;D1797)</f>
        <v>0</v>
      </c>
      <c r="C1797" s="350" t="s">
        <v>131</v>
      </c>
      <c r="D1797" s="351">
        <f t="shared" ca="1" si="91"/>
        <v>105</v>
      </c>
      <c r="E1797" s="352">
        <v>12</v>
      </c>
      <c r="F1797" s="126" t="str" cm="1">
        <f t="array" aca="1" ref="F1797" ca="1">IF(OR(INDIRECT($B$2&amp;"!AM14")=$B$1350,B1797=0),"",REPT(" ",E1797)&amp;"summaryType: "&amp;CHAR(34)&amp;B1797&amp;CHAR(34)&amp;",")</f>
        <v/>
      </c>
    </row>
    <row r="1798" spans="1:6" hidden="1">
      <c r="A1798" s="150"/>
      <c r="B1798" s="130">
        <f ca="1">IFERROR(INDIRECT($B$2&amp;"!"&amp;C1798&amp;D1798),"")</f>
        <v>0</v>
      </c>
      <c r="C1798" s="350" t="s">
        <v>131</v>
      </c>
      <c r="D1798" s="351">
        <f t="shared" ca="1" si="91"/>
        <v>105</v>
      </c>
      <c r="E1798" s="352">
        <v>12</v>
      </c>
      <c r="F1798" s="126" t="str" cm="1">
        <f t="array" aca="1" ref="F1798" ca="1">IF(OR(INDIRECT($B$2&amp;"!AM14")=$B$1350,B1798=0),"",REPT(" ",E1798)&amp;"displayFormat: "&amp;CHAR(34)&amp;"{0} Items"&amp;CHAR(34)&amp;",")</f>
        <v/>
      </c>
    </row>
    <row r="1799" spans="1:6" hidden="1">
      <c r="A1799" s="150" t="s">
        <v>1037</v>
      </c>
      <c r="B1799" s="130">
        <f ca="1">IFERROR(INDIRECT($B$2&amp;"!"&amp;C1799&amp;D1799),"")</f>
        <v>0</v>
      </c>
      <c r="C1799" s="350" t="s">
        <v>133</v>
      </c>
      <c r="D1799" s="351">
        <f t="shared" ca="1" si="91"/>
        <v>105</v>
      </c>
      <c r="E1799" s="352">
        <v>12</v>
      </c>
      <c r="F1799" s="126" t="str" cm="1">
        <f t="array" aca="1" ref="F1799" ca="1">IF(OR(INDIRECT($B$2&amp;"!AM14")=$B$1350,B1799=0),"",REPT(" ",E1799)&amp;A1799&amp;CHAR(34)&amp;B1799&amp;CHAR(34)&amp;",")</f>
        <v/>
      </c>
    </row>
    <row r="1800" spans="1:6" hidden="1">
      <c r="A1800" s="150" t="s">
        <v>65</v>
      </c>
      <c r="B1800" s="130">
        <f ca="1">IFERROR(INDIRECT($B$2&amp;"!"&amp;C1800&amp;D1800),"")</f>
        <v>0</v>
      </c>
      <c r="C1800" s="350" t="s">
        <v>131</v>
      </c>
      <c r="D1800" s="351">
        <f t="shared" ca="1" si="91"/>
        <v>105</v>
      </c>
      <c r="E1800" s="352">
        <v>9</v>
      </c>
      <c r="F1800" s="126" t="str" cm="1">
        <f t="array" aca="1" ref="F1800" ca="1">IF(OR(INDIRECT($B$2&amp;"!AM14")=$B$1350,B1800=0),"",REPT(" ",E1800)&amp;"},")</f>
        <v/>
      </c>
    </row>
    <row r="1801" spans="1:6" hidden="1">
      <c r="A1801" s="150">
        <f ca="1">IFERROR(INDIRECT($B$2&amp;"!"&amp;"C"&amp;D1801),"")</f>
        <v>0</v>
      </c>
      <c r="B1801" s="130">
        <f ca="1">IFERROR(INDIRECT($B$2&amp;"!"&amp;C1801&amp;D1801),"")</f>
        <v>0</v>
      </c>
      <c r="C1801" s="355" t="s">
        <v>131</v>
      </c>
      <c r="D1801" s="351">
        <f t="shared" ca="1" si="91"/>
        <v>106</v>
      </c>
      <c r="E1801" s="352">
        <v>9</v>
      </c>
      <c r="F1801" s="126" t="str">
        <f ca="1">IF(B1801=0,"",REPT(" ",E1801)&amp;"{ column: "&amp;CHAR(34)&amp;A1801&amp;CHAR(34)&amp;",")</f>
        <v/>
      </c>
    </row>
    <row r="1802" spans="1:6" hidden="1">
      <c r="A1802" s="150"/>
      <c r="B1802" s="130" cm="1">
        <f t="array" aca="1" ref="B1802" ca="1">INDIRECT($B$2&amp;"!"&amp;C1802&amp;D1802)</f>
        <v>0</v>
      </c>
      <c r="C1802" s="350" t="s">
        <v>131</v>
      </c>
      <c r="D1802" s="351">
        <f t="shared" ca="1" si="91"/>
        <v>106</v>
      </c>
      <c r="E1802" s="352">
        <v>12</v>
      </c>
      <c r="F1802" s="126" t="str" cm="1">
        <f t="array" aca="1" ref="F1802" ca="1">IF(OR(INDIRECT($B$2&amp;"!AM14")=$B$1350,B1802=0),"",REPT(" ",E1802)&amp;"summaryType: "&amp;CHAR(34)&amp;B1802&amp;CHAR(34)&amp;",")</f>
        <v/>
      </c>
    </row>
    <row r="1803" spans="1:6" hidden="1">
      <c r="A1803" s="150"/>
      <c r="B1803" s="130">
        <f ca="1">IFERROR(INDIRECT($B$2&amp;"!"&amp;C1803&amp;D1803),"")</f>
        <v>0</v>
      </c>
      <c r="C1803" s="350" t="s">
        <v>131</v>
      </c>
      <c r="D1803" s="351">
        <f t="shared" ca="1" si="91"/>
        <v>106</v>
      </c>
      <c r="E1803" s="352">
        <v>12</v>
      </c>
      <c r="F1803" s="126" t="str" cm="1">
        <f t="array" aca="1" ref="F1803" ca="1">IF(OR(INDIRECT($B$2&amp;"!AM14")=$B$1350,B1803=0),"",REPT(" ",E1803)&amp;"displayFormat: "&amp;CHAR(34)&amp;"{0} Items"&amp;CHAR(34)&amp;",")</f>
        <v/>
      </c>
    </row>
    <row r="1804" spans="1:6" hidden="1">
      <c r="A1804" s="150" t="s">
        <v>1037</v>
      </c>
      <c r="B1804" s="130">
        <f ca="1">IFERROR(INDIRECT($B$2&amp;"!"&amp;C1804&amp;D1804),"")</f>
        <v>0</v>
      </c>
      <c r="C1804" s="350" t="s">
        <v>133</v>
      </c>
      <c r="D1804" s="351">
        <f t="shared" ca="1" si="91"/>
        <v>106</v>
      </c>
      <c r="E1804" s="352">
        <v>12</v>
      </c>
      <c r="F1804" s="126" t="str" cm="1">
        <f t="array" aca="1" ref="F1804" ca="1">IF(OR(INDIRECT($B$2&amp;"!AM14")=$B$1350,B1804=0),"",REPT(" ",E1804)&amp;A1804&amp;CHAR(34)&amp;B1804&amp;CHAR(34)&amp;",")</f>
        <v/>
      </c>
    </row>
    <row r="1805" spans="1:6" hidden="1">
      <c r="A1805" s="150" t="s">
        <v>65</v>
      </c>
      <c r="B1805" s="130">
        <f ca="1">IFERROR(INDIRECT($B$2&amp;"!"&amp;C1805&amp;D1805),"")</f>
        <v>0</v>
      </c>
      <c r="C1805" s="350" t="s">
        <v>131</v>
      </c>
      <c r="D1805" s="351">
        <f t="shared" ca="1" si="91"/>
        <v>106</v>
      </c>
      <c r="E1805" s="352">
        <v>9</v>
      </c>
      <c r="F1805" s="126" t="str" cm="1">
        <f t="array" aca="1" ref="F1805" ca="1">IF(OR(INDIRECT($B$2&amp;"!AM14")=$B$1350,B1805=0),"",REPT(" ",E1805)&amp;"},")</f>
        <v/>
      </c>
    </row>
    <row r="1806" spans="1:6" hidden="1">
      <c r="A1806" s="150">
        <f ca="1">IFERROR(INDIRECT($B$2&amp;"!"&amp;"C"&amp;D1806),"")</f>
        <v>0</v>
      </c>
      <c r="B1806" s="130">
        <f ca="1">IFERROR(INDIRECT($B$2&amp;"!"&amp;C1806&amp;D1806),"")</f>
        <v>0</v>
      </c>
      <c r="C1806" s="355" t="s">
        <v>131</v>
      </c>
      <c r="D1806" s="351">
        <f t="shared" ca="1" si="91"/>
        <v>107</v>
      </c>
      <c r="E1806" s="352">
        <v>9</v>
      </c>
      <c r="F1806" s="126" t="str">
        <f ca="1">IF(B1806=0,"",REPT(" ",E1806)&amp;"{ column: "&amp;CHAR(34)&amp;A1806&amp;CHAR(34)&amp;",")</f>
        <v/>
      </c>
    </row>
    <row r="1807" spans="1:6" hidden="1">
      <c r="A1807" s="150"/>
      <c r="B1807" s="130" cm="1">
        <f t="array" aca="1" ref="B1807" ca="1">INDIRECT($B$2&amp;"!"&amp;C1807&amp;D1807)</f>
        <v>0</v>
      </c>
      <c r="C1807" s="350" t="s">
        <v>131</v>
      </c>
      <c r="D1807" s="351">
        <f t="shared" ca="1" si="91"/>
        <v>107</v>
      </c>
      <c r="E1807" s="352">
        <v>12</v>
      </c>
      <c r="F1807" s="126" t="str" cm="1">
        <f t="array" aca="1" ref="F1807" ca="1">IF(OR(INDIRECT($B$2&amp;"!AM14")=$B$1350,B1807=0),"",REPT(" ",E1807)&amp;"summaryType: "&amp;CHAR(34)&amp;B1807&amp;CHAR(34)&amp;",")</f>
        <v/>
      </c>
    </row>
    <row r="1808" spans="1:6" hidden="1">
      <c r="A1808" s="150"/>
      <c r="B1808" s="130">
        <f ca="1">IFERROR(INDIRECT($B$2&amp;"!"&amp;C1808&amp;D1808),"")</f>
        <v>0</v>
      </c>
      <c r="C1808" s="350" t="s">
        <v>131</v>
      </c>
      <c r="D1808" s="351">
        <f t="shared" ca="1" si="91"/>
        <v>107</v>
      </c>
      <c r="E1808" s="352">
        <v>12</v>
      </c>
      <c r="F1808" s="126" t="str" cm="1">
        <f t="array" aca="1" ref="F1808" ca="1">IF(OR(INDIRECT($B$2&amp;"!AM14")=$B$1350,B1808=0),"",REPT(" ",E1808)&amp;"displayFormat: "&amp;CHAR(34)&amp;"{0} Items"&amp;CHAR(34)&amp;",")</f>
        <v/>
      </c>
    </row>
    <row r="1809" spans="1:6" hidden="1">
      <c r="A1809" s="150" t="s">
        <v>1037</v>
      </c>
      <c r="B1809" s="130">
        <f ca="1">IFERROR(INDIRECT($B$2&amp;"!"&amp;C1809&amp;D1809),"")</f>
        <v>0</v>
      </c>
      <c r="C1809" s="350" t="s">
        <v>133</v>
      </c>
      <c r="D1809" s="351">
        <f t="shared" ca="1" si="91"/>
        <v>107</v>
      </c>
      <c r="E1809" s="352">
        <v>12</v>
      </c>
      <c r="F1809" s="126" t="str" cm="1">
        <f t="array" aca="1" ref="F1809" ca="1">IF(OR(INDIRECT($B$2&amp;"!AM14")=$B$1350,B1809=0),"",REPT(" ",E1809)&amp;A1809&amp;CHAR(34)&amp;B1809&amp;CHAR(34)&amp;",")</f>
        <v/>
      </c>
    </row>
    <row r="1810" spans="1:6" hidden="1">
      <c r="A1810" s="150" t="s">
        <v>65</v>
      </c>
      <c r="B1810" s="130">
        <f ca="1">IFERROR(INDIRECT($B$2&amp;"!"&amp;C1810&amp;D1810),"")</f>
        <v>0</v>
      </c>
      <c r="C1810" s="350" t="s">
        <v>131</v>
      </c>
      <c r="D1810" s="351">
        <f t="shared" ca="1" si="91"/>
        <v>107</v>
      </c>
      <c r="E1810" s="352">
        <v>9</v>
      </c>
      <c r="F1810" s="126" t="str" cm="1">
        <f t="array" aca="1" ref="F1810" ca="1">IF(OR(INDIRECT($B$2&amp;"!AM14")=$B$1350,B1810=0),"",REPT(" ",E1810)&amp;"},")</f>
        <v/>
      </c>
    </row>
    <row r="1811" spans="1:6" hidden="1">
      <c r="A1811" s="150">
        <f ca="1">IFERROR(INDIRECT($B$2&amp;"!"&amp;"C"&amp;D1811),"")</f>
        <v>0</v>
      </c>
      <c r="B1811" s="130">
        <f ca="1">IFERROR(INDIRECT($B$2&amp;"!"&amp;C1811&amp;D1811),"")</f>
        <v>0</v>
      </c>
      <c r="C1811" s="355" t="s">
        <v>131</v>
      </c>
      <c r="D1811" s="351">
        <f t="shared" ref="D1811:D1852" ca="1" si="92">IF(TRIM(A1810)="N",1,0)+D1810</f>
        <v>108</v>
      </c>
      <c r="E1811" s="352">
        <v>9</v>
      </c>
      <c r="F1811" s="126" t="str">
        <f ca="1">IF(B1811=0,"",REPT(" ",E1811)&amp;"{ column: "&amp;CHAR(34)&amp;A1811&amp;CHAR(34)&amp;",")</f>
        <v/>
      </c>
    </row>
    <row r="1812" spans="1:6" hidden="1">
      <c r="A1812" s="150"/>
      <c r="B1812" s="130" cm="1">
        <f t="array" aca="1" ref="B1812" ca="1">INDIRECT($B$2&amp;"!"&amp;C1812&amp;D1812)</f>
        <v>0</v>
      </c>
      <c r="C1812" s="350" t="s">
        <v>131</v>
      </c>
      <c r="D1812" s="351">
        <f t="shared" ca="1" si="92"/>
        <v>108</v>
      </c>
      <c r="E1812" s="352">
        <v>12</v>
      </c>
      <c r="F1812" s="126" t="str" cm="1">
        <f t="array" aca="1" ref="F1812" ca="1">IF(OR(INDIRECT($B$2&amp;"!AM14")=$B$1350,B1812=0),"",REPT(" ",E1812)&amp;"summaryType: "&amp;CHAR(34)&amp;B1812&amp;CHAR(34)&amp;",")</f>
        <v/>
      </c>
    </row>
    <row r="1813" spans="1:6" hidden="1">
      <c r="A1813" s="150"/>
      <c r="B1813" s="130">
        <f ca="1">IFERROR(INDIRECT($B$2&amp;"!"&amp;C1813&amp;D1813),"")</f>
        <v>0</v>
      </c>
      <c r="C1813" s="350" t="s">
        <v>131</v>
      </c>
      <c r="D1813" s="351">
        <f t="shared" ca="1" si="92"/>
        <v>108</v>
      </c>
      <c r="E1813" s="352">
        <v>12</v>
      </c>
      <c r="F1813" s="126" t="str" cm="1">
        <f t="array" aca="1" ref="F1813" ca="1">IF(OR(INDIRECT($B$2&amp;"!AM14")=$B$1350,B1813=0),"",REPT(" ",E1813)&amp;"displayFormat: "&amp;CHAR(34)&amp;"{0} Items"&amp;CHAR(34)&amp;",")</f>
        <v/>
      </c>
    </row>
    <row r="1814" spans="1:6" hidden="1">
      <c r="A1814" s="150" t="s">
        <v>1037</v>
      </c>
      <c r="B1814" s="130">
        <f ca="1">IFERROR(INDIRECT($B$2&amp;"!"&amp;C1814&amp;D1814),"")</f>
        <v>0</v>
      </c>
      <c r="C1814" s="350" t="s">
        <v>133</v>
      </c>
      <c r="D1814" s="351">
        <f t="shared" ca="1" si="92"/>
        <v>108</v>
      </c>
      <c r="E1814" s="352">
        <v>12</v>
      </c>
      <c r="F1814" s="126" t="str" cm="1">
        <f t="array" aca="1" ref="F1814" ca="1">IF(OR(INDIRECT($B$2&amp;"!AM14")=$B$1350,B1814=0),"",REPT(" ",E1814)&amp;A1814&amp;CHAR(34)&amp;B1814&amp;CHAR(34)&amp;",")</f>
        <v/>
      </c>
    </row>
    <row r="1815" spans="1:6" hidden="1">
      <c r="A1815" s="150" t="s">
        <v>65</v>
      </c>
      <c r="B1815" s="130">
        <f ca="1">IFERROR(INDIRECT($B$2&amp;"!"&amp;C1815&amp;D1815),"")</f>
        <v>0</v>
      </c>
      <c r="C1815" s="350" t="s">
        <v>131</v>
      </c>
      <c r="D1815" s="351">
        <f t="shared" ca="1" si="92"/>
        <v>108</v>
      </c>
      <c r="E1815" s="352">
        <v>9</v>
      </c>
      <c r="F1815" s="126" t="str" cm="1">
        <f t="array" aca="1" ref="F1815" ca="1">IF(OR(INDIRECT($B$2&amp;"!AM14")=$B$1350,B1815=0),"",REPT(" ",E1815)&amp;"},")</f>
        <v/>
      </c>
    </row>
    <row r="1816" spans="1:6" hidden="1">
      <c r="A1816" s="150">
        <f ca="1">IFERROR(INDIRECT($B$2&amp;"!"&amp;"C"&amp;D1816),"")</f>
        <v>0</v>
      </c>
      <c r="B1816" s="130">
        <f ca="1">IFERROR(INDIRECT($B$2&amp;"!"&amp;C1816&amp;D1816),"")</f>
        <v>0</v>
      </c>
      <c r="C1816" s="355" t="s">
        <v>131</v>
      </c>
      <c r="D1816" s="351">
        <f t="shared" ca="1" si="92"/>
        <v>109</v>
      </c>
      <c r="E1816" s="352">
        <v>9</v>
      </c>
      <c r="F1816" s="126" t="str">
        <f ca="1">IF(B1816=0,"",REPT(" ",E1816)&amp;"{ column: "&amp;CHAR(34)&amp;A1816&amp;CHAR(34)&amp;",")</f>
        <v/>
      </c>
    </row>
    <row r="1817" spans="1:6" hidden="1">
      <c r="A1817" s="150"/>
      <c r="B1817" s="130" cm="1">
        <f t="array" aca="1" ref="B1817" ca="1">INDIRECT($B$2&amp;"!"&amp;C1817&amp;D1817)</f>
        <v>0</v>
      </c>
      <c r="C1817" s="350" t="s">
        <v>131</v>
      </c>
      <c r="D1817" s="351">
        <f t="shared" ca="1" si="92"/>
        <v>109</v>
      </c>
      <c r="E1817" s="352">
        <v>12</v>
      </c>
      <c r="F1817" s="126" t="str" cm="1">
        <f t="array" aca="1" ref="F1817" ca="1">IF(OR(INDIRECT($B$2&amp;"!AM14")=$B$1350,B1817=0),"",REPT(" ",E1817)&amp;"summaryType: "&amp;CHAR(34)&amp;B1817&amp;CHAR(34)&amp;",")</f>
        <v/>
      </c>
    </row>
    <row r="1818" spans="1:6" hidden="1">
      <c r="A1818" s="150"/>
      <c r="B1818" s="130">
        <f ca="1">IFERROR(INDIRECT($B$2&amp;"!"&amp;C1818&amp;D1818),"")</f>
        <v>0</v>
      </c>
      <c r="C1818" s="350" t="s">
        <v>131</v>
      </c>
      <c r="D1818" s="351">
        <f t="shared" ca="1" si="92"/>
        <v>109</v>
      </c>
      <c r="E1818" s="352">
        <v>12</v>
      </c>
      <c r="F1818" s="126" t="str" cm="1">
        <f t="array" aca="1" ref="F1818" ca="1">IF(OR(INDIRECT($B$2&amp;"!AM14")=$B$1350,B1818=0),"",REPT(" ",E1818)&amp;"displayFormat: "&amp;CHAR(34)&amp;"{0} Items"&amp;CHAR(34)&amp;",")</f>
        <v/>
      </c>
    </row>
    <row r="1819" spans="1:6" hidden="1">
      <c r="A1819" s="150" t="s">
        <v>1037</v>
      </c>
      <c r="B1819" s="130">
        <f ca="1">IFERROR(INDIRECT($B$2&amp;"!"&amp;C1819&amp;D1819),"")</f>
        <v>0</v>
      </c>
      <c r="C1819" s="350" t="s">
        <v>133</v>
      </c>
      <c r="D1819" s="351">
        <f t="shared" ca="1" si="92"/>
        <v>109</v>
      </c>
      <c r="E1819" s="352">
        <v>12</v>
      </c>
      <c r="F1819" s="126" t="str" cm="1">
        <f t="array" aca="1" ref="F1819" ca="1">IF(OR(INDIRECT($B$2&amp;"!AM14")=$B$1350,B1819=0),"",REPT(" ",E1819)&amp;A1819&amp;CHAR(34)&amp;B1819&amp;CHAR(34)&amp;",")</f>
        <v/>
      </c>
    </row>
    <row r="1820" spans="1:6" hidden="1">
      <c r="A1820" s="150" t="s">
        <v>65</v>
      </c>
      <c r="B1820" s="130">
        <f ca="1">IFERROR(INDIRECT($B$2&amp;"!"&amp;C1820&amp;D1820),"")</f>
        <v>0</v>
      </c>
      <c r="C1820" s="350" t="s">
        <v>131</v>
      </c>
      <c r="D1820" s="351">
        <f t="shared" ca="1" si="92"/>
        <v>109</v>
      </c>
      <c r="E1820" s="352">
        <v>9</v>
      </c>
      <c r="F1820" s="126" t="str" cm="1">
        <f t="array" aca="1" ref="F1820" ca="1">IF(OR(INDIRECT($B$2&amp;"!AM14")=$B$1350,B1820=0),"",REPT(" ",E1820)&amp;"},")</f>
        <v/>
      </c>
    </row>
    <row r="1821" spans="1:6" hidden="1">
      <c r="A1821" s="150">
        <f ca="1">IFERROR(INDIRECT($B$2&amp;"!"&amp;"C"&amp;D1821),"")</f>
        <v>0</v>
      </c>
      <c r="B1821" s="130">
        <f ca="1">IFERROR(INDIRECT($B$2&amp;"!"&amp;C1821&amp;D1821),"")</f>
        <v>0</v>
      </c>
      <c r="C1821" s="355" t="s">
        <v>131</v>
      </c>
      <c r="D1821" s="351">
        <f t="shared" ca="1" si="92"/>
        <v>110</v>
      </c>
      <c r="E1821" s="352">
        <v>9</v>
      </c>
      <c r="F1821" s="126" t="str">
        <f ca="1">IF(B1821=0,"",REPT(" ",E1821)&amp;"{ column: "&amp;CHAR(34)&amp;A1821&amp;CHAR(34)&amp;",")</f>
        <v/>
      </c>
    </row>
    <row r="1822" spans="1:6" hidden="1">
      <c r="A1822" s="150"/>
      <c r="B1822" s="130" cm="1">
        <f t="array" aca="1" ref="B1822" ca="1">INDIRECT($B$2&amp;"!"&amp;C1822&amp;D1822)</f>
        <v>0</v>
      </c>
      <c r="C1822" s="350" t="s">
        <v>131</v>
      </c>
      <c r="D1822" s="351">
        <f t="shared" ca="1" si="92"/>
        <v>110</v>
      </c>
      <c r="E1822" s="352">
        <v>12</v>
      </c>
      <c r="F1822" s="126" t="str" cm="1">
        <f t="array" aca="1" ref="F1822" ca="1">IF(OR(INDIRECT($B$2&amp;"!AM14")=$B$1350,B1822=0),"",REPT(" ",E1822)&amp;"summaryType: "&amp;CHAR(34)&amp;B1822&amp;CHAR(34)&amp;",")</f>
        <v/>
      </c>
    </row>
    <row r="1823" spans="1:6" hidden="1">
      <c r="A1823" s="150"/>
      <c r="B1823" s="130">
        <f ca="1">IFERROR(INDIRECT($B$2&amp;"!"&amp;C1823&amp;D1823),"")</f>
        <v>0</v>
      </c>
      <c r="C1823" s="350" t="s">
        <v>131</v>
      </c>
      <c r="D1823" s="351">
        <f t="shared" ca="1" si="92"/>
        <v>110</v>
      </c>
      <c r="E1823" s="352">
        <v>12</v>
      </c>
      <c r="F1823" s="126" t="str" cm="1">
        <f t="array" aca="1" ref="F1823" ca="1">IF(OR(INDIRECT($B$2&amp;"!AM14")=$B$1350,B1823=0),"",REPT(" ",E1823)&amp;"displayFormat: "&amp;CHAR(34)&amp;"{0} Items"&amp;CHAR(34)&amp;",")</f>
        <v/>
      </c>
    </row>
    <row r="1824" spans="1:6" hidden="1">
      <c r="A1824" s="150" t="s">
        <v>1037</v>
      </c>
      <c r="B1824" s="130">
        <f ca="1">IFERROR(INDIRECT($B$2&amp;"!"&amp;C1824&amp;D1824),"")</f>
        <v>0</v>
      </c>
      <c r="C1824" s="350" t="s">
        <v>133</v>
      </c>
      <c r="D1824" s="351">
        <f t="shared" ca="1" si="92"/>
        <v>110</v>
      </c>
      <c r="E1824" s="352">
        <v>12</v>
      </c>
      <c r="F1824" s="126" t="str" cm="1">
        <f t="array" aca="1" ref="F1824" ca="1">IF(OR(INDIRECT($B$2&amp;"!AM14")=$B$1350,B1824=0),"",REPT(" ",E1824)&amp;A1824&amp;CHAR(34)&amp;B1824&amp;CHAR(34)&amp;",")</f>
        <v/>
      </c>
    </row>
    <row r="1825" spans="1:6" hidden="1">
      <c r="A1825" s="150" t="s">
        <v>65</v>
      </c>
      <c r="B1825" s="130">
        <f ca="1">IFERROR(INDIRECT($B$2&amp;"!"&amp;C1825&amp;D1825),"")</f>
        <v>0</v>
      </c>
      <c r="C1825" s="350" t="s">
        <v>131</v>
      </c>
      <c r="D1825" s="351">
        <f t="shared" ca="1" si="92"/>
        <v>110</v>
      </c>
      <c r="E1825" s="352">
        <v>9</v>
      </c>
      <c r="F1825" s="126" t="str" cm="1">
        <f t="array" aca="1" ref="F1825" ca="1">IF(OR(INDIRECT($B$2&amp;"!AM14")=$B$1350,B1825=0),"",REPT(" ",E1825)&amp;"},")</f>
        <v/>
      </c>
    </row>
    <row r="1826" spans="1:6" hidden="1">
      <c r="A1826" s="150">
        <f ca="1">IFERROR(INDIRECT($B$2&amp;"!"&amp;"C"&amp;D1826),"")</f>
        <v>0</v>
      </c>
      <c r="B1826" s="130">
        <f ca="1">IFERROR(INDIRECT($B$2&amp;"!"&amp;C1826&amp;D1826),"")</f>
        <v>0</v>
      </c>
      <c r="C1826" s="355" t="s">
        <v>131</v>
      </c>
      <c r="D1826" s="351">
        <f t="shared" ca="1" si="92"/>
        <v>111</v>
      </c>
      <c r="E1826" s="352">
        <v>9</v>
      </c>
      <c r="F1826" s="126" t="str">
        <f ca="1">IF(B1826=0,"",REPT(" ",E1826)&amp;"{ column: "&amp;CHAR(34)&amp;A1826&amp;CHAR(34)&amp;",")</f>
        <v/>
      </c>
    </row>
    <row r="1827" spans="1:6" hidden="1">
      <c r="A1827" s="150"/>
      <c r="B1827" s="130" cm="1">
        <f t="array" aca="1" ref="B1827" ca="1">INDIRECT($B$2&amp;"!"&amp;C1827&amp;D1827)</f>
        <v>0</v>
      </c>
      <c r="C1827" s="350" t="s">
        <v>131</v>
      </c>
      <c r="D1827" s="351">
        <f t="shared" ca="1" si="92"/>
        <v>111</v>
      </c>
      <c r="E1827" s="352">
        <v>12</v>
      </c>
      <c r="F1827" s="126" t="str" cm="1">
        <f t="array" aca="1" ref="F1827" ca="1">IF(OR(INDIRECT($B$2&amp;"!AM14")=$B$1350,B1827=0),"",REPT(" ",E1827)&amp;"summaryType: "&amp;CHAR(34)&amp;B1827&amp;CHAR(34)&amp;",")</f>
        <v/>
      </c>
    </row>
    <row r="1828" spans="1:6" hidden="1">
      <c r="A1828" s="150"/>
      <c r="B1828" s="130">
        <f ca="1">IFERROR(INDIRECT($B$2&amp;"!"&amp;C1828&amp;D1828),"")</f>
        <v>0</v>
      </c>
      <c r="C1828" s="350" t="s">
        <v>131</v>
      </c>
      <c r="D1828" s="351">
        <f t="shared" ca="1" si="92"/>
        <v>111</v>
      </c>
      <c r="E1828" s="352">
        <v>12</v>
      </c>
      <c r="F1828" s="126" t="str" cm="1">
        <f t="array" aca="1" ref="F1828" ca="1">IF(OR(INDIRECT($B$2&amp;"!AM14")=$B$1350,B1828=0),"",REPT(" ",E1828)&amp;"displayFormat: "&amp;CHAR(34)&amp;"{0} Items"&amp;CHAR(34)&amp;",")</f>
        <v/>
      </c>
    </row>
    <row r="1829" spans="1:6" hidden="1">
      <c r="A1829" s="150" t="s">
        <v>1037</v>
      </c>
      <c r="B1829" s="130">
        <f ca="1">IFERROR(INDIRECT($B$2&amp;"!"&amp;C1829&amp;D1829),"")</f>
        <v>0</v>
      </c>
      <c r="C1829" s="350" t="s">
        <v>133</v>
      </c>
      <c r="D1829" s="351">
        <f t="shared" ca="1" si="92"/>
        <v>111</v>
      </c>
      <c r="E1829" s="352">
        <v>12</v>
      </c>
      <c r="F1829" s="126" t="str" cm="1">
        <f t="array" aca="1" ref="F1829" ca="1">IF(OR(INDIRECT($B$2&amp;"!AM14")=$B$1350,B1829=0),"",REPT(" ",E1829)&amp;A1829&amp;CHAR(34)&amp;B1829&amp;CHAR(34)&amp;",")</f>
        <v/>
      </c>
    </row>
    <row r="1830" spans="1:6" hidden="1">
      <c r="A1830" s="150" t="s">
        <v>65</v>
      </c>
      <c r="B1830" s="130">
        <f ca="1">IFERROR(INDIRECT($B$2&amp;"!"&amp;C1830&amp;D1830),"")</f>
        <v>0</v>
      </c>
      <c r="C1830" s="350" t="s">
        <v>131</v>
      </c>
      <c r="D1830" s="351">
        <f t="shared" ca="1" si="92"/>
        <v>111</v>
      </c>
      <c r="E1830" s="352">
        <v>9</v>
      </c>
      <c r="F1830" s="126" t="str" cm="1">
        <f t="array" aca="1" ref="F1830" ca="1">IF(OR(INDIRECT($B$2&amp;"!AM14")=$B$1350,B1830=0),"",REPT(" ",E1830)&amp;"},")</f>
        <v/>
      </c>
    </row>
    <row r="1831" spans="1:6" hidden="1">
      <c r="A1831" s="150">
        <f ca="1">IFERROR(INDIRECT($B$2&amp;"!"&amp;"C"&amp;D1831),"")</f>
        <v>0</v>
      </c>
      <c r="B1831" s="130">
        <f ca="1">IFERROR(INDIRECT($B$2&amp;"!"&amp;C1831&amp;D1831),"")</f>
        <v>0</v>
      </c>
      <c r="C1831" s="355" t="s">
        <v>131</v>
      </c>
      <c r="D1831" s="351">
        <f t="shared" ca="1" si="92"/>
        <v>112</v>
      </c>
      <c r="E1831" s="352">
        <v>9</v>
      </c>
      <c r="F1831" s="126" t="str">
        <f ca="1">IF(B1831=0,"",REPT(" ",E1831)&amp;"{ column: "&amp;CHAR(34)&amp;A1831&amp;CHAR(34)&amp;",")</f>
        <v/>
      </c>
    </row>
    <row r="1832" spans="1:6" hidden="1">
      <c r="A1832" s="150"/>
      <c r="B1832" s="130" cm="1">
        <f t="array" aca="1" ref="B1832" ca="1">INDIRECT($B$2&amp;"!"&amp;C1832&amp;D1832)</f>
        <v>0</v>
      </c>
      <c r="C1832" s="350" t="s">
        <v>131</v>
      </c>
      <c r="D1832" s="351">
        <f t="shared" ca="1" si="92"/>
        <v>112</v>
      </c>
      <c r="E1832" s="352">
        <v>12</v>
      </c>
      <c r="F1832" s="126" t="str" cm="1">
        <f t="array" aca="1" ref="F1832" ca="1">IF(OR(INDIRECT($B$2&amp;"!AM14")=$B$1350,B1832=0),"",REPT(" ",E1832)&amp;"summaryType: "&amp;CHAR(34)&amp;B1832&amp;CHAR(34)&amp;",")</f>
        <v/>
      </c>
    </row>
    <row r="1833" spans="1:6" hidden="1">
      <c r="A1833" s="150"/>
      <c r="B1833" s="130">
        <f ca="1">IFERROR(INDIRECT($B$2&amp;"!"&amp;C1833&amp;D1833),"")</f>
        <v>0</v>
      </c>
      <c r="C1833" s="350" t="s">
        <v>131</v>
      </c>
      <c r="D1833" s="351">
        <f t="shared" ca="1" si="92"/>
        <v>112</v>
      </c>
      <c r="E1833" s="352">
        <v>12</v>
      </c>
      <c r="F1833" s="126" t="str" cm="1">
        <f t="array" aca="1" ref="F1833" ca="1">IF(OR(INDIRECT($B$2&amp;"!AM14")=$B$1350,B1833=0),"",REPT(" ",E1833)&amp;"displayFormat: "&amp;CHAR(34)&amp;"{0} Items"&amp;CHAR(34)&amp;",")</f>
        <v/>
      </c>
    </row>
    <row r="1834" spans="1:6" hidden="1">
      <c r="A1834" s="150" t="s">
        <v>1037</v>
      </c>
      <c r="B1834" s="130">
        <f ca="1">IFERROR(INDIRECT($B$2&amp;"!"&amp;C1834&amp;D1834),"")</f>
        <v>0</v>
      </c>
      <c r="C1834" s="350" t="s">
        <v>133</v>
      </c>
      <c r="D1834" s="351">
        <f t="shared" ca="1" si="92"/>
        <v>112</v>
      </c>
      <c r="E1834" s="352">
        <v>12</v>
      </c>
      <c r="F1834" s="126" t="str" cm="1">
        <f t="array" aca="1" ref="F1834" ca="1">IF(OR(INDIRECT($B$2&amp;"!AM14")=$B$1350,B1834=0),"",REPT(" ",E1834)&amp;A1834&amp;CHAR(34)&amp;B1834&amp;CHAR(34)&amp;",")</f>
        <v/>
      </c>
    </row>
    <row r="1835" spans="1:6" hidden="1">
      <c r="A1835" s="150" t="s">
        <v>65</v>
      </c>
      <c r="B1835" s="130">
        <f ca="1">IFERROR(INDIRECT($B$2&amp;"!"&amp;C1835&amp;D1835),"")</f>
        <v>0</v>
      </c>
      <c r="C1835" s="350" t="s">
        <v>131</v>
      </c>
      <c r="D1835" s="351">
        <f t="shared" ca="1" si="92"/>
        <v>112</v>
      </c>
      <c r="E1835" s="352">
        <v>9</v>
      </c>
      <c r="F1835" s="126" t="str" cm="1">
        <f t="array" aca="1" ref="F1835" ca="1">IF(OR(INDIRECT($B$2&amp;"!AM14")=$B$1350,B1835=0),"",REPT(" ",E1835)&amp;"},")</f>
        <v/>
      </c>
    </row>
    <row r="1836" spans="1:6" hidden="1">
      <c r="A1836" s="150">
        <f ca="1">IFERROR(INDIRECT($B$2&amp;"!"&amp;"C"&amp;D1836),"")</f>
        <v>0</v>
      </c>
      <c r="B1836" s="130">
        <f ca="1">IFERROR(INDIRECT($B$2&amp;"!"&amp;C1836&amp;D1836),"")</f>
        <v>0</v>
      </c>
      <c r="C1836" s="355" t="s">
        <v>131</v>
      </c>
      <c r="D1836" s="351">
        <f t="shared" ca="1" si="92"/>
        <v>113</v>
      </c>
      <c r="E1836" s="352">
        <v>9</v>
      </c>
      <c r="F1836" s="126" t="str">
        <f ca="1">IF(B1836=0,"",REPT(" ",E1836)&amp;"{ column: "&amp;CHAR(34)&amp;A1836&amp;CHAR(34)&amp;",")</f>
        <v/>
      </c>
    </row>
    <row r="1837" spans="1:6" hidden="1">
      <c r="A1837" s="150"/>
      <c r="B1837" s="130" cm="1">
        <f t="array" aca="1" ref="B1837" ca="1">INDIRECT($B$2&amp;"!"&amp;C1837&amp;D1837)</f>
        <v>0</v>
      </c>
      <c r="C1837" s="350" t="s">
        <v>131</v>
      </c>
      <c r="D1837" s="351">
        <f t="shared" ca="1" si="92"/>
        <v>113</v>
      </c>
      <c r="E1837" s="352">
        <v>12</v>
      </c>
      <c r="F1837" s="126" t="str" cm="1">
        <f t="array" aca="1" ref="F1837" ca="1">IF(OR(INDIRECT($B$2&amp;"!AM14")=$B$1350,B1837=0),"",REPT(" ",E1837)&amp;"summaryType: "&amp;CHAR(34)&amp;B1837&amp;CHAR(34)&amp;",")</f>
        <v/>
      </c>
    </row>
    <row r="1838" spans="1:6" hidden="1">
      <c r="A1838" s="150"/>
      <c r="B1838" s="130">
        <f ca="1">IFERROR(INDIRECT($B$2&amp;"!"&amp;C1838&amp;D1838),"")</f>
        <v>0</v>
      </c>
      <c r="C1838" s="350" t="s">
        <v>131</v>
      </c>
      <c r="D1838" s="351">
        <f t="shared" ca="1" si="92"/>
        <v>113</v>
      </c>
      <c r="E1838" s="352">
        <v>12</v>
      </c>
      <c r="F1838" s="126" t="str" cm="1">
        <f t="array" aca="1" ref="F1838" ca="1">IF(OR(INDIRECT($B$2&amp;"!AM14")=$B$1350,B1838=0),"",REPT(" ",E1838)&amp;"displayFormat: "&amp;CHAR(34)&amp;"{0} Items"&amp;CHAR(34)&amp;",")</f>
        <v/>
      </c>
    </row>
    <row r="1839" spans="1:6" hidden="1">
      <c r="A1839" s="150" t="s">
        <v>1037</v>
      </c>
      <c r="B1839" s="130">
        <f ca="1">IFERROR(INDIRECT($B$2&amp;"!"&amp;C1839&amp;D1839),"")</f>
        <v>0</v>
      </c>
      <c r="C1839" s="350" t="s">
        <v>133</v>
      </c>
      <c r="D1839" s="351">
        <f t="shared" ca="1" si="92"/>
        <v>113</v>
      </c>
      <c r="E1839" s="352">
        <v>12</v>
      </c>
      <c r="F1839" s="126" t="str" cm="1">
        <f t="array" aca="1" ref="F1839" ca="1">IF(OR(INDIRECT($B$2&amp;"!AM14")=$B$1350,B1839=0),"",REPT(" ",E1839)&amp;A1839&amp;CHAR(34)&amp;B1839&amp;CHAR(34)&amp;",")</f>
        <v/>
      </c>
    </row>
    <row r="1840" spans="1:6" hidden="1">
      <c r="A1840" s="150" t="s">
        <v>65</v>
      </c>
      <c r="B1840" s="130">
        <f ca="1">IFERROR(INDIRECT($B$2&amp;"!"&amp;C1840&amp;D1840),"")</f>
        <v>0</v>
      </c>
      <c r="C1840" s="350" t="s">
        <v>131</v>
      </c>
      <c r="D1840" s="351">
        <f t="shared" ca="1" si="92"/>
        <v>113</v>
      </c>
      <c r="E1840" s="352">
        <v>9</v>
      </c>
      <c r="F1840" s="126" t="str" cm="1">
        <f t="array" aca="1" ref="F1840" ca="1">IF(OR(INDIRECT($B$2&amp;"!AM14")=$B$1350,B1840=0),"",REPT(" ",E1840)&amp;"},")</f>
        <v/>
      </c>
    </row>
    <row r="1841" spans="1:6" hidden="1">
      <c r="A1841" s="150">
        <f ca="1">IFERROR(INDIRECT($B$2&amp;"!"&amp;"C"&amp;D1841),"")</f>
        <v>0</v>
      </c>
      <c r="B1841" s="130">
        <f ca="1">IFERROR(INDIRECT($B$2&amp;"!"&amp;C1841&amp;D1841),"")</f>
        <v>0</v>
      </c>
      <c r="C1841" s="355" t="s">
        <v>131</v>
      </c>
      <c r="D1841" s="351">
        <f t="shared" ca="1" si="92"/>
        <v>114</v>
      </c>
      <c r="E1841" s="352">
        <v>9</v>
      </c>
      <c r="F1841" s="126" t="str">
        <f ca="1">IF(B1841=0,"",REPT(" ",E1841)&amp;"{ column: "&amp;CHAR(34)&amp;A1841&amp;CHAR(34)&amp;",")</f>
        <v/>
      </c>
    </row>
    <row r="1842" spans="1:6" hidden="1">
      <c r="A1842" s="150"/>
      <c r="B1842" s="130" cm="1">
        <f t="array" aca="1" ref="B1842" ca="1">INDIRECT($B$2&amp;"!"&amp;C1842&amp;D1842)</f>
        <v>0</v>
      </c>
      <c r="C1842" s="350" t="s">
        <v>131</v>
      </c>
      <c r="D1842" s="351">
        <f t="shared" ca="1" si="92"/>
        <v>114</v>
      </c>
      <c r="E1842" s="352">
        <v>12</v>
      </c>
      <c r="F1842" s="126" t="str" cm="1">
        <f t="array" aca="1" ref="F1842" ca="1">IF(OR(INDIRECT($B$2&amp;"!AM14")=$B$1350,B1842=0),"",REPT(" ",E1842)&amp;"summaryType: "&amp;CHAR(34)&amp;B1842&amp;CHAR(34)&amp;",")</f>
        <v/>
      </c>
    </row>
    <row r="1843" spans="1:6" hidden="1">
      <c r="A1843" s="150"/>
      <c r="B1843" s="130">
        <f ca="1">IFERROR(INDIRECT($B$2&amp;"!"&amp;C1843&amp;D1843),"")</f>
        <v>0</v>
      </c>
      <c r="C1843" s="350" t="s">
        <v>131</v>
      </c>
      <c r="D1843" s="351">
        <f t="shared" ca="1" si="92"/>
        <v>114</v>
      </c>
      <c r="E1843" s="352">
        <v>12</v>
      </c>
      <c r="F1843" s="126" t="str" cm="1">
        <f t="array" aca="1" ref="F1843" ca="1">IF(OR(INDIRECT($B$2&amp;"!AM14")=$B$1350,B1843=0),"",REPT(" ",E1843)&amp;"displayFormat: "&amp;CHAR(34)&amp;"{0} Items"&amp;CHAR(34)&amp;",")</f>
        <v/>
      </c>
    </row>
    <row r="1844" spans="1:6" hidden="1">
      <c r="A1844" s="150" t="s">
        <v>1037</v>
      </c>
      <c r="B1844" s="130">
        <f ca="1">IFERROR(INDIRECT($B$2&amp;"!"&amp;C1844&amp;D1844),"")</f>
        <v>0</v>
      </c>
      <c r="C1844" s="350" t="s">
        <v>133</v>
      </c>
      <c r="D1844" s="351">
        <f t="shared" ca="1" si="92"/>
        <v>114</v>
      </c>
      <c r="E1844" s="352">
        <v>12</v>
      </c>
      <c r="F1844" s="126" t="str" cm="1">
        <f t="array" aca="1" ref="F1844" ca="1">IF(OR(INDIRECT($B$2&amp;"!AM14")=$B$1350,B1844=0),"",REPT(" ",E1844)&amp;A1844&amp;CHAR(34)&amp;B1844&amp;CHAR(34)&amp;",")</f>
        <v/>
      </c>
    </row>
    <row r="1845" spans="1:6" hidden="1">
      <c r="A1845" s="150" t="s">
        <v>65</v>
      </c>
      <c r="B1845" s="130">
        <f ca="1">IFERROR(INDIRECT($B$2&amp;"!"&amp;C1845&amp;D1845),"")</f>
        <v>0</v>
      </c>
      <c r="C1845" s="350" t="s">
        <v>131</v>
      </c>
      <c r="D1845" s="351">
        <f t="shared" ca="1" si="92"/>
        <v>114</v>
      </c>
      <c r="E1845" s="352">
        <v>9</v>
      </c>
      <c r="F1845" s="126" t="str" cm="1">
        <f t="array" aca="1" ref="F1845" ca="1">IF(OR(INDIRECT($B$2&amp;"!AM14")=$B$1350,B1845=0),"",REPT(" ",E1845)&amp;"},")</f>
        <v/>
      </c>
    </row>
    <row r="1846" spans="1:6" hidden="1">
      <c r="A1846" s="150">
        <f ca="1">IFERROR(INDIRECT($B$2&amp;"!"&amp;"C"&amp;D1846),"")</f>
        <v>0</v>
      </c>
      <c r="B1846" s="130">
        <f ca="1">IFERROR(INDIRECT($B$2&amp;"!"&amp;C1846&amp;D1846),"")</f>
        <v>0</v>
      </c>
      <c r="C1846" s="355" t="s">
        <v>131</v>
      </c>
      <c r="D1846" s="351">
        <f t="shared" ca="1" si="92"/>
        <v>115</v>
      </c>
      <c r="E1846" s="352">
        <v>9</v>
      </c>
      <c r="F1846" s="126" t="str">
        <f ca="1">IF(B1846=0,"",REPT(" ",E1846)&amp;"{ column: "&amp;CHAR(34)&amp;A1846&amp;CHAR(34)&amp;",")</f>
        <v/>
      </c>
    </row>
    <row r="1847" spans="1:6" hidden="1">
      <c r="A1847" s="150"/>
      <c r="B1847" s="130" cm="1">
        <f t="array" aca="1" ref="B1847" ca="1">INDIRECT($B$2&amp;"!"&amp;C1847&amp;D1847)</f>
        <v>0</v>
      </c>
      <c r="C1847" s="350" t="s">
        <v>131</v>
      </c>
      <c r="D1847" s="351">
        <f t="shared" ca="1" si="92"/>
        <v>115</v>
      </c>
      <c r="E1847" s="352">
        <v>12</v>
      </c>
      <c r="F1847" s="126" t="str" cm="1">
        <f t="array" aca="1" ref="F1847" ca="1">IF(OR(INDIRECT($B$2&amp;"!AM14")=$B$1350,B1847=0),"",REPT(" ",E1847)&amp;"summaryType: "&amp;CHAR(34)&amp;B1847&amp;CHAR(34)&amp;",")</f>
        <v/>
      </c>
    </row>
    <row r="1848" spans="1:6" hidden="1">
      <c r="A1848" s="150"/>
      <c r="B1848" s="130">
        <f ca="1">IFERROR(INDIRECT($B$2&amp;"!"&amp;C1848&amp;D1848),"")</f>
        <v>0</v>
      </c>
      <c r="C1848" s="350" t="s">
        <v>131</v>
      </c>
      <c r="D1848" s="351">
        <f t="shared" ca="1" si="92"/>
        <v>115</v>
      </c>
      <c r="E1848" s="352">
        <v>12</v>
      </c>
      <c r="F1848" s="126" t="str" cm="1">
        <f t="array" aca="1" ref="F1848" ca="1">IF(OR(INDIRECT($B$2&amp;"!AM14")=$B$1350,B1848=0),"",REPT(" ",E1848)&amp;"displayFormat: "&amp;CHAR(34)&amp;"{0} Items"&amp;CHAR(34)&amp;",")</f>
        <v/>
      </c>
    </row>
    <row r="1849" spans="1:6" hidden="1">
      <c r="A1849" s="150" t="s">
        <v>1037</v>
      </c>
      <c r="B1849" s="130">
        <f ca="1">IFERROR(INDIRECT($B$2&amp;"!"&amp;C1849&amp;D1849),"")</f>
        <v>0</v>
      </c>
      <c r="C1849" s="350" t="s">
        <v>133</v>
      </c>
      <c r="D1849" s="351">
        <f t="shared" ca="1" si="92"/>
        <v>115</v>
      </c>
      <c r="E1849" s="352">
        <v>12</v>
      </c>
      <c r="F1849" s="126" t="str" cm="1">
        <f t="array" aca="1" ref="F1849" ca="1">IF(OR(INDIRECT($B$2&amp;"!AM14")=$B$1350,B1849=0),"",REPT(" ",E1849)&amp;A1849&amp;CHAR(34)&amp;B1849&amp;CHAR(34)&amp;",")</f>
        <v/>
      </c>
    </row>
    <row r="1850" spans="1:6" hidden="1">
      <c r="A1850" s="150" t="s">
        <v>65</v>
      </c>
      <c r="B1850" s="130">
        <f ca="1">IFERROR(INDIRECT($B$2&amp;"!"&amp;C1850&amp;D1850),"")</f>
        <v>0</v>
      </c>
      <c r="C1850" s="350" t="s">
        <v>131</v>
      </c>
      <c r="D1850" s="351">
        <f t="shared" ca="1" si="92"/>
        <v>115</v>
      </c>
      <c r="E1850" s="352">
        <v>9</v>
      </c>
      <c r="F1850" s="126" t="str" cm="1">
        <f t="array" aca="1" ref="F1850" ca="1">IF(OR(INDIRECT($B$2&amp;"!AM14")=$B$1350,B1850=0),"",REPT(" ",E1850)&amp;"},")</f>
        <v/>
      </c>
    </row>
    <row r="1851" spans="1:6" hidden="1">
      <c r="A1851" s="150"/>
      <c r="B1851" s="130"/>
      <c r="D1851" s="351">
        <f t="shared" ca="1" si="92"/>
        <v>116</v>
      </c>
      <c r="E1851" s="352">
        <v>6</v>
      </c>
      <c r="F1851" s="126" t="str" cm="1">
        <f t="array" aca="1" ref="F1851" ca="1">IF(INDIRECT($B$2&amp;"!AM14")=$B$1350,"",REPT(" ",E1851)&amp;"],")</f>
        <v/>
      </c>
    </row>
    <row r="1852" spans="1:6">
      <c r="A1852" s="150"/>
      <c r="B1852" s="130"/>
      <c r="D1852" s="351">
        <f t="shared" ca="1" si="92"/>
        <v>116</v>
      </c>
      <c r="E1852" s="352">
        <v>2</v>
      </c>
      <c r="F1852" s="126" t="str" cm="1">
        <f t="array" aca="1" ref="F1852" ca="1">IF(INDIRECT($B$2&amp;"!AO14")=200,"",REPT(" ",E1852)&amp;"}, ")</f>
        <v xml:space="preserve">  }, </v>
      </c>
    </row>
    <row r="1853" spans="1:6">
      <c r="B1853" s="128"/>
    </row>
    <row r="1854" spans="1:6">
      <c r="B1854" s="128"/>
    </row>
    <row r="1855" spans="1:6">
      <c r="B1855" s="128"/>
    </row>
    <row r="1856" spans="1:6">
      <c r="B1856" s="128"/>
    </row>
    <row r="1858" spans="2:2">
      <c r="B1858" s="324"/>
    </row>
    <row r="1859" spans="2:2">
      <c r="B1859" s="324"/>
    </row>
    <row r="1860" spans="2:2">
      <c r="B1860" s="324"/>
    </row>
    <row r="1861" spans="2:2">
      <c r="B1861" s="324"/>
    </row>
    <row r="1862" spans="2:2">
      <c r="B1862" s="324"/>
    </row>
    <row r="1863" spans="2:2">
      <c r="B1863" s="324"/>
    </row>
    <row r="1864" spans="2:2">
      <c r="B1864" s="324"/>
    </row>
    <row r="1865" spans="2:2">
      <c r="B1865" s="324"/>
    </row>
  </sheetData>
  <autoFilter ref="F1:F1852" xr:uid="{5871B02E-1509-49D1-86D0-581F4089AAC8}">
    <filterColumn colId="0">
      <customFilters>
        <customFilter operator="notEqual" val=" "/>
      </customFilters>
    </filterColumn>
  </autoFilter>
  <dataValidations count="2">
    <dataValidation type="list" showInputMessage="1" showErrorMessage="1" sqref="D21:E22 D9:E18" xr:uid="{47613E35-8921-40B2-B58B-08A2B999D571}">
      <formula1>aBoolean</formula1>
    </dataValidation>
    <dataValidation type="list" allowBlank="1" showInputMessage="1" showErrorMessage="1" sqref="D8:E8" xr:uid="{0FD68941-D05E-44CE-975C-58A54B3410E4}">
      <formula1>aEditMode</formula1>
    </dataValidation>
  </dataValidations>
  <pageMargins left="0.7" right="0.7" top="0.75" bottom="0.75" header="0.3" footer="0.3"/>
  <pageSetup paperSize="9" orientation="portrait" r:id="rId1"/>
  <ignoredErrors>
    <ignoredError sqref="B850 F50 B1352 B945 F42" 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04E826-063B-43E9-BA89-4A9DF8374409}">
          <x14:formula1>
            <xm:f>Variables!$I$6:$I$22</xm:f>
          </x14:formula1>
          <xm:sqref>B2</xm:sqref>
        </x14:dataValidation>
        <x14:dataValidation type="list" allowBlank="1" showInputMessage="1" showErrorMessage="1" xr:uid="{16B1A1C7-0F8A-4190-B6D2-3691BAD182CB}">
          <x14:formula1>
            <xm:f>Variables!$G$6:$G$8</xm:f>
          </x14:formula1>
          <xm:sqref>B3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6C0E5-511E-407F-9B3E-75EBDEF5FEF6}">
  <sheetPr codeName="Sheet19">
    <tabColor theme="4" tint="0.79998168889431442"/>
  </sheetPr>
  <dimension ref="B1:AY174"/>
  <sheetViews>
    <sheetView showGridLines="0" workbookViewId="0">
      <pane xSplit="6" ySplit="15" topLeftCell="K16" activePane="bottomRight" state="frozen"/>
      <selection pane="topRight" activeCell="G1" sqref="G1"/>
      <selection pane="bottomLeft" activeCell="A16" sqref="A16"/>
      <selection pane="bottomRight" activeCell="X11" sqref="X11"/>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9.140625" style="134" customWidth="1"/>
    <col min="23" max="23" width="17.5703125" style="134" customWidth="1"/>
    <col min="24" max="24" width="15.28515625" style="134" customWidth="1"/>
    <col min="25" max="25" width="12.5703125" style="134" customWidth="1"/>
    <col min="26" max="26" width="15"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4"/>
      <c r="AV1" s="13" t="s">
        <v>430</v>
      </c>
    </row>
    <row r="2" spans="2:51">
      <c r="S2" s="255" t="s">
        <v>875</v>
      </c>
      <c r="T2" s="240" t="str" cm="1">
        <f t="array" ref="T2">MID(CELL("filename",A1),FIND("]",CELL("filename",A1))+1,250)</f>
        <v>TBTemplate</v>
      </c>
      <c r="U2" s="255" t="s">
        <v>874</v>
      </c>
      <c r="V2" s="240" t="str">
        <f>UPPER(RIGHT(T2,1)&amp;V3&amp;MID(T2,2,1)&amp;V3&amp;MID(T2,5,1)&amp;LEFT(T2,1)&amp;C7)&amp;".html"</f>
        <v>EBMT.html</v>
      </c>
      <c r="W2" s="255" t="s">
        <v>1071</v>
      </c>
      <c r="X2" s="245" t="s">
        <v>379</v>
      </c>
      <c r="AV2" s="27" t="str">
        <f>+"USE "&amp;TRIM(C5)</f>
        <v>USE SIBISDB</v>
      </c>
      <c r="AW2" s="27"/>
    </row>
    <row r="3" spans="2:51">
      <c r="B3" s="247" t="s">
        <v>577</v>
      </c>
      <c r="C3" s="102" t="str">
        <f>+DBTableList!G5</f>
        <v>http://wikran-w10:8081</v>
      </c>
      <c r="D3" s="248" t="s">
        <v>846</v>
      </c>
      <c r="E3" s="5" t="str">
        <f>+DBTableList!$G$4</f>
        <v>CBS</v>
      </c>
      <c r="I3" s="219"/>
      <c r="J3" s="219"/>
      <c r="K3" s="62"/>
      <c r="U3" s="254" t="s">
        <v>877</v>
      </c>
      <c r="V3" s="240" t="str">
        <f>IF(ISERROR(FIND("EntryBy",C11)),"","X")</f>
        <v/>
      </c>
      <c r="AV3" s="27" t="s">
        <v>0</v>
      </c>
      <c r="AW3" s="27"/>
    </row>
    <row r="4" spans="2:51">
      <c r="B4" s="248" t="s">
        <v>854</v>
      </c>
      <c r="C4" s="218" t="str">
        <f>+DBTableList!G6</f>
        <v>pythonLT</v>
      </c>
      <c r="D4" s="250" t="s">
        <v>412</v>
      </c>
      <c r="E4" s="68" t="s">
        <v>407</v>
      </c>
      <c r="S4" s="256" t="s">
        <v>872</v>
      </c>
      <c r="AV4" s="28" t="s">
        <v>1</v>
      </c>
      <c r="AW4" s="27"/>
    </row>
    <row r="5" spans="2:51">
      <c r="B5" s="249" t="s">
        <v>19</v>
      </c>
      <c r="C5" s="101" t="s">
        <v>20</v>
      </c>
      <c r="D5" s="248" t="s">
        <v>408</v>
      </c>
      <c r="E5" s="5" t="str">
        <f>+DBTableList!$G$4</f>
        <v>CBS</v>
      </c>
      <c r="S5" s="241" t="s">
        <v>873</v>
      </c>
      <c r="T5" s="244" t="s">
        <v>569</v>
      </c>
      <c r="U5" s="243" t="s">
        <v>377</v>
      </c>
      <c r="V5" s="240" t="str">
        <f>CHAR(34)&amp;E8&amp;" Info"&amp;CHAR(34)</f>
        <v>" Info"</v>
      </c>
      <c r="W5" s="242" t="s">
        <v>1436</v>
      </c>
      <c r="X5" s="240" t="s">
        <v>1438</v>
      </c>
      <c r="AV5" s="28" t="s">
        <v>1</v>
      </c>
      <c r="AW5" s="27"/>
    </row>
    <row r="6" spans="2:51">
      <c r="B6" s="250" t="s">
        <v>10</v>
      </c>
      <c r="C6" s="5" t="s">
        <v>849</v>
      </c>
      <c r="D6" s="249" t="s">
        <v>429</v>
      </c>
      <c r="E6" s="5" t="s">
        <v>423</v>
      </c>
      <c r="S6" s="242" t="s">
        <v>514</v>
      </c>
      <c r="T6" s="245" t="s">
        <v>506</v>
      </c>
      <c r="U6" s="242" t="s">
        <v>507</v>
      </c>
      <c r="V6" s="245" t="s">
        <v>367</v>
      </c>
      <c r="W6" s="242" t="s">
        <v>1434</v>
      </c>
      <c r="X6" s="245" t="s">
        <v>367</v>
      </c>
      <c r="AV6" s="27" t="s">
        <v>2</v>
      </c>
      <c r="AW6" s="27"/>
    </row>
    <row r="7" spans="2:51">
      <c r="B7" s="249" t="s">
        <v>315</v>
      </c>
      <c r="C7" s="17"/>
      <c r="D7" s="249" t="str">
        <f>"LIMIT "&amp;IF(E7=0,"(MAX)","")</f>
        <v>LIMIT (MAX)</v>
      </c>
      <c r="E7" s="17">
        <v>0</v>
      </c>
      <c r="I7" s="450"/>
      <c r="S7" s="242" t="s">
        <v>508</v>
      </c>
      <c r="T7" s="245" t="s">
        <v>379</v>
      </c>
      <c r="U7" s="242" t="s">
        <v>385</v>
      </c>
      <c r="V7" s="245" t="s">
        <v>379</v>
      </c>
      <c r="W7" s="242" t="s">
        <v>1444</v>
      </c>
      <c r="X7" s="240">
        <v>2</v>
      </c>
      <c r="AV7" s="27" t="s">
        <v>0</v>
      </c>
      <c r="AW7" s="27"/>
    </row>
    <row r="8" spans="2:51">
      <c r="B8" s="215" t="s">
        <v>16</v>
      </c>
      <c r="C8" s="17"/>
      <c r="D8" s="215" t="s">
        <v>847</v>
      </c>
      <c r="E8" s="17"/>
      <c r="G8" s="62"/>
      <c r="S8" s="242" t="s">
        <v>509</v>
      </c>
      <c r="T8" s="245" t="s">
        <v>379</v>
      </c>
      <c r="U8" s="242" t="s">
        <v>380</v>
      </c>
      <c r="V8" s="246">
        <v>1000</v>
      </c>
      <c r="W8" s="242"/>
      <c r="X8" s="240"/>
      <c r="AV8" s="28" t="s">
        <v>1</v>
      </c>
      <c r="AW8" s="27"/>
    </row>
    <row r="9" spans="2:51">
      <c r="B9" s="250" t="s">
        <v>409</v>
      </c>
      <c r="C9" s="102" t="str">
        <f>VLOOKUP(E6,Variables!$B$22:$C$25,2,FALSE)</f>
        <v>cbb91dcb-9e28-438f-91ad-ed5ffe143802</v>
      </c>
      <c r="D9" s="104"/>
      <c r="E9" s="103"/>
      <c r="S9" s="242" t="s">
        <v>510</v>
      </c>
      <c r="T9" s="245" t="s">
        <v>1244</v>
      </c>
      <c r="U9" s="242" t="s">
        <v>378</v>
      </c>
      <c r="V9" s="246">
        <v>525</v>
      </c>
      <c r="W9" s="242"/>
      <c r="X9" s="240"/>
      <c r="AV9" s="27" t="s">
        <v>3</v>
      </c>
      <c r="AW9" s="27"/>
    </row>
    <row r="10" spans="2:51">
      <c r="B10" s="217" t="str">
        <f>HYPERLINK("[http://wikran-w10:8080/Gentoken.html]","TBTOKEN")</f>
        <v>TBTOKEN</v>
      </c>
      <c r="C10" s="102"/>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http://wikran-w10:8081/pythonLT/A75FCC75-8FB6-4460-B3F6-7070B4437930//all</v>
      </c>
      <c r="D12" s="104"/>
      <c r="E12" s="104"/>
      <c r="F12" s="104"/>
      <c r="G12" s="104"/>
      <c r="H12" s="104"/>
      <c r="I12" s="104"/>
      <c r="J12" s="104"/>
      <c r="K12" s="104"/>
      <c r="L12" s="103"/>
      <c r="M12" s="107" t="s">
        <v>1</v>
      </c>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0</v>
      </c>
      <c r="D14" s="3" t="s">
        <v>496</v>
      </c>
      <c r="E14" s="3">
        <f>+C14+15</f>
        <v>15</v>
      </c>
      <c r="G14" s="16" t="s">
        <v>22</v>
      </c>
      <c r="H14" s="131" t="str">
        <f>IF(IFERROR(FIND("varchar",E22),0)&gt;0,IF(D22&gt;8000,"max",D22),"")</f>
        <v/>
      </c>
      <c r="M14" s="107" t="s">
        <v>369</v>
      </c>
      <c r="N14" s="489" t="s">
        <v>305</v>
      </c>
      <c r="O14" s="490"/>
      <c r="P14" s="491"/>
      <c r="S14" s="257" t="s">
        <v>871</v>
      </c>
      <c r="T14" s="149" t="s">
        <v>893</v>
      </c>
      <c r="AJ14" s="347">
        <f>COUNTBLANK(AJ16:AJ115)</f>
        <v>100</v>
      </c>
      <c r="AK14" s="30" t="s">
        <v>1044</v>
      </c>
      <c r="AM14" s="347">
        <f>COUNTBLANK(AM16:AM115)</f>
        <v>100</v>
      </c>
      <c r="AN14" s="30" t="s">
        <v>1036</v>
      </c>
      <c r="AO14" s="347">
        <f>+AM14+AJ14</f>
        <v>200</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v>
      </c>
      <c r="AW15" s="27"/>
      <c r="AY15" s="122" t="str">
        <f>+"CREATE TABLE "&amp;TRIM(C8)&amp;" ("</f>
        <v>CREATE TABLE  (</v>
      </c>
    </row>
    <row r="16" spans="2:51" ht="12.75">
      <c r="B16" s="20" t="str">
        <f>IF(C16=0,"",1)</f>
        <v/>
      </c>
      <c r="C16" s="5"/>
      <c r="D16" s="5"/>
      <c r="E16" s="5"/>
      <c r="G16" s="5" t="str">
        <f t="shared" ref="G16:G32" si="0">SUBSTITUTE(SUBSTITUTE(SUBSTITUTE(SUBSTITUTE(SUBSTITUTE(SUBSTITUTE(SUBSTITUTE(SUBSTITUTE(SUBSTITUTE(C16," ",""),".",""),"#","No"),"%",""),"(",""),"*",""),"-",""),"/",""),")","")</f>
        <v/>
      </c>
      <c r="H16" s="117" t="str">
        <f t="shared" ref="H16:H21" si="1">IF(IFERROR(FIND("varchar",E16),0)&gt;0,IF(D16&gt;8000,"max",D16),"")</f>
        <v/>
      </c>
      <c r="I16" s="5" t="str">
        <f t="shared" ref="I16:I45" si="2">IF(E16=0,"",+E16)</f>
        <v/>
      </c>
      <c r="J16" s="5" t="str">
        <f t="shared" ref="J16:J45" si="3">IF(C16=0,"",(IF(ISERROR(VLOOKUP(G16,$D$120:$D$127,1,FALSE)),""," NOT")&amp;" NULL"))</f>
        <v/>
      </c>
      <c r="K16" s="138"/>
      <c r="L16" s="5"/>
      <c r="M16" s="75"/>
      <c r="N16" s="77"/>
      <c r="O16" s="26"/>
      <c r="P16" s="26"/>
      <c r="Q16" s="118" t="str">
        <f t="shared" ref="Q16:Q45" si="4">IF(M16=0,"",ROW())</f>
        <v/>
      </c>
      <c r="R16" s="153"/>
      <c r="S16" s="138" t="str">
        <f>IF(K16=0,"",K16)</f>
        <v/>
      </c>
      <c r="T16" s="148"/>
      <c r="U16" s="146"/>
      <c r="V16" s="146"/>
      <c r="W16" s="139"/>
      <c r="X16" s="139"/>
      <c r="Y16" s="148"/>
      <c r="Z16" s="138" t="str">
        <f t="shared" ref="Z16:Z23" si="5">IF(M16&lt;9000,"","false")</f>
        <v/>
      </c>
      <c r="AA16" s="138" t="str">
        <f>IF($C$120=B16,"asc","")</f>
        <v/>
      </c>
      <c r="AB16" s="239"/>
      <c r="AC16" s="325"/>
      <c r="AD16" s="325"/>
      <c r="AE16" s="325"/>
      <c r="AF16" s="325"/>
      <c r="AG16" s="325"/>
      <c r="AH16" s="325"/>
      <c r="AI16" s="325"/>
      <c r="AJ16" s="325"/>
      <c r="AK16" s="325"/>
      <c r="AL16" s="325"/>
      <c r="AM16" s="325"/>
      <c r="AN16" s="325"/>
      <c r="AO16" s="325"/>
      <c r="AP16" s="136"/>
      <c r="AQ16" s="136"/>
      <c r="AR16" s="136" t="str">
        <f t="shared" ref="AR16:AS47" si="6">IF(O16=0,"",ROW())</f>
        <v/>
      </c>
      <c r="AS16" s="136" t="str">
        <f t="shared" si="6"/>
        <v/>
      </c>
      <c r="AT16" s="5" t="str">
        <f t="shared" ref="AT16:AT47" si="7">IF(C16="","",C16&amp;IF(B17="","",","))</f>
        <v/>
      </c>
      <c r="AV16" s="27" t="str">
        <f t="shared" ref="AV16:AV35" si="8">IF(G16="","",+"          ["&amp;TRIM(G16)&amp;"] ["&amp;TRIM(I16)&amp;"]"&amp;IF(H16="","","("&amp;H16&amp;")")&amp;" "&amp;TRIM(J16)&amp;IF(G17="","",","))</f>
        <v/>
      </c>
      <c r="AW16" s="27"/>
      <c r="AY16" s="122" t="str">
        <f t="shared" ref="AY16:AY79" si="9">IF(G16="",IF(OR(AY15=");",AY15=""),"",");"),+"          "&amp;TRIM(G16)&amp;" "&amp;UPPER(TRIM(I16))&amp;IF(H16="",""," ("&amp;H16&amp;")")&amp;" "&amp;IF(TRIM(J16)="NOT NULL","PRIMARY KEY UNIQUE NOT NULL",TRIM(J16))&amp;IF(G17="","",","))</f>
        <v>);</v>
      </c>
    </row>
    <row r="17" spans="2:51" ht="12.75">
      <c r="B17" s="20" t="str">
        <f>IF(C17=0,"",+B16+1)</f>
        <v/>
      </c>
      <c r="C17" s="5"/>
      <c r="D17" s="5"/>
      <c r="E17" s="5"/>
      <c r="G17" s="5" t="str">
        <f t="shared" si="0"/>
        <v/>
      </c>
      <c r="H17" s="117" t="str">
        <f t="shared" si="1"/>
        <v/>
      </c>
      <c r="I17" s="5" t="str">
        <f t="shared" si="2"/>
        <v/>
      </c>
      <c r="J17" s="5" t="str">
        <f t="shared" si="3"/>
        <v/>
      </c>
      <c r="K17" s="138"/>
      <c r="L17" s="5"/>
      <c r="M17" s="75"/>
      <c r="N17" s="77"/>
      <c r="O17" s="26"/>
      <c r="P17" s="26"/>
      <c r="Q17" s="118" t="str">
        <f t="shared" si="4"/>
        <v/>
      </c>
      <c r="R17" s="153"/>
      <c r="S17" s="138" t="str">
        <f t="shared" ref="S17:S80" si="10">IF(K17=0,"",K17)</f>
        <v/>
      </c>
      <c r="T17" s="148"/>
      <c r="U17" s="146"/>
      <c r="V17" s="146"/>
      <c r="W17" s="139"/>
      <c r="X17" s="139"/>
      <c r="Y17" s="148"/>
      <c r="Z17" s="138" t="str">
        <f t="shared" si="5"/>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6"/>
        <v/>
      </c>
      <c r="AS17" s="136" t="str">
        <f t="shared" si="6"/>
        <v/>
      </c>
      <c r="AT17" s="5" t="str">
        <f t="shared" si="7"/>
        <v/>
      </c>
      <c r="AV17" s="27" t="str">
        <f t="shared" si="8"/>
        <v/>
      </c>
      <c r="AW17" s="27"/>
      <c r="AY17" s="122" t="str">
        <f t="shared" si="9"/>
        <v/>
      </c>
    </row>
    <row r="18" spans="2:51" ht="12.75">
      <c r="B18" s="20" t="str">
        <f t="shared" ref="B18:B81" si="11">IF(C18=0,"",+B17+1)</f>
        <v/>
      </c>
      <c r="C18" s="5"/>
      <c r="D18" s="5"/>
      <c r="E18" s="5"/>
      <c r="G18" s="5" t="str">
        <f t="shared" si="0"/>
        <v/>
      </c>
      <c r="H18" s="117" t="str">
        <f t="shared" si="1"/>
        <v/>
      </c>
      <c r="I18" s="5" t="str">
        <f t="shared" si="2"/>
        <v/>
      </c>
      <c r="J18" s="5" t="str">
        <f t="shared" si="3"/>
        <v/>
      </c>
      <c r="K18" s="138"/>
      <c r="L18" s="5"/>
      <c r="M18" s="75"/>
      <c r="N18" s="77"/>
      <c r="O18" s="26"/>
      <c r="P18" s="26"/>
      <c r="Q18" s="118" t="str">
        <f t="shared" si="4"/>
        <v/>
      </c>
      <c r="R18" s="153"/>
      <c r="S18" s="138" t="str">
        <f t="shared" si="10"/>
        <v/>
      </c>
      <c r="T18" s="148"/>
      <c r="U18" s="146"/>
      <c r="V18" s="146"/>
      <c r="W18" s="139"/>
      <c r="X18" s="139"/>
      <c r="Y18" s="148"/>
      <c r="Z18" s="138" t="str">
        <f t="shared" si="5"/>
        <v/>
      </c>
      <c r="AA18" s="138" t="str">
        <f t="shared" ref="AA18:AA81" si="12">IF($C$120=B18,"asc","")</f>
        <v/>
      </c>
      <c r="AB18" s="239"/>
      <c r="AC18" s="325"/>
      <c r="AD18" s="325"/>
      <c r="AE18" s="325"/>
      <c r="AF18" s="325"/>
      <c r="AG18" s="325"/>
      <c r="AH18" s="325"/>
      <c r="AI18" s="325"/>
      <c r="AJ18" s="325"/>
      <c r="AK18" s="325"/>
      <c r="AL18" s="325"/>
      <c r="AM18" s="325"/>
      <c r="AN18" s="325"/>
      <c r="AO18" s="325"/>
      <c r="AP18" s="136"/>
      <c r="AQ18" s="136"/>
      <c r="AR18" s="136" t="str">
        <f t="shared" si="6"/>
        <v/>
      </c>
      <c r="AS18" s="136" t="str">
        <f t="shared" si="6"/>
        <v/>
      </c>
      <c r="AT18" s="5" t="str">
        <f t="shared" si="7"/>
        <v/>
      </c>
      <c r="AV18" s="27" t="str">
        <f t="shared" si="8"/>
        <v/>
      </c>
      <c r="AW18" s="27"/>
      <c r="AY18" s="122" t="str">
        <f t="shared" si="9"/>
        <v/>
      </c>
    </row>
    <row r="19" spans="2:51" ht="12.75">
      <c r="B19" s="20" t="str">
        <f t="shared" si="11"/>
        <v/>
      </c>
      <c r="C19" s="5"/>
      <c r="D19" s="5"/>
      <c r="E19" s="5"/>
      <c r="G19" s="5" t="str">
        <f t="shared" si="0"/>
        <v/>
      </c>
      <c r="H19" s="117" t="str">
        <f t="shared" si="1"/>
        <v/>
      </c>
      <c r="I19" s="5" t="str">
        <f t="shared" si="2"/>
        <v/>
      </c>
      <c r="J19" s="5" t="str">
        <f t="shared" si="3"/>
        <v/>
      </c>
      <c r="K19" s="138"/>
      <c r="L19" s="5"/>
      <c r="M19" s="75"/>
      <c r="N19" s="77"/>
      <c r="O19" s="26"/>
      <c r="P19" s="26"/>
      <c r="Q19" s="118" t="str">
        <f t="shared" si="4"/>
        <v/>
      </c>
      <c r="R19" s="153"/>
      <c r="S19" s="138" t="str">
        <f t="shared" si="10"/>
        <v/>
      </c>
      <c r="T19" s="148"/>
      <c r="U19" s="146"/>
      <c r="V19" s="146"/>
      <c r="W19" s="139"/>
      <c r="X19" s="139"/>
      <c r="Y19" s="148"/>
      <c r="Z19" s="138" t="str">
        <f t="shared" si="5"/>
        <v/>
      </c>
      <c r="AA19" s="138" t="str">
        <f t="shared" si="12"/>
        <v/>
      </c>
      <c r="AB19" s="239"/>
      <c r="AC19" s="325"/>
      <c r="AD19" s="325"/>
      <c r="AE19" s="325"/>
      <c r="AF19" s="325"/>
      <c r="AG19" s="325"/>
      <c r="AH19" s="325"/>
      <c r="AI19" s="325"/>
      <c r="AJ19" s="325"/>
      <c r="AK19" s="325"/>
      <c r="AL19" s="325"/>
      <c r="AM19" s="325"/>
      <c r="AN19" s="325"/>
      <c r="AO19" s="325"/>
      <c r="AP19" s="136"/>
      <c r="AQ19" s="136"/>
      <c r="AR19" s="136" t="str">
        <f t="shared" si="6"/>
        <v/>
      </c>
      <c r="AS19" s="136" t="str">
        <f t="shared" si="6"/>
        <v/>
      </c>
      <c r="AT19" s="5" t="str">
        <f t="shared" si="7"/>
        <v/>
      </c>
      <c r="AV19" s="27" t="str">
        <f t="shared" si="8"/>
        <v/>
      </c>
      <c r="AW19" s="27"/>
      <c r="AY19" s="122" t="str">
        <f t="shared" si="9"/>
        <v/>
      </c>
    </row>
    <row r="20" spans="2:51" ht="12.75">
      <c r="B20" s="20" t="str">
        <f t="shared" si="11"/>
        <v/>
      </c>
      <c r="C20" s="5"/>
      <c r="D20" s="5"/>
      <c r="E20" s="5"/>
      <c r="G20" s="5" t="str">
        <f t="shared" si="0"/>
        <v/>
      </c>
      <c r="H20" s="117" t="str">
        <f t="shared" si="1"/>
        <v/>
      </c>
      <c r="I20" s="5" t="str">
        <f t="shared" si="2"/>
        <v/>
      </c>
      <c r="J20" s="5" t="str">
        <f t="shared" si="3"/>
        <v/>
      </c>
      <c r="K20" s="138"/>
      <c r="L20" s="5"/>
      <c r="M20" s="75"/>
      <c r="N20" s="77"/>
      <c r="O20" s="26"/>
      <c r="P20" s="26"/>
      <c r="Q20" s="118" t="str">
        <f t="shared" si="4"/>
        <v/>
      </c>
      <c r="R20" s="153"/>
      <c r="S20" s="138" t="str">
        <f t="shared" si="10"/>
        <v/>
      </c>
      <c r="T20" s="148"/>
      <c r="U20" s="146"/>
      <c r="V20" s="146"/>
      <c r="W20" s="139"/>
      <c r="X20" s="139"/>
      <c r="Y20" s="148"/>
      <c r="Z20" s="138" t="str">
        <f t="shared" si="5"/>
        <v/>
      </c>
      <c r="AA20" s="138" t="str">
        <f t="shared" si="12"/>
        <v/>
      </c>
      <c r="AB20" s="239"/>
      <c r="AC20" s="325"/>
      <c r="AD20" s="325"/>
      <c r="AE20" s="325"/>
      <c r="AF20" s="325"/>
      <c r="AG20" s="325"/>
      <c r="AH20" s="325"/>
      <c r="AI20" s="325"/>
      <c r="AJ20" s="325"/>
      <c r="AK20" s="325"/>
      <c r="AL20" s="325"/>
      <c r="AM20" s="325"/>
      <c r="AN20" s="325"/>
      <c r="AO20" s="325"/>
      <c r="AP20" s="136"/>
      <c r="AQ20" s="136"/>
      <c r="AR20" s="136" t="str">
        <f t="shared" si="6"/>
        <v/>
      </c>
      <c r="AS20" s="136" t="str">
        <f t="shared" si="6"/>
        <v/>
      </c>
      <c r="AT20" s="5" t="str">
        <f t="shared" si="7"/>
        <v/>
      </c>
      <c r="AV20" s="27" t="str">
        <f t="shared" si="8"/>
        <v/>
      </c>
      <c r="AW20" s="27"/>
      <c r="AY20" s="122" t="str">
        <f t="shared" si="9"/>
        <v/>
      </c>
    </row>
    <row r="21" spans="2:51" ht="12.75">
      <c r="B21" s="20" t="str">
        <f t="shared" si="11"/>
        <v/>
      </c>
      <c r="C21" s="5"/>
      <c r="D21" s="5"/>
      <c r="E21" s="5"/>
      <c r="G21" s="5" t="str">
        <f t="shared" si="0"/>
        <v/>
      </c>
      <c r="H21" s="117" t="str">
        <f t="shared" si="1"/>
        <v/>
      </c>
      <c r="I21" s="5" t="str">
        <f t="shared" si="2"/>
        <v/>
      </c>
      <c r="J21" s="5" t="str">
        <f t="shared" si="3"/>
        <v/>
      </c>
      <c r="K21" s="138"/>
      <c r="L21" s="5"/>
      <c r="M21" s="75"/>
      <c r="N21" s="77"/>
      <c r="O21" s="26"/>
      <c r="P21" s="26"/>
      <c r="Q21" s="118" t="str">
        <f t="shared" si="4"/>
        <v/>
      </c>
      <c r="R21" s="153"/>
      <c r="S21" s="138" t="str">
        <f t="shared" si="10"/>
        <v/>
      </c>
      <c r="T21" s="148"/>
      <c r="U21" s="146"/>
      <c r="V21" s="146"/>
      <c r="W21" s="139"/>
      <c r="X21" s="139"/>
      <c r="Y21" s="148"/>
      <c r="Z21" s="138" t="str">
        <f t="shared" si="5"/>
        <v/>
      </c>
      <c r="AA21" s="138" t="str">
        <f t="shared" si="12"/>
        <v/>
      </c>
      <c r="AB21" s="239"/>
      <c r="AC21" s="325"/>
      <c r="AD21" s="325"/>
      <c r="AE21" s="325"/>
      <c r="AF21" s="325"/>
      <c r="AG21" s="325"/>
      <c r="AH21" s="325"/>
      <c r="AI21" s="325"/>
      <c r="AJ21" s="325"/>
      <c r="AK21" s="325"/>
      <c r="AL21" s="325"/>
      <c r="AM21" s="325"/>
      <c r="AN21" s="325"/>
      <c r="AO21" s="325"/>
      <c r="AP21" s="136"/>
      <c r="AQ21" s="136"/>
      <c r="AR21" s="136" t="str">
        <f t="shared" si="6"/>
        <v/>
      </c>
      <c r="AS21" s="136" t="str">
        <f t="shared" si="6"/>
        <v/>
      </c>
      <c r="AT21" s="5" t="str">
        <f t="shared" si="7"/>
        <v/>
      </c>
      <c r="AV21" s="27" t="str">
        <f t="shared" si="8"/>
        <v/>
      </c>
      <c r="AW21" s="27"/>
      <c r="AY21" s="122" t="str">
        <f t="shared" si="9"/>
        <v/>
      </c>
    </row>
    <row r="22" spans="2:51" ht="12.75">
      <c r="B22" s="20" t="str">
        <f t="shared" si="11"/>
        <v/>
      </c>
      <c r="C22" s="5"/>
      <c r="D22" s="5"/>
      <c r="E22" s="5"/>
      <c r="G22" s="5" t="str">
        <f t="shared" si="0"/>
        <v/>
      </c>
      <c r="H22" s="117" t="str">
        <f>IF(IFERROR(FIND("varchar",E22),0)&gt;0,IF(D22&gt;8000,"max",D22),"")</f>
        <v/>
      </c>
      <c r="I22" s="5" t="str">
        <f t="shared" si="2"/>
        <v/>
      </c>
      <c r="J22" s="5" t="str">
        <f t="shared" si="3"/>
        <v/>
      </c>
      <c r="K22" s="138"/>
      <c r="L22" s="5"/>
      <c r="M22" s="75"/>
      <c r="N22" s="77"/>
      <c r="O22" s="26"/>
      <c r="P22" s="26"/>
      <c r="Q22" s="118" t="str">
        <f t="shared" si="4"/>
        <v/>
      </c>
      <c r="R22" s="153"/>
      <c r="S22" s="138" t="str">
        <f t="shared" si="10"/>
        <v/>
      </c>
      <c r="T22" s="148"/>
      <c r="U22" s="146"/>
      <c r="V22" s="146"/>
      <c r="W22" s="139"/>
      <c r="X22" s="139"/>
      <c r="Y22" s="148"/>
      <c r="Z22" s="138" t="str">
        <f t="shared" si="5"/>
        <v/>
      </c>
      <c r="AA22" s="138" t="str">
        <f t="shared" si="12"/>
        <v/>
      </c>
      <c r="AB22" s="239"/>
      <c r="AC22" s="325"/>
      <c r="AD22" s="325"/>
      <c r="AE22" s="325"/>
      <c r="AF22" s="325"/>
      <c r="AG22" s="325"/>
      <c r="AH22" s="325"/>
      <c r="AI22" s="325"/>
      <c r="AJ22" s="325"/>
      <c r="AK22" s="325"/>
      <c r="AL22" s="325"/>
      <c r="AM22" s="325"/>
      <c r="AN22" s="325"/>
      <c r="AO22" s="325"/>
      <c r="AP22" s="136"/>
      <c r="AQ22" s="136"/>
      <c r="AR22" s="136" t="str">
        <f t="shared" si="6"/>
        <v/>
      </c>
      <c r="AS22" s="136" t="str">
        <f t="shared" si="6"/>
        <v/>
      </c>
      <c r="AT22" s="5" t="str">
        <f t="shared" si="7"/>
        <v/>
      </c>
      <c r="AV22" s="27" t="str">
        <f t="shared" si="8"/>
        <v/>
      </c>
      <c r="AW22" s="27"/>
      <c r="AY22" s="122" t="str">
        <f t="shared" si="9"/>
        <v/>
      </c>
    </row>
    <row r="23" spans="2:51" ht="12.75">
      <c r="B23" s="20" t="str">
        <f t="shared" si="11"/>
        <v/>
      </c>
      <c r="C23" s="5"/>
      <c r="D23" s="5"/>
      <c r="E23" s="5"/>
      <c r="G23" s="5" t="str">
        <f t="shared" si="0"/>
        <v/>
      </c>
      <c r="H23" s="117" t="str">
        <f t="shared" ref="H23:H86" si="13">IF(IFERROR(FIND("varchar",E23),0)&gt;0,IF(D23&gt;8000,"max",D23),"")</f>
        <v/>
      </c>
      <c r="I23" s="5" t="str">
        <f t="shared" si="2"/>
        <v/>
      </c>
      <c r="J23" s="5" t="str">
        <f t="shared" si="3"/>
        <v/>
      </c>
      <c r="K23" s="138"/>
      <c r="L23" s="5"/>
      <c r="M23" s="75"/>
      <c r="N23" s="77"/>
      <c r="O23" s="26"/>
      <c r="P23" s="26"/>
      <c r="Q23" s="118" t="str">
        <f t="shared" si="4"/>
        <v/>
      </c>
      <c r="R23" s="153"/>
      <c r="S23" s="138" t="str">
        <f t="shared" si="10"/>
        <v/>
      </c>
      <c r="T23" s="148"/>
      <c r="U23" s="146"/>
      <c r="V23" s="146"/>
      <c r="W23" s="139"/>
      <c r="X23" s="139"/>
      <c r="Y23" s="148"/>
      <c r="Z23" s="138" t="str">
        <f t="shared" si="5"/>
        <v/>
      </c>
      <c r="AA23" s="138" t="str">
        <f t="shared" si="12"/>
        <v/>
      </c>
      <c r="AB23" s="239"/>
      <c r="AC23" s="325"/>
      <c r="AD23" s="325"/>
      <c r="AE23" s="325"/>
      <c r="AF23" s="325"/>
      <c r="AG23" s="325"/>
      <c r="AH23" s="325"/>
      <c r="AI23" s="325"/>
      <c r="AJ23" s="325"/>
      <c r="AK23" s="325"/>
      <c r="AL23" s="325"/>
      <c r="AM23" s="325"/>
      <c r="AN23" s="325"/>
      <c r="AO23" s="325"/>
      <c r="AP23" s="136"/>
      <c r="AQ23" s="136"/>
      <c r="AR23" s="136" t="str">
        <f t="shared" si="6"/>
        <v/>
      </c>
      <c r="AS23" s="136" t="str">
        <f t="shared" si="6"/>
        <v/>
      </c>
      <c r="AT23" s="5" t="str">
        <f t="shared" si="7"/>
        <v/>
      </c>
      <c r="AV23" s="27" t="str">
        <f t="shared" si="8"/>
        <v/>
      </c>
      <c r="AW23" s="27"/>
      <c r="AY23" s="122" t="str">
        <f t="shared" si="9"/>
        <v/>
      </c>
    </row>
    <row r="24" spans="2:51" ht="12.75">
      <c r="B24" s="20" t="str">
        <f t="shared" si="11"/>
        <v/>
      </c>
      <c r="C24" s="5"/>
      <c r="D24" s="5"/>
      <c r="E24" s="5"/>
      <c r="G24" s="5" t="str">
        <f t="shared" si="0"/>
        <v/>
      </c>
      <c r="H24" s="117" t="str">
        <f t="shared" si="13"/>
        <v/>
      </c>
      <c r="I24" s="5" t="str">
        <f t="shared" si="2"/>
        <v/>
      </c>
      <c r="J24" s="5" t="str">
        <f t="shared" si="3"/>
        <v/>
      </c>
      <c r="K24" s="138"/>
      <c r="L24" s="5"/>
      <c r="M24" s="75"/>
      <c r="N24" s="77"/>
      <c r="O24" s="26"/>
      <c r="P24" s="26"/>
      <c r="Q24" s="118" t="str">
        <f t="shared" si="4"/>
        <v/>
      </c>
      <c r="R24" s="153"/>
      <c r="S24" s="138" t="str">
        <f t="shared" si="10"/>
        <v/>
      </c>
      <c r="T24" s="148"/>
      <c r="U24" s="146"/>
      <c r="V24" s="146"/>
      <c r="W24" s="139"/>
      <c r="X24" s="139"/>
      <c r="Y24" s="148"/>
      <c r="Z24" s="138"/>
      <c r="AA24" s="138" t="str">
        <f t="shared" si="12"/>
        <v/>
      </c>
      <c r="AB24" s="239"/>
      <c r="AC24" s="325"/>
      <c r="AD24" s="325"/>
      <c r="AE24" s="325"/>
      <c r="AF24" s="325"/>
      <c r="AG24" s="325"/>
      <c r="AH24" s="325"/>
      <c r="AI24" s="325"/>
      <c r="AJ24" s="325"/>
      <c r="AK24" s="325"/>
      <c r="AL24" s="325"/>
      <c r="AM24" s="325"/>
      <c r="AN24" s="325"/>
      <c r="AO24" s="325"/>
      <c r="AP24" s="136"/>
      <c r="AQ24" s="136"/>
      <c r="AR24" s="136" t="str">
        <f t="shared" si="6"/>
        <v/>
      </c>
      <c r="AS24" s="136" t="str">
        <f t="shared" si="6"/>
        <v/>
      </c>
      <c r="AT24" s="5" t="str">
        <f t="shared" si="7"/>
        <v/>
      </c>
      <c r="AV24" s="27" t="str">
        <f t="shared" si="8"/>
        <v/>
      </c>
      <c r="AW24" s="27"/>
      <c r="AY24" s="122" t="str">
        <f t="shared" si="9"/>
        <v/>
      </c>
    </row>
    <row r="25" spans="2:51" ht="12.75">
      <c r="B25" s="20" t="str">
        <f t="shared" si="11"/>
        <v/>
      </c>
      <c r="C25" s="5"/>
      <c r="D25" s="5"/>
      <c r="E25" s="5"/>
      <c r="G25" s="5" t="str">
        <f t="shared" si="0"/>
        <v/>
      </c>
      <c r="H25" s="117" t="str">
        <f t="shared" si="13"/>
        <v/>
      </c>
      <c r="I25" s="5" t="str">
        <f t="shared" si="2"/>
        <v/>
      </c>
      <c r="J25" s="5" t="str">
        <f t="shared" si="3"/>
        <v/>
      </c>
      <c r="K25" s="138"/>
      <c r="L25" s="5"/>
      <c r="M25" s="75"/>
      <c r="N25" s="77"/>
      <c r="O25" s="26"/>
      <c r="P25" s="26"/>
      <c r="Q25" s="118" t="str">
        <f t="shared" si="4"/>
        <v/>
      </c>
      <c r="R25" s="153"/>
      <c r="S25" s="138" t="str">
        <f t="shared" si="10"/>
        <v/>
      </c>
      <c r="T25" s="148"/>
      <c r="U25" s="146"/>
      <c r="V25" s="146"/>
      <c r="W25" s="139"/>
      <c r="X25" s="139"/>
      <c r="Y25" s="148"/>
      <c r="Z25" s="138"/>
      <c r="AA25" s="138" t="str">
        <f t="shared" si="12"/>
        <v/>
      </c>
      <c r="AB25" s="239"/>
      <c r="AC25" s="325"/>
      <c r="AD25" s="325"/>
      <c r="AE25" s="325"/>
      <c r="AF25" s="325"/>
      <c r="AG25" s="325"/>
      <c r="AH25" s="325"/>
      <c r="AI25" s="325"/>
      <c r="AJ25" s="325"/>
      <c r="AK25" s="325"/>
      <c r="AL25" s="325"/>
      <c r="AM25" s="325"/>
      <c r="AN25" s="325"/>
      <c r="AO25" s="325"/>
      <c r="AP25" s="136"/>
      <c r="AQ25" s="136"/>
      <c r="AR25" s="136" t="str">
        <f t="shared" si="6"/>
        <v/>
      </c>
      <c r="AS25" s="136" t="str">
        <f t="shared" si="6"/>
        <v/>
      </c>
      <c r="AT25" s="5" t="str">
        <f t="shared" si="7"/>
        <v/>
      </c>
      <c r="AV25" s="27" t="str">
        <f t="shared" si="8"/>
        <v/>
      </c>
      <c r="AW25" s="27"/>
      <c r="AY25" s="122" t="str">
        <f t="shared" si="9"/>
        <v/>
      </c>
    </row>
    <row r="26" spans="2:51" ht="12.75">
      <c r="B26" s="20" t="str">
        <f t="shared" si="11"/>
        <v/>
      </c>
      <c r="C26" s="5"/>
      <c r="D26" s="5"/>
      <c r="E26" s="5"/>
      <c r="G26" s="5" t="str">
        <f t="shared" si="0"/>
        <v/>
      </c>
      <c r="H26" s="117" t="str">
        <f t="shared" si="13"/>
        <v/>
      </c>
      <c r="I26" s="5" t="str">
        <f t="shared" si="2"/>
        <v/>
      </c>
      <c r="J26" s="5" t="str">
        <f t="shared" si="3"/>
        <v/>
      </c>
      <c r="K26" s="138"/>
      <c r="L26" s="5"/>
      <c r="M26" s="75"/>
      <c r="N26" s="77"/>
      <c r="O26" s="26"/>
      <c r="P26" s="26"/>
      <c r="Q26" s="118" t="str">
        <f t="shared" si="4"/>
        <v/>
      </c>
      <c r="R26" s="153"/>
      <c r="S26" s="138" t="str">
        <f t="shared" si="10"/>
        <v/>
      </c>
      <c r="T26" s="148"/>
      <c r="U26" s="146"/>
      <c r="V26" s="146"/>
      <c r="W26" s="139"/>
      <c r="X26" s="139"/>
      <c r="Y26" s="148"/>
      <c r="Z26" s="138"/>
      <c r="AA26" s="138" t="str">
        <f t="shared" si="12"/>
        <v/>
      </c>
      <c r="AB26" s="239"/>
      <c r="AC26" s="325"/>
      <c r="AD26" s="325"/>
      <c r="AE26" s="325"/>
      <c r="AF26" s="325"/>
      <c r="AG26" s="325"/>
      <c r="AH26" s="325"/>
      <c r="AI26" s="325"/>
      <c r="AJ26" s="325"/>
      <c r="AK26" s="325"/>
      <c r="AL26" s="325"/>
      <c r="AM26" s="325"/>
      <c r="AN26" s="325"/>
      <c r="AO26" s="325"/>
      <c r="AP26" s="136"/>
      <c r="AQ26" s="136"/>
      <c r="AR26" s="136" t="str">
        <f t="shared" si="6"/>
        <v/>
      </c>
      <c r="AS26" s="136" t="str">
        <f t="shared" si="6"/>
        <v/>
      </c>
      <c r="AT26" s="5" t="str">
        <f t="shared" si="7"/>
        <v/>
      </c>
      <c r="AV26" s="27" t="str">
        <f t="shared" si="8"/>
        <v/>
      </c>
      <c r="AW26" s="27"/>
      <c r="AY26" s="122" t="str">
        <f t="shared" si="9"/>
        <v/>
      </c>
    </row>
    <row r="27" spans="2:51" ht="12.75">
      <c r="B27" s="20" t="str">
        <f t="shared" si="11"/>
        <v/>
      </c>
      <c r="C27" s="5"/>
      <c r="D27" s="5"/>
      <c r="E27" s="5"/>
      <c r="G27" s="5" t="str">
        <f t="shared" si="0"/>
        <v/>
      </c>
      <c r="H27" s="117" t="str">
        <f t="shared" si="13"/>
        <v/>
      </c>
      <c r="I27" s="5" t="str">
        <f t="shared" si="2"/>
        <v/>
      </c>
      <c r="J27" s="5" t="str">
        <f t="shared" si="3"/>
        <v/>
      </c>
      <c r="K27" s="138"/>
      <c r="L27" s="5"/>
      <c r="M27" s="75"/>
      <c r="N27" s="77"/>
      <c r="O27" s="26"/>
      <c r="P27" s="26"/>
      <c r="Q27" s="118" t="str">
        <f t="shared" si="4"/>
        <v/>
      </c>
      <c r="R27" s="153"/>
      <c r="S27" s="138" t="str">
        <f t="shared" si="10"/>
        <v/>
      </c>
      <c r="T27" s="148"/>
      <c r="U27" s="146"/>
      <c r="V27" s="146"/>
      <c r="W27" s="139"/>
      <c r="X27" s="139"/>
      <c r="Y27" s="148"/>
      <c r="Z27" s="138"/>
      <c r="AA27" s="138" t="str">
        <f t="shared" si="12"/>
        <v/>
      </c>
      <c r="AB27" s="239"/>
      <c r="AC27" s="325"/>
      <c r="AD27" s="325"/>
      <c r="AE27" s="325"/>
      <c r="AF27" s="325"/>
      <c r="AG27" s="325"/>
      <c r="AH27" s="325"/>
      <c r="AI27" s="325"/>
      <c r="AJ27" s="325"/>
      <c r="AK27" s="325"/>
      <c r="AL27" s="325"/>
      <c r="AM27" s="325"/>
      <c r="AN27" s="325"/>
      <c r="AO27" s="325"/>
      <c r="AP27" s="136"/>
      <c r="AQ27" s="136"/>
      <c r="AR27" s="136" t="str">
        <f t="shared" si="6"/>
        <v/>
      </c>
      <c r="AS27" s="136" t="str">
        <f t="shared" si="6"/>
        <v/>
      </c>
      <c r="AT27" s="5" t="str">
        <f t="shared" si="7"/>
        <v/>
      </c>
      <c r="AV27" s="27" t="str">
        <f t="shared" si="8"/>
        <v/>
      </c>
      <c r="AW27" s="27"/>
      <c r="AY27" s="122" t="str">
        <f t="shared" si="9"/>
        <v/>
      </c>
    </row>
    <row r="28" spans="2:51" ht="12.75">
      <c r="B28" s="20" t="str">
        <f t="shared" si="11"/>
        <v/>
      </c>
      <c r="C28" s="5"/>
      <c r="D28" s="5"/>
      <c r="E28" s="5"/>
      <c r="G28" s="5" t="str">
        <f t="shared" si="0"/>
        <v/>
      </c>
      <c r="H28" s="117" t="str">
        <f t="shared" si="13"/>
        <v/>
      </c>
      <c r="I28" s="5" t="str">
        <f t="shared" si="2"/>
        <v/>
      </c>
      <c r="J28" s="5" t="str">
        <f t="shared" si="3"/>
        <v/>
      </c>
      <c r="K28" s="138"/>
      <c r="L28" s="5"/>
      <c r="M28" s="75"/>
      <c r="N28" s="77"/>
      <c r="O28" s="26"/>
      <c r="P28" s="26"/>
      <c r="Q28" s="118" t="str">
        <f t="shared" si="4"/>
        <v/>
      </c>
      <c r="R28" s="153"/>
      <c r="S28" s="138" t="str">
        <f t="shared" si="10"/>
        <v/>
      </c>
      <c r="T28" s="148"/>
      <c r="U28" s="146"/>
      <c r="V28" s="146"/>
      <c r="W28" s="139"/>
      <c r="X28" s="139"/>
      <c r="Y28" s="148"/>
      <c r="Z28" s="138"/>
      <c r="AA28" s="138" t="str">
        <f t="shared" si="12"/>
        <v/>
      </c>
      <c r="AB28" s="239"/>
      <c r="AC28" s="325"/>
      <c r="AD28" s="325"/>
      <c r="AE28" s="325"/>
      <c r="AF28" s="325"/>
      <c r="AG28" s="325"/>
      <c r="AH28" s="325"/>
      <c r="AI28" s="325"/>
      <c r="AJ28" s="325"/>
      <c r="AK28" s="325"/>
      <c r="AL28" s="325"/>
      <c r="AM28" s="325"/>
      <c r="AN28" s="325"/>
      <c r="AO28" s="325"/>
      <c r="AP28" s="136"/>
      <c r="AQ28" s="136"/>
      <c r="AR28" s="136" t="str">
        <f t="shared" si="6"/>
        <v/>
      </c>
      <c r="AS28" s="136" t="str">
        <f t="shared" si="6"/>
        <v/>
      </c>
      <c r="AT28" s="5" t="str">
        <f t="shared" si="7"/>
        <v/>
      </c>
      <c r="AV28" s="27" t="str">
        <f t="shared" si="8"/>
        <v/>
      </c>
      <c r="AW28" s="27"/>
      <c r="AY28" s="122" t="str">
        <f t="shared" si="9"/>
        <v/>
      </c>
    </row>
    <row r="29" spans="2:51" ht="12.75">
      <c r="B29" s="20" t="str">
        <f t="shared" si="11"/>
        <v/>
      </c>
      <c r="C29" s="5"/>
      <c r="D29" s="5"/>
      <c r="E29" s="5"/>
      <c r="G29" s="5" t="str">
        <f t="shared" si="0"/>
        <v/>
      </c>
      <c r="H29" s="117" t="str">
        <f t="shared" si="13"/>
        <v/>
      </c>
      <c r="I29" s="5" t="str">
        <f t="shared" si="2"/>
        <v/>
      </c>
      <c r="J29" s="5" t="str">
        <f t="shared" si="3"/>
        <v/>
      </c>
      <c r="K29" s="138"/>
      <c r="L29" s="5"/>
      <c r="M29" s="75"/>
      <c r="N29" s="77"/>
      <c r="O29" s="26"/>
      <c r="P29" s="26"/>
      <c r="Q29" s="118" t="str">
        <f t="shared" si="4"/>
        <v/>
      </c>
      <c r="R29" s="153"/>
      <c r="S29" s="138" t="str">
        <f t="shared" si="10"/>
        <v/>
      </c>
      <c r="T29" s="148"/>
      <c r="U29" s="146"/>
      <c r="V29" s="146"/>
      <c r="W29" s="139"/>
      <c r="X29" s="139"/>
      <c r="Y29" s="148"/>
      <c r="Z29" s="138"/>
      <c r="AA29" s="138" t="str">
        <f t="shared" si="12"/>
        <v/>
      </c>
      <c r="AB29" s="239"/>
      <c r="AC29" s="325"/>
      <c r="AD29" s="325"/>
      <c r="AE29" s="325"/>
      <c r="AF29" s="325"/>
      <c r="AG29" s="325"/>
      <c r="AH29" s="325"/>
      <c r="AI29" s="325"/>
      <c r="AJ29" s="325"/>
      <c r="AK29" s="325"/>
      <c r="AL29" s="325"/>
      <c r="AM29" s="325"/>
      <c r="AN29" s="325"/>
      <c r="AO29" s="325"/>
      <c r="AP29" s="136"/>
      <c r="AQ29" s="136"/>
      <c r="AR29" s="136" t="str">
        <f t="shared" si="6"/>
        <v/>
      </c>
      <c r="AS29" s="136" t="str">
        <f t="shared" si="6"/>
        <v/>
      </c>
      <c r="AT29" s="5" t="str">
        <f t="shared" si="7"/>
        <v/>
      </c>
      <c r="AV29" s="27" t="str">
        <f t="shared" si="8"/>
        <v/>
      </c>
      <c r="AW29" s="27"/>
      <c r="AY29" s="122" t="str">
        <f t="shared" si="9"/>
        <v/>
      </c>
    </row>
    <row r="30" spans="2:51" ht="12.75">
      <c r="B30" s="20" t="str">
        <f t="shared" si="11"/>
        <v/>
      </c>
      <c r="C30" s="5"/>
      <c r="D30" s="5"/>
      <c r="E30" s="5"/>
      <c r="G30" s="5" t="str">
        <f t="shared" si="0"/>
        <v/>
      </c>
      <c r="H30" s="117" t="str">
        <f t="shared" si="13"/>
        <v/>
      </c>
      <c r="I30" s="5" t="str">
        <f t="shared" si="2"/>
        <v/>
      </c>
      <c r="J30" s="5" t="str">
        <f t="shared" si="3"/>
        <v/>
      </c>
      <c r="K30" s="138"/>
      <c r="L30" s="5"/>
      <c r="M30" s="75"/>
      <c r="N30" s="77"/>
      <c r="O30" s="26"/>
      <c r="P30" s="26"/>
      <c r="Q30" s="118" t="str">
        <f t="shared" si="4"/>
        <v/>
      </c>
      <c r="R30" s="153"/>
      <c r="S30" s="138" t="str">
        <f t="shared" si="10"/>
        <v/>
      </c>
      <c r="T30" s="148"/>
      <c r="U30" s="146"/>
      <c r="V30" s="146"/>
      <c r="W30" s="139"/>
      <c r="X30" s="139"/>
      <c r="Y30" s="148"/>
      <c r="Z30" s="138"/>
      <c r="AA30" s="138" t="str">
        <f t="shared" si="12"/>
        <v/>
      </c>
      <c r="AB30" s="239"/>
      <c r="AC30" s="325"/>
      <c r="AD30" s="325"/>
      <c r="AE30" s="325"/>
      <c r="AF30" s="325"/>
      <c r="AG30" s="325"/>
      <c r="AH30" s="325"/>
      <c r="AI30" s="325"/>
      <c r="AJ30" s="325"/>
      <c r="AK30" s="325"/>
      <c r="AL30" s="325"/>
      <c r="AM30" s="325"/>
      <c r="AN30" s="325"/>
      <c r="AO30" s="325"/>
      <c r="AP30" s="136"/>
      <c r="AQ30" s="136"/>
      <c r="AR30" s="136" t="str">
        <f t="shared" si="6"/>
        <v/>
      </c>
      <c r="AS30" s="136" t="str">
        <f t="shared" si="6"/>
        <v/>
      </c>
      <c r="AT30" s="5" t="str">
        <f t="shared" si="7"/>
        <v/>
      </c>
      <c r="AV30" s="27" t="str">
        <f t="shared" si="8"/>
        <v/>
      </c>
      <c r="AW30" s="27"/>
      <c r="AY30" s="122" t="str">
        <f t="shared" si="9"/>
        <v/>
      </c>
    </row>
    <row r="31" spans="2:51" ht="12.75">
      <c r="B31" s="20" t="str">
        <f t="shared" si="11"/>
        <v/>
      </c>
      <c r="C31" s="5"/>
      <c r="D31" s="5"/>
      <c r="E31" s="5"/>
      <c r="G31" s="5" t="str">
        <f t="shared" si="0"/>
        <v/>
      </c>
      <c r="H31" s="117" t="str">
        <f t="shared" si="13"/>
        <v/>
      </c>
      <c r="I31" s="5" t="str">
        <f t="shared" si="2"/>
        <v/>
      </c>
      <c r="J31" s="5" t="str">
        <f t="shared" si="3"/>
        <v/>
      </c>
      <c r="K31" s="138"/>
      <c r="L31" s="5"/>
      <c r="M31" s="75"/>
      <c r="N31" s="77"/>
      <c r="O31" s="26"/>
      <c r="P31" s="26"/>
      <c r="Q31" s="118" t="str">
        <f t="shared" si="4"/>
        <v/>
      </c>
      <c r="R31" s="153"/>
      <c r="S31" s="138" t="str">
        <f t="shared" si="10"/>
        <v/>
      </c>
      <c r="T31" s="148"/>
      <c r="U31" s="146"/>
      <c r="V31" s="146"/>
      <c r="W31" s="139"/>
      <c r="X31" s="139"/>
      <c r="Y31" s="148"/>
      <c r="Z31" s="138"/>
      <c r="AA31" s="138" t="str">
        <f t="shared" si="12"/>
        <v/>
      </c>
      <c r="AB31" s="239"/>
      <c r="AC31" s="325"/>
      <c r="AD31" s="325"/>
      <c r="AE31" s="325"/>
      <c r="AF31" s="325"/>
      <c r="AG31" s="325"/>
      <c r="AH31" s="325"/>
      <c r="AI31" s="325"/>
      <c r="AJ31" s="325"/>
      <c r="AK31" s="325"/>
      <c r="AL31" s="325"/>
      <c r="AM31" s="325"/>
      <c r="AN31" s="325"/>
      <c r="AO31" s="325"/>
      <c r="AP31" s="136"/>
      <c r="AQ31" s="136"/>
      <c r="AR31" s="136" t="str">
        <f t="shared" si="6"/>
        <v/>
      </c>
      <c r="AS31" s="136" t="str">
        <f t="shared" si="6"/>
        <v/>
      </c>
      <c r="AT31" s="5" t="str">
        <f t="shared" si="7"/>
        <v/>
      </c>
      <c r="AV31" s="27" t="str">
        <f t="shared" si="8"/>
        <v/>
      </c>
      <c r="AW31" s="27"/>
      <c r="AY31" s="122" t="str">
        <f t="shared" si="9"/>
        <v/>
      </c>
    </row>
    <row r="32" spans="2:51" ht="12.75">
      <c r="B32" s="20" t="str">
        <f t="shared" si="11"/>
        <v/>
      </c>
      <c r="C32" s="5"/>
      <c r="D32" s="5"/>
      <c r="E32" s="5"/>
      <c r="G32" s="5" t="str">
        <f t="shared" si="0"/>
        <v/>
      </c>
      <c r="H32" s="117" t="str">
        <f t="shared" si="13"/>
        <v/>
      </c>
      <c r="I32" s="5" t="str">
        <f t="shared" si="2"/>
        <v/>
      </c>
      <c r="J32" s="5" t="str">
        <f t="shared" si="3"/>
        <v/>
      </c>
      <c r="K32" s="138"/>
      <c r="L32" s="5"/>
      <c r="M32" s="75"/>
      <c r="N32" s="77"/>
      <c r="O32" s="26"/>
      <c r="P32" s="26"/>
      <c r="Q32" s="118" t="str">
        <f t="shared" si="4"/>
        <v/>
      </c>
      <c r="R32" s="153"/>
      <c r="S32" s="138" t="str">
        <f t="shared" si="10"/>
        <v/>
      </c>
      <c r="T32" s="148"/>
      <c r="U32" s="146"/>
      <c r="V32" s="146"/>
      <c r="W32" s="139"/>
      <c r="X32" s="139"/>
      <c r="Y32" s="148"/>
      <c r="Z32" s="138"/>
      <c r="AA32" s="138" t="str">
        <f t="shared" si="12"/>
        <v/>
      </c>
      <c r="AB32" s="239"/>
      <c r="AC32" s="325"/>
      <c r="AD32" s="325"/>
      <c r="AE32" s="325"/>
      <c r="AF32" s="325"/>
      <c r="AG32" s="325"/>
      <c r="AH32" s="325"/>
      <c r="AI32" s="325"/>
      <c r="AJ32" s="325"/>
      <c r="AK32" s="325"/>
      <c r="AL32" s="325"/>
      <c r="AM32" s="325"/>
      <c r="AN32" s="325"/>
      <c r="AO32" s="325"/>
      <c r="AP32" s="136"/>
      <c r="AQ32" s="136"/>
      <c r="AR32" s="136" t="str">
        <f t="shared" si="6"/>
        <v/>
      </c>
      <c r="AS32" s="136" t="str">
        <f t="shared" si="6"/>
        <v/>
      </c>
      <c r="AT32" s="5" t="str">
        <f t="shared" si="7"/>
        <v/>
      </c>
      <c r="AV32" s="27" t="str">
        <f t="shared" si="8"/>
        <v/>
      </c>
      <c r="AW32" s="27"/>
      <c r="AY32" s="122" t="str">
        <f t="shared" si="9"/>
        <v/>
      </c>
    </row>
    <row r="33" spans="2:51" ht="12.75">
      <c r="B33" s="20" t="str">
        <f t="shared" si="11"/>
        <v/>
      </c>
      <c r="C33" s="5"/>
      <c r="D33" s="5"/>
      <c r="E33" s="5"/>
      <c r="G33" s="5" t="str">
        <f>SUBSTITUTE(SUBSTITUTE(SUBSTITUTE(SUBSTITUTE(SUBSTITUTE(SUBSTITUTE(SUBSTITUTE(SUBSTITUTE(SUBSTITUTE(C33," ",""),".",""),"#","No"),"%",""),"(",""),"*",""),"-",""),"/",""),")","")</f>
        <v/>
      </c>
      <c r="H33" s="117" t="str">
        <f t="shared" si="13"/>
        <v/>
      </c>
      <c r="I33" s="5" t="str">
        <f t="shared" si="2"/>
        <v/>
      </c>
      <c r="J33" s="5" t="str">
        <f t="shared" si="3"/>
        <v/>
      </c>
      <c r="K33" s="138"/>
      <c r="L33" s="5"/>
      <c r="M33" s="75"/>
      <c r="N33" s="77"/>
      <c r="O33" s="26"/>
      <c r="P33" s="26"/>
      <c r="Q33" s="118" t="str">
        <f t="shared" si="4"/>
        <v/>
      </c>
      <c r="R33" s="153"/>
      <c r="S33" s="138" t="str">
        <f t="shared" si="10"/>
        <v/>
      </c>
      <c r="T33" s="148"/>
      <c r="U33" s="146"/>
      <c r="V33" s="146"/>
      <c r="W33" s="139"/>
      <c r="X33" s="139"/>
      <c r="Y33" s="148"/>
      <c r="Z33" s="138"/>
      <c r="AA33" s="138" t="str">
        <f t="shared" si="12"/>
        <v/>
      </c>
      <c r="AB33" s="239"/>
      <c r="AC33" s="325"/>
      <c r="AD33" s="325"/>
      <c r="AE33" s="325"/>
      <c r="AF33" s="325"/>
      <c r="AG33" s="325"/>
      <c r="AH33" s="325"/>
      <c r="AI33" s="325"/>
      <c r="AJ33" s="325"/>
      <c r="AK33" s="325"/>
      <c r="AL33" s="325"/>
      <c r="AM33" s="325"/>
      <c r="AN33" s="325"/>
      <c r="AO33" s="325"/>
      <c r="AP33" s="136"/>
      <c r="AQ33" s="136"/>
      <c r="AR33" s="136" t="str">
        <f t="shared" si="6"/>
        <v/>
      </c>
      <c r="AS33" s="136" t="str">
        <f t="shared" si="6"/>
        <v/>
      </c>
      <c r="AT33" s="5" t="str">
        <f t="shared" si="7"/>
        <v/>
      </c>
      <c r="AV33" s="27" t="str">
        <f t="shared" si="8"/>
        <v/>
      </c>
      <c r="AW33" s="27"/>
      <c r="AY33" s="122" t="str">
        <f t="shared" si="9"/>
        <v/>
      </c>
    </row>
    <row r="34" spans="2:51" ht="12.75">
      <c r="B34" s="20" t="str">
        <f t="shared" si="11"/>
        <v/>
      </c>
      <c r="C34" s="5"/>
      <c r="D34" s="5"/>
      <c r="E34" s="5"/>
      <c r="G34" s="5" t="str">
        <f>SUBSTITUTE(SUBSTITUTE(SUBSTITUTE(SUBSTITUTE(SUBSTITUTE(SUBSTITUTE(SUBSTITUTE(SUBSTITUTE(SUBSTITUTE(C34," ",""),".",""),"#","No"),"%",""),"(",""),"*",""),"-",""),"/",""),")","")</f>
        <v/>
      </c>
      <c r="H34" s="117" t="str">
        <f t="shared" si="13"/>
        <v/>
      </c>
      <c r="I34" s="5" t="str">
        <f t="shared" si="2"/>
        <v/>
      </c>
      <c r="J34" s="5" t="str">
        <f t="shared" si="3"/>
        <v/>
      </c>
      <c r="K34" s="138"/>
      <c r="L34" s="5"/>
      <c r="M34" s="75"/>
      <c r="N34" s="77"/>
      <c r="O34" s="26"/>
      <c r="P34" s="26"/>
      <c r="Q34" s="118" t="str">
        <f t="shared" si="4"/>
        <v/>
      </c>
      <c r="R34" s="153"/>
      <c r="S34" s="138" t="str">
        <f t="shared" si="10"/>
        <v/>
      </c>
      <c r="T34" s="148"/>
      <c r="U34" s="146"/>
      <c r="V34" s="146"/>
      <c r="W34" s="139"/>
      <c r="X34" s="139"/>
      <c r="Y34" s="148"/>
      <c r="Z34" s="138"/>
      <c r="AA34" s="138" t="str">
        <f t="shared" si="12"/>
        <v/>
      </c>
      <c r="AB34" s="239"/>
      <c r="AC34" s="325"/>
      <c r="AD34" s="325"/>
      <c r="AE34" s="325"/>
      <c r="AF34" s="325"/>
      <c r="AG34" s="325"/>
      <c r="AH34" s="325"/>
      <c r="AI34" s="325"/>
      <c r="AJ34" s="325"/>
      <c r="AK34" s="325"/>
      <c r="AL34" s="325"/>
      <c r="AM34" s="325"/>
      <c r="AN34" s="325"/>
      <c r="AO34" s="325"/>
      <c r="AP34" s="136"/>
      <c r="AQ34" s="136"/>
      <c r="AR34" s="136" t="str">
        <f t="shared" si="6"/>
        <v/>
      </c>
      <c r="AS34" s="136" t="str">
        <f t="shared" si="6"/>
        <v/>
      </c>
      <c r="AT34" s="5" t="str">
        <f t="shared" si="7"/>
        <v/>
      </c>
      <c r="AV34" s="27" t="str">
        <f t="shared" si="8"/>
        <v/>
      </c>
      <c r="AW34" s="27"/>
      <c r="AY34" s="122" t="str">
        <f t="shared" si="9"/>
        <v/>
      </c>
    </row>
    <row r="35" spans="2:51" ht="12.75">
      <c r="B35" s="20" t="str">
        <f t="shared" si="11"/>
        <v/>
      </c>
      <c r="C35" s="5"/>
      <c r="D35" s="5"/>
      <c r="E35" s="5"/>
      <c r="G35" s="5" t="str">
        <f>SUBSTITUTE(SUBSTITUTE(SUBSTITUTE(SUBSTITUTE(SUBSTITUTE(SUBSTITUTE(SUBSTITUTE(SUBSTITUTE(SUBSTITUTE(C35," ",""),".",""),"#","No"),"%",""),"(",""),"*",""),"-",""),"/",""),")","")</f>
        <v/>
      </c>
      <c r="H35" s="117" t="str">
        <f t="shared" si="13"/>
        <v/>
      </c>
      <c r="I35" s="5" t="str">
        <f t="shared" si="2"/>
        <v/>
      </c>
      <c r="J35" s="5" t="str">
        <f t="shared" si="3"/>
        <v/>
      </c>
      <c r="K35" s="138"/>
      <c r="L35" s="5"/>
      <c r="M35" s="75"/>
      <c r="N35" s="77"/>
      <c r="O35" s="26"/>
      <c r="P35" s="26"/>
      <c r="Q35" s="118" t="str">
        <f t="shared" si="4"/>
        <v/>
      </c>
      <c r="R35" s="153"/>
      <c r="S35" s="138" t="str">
        <f t="shared" si="10"/>
        <v/>
      </c>
      <c r="T35" s="148"/>
      <c r="U35" s="146"/>
      <c r="V35" s="146"/>
      <c r="W35" s="139"/>
      <c r="X35" s="139"/>
      <c r="Y35" s="148"/>
      <c r="Z35" s="138"/>
      <c r="AA35" s="138" t="str">
        <f t="shared" si="12"/>
        <v/>
      </c>
      <c r="AB35" s="239"/>
      <c r="AC35" s="325"/>
      <c r="AD35" s="325"/>
      <c r="AE35" s="325"/>
      <c r="AF35" s="325"/>
      <c r="AG35" s="325"/>
      <c r="AH35" s="325"/>
      <c r="AI35" s="325"/>
      <c r="AJ35" s="325"/>
      <c r="AK35" s="325"/>
      <c r="AL35" s="325"/>
      <c r="AM35" s="325"/>
      <c r="AN35" s="325"/>
      <c r="AO35" s="325"/>
      <c r="AP35" s="136"/>
      <c r="AQ35" s="136"/>
      <c r="AR35" s="136" t="str">
        <f t="shared" si="6"/>
        <v/>
      </c>
      <c r="AS35" s="136" t="str">
        <f t="shared" si="6"/>
        <v/>
      </c>
      <c r="AT35" s="5" t="str">
        <f t="shared" si="7"/>
        <v/>
      </c>
      <c r="AV35" s="27" t="str">
        <f t="shared" si="8"/>
        <v/>
      </c>
      <c r="AW35" s="27"/>
      <c r="AY35" s="122" t="str">
        <f t="shared" si="9"/>
        <v/>
      </c>
    </row>
    <row r="36" spans="2:51" ht="12.75">
      <c r="B36" s="20" t="str">
        <f t="shared" si="11"/>
        <v/>
      </c>
      <c r="C36" s="5"/>
      <c r="D36" s="5"/>
      <c r="E36" s="5"/>
      <c r="G36" s="5" t="str">
        <f>SUBSTITUTE(SUBSTITUTE(SUBSTITUTE(SUBSTITUTE(SUBSTITUTE(SUBSTITUTE(SUBSTITUTE(SUBSTITUTE(SUBSTITUTE(C36," ",""),".",""),"#","No"),"%",""),"(",""),"*",""),"-",""),"/",""),")","")</f>
        <v/>
      </c>
      <c r="H36" s="117" t="str">
        <f t="shared" si="13"/>
        <v/>
      </c>
      <c r="I36" s="5" t="str">
        <f t="shared" si="2"/>
        <v/>
      </c>
      <c r="J36" s="5" t="str">
        <f t="shared" si="3"/>
        <v/>
      </c>
      <c r="K36" s="138"/>
      <c r="L36" s="5"/>
      <c r="M36" s="75"/>
      <c r="N36" s="77"/>
      <c r="O36" s="26"/>
      <c r="P36" s="26"/>
      <c r="Q36" s="118" t="str">
        <f t="shared" si="4"/>
        <v/>
      </c>
      <c r="R36" s="153"/>
      <c r="S36" s="138" t="str">
        <f t="shared" si="10"/>
        <v/>
      </c>
      <c r="T36" s="148"/>
      <c r="U36" s="146"/>
      <c r="V36" s="146"/>
      <c r="W36" s="139"/>
      <c r="X36" s="139"/>
      <c r="Y36" s="148"/>
      <c r="Z36" s="138"/>
      <c r="AA36" s="138" t="str">
        <f t="shared" si="12"/>
        <v/>
      </c>
      <c r="AB36" s="239"/>
      <c r="AC36" s="325"/>
      <c r="AD36" s="325"/>
      <c r="AE36" s="325"/>
      <c r="AF36" s="325"/>
      <c r="AG36" s="325"/>
      <c r="AH36" s="325"/>
      <c r="AI36" s="325"/>
      <c r="AJ36" s="325"/>
      <c r="AK36" s="325"/>
      <c r="AL36" s="325"/>
      <c r="AM36" s="325"/>
      <c r="AN36" s="325"/>
      <c r="AO36" s="325"/>
      <c r="AP36" s="136"/>
      <c r="AQ36" s="136"/>
      <c r="AR36" s="136" t="str">
        <f t="shared" si="6"/>
        <v/>
      </c>
      <c r="AS36" s="136" t="str">
        <f t="shared" si="6"/>
        <v/>
      </c>
      <c r="AT36" s="5" t="str">
        <f t="shared" si="7"/>
        <v/>
      </c>
      <c r="AV36" s="27" t="str">
        <f>IF(G36="","",+"          ["&amp;TRIM(G36)&amp;"] ["&amp;TRIM(I36)&amp;"]"&amp;IF(H36="","","("&amp;H36&amp;")")&amp;" "&amp;TRIM(J36)&amp;IF(G46="","",","))</f>
        <v/>
      </c>
      <c r="AW36" s="27"/>
      <c r="AY36" s="122" t="str">
        <f t="shared" si="9"/>
        <v/>
      </c>
    </row>
    <row r="37" spans="2:51" ht="12.75">
      <c r="B37" s="20" t="str">
        <f t="shared" si="11"/>
        <v/>
      </c>
      <c r="C37" s="5"/>
      <c r="D37" s="5"/>
      <c r="E37" s="5"/>
      <c r="G37" s="5" t="str">
        <f t="shared" ref="G37:G45" si="14">SUBSTITUTE(SUBSTITUTE(SUBSTITUTE(SUBSTITUTE(SUBSTITUTE(SUBSTITUTE(SUBSTITUTE(SUBSTITUTE(SUBSTITUTE(C37," ",""),".",""),"#","No"),"%",""),"(",""),"*",""),"-",""),"/",""),")","")</f>
        <v/>
      </c>
      <c r="H37" s="117" t="str">
        <f t="shared" si="13"/>
        <v/>
      </c>
      <c r="I37" s="5" t="str">
        <f t="shared" si="2"/>
        <v/>
      </c>
      <c r="J37" s="5" t="str">
        <f t="shared" si="3"/>
        <v/>
      </c>
      <c r="K37" s="138"/>
      <c r="L37" s="5"/>
      <c r="M37" s="75"/>
      <c r="N37" s="77"/>
      <c r="O37" s="26"/>
      <c r="P37" s="26"/>
      <c r="Q37" s="118" t="str">
        <f t="shared" si="4"/>
        <v/>
      </c>
      <c r="R37" s="153"/>
      <c r="S37" s="138" t="str">
        <f t="shared" si="10"/>
        <v/>
      </c>
      <c r="T37" s="148"/>
      <c r="U37" s="146"/>
      <c r="V37" s="146"/>
      <c r="W37" s="139"/>
      <c r="X37" s="139"/>
      <c r="Y37" s="148"/>
      <c r="Z37" s="138"/>
      <c r="AA37" s="138" t="str">
        <f t="shared" si="12"/>
        <v/>
      </c>
      <c r="AB37" s="239"/>
      <c r="AC37" s="325"/>
      <c r="AD37" s="325"/>
      <c r="AE37" s="325"/>
      <c r="AF37" s="325"/>
      <c r="AG37" s="325"/>
      <c r="AH37" s="325"/>
      <c r="AI37" s="325"/>
      <c r="AJ37" s="325"/>
      <c r="AK37" s="325"/>
      <c r="AL37" s="325"/>
      <c r="AM37" s="325"/>
      <c r="AN37" s="325"/>
      <c r="AO37" s="325"/>
      <c r="AP37" s="136"/>
      <c r="AQ37" s="136"/>
      <c r="AR37" s="136" t="str">
        <f t="shared" si="6"/>
        <v/>
      </c>
      <c r="AS37" s="136" t="str">
        <f t="shared" si="6"/>
        <v/>
      </c>
      <c r="AT37" s="5" t="str">
        <f t="shared" si="7"/>
        <v/>
      </c>
      <c r="AV37" s="27" t="str">
        <f>IF(G37="","",+"          ["&amp;TRIM(G37)&amp;"] ["&amp;TRIM(I37)&amp;"]"&amp;IF(H37="","","("&amp;H37&amp;")")&amp;" "&amp;TRIM(J37)&amp;IF(G38="","",","))</f>
        <v/>
      </c>
      <c r="AW37" s="27"/>
      <c r="AY37" s="122" t="str">
        <f t="shared" si="9"/>
        <v/>
      </c>
    </row>
    <row r="38" spans="2:51" ht="12.75">
      <c r="B38" s="20" t="str">
        <f t="shared" si="11"/>
        <v/>
      </c>
      <c r="C38" s="5"/>
      <c r="D38" s="5"/>
      <c r="E38" s="5"/>
      <c r="G38" s="5" t="str">
        <f t="shared" si="14"/>
        <v/>
      </c>
      <c r="H38" s="117" t="str">
        <f t="shared" si="13"/>
        <v/>
      </c>
      <c r="I38" s="5" t="str">
        <f t="shared" si="2"/>
        <v/>
      </c>
      <c r="J38" s="5" t="str">
        <f t="shared" si="3"/>
        <v/>
      </c>
      <c r="K38" s="138"/>
      <c r="L38" s="5"/>
      <c r="M38" s="75"/>
      <c r="N38" s="77"/>
      <c r="O38" s="26"/>
      <c r="P38" s="26"/>
      <c r="Q38" s="118" t="str">
        <f t="shared" si="4"/>
        <v/>
      </c>
      <c r="R38" s="153"/>
      <c r="S38" s="138" t="str">
        <f t="shared" si="10"/>
        <v/>
      </c>
      <c r="T38" s="148"/>
      <c r="U38" s="146"/>
      <c r="V38" s="146"/>
      <c r="W38" s="139"/>
      <c r="X38" s="139"/>
      <c r="Y38" s="148"/>
      <c r="Z38" s="138"/>
      <c r="AA38" s="138" t="str">
        <f t="shared" si="12"/>
        <v/>
      </c>
      <c r="AB38" s="239"/>
      <c r="AC38" s="325"/>
      <c r="AD38" s="325"/>
      <c r="AE38" s="325"/>
      <c r="AF38" s="325"/>
      <c r="AG38" s="325"/>
      <c r="AH38" s="325"/>
      <c r="AI38" s="325"/>
      <c r="AJ38" s="325"/>
      <c r="AK38" s="325"/>
      <c r="AL38" s="325"/>
      <c r="AM38" s="325"/>
      <c r="AN38" s="325"/>
      <c r="AO38" s="325"/>
      <c r="AP38" s="136"/>
      <c r="AQ38" s="136"/>
      <c r="AR38" s="136" t="str">
        <f t="shared" si="6"/>
        <v/>
      </c>
      <c r="AS38" s="136" t="str">
        <f t="shared" si="6"/>
        <v/>
      </c>
      <c r="AT38" s="5" t="str">
        <f t="shared" si="7"/>
        <v/>
      </c>
      <c r="AV38" s="27" t="str">
        <f>IF(G38="","",+"          ["&amp;TRIM(G38)&amp;"] ["&amp;TRIM(I38)&amp;"]"&amp;IF(H38="","","("&amp;H38&amp;")")&amp;" "&amp;TRIM(J38)&amp;IF(G39="","",","))</f>
        <v/>
      </c>
      <c r="AW38" s="27"/>
      <c r="AY38" s="122" t="str">
        <f t="shared" si="9"/>
        <v/>
      </c>
    </row>
    <row r="39" spans="2:51" ht="12.75">
      <c r="B39" s="20" t="str">
        <f t="shared" si="11"/>
        <v/>
      </c>
      <c r="C39" s="5"/>
      <c r="D39" s="5"/>
      <c r="E39" s="5"/>
      <c r="G39" s="5" t="str">
        <f t="shared" si="14"/>
        <v/>
      </c>
      <c r="H39" s="117" t="str">
        <f t="shared" si="13"/>
        <v/>
      </c>
      <c r="I39" s="5" t="str">
        <f t="shared" si="2"/>
        <v/>
      </c>
      <c r="J39" s="5" t="str">
        <f t="shared" si="3"/>
        <v/>
      </c>
      <c r="K39" s="138"/>
      <c r="L39" s="5"/>
      <c r="M39" s="75"/>
      <c r="N39" s="77"/>
      <c r="O39" s="26"/>
      <c r="P39" s="26"/>
      <c r="Q39" s="118" t="str">
        <f t="shared" si="4"/>
        <v/>
      </c>
      <c r="R39" s="153"/>
      <c r="S39" s="138" t="str">
        <f t="shared" si="10"/>
        <v/>
      </c>
      <c r="T39" s="148"/>
      <c r="U39" s="146"/>
      <c r="V39" s="146"/>
      <c r="W39" s="139"/>
      <c r="X39" s="139"/>
      <c r="Y39" s="148"/>
      <c r="Z39" s="138"/>
      <c r="AA39" s="138" t="str">
        <f t="shared" si="12"/>
        <v/>
      </c>
      <c r="AB39" s="239"/>
      <c r="AC39" s="325"/>
      <c r="AD39" s="325"/>
      <c r="AE39" s="325"/>
      <c r="AF39" s="325"/>
      <c r="AG39" s="325"/>
      <c r="AH39" s="325"/>
      <c r="AI39" s="325"/>
      <c r="AJ39" s="325"/>
      <c r="AK39" s="325"/>
      <c r="AL39" s="325"/>
      <c r="AM39" s="325"/>
      <c r="AN39" s="325"/>
      <c r="AO39" s="325"/>
      <c r="AP39" s="136"/>
      <c r="AQ39" s="136"/>
      <c r="AR39" s="136" t="str">
        <f t="shared" si="6"/>
        <v/>
      </c>
      <c r="AS39" s="136" t="str">
        <f t="shared" si="6"/>
        <v/>
      </c>
      <c r="AT39" s="5" t="str">
        <f t="shared" si="7"/>
        <v/>
      </c>
      <c r="AV39" s="27" t="str">
        <f>IF(G39="","",+"          ["&amp;TRIM(G39)&amp;"] ["&amp;TRIM(I39)&amp;"]"&amp;IF(H39="","","("&amp;H39&amp;")")&amp;" "&amp;TRIM(J39)&amp;IF(G69="","",","))</f>
        <v/>
      </c>
      <c r="AW39" s="27"/>
      <c r="AY39" s="122" t="str">
        <f t="shared" si="9"/>
        <v/>
      </c>
    </row>
    <row r="40" spans="2:51" ht="12.75">
      <c r="B40" s="20" t="str">
        <f t="shared" si="11"/>
        <v/>
      </c>
      <c r="C40" s="5"/>
      <c r="D40" s="5"/>
      <c r="E40" s="5"/>
      <c r="G40" s="5" t="str">
        <f t="shared" si="14"/>
        <v/>
      </c>
      <c r="H40" s="117" t="str">
        <f t="shared" si="13"/>
        <v/>
      </c>
      <c r="I40" s="5" t="str">
        <f t="shared" si="2"/>
        <v/>
      </c>
      <c r="J40" s="5" t="str">
        <f t="shared" si="3"/>
        <v/>
      </c>
      <c r="K40" s="138"/>
      <c r="L40" s="5"/>
      <c r="M40" s="75"/>
      <c r="N40" s="77"/>
      <c r="O40" s="26"/>
      <c r="P40" s="26"/>
      <c r="Q40" s="118" t="str">
        <f t="shared" si="4"/>
        <v/>
      </c>
      <c r="R40" s="153"/>
      <c r="S40" s="138" t="str">
        <f t="shared" si="10"/>
        <v/>
      </c>
      <c r="T40" s="148"/>
      <c r="U40" s="146"/>
      <c r="V40" s="146"/>
      <c r="W40" s="139"/>
      <c r="X40" s="139"/>
      <c r="Y40" s="148"/>
      <c r="Z40" s="138"/>
      <c r="AA40" s="138" t="str">
        <f t="shared" si="12"/>
        <v/>
      </c>
      <c r="AB40" s="239"/>
      <c r="AC40" s="325"/>
      <c r="AD40" s="325"/>
      <c r="AE40" s="325"/>
      <c r="AF40" s="325"/>
      <c r="AG40" s="325"/>
      <c r="AH40" s="325"/>
      <c r="AI40" s="325"/>
      <c r="AJ40" s="325"/>
      <c r="AK40" s="325"/>
      <c r="AL40" s="325"/>
      <c r="AM40" s="325"/>
      <c r="AN40" s="325"/>
      <c r="AO40" s="325"/>
      <c r="AP40" s="136"/>
      <c r="AQ40" s="136"/>
      <c r="AR40" s="136" t="str">
        <f t="shared" si="6"/>
        <v/>
      </c>
      <c r="AS40" s="136" t="str">
        <f t="shared" si="6"/>
        <v/>
      </c>
      <c r="AT40" s="5" t="str">
        <f t="shared" si="7"/>
        <v/>
      </c>
      <c r="AV40" s="27" t="str">
        <f>IF(G40="","",+"          ["&amp;TRIM(G40)&amp;"] ["&amp;TRIM(I40)&amp;"]"&amp;IF(H40="","","("&amp;H40&amp;")")&amp;" "&amp;TRIM(J40)&amp;IF(G68="","",","))</f>
        <v/>
      </c>
      <c r="AW40" s="27"/>
      <c r="AY40" s="122" t="str">
        <f t="shared" si="9"/>
        <v/>
      </c>
    </row>
    <row r="41" spans="2:51" ht="12.75">
      <c r="B41" s="20" t="str">
        <f t="shared" si="11"/>
        <v/>
      </c>
      <c r="C41" s="5"/>
      <c r="D41" s="5"/>
      <c r="E41" s="5"/>
      <c r="G41" s="5" t="str">
        <f t="shared" si="14"/>
        <v/>
      </c>
      <c r="H41" s="117" t="str">
        <f t="shared" si="13"/>
        <v/>
      </c>
      <c r="I41" s="5" t="str">
        <f t="shared" si="2"/>
        <v/>
      </c>
      <c r="J41" s="5" t="str">
        <f t="shared" si="3"/>
        <v/>
      </c>
      <c r="K41" s="138"/>
      <c r="L41" s="5"/>
      <c r="M41" s="75"/>
      <c r="N41" s="77"/>
      <c r="O41" s="26"/>
      <c r="P41" s="26"/>
      <c r="Q41" s="118" t="str">
        <f t="shared" si="4"/>
        <v/>
      </c>
      <c r="R41" s="153"/>
      <c r="S41" s="138" t="str">
        <f t="shared" si="10"/>
        <v/>
      </c>
      <c r="T41" s="148"/>
      <c r="U41" s="146"/>
      <c r="V41" s="146"/>
      <c r="W41" s="139"/>
      <c r="X41" s="139"/>
      <c r="Y41" s="148"/>
      <c r="Z41" s="138"/>
      <c r="AA41" s="138" t="str">
        <f t="shared" si="12"/>
        <v/>
      </c>
      <c r="AB41" s="239"/>
      <c r="AC41" s="325"/>
      <c r="AD41" s="325"/>
      <c r="AE41" s="325"/>
      <c r="AF41" s="325"/>
      <c r="AG41" s="325"/>
      <c r="AH41" s="325"/>
      <c r="AI41" s="325"/>
      <c r="AJ41" s="325"/>
      <c r="AK41" s="325"/>
      <c r="AL41" s="325"/>
      <c r="AM41" s="325"/>
      <c r="AN41" s="325"/>
      <c r="AO41" s="325"/>
      <c r="AP41" s="136"/>
      <c r="AQ41" s="136"/>
      <c r="AR41" s="136" t="str">
        <f t="shared" si="6"/>
        <v/>
      </c>
      <c r="AS41" s="136" t="str">
        <f t="shared" si="6"/>
        <v/>
      </c>
      <c r="AT41" s="5" t="str">
        <f t="shared" si="7"/>
        <v/>
      </c>
      <c r="AV41" s="27" t="str">
        <f>IF(G41="","",+"          ["&amp;TRIM(G41)&amp;"] ["&amp;TRIM(I41)&amp;"]"&amp;IF(H41="","","("&amp;H41&amp;")")&amp;" "&amp;TRIM(J41)&amp;IF(G42="","",","))</f>
        <v/>
      </c>
      <c r="AW41" s="27"/>
      <c r="AY41" s="122" t="str">
        <f t="shared" si="9"/>
        <v/>
      </c>
    </row>
    <row r="42" spans="2:51" ht="12.75">
      <c r="B42" s="20" t="str">
        <f t="shared" si="11"/>
        <v/>
      </c>
      <c r="C42" s="5"/>
      <c r="D42" s="5"/>
      <c r="E42" s="5"/>
      <c r="G42" s="5" t="str">
        <f t="shared" si="14"/>
        <v/>
      </c>
      <c r="H42" s="117" t="str">
        <f t="shared" si="13"/>
        <v/>
      </c>
      <c r="I42" s="5" t="str">
        <f t="shared" si="2"/>
        <v/>
      </c>
      <c r="J42" s="5" t="str">
        <f>IF(C42=0,"",(IF(ISERROR(VLOOKUP(G42,$D$120:$D$127,1,FALSE)),""," NOT")&amp;" NULL"))</f>
        <v/>
      </c>
      <c r="K42" s="138"/>
      <c r="L42" s="5"/>
      <c r="M42" s="75"/>
      <c r="N42" s="77"/>
      <c r="O42" s="26"/>
      <c r="P42" s="26"/>
      <c r="Q42" s="118" t="str">
        <f t="shared" si="4"/>
        <v/>
      </c>
      <c r="R42" s="153"/>
      <c r="S42" s="138" t="str">
        <f t="shared" si="10"/>
        <v/>
      </c>
      <c r="T42" s="148"/>
      <c r="U42" s="146"/>
      <c r="V42" s="146"/>
      <c r="W42" s="139"/>
      <c r="X42" s="139"/>
      <c r="Y42" s="148"/>
      <c r="Z42" s="138"/>
      <c r="AA42" s="138" t="str">
        <f t="shared" si="12"/>
        <v/>
      </c>
      <c r="AB42" s="239"/>
      <c r="AC42" s="325"/>
      <c r="AD42" s="325"/>
      <c r="AE42" s="325"/>
      <c r="AF42" s="325"/>
      <c r="AG42" s="325"/>
      <c r="AH42" s="325"/>
      <c r="AI42" s="325"/>
      <c r="AJ42" s="325"/>
      <c r="AK42" s="325"/>
      <c r="AL42" s="325"/>
      <c r="AM42" s="325"/>
      <c r="AN42" s="325"/>
      <c r="AO42" s="325"/>
      <c r="AP42" s="136"/>
      <c r="AQ42" s="136"/>
      <c r="AR42" s="136" t="str">
        <f t="shared" si="6"/>
        <v/>
      </c>
      <c r="AS42" s="136" t="str">
        <f t="shared" si="6"/>
        <v/>
      </c>
      <c r="AT42" s="5" t="str">
        <f t="shared" si="7"/>
        <v/>
      </c>
      <c r="AV42" s="27" t="str">
        <f>IF(G42="","",+"          ["&amp;TRIM(G42)&amp;"] ["&amp;TRIM(I42)&amp;"]"&amp;IF(H42="","","("&amp;H42&amp;")")&amp;" "&amp;TRIM(J42)&amp;IF(G45="","",","))</f>
        <v/>
      </c>
      <c r="AW42" s="27"/>
      <c r="AY42" s="122" t="str">
        <f t="shared" si="9"/>
        <v/>
      </c>
    </row>
    <row r="43" spans="2:51" ht="12.75">
      <c r="B43" s="20" t="str">
        <f t="shared" si="11"/>
        <v/>
      </c>
      <c r="C43" s="5"/>
      <c r="D43" s="5"/>
      <c r="E43" s="5"/>
      <c r="G43" s="5" t="str">
        <f t="shared" si="14"/>
        <v/>
      </c>
      <c r="H43" s="117" t="str">
        <f t="shared" si="13"/>
        <v/>
      </c>
      <c r="I43" s="5" t="str">
        <f t="shared" si="2"/>
        <v/>
      </c>
      <c r="J43" s="5" t="str">
        <f t="shared" si="3"/>
        <v/>
      </c>
      <c r="K43" s="138"/>
      <c r="L43" s="5"/>
      <c r="M43" s="75"/>
      <c r="N43" s="77"/>
      <c r="O43" s="26"/>
      <c r="P43" s="26"/>
      <c r="Q43" s="118" t="str">
        <f t="shared" si="4"/>
        <v/>
      </c>
      <c r="R43" s="153"/>
      <c r="S43" s="138" t="str">
        <f t="shared" si="10"/>
        <v/>
      </c>
      <c r="T43" s="148"/>
      <c r="U43" s="146"/>
      <c r="V43" s="146"/>
      <c r="W43" s="139"/>
      <c r="X43" s="139"/>
      <c r="Y43" s="148"/>
      <c r="Z43" s="138"/>
      <c r="AA43" s="138" t="str">
        <f t="shared" si="12"/>
        <v/>
      </c>
      <c r="AB43" s="239"/>
      <c r="AC43" s="325"/>
      <c r="AD43" s="325"/>
      <c r="AE43" s="325"/>
      <c r="AF43" s="325"/>
      <c r="AG43" s="325"/>
      <c r="AH43" s="325"/>
      <c r="AI43" s="325"/>
      <c r="AJ43" s="325"/>
      <c r="AK43" s="325"/>
      <c r="AL43" s="325"/>
      <c r="AM43" s="325"/>
      <c r="AN43" s="325"/>
      <c r="AO43" s="325"/>
      <c r="AP43" s="136"/>
      <c r="AQ43" s="136"/>
      <c r="AR43" s="136" t="str">
        <f t="shared" si="6"/>
        <v/>
      </c>
      <c r="AS43" s="136" t="str">
        <f t="shared" si="6"/>
        <v/>
      </c>
      <c r="AT43" s="5" t="str">
        <f t="shared" si="7"/>
        <v/>
      </c>
      <c r="AV43" s="27" t="str">
        <f>IF(G43="","",+"          ["&amp;TRIM(G43)&amp;"] ["&amp;TRIM(I43)&amp;"]"&amp;IF(H43="","","("&amp;H43&amp;")")&amp;" "&amp;TRIM(J43)&amp;IF(G44="","",","))</f>
        <v/>
      </c>
      <c r="AW43" s="27"/>
      <c r="AY43" s="122" t="str">
        <f t="shared" si="9"/>
        <v/>
      </c>
    </row>
    <row r="44" spans="2:51" ht="12.75">
      <c r="B44" s="20" t="str">
        <f t="shared" si="11"/>
        <v/>
      </c>
      <c r="C44" s="5"/>
      <c r="D44" s="5"/>
      <c r="E44" s="5"/>
      <c r="G44" s="5" t="str">
        <f t="shared" si="14"/>
        <v/>
      </c>
      <c r="H44" s="117" t="str">
        <f t="shared" si="13"/>
        <v/>
      </c>
      <c r="I44" s="5" t="str">
        <f t="shared" si="2"/>
        <v/>
      </c>
      <c r="J44" s="5" t="str">
        <f t="shared" si="3"/>
        <v/>
      </c>
      <c r="K44" s="138"/>
      <c r="L44" s="5"/>
      <c r="M44" s="75"/>
      <c r="N44" s="77"/>
      <c r="O44" s="26"/>
      <c r="P44" s="26"/>
      <c r="Q44" s="118" t="str">
        <f t="shared" si="4"/>
        <v/>
      </c>
      <c r="R44" s="153"/>
      <c r="S44" s="138" t="str">
        <f t="shared" si="10"/>
        <v/>
      </c>
      <c r="T44" s="148"/>
      <c r="U44" s="146"/>
      <c r="V44" s="146"/>
      <c r="W44" s="139"/>
      <c r="X44" s="139"/>
      <c r="Y44" s="148"/>
      <c r="Z44" s="138"/>
      <c r="AA44" s="138" t="str">
        <f t="shared" si="12"/>
        <v/>
      </c>
      <c r="AB44" s="239"/>
      <c r="AC44" s="325"/>
      <c r="AD44" s="325"/>
      <c r="AE44" s="325"/>
      <c r="AF44" s="325"/>
      <c r="AG44" s="325"/>
      <c r="AH44" s="325"/>
      <c r="AI44" s="325"/>
      <c r="AJ44" s="325"/>
      <c r="AK44" s="325"/>
      <c r="AL44" s="325"/>
      <c r="AM44" s="325"/>
      <c r="AN44" s="325"/>
      <c r="AO44" s="325"/>
      <c r="AP44" s="136"/>
      <c r="AQ44" s="136"/>
      <c r="AR44" s="136" t="str">
        <f t="shared" si="6"/>
        <v/>
      </c>
      <c r="AS44" s="136" t="str">
        <f t="shared" si="6"/>
        <v/>
      </c>
      <c r="AT44" s="5" t="str">
        <f t="shared" si="7"/>
        <v/>
      </c>
      <c r="AV44" s="27" t="str">
        <f>IF(G44="","",+"          ["&amp;TRIM(G44)&amp;"] ["&amp;TRIM(I44)&amp;"]"&amp;IF(H44="","","("&amp;H44&amp;")")&amp;" "&amp;TRIM(J44)&amp;IF(G45="","",","))</f>
        <v/>
      </c>
      <c r="AW44" s="27"/>
      <c r="AY44" s="122" t="str">
        <f t="shared" si="9"/>
        <v/>
      </c>
    </row>
    <row r="45" spans="2:51" ht="12.75">
      <c r="B45" s="20" t="str">
        <f t="shared" si="11"/>
        <v/>
      </c>
      <c r="C45" s="5"/>
      <c r="D45" s="5"/>
      <c r="E45" s="5"/>
      <c r="G45" s="5" t="str">
        <f t="shared" si="14"/>
        <v/>
      </c>
      <c r="H45" s="117" t="str">
        <f t="shared" si="13"/>
        <v/>
      </c>
      <c r="I45" s="5" t="str">
        <f t="shared" si="2"/>
        <v/>
      </c>
      <c r="J45" s="5" t="str">
        <f t="shared" si="3"/>
        <v/>
      </c>
      <c r="K45" s="138"/>
      <c r="L45" s="5"/>
      <c r="M45" s="75"/>
      <c r="N45" s="77"/>
      <c r="O45" s="26"/>
      <c r="P45" s="26"/>
      <c r="Q45" s="118" t="str">
        <f t="shared" si="4"/>
        <v/>
      </c>
      <c r="R45" s="153"/>
      <c r="S45" s="138" t="str">
        <f t="shared" si="10"/>
        <v/>
      </c>
      <c r="T45" s="148"/>
      <c r="U45" s="146"/>
      <c r="V45" s="146"/>
      <c r="W45" s="139"/>
      <c r="X45" s="139"/>
      <c r="Y45" s="148"/>
      <c r="Z45" s="138"/>
      <c r="AA45" s="138" t="str">
        <f t="shared" si="12"/>
        <v/>
      </c>
      <c r="AB45" s="239"/>
      <c r="AC45" s="325"/>
      <c r="AD45" s="325"/>
      <c r="AE45" s="325"/>
      <c r="AF45" s="325"/>
      <c r="AG45" s="325"/>
      <c r="AH45" s="325"/>
      <c r="AI45" s="325"/>
      <c r="AJ45" s="325"/>
      <c r="AK45" s="325"/>
      <c r="AL45" s="325"/>
      <c r="AM45" s="325"/>
      <c r="AN45" s="325"/>
      <c r="AO45" s="325"/>
      <c r="AP45" s="136"/>
      <c r="AQ45" s="136"/>
      <c r="AR45" s="136" t="str">
        <f t="shared" si="6"/>
        <v/>
      </c>
      <c r="AS45" s="136" t="str">
        <f t="shared" si="6"/>
        <v/>
      </c>
      <c r="AT45" s="5" t="str">
        <f t="shared" si="7"/>
        <v/>
      </c>
      <c r="AV45" s="27" t="str">
        <f>IF(G45="","",+"          ["&amp;TRIM(G45)&amp;"] ["&amp;TRIM(I45)&amp;"]"&amp;IF(H45="","","("&amp;H45&amp;")")&amp;" "&amp;TRIM(J45)&amp;IF(G54="","",","))</f>
        <v/>
      </c>
      <c r="AW45" s="27"/>
      <c r="AY45" s="122" t="str">
        <f t="shared" si="9"/>
        <v/>
      </c>
    </row>
    <row r="46" spans="2:51" ht="12.75">
      <c r="B46" s="20" t="str">
        <f t="shared" si="11"/>
        <v/>
      </c>
      <c r="C46" s="5"/>
      <c r="D46" s="5"/>
      <c r="E46" s="5"/>
      <c r="G46" s="5" t="str">
        <f>SUBSTITUTE(SUBSTITUTE(SUBSTITUTE(SUBSTITUTE(SUBSTITUTE(SUBSTITUTE(SUBSTITUTE(SUBSTITUTE(SUBSTITUTE(C46," ",""),".",""),"#","No"),"%",""),"(",""),"*",""),"-",""),"/",""),")","")</f>
        <v/>
      </c>
      <c r="H46" s="117" t="str">
        <f t="shared" si="13"/>
        <v/>
      </c>
      <c r="I46" s="5" t="str">
        <f>IF(E46=0,"",+E46)</f>
        <v/>
      </c>
      <c r="J46" s="5" t="str">
        <f>IF(C46=0,"",(IF(ISERROR(VLOOKUP(G46,$D$120:$D$127,1,FALSE)),""," NOT")&amp;" NULL"))</f>
        <v/>
      </c>
      <c r="K46" s="138"/>
      <c r="L46" s="5"/>
      <c r="M46" s="75"/>
      <c r="N46" s="77"/>
      <c r="O46" s="26"/>
      <c r="P46" s="26"/>
      <c r="Q46" s="118" t="str">
        <f>IF(M46=0,"",ROW())</f>
        <v/>
      </c>
      <c r="R46" s="153"/>
      <c r="S46" s="138" t="str">
        <f t="shared" si="10"/>
        <v/>
      </c>
      <c r="T46" s="148"/>
      <c r="U46" s="146"/>
      <c r="V46" s="146"/>
      <c r="W46" s="139"/>
      <c r="X46" s="139"/>
      <c r="Y46" s="148"/>
      <c r="Z46" s="138"/>
      <c r="AA46" s="138" t="str">
        <f t="shared" si="12"/>
        <v/>
      </c>
      <c r="AB46" s="239"/>
      <c r="AC46" s="325"/>
      <c r="AD46" s="325"/>
      <c r="AE46" s="325"/>
      <c r="AF46" s="325"/>
      <c r="AG46" s="325"/>
      <c r="AH46" s="325"/>
      <c r="AI46" s="325"/>
      <c r="AJ46" s="325"/>
      <c r="AK46" s="325"/>
      <c r="AL46" s="325"/>
      <c r="AM46" s="325"/>
      <c r="AN46" s="325"/>
      <c r="AO46" s="325"/>
      <c r="AP46" s="136"/>
      <c r="AQ46" s="136"/>
      <c r="AR46" s="136" t="str">
        <f t="shared" si="6"/>
        <v/>
      </c>
      <c r="AS46" s="136" t="str">
        <f t="shared" si="6"/>
        <v/>
      </c>
      <c r="AT46" s="5" t="str">
        <f t="shared" si="7"/>
        <v/>
      </c>
      <c r="AV46" s="27" t="str">
        <f>IF(G46="","",+"          ["&amp;TRIM(G46)&amp;"] ["&amp;TRIM(I46)&amp;"]"&amp;IF(H46="","","("&amp;H46&amp;")")&amp;" "&amp;TRIM(J46)&amp;IF(G47="","",","))</f>
        <v/>
      </c>
      <c r="AW46" s="27"/>
      <c r="AY46" s="122" t="str">
        <f t="shared" si="9"/>
        <v/>
      </c>
    </row>
    <row r="47" spans="2:51" ht="12.75">
      <c r="B47" s="20" t="str">
        <f t="shared" si="11"/>
        <v/>
      </c>
      <c r="C47" s="5"/>
      <c r="D47" s="5"/>
      <c r="E47" s="5"/>
      <c r="G47" s="5" t="str">
        <f>SUBSTITUTE(SUBSTITUTE(SUBSTITUTE(SUBSTITUTE(SUBSTITUTE(SUBSTITUTE(SUBSTITUTE(SUBSTITUTE(SUBSTITUTE(C47," ",""),".",""),"#","No"),"%",""),"(",""),"*",""),"-",""),"/",""),")","")</f>
        <v/>
      </c>
      <c r="H47" s="117" t="str">
        <f t="shared" si="13"/>
        <v/>
      </c>
      <c r="I47" s="5" t="str">
        <f>IF(E47=0,"",+E47)</f>
        <v/>
      </c>
      <c r="J47" s="5" t="str">
        <f>IF(C47=0,"",(IF(ISERROR(VLOOKUP(G47,$D$120:$D$127,1,FALSE)),""," NOT")&amp;" NULL"))</f>
        <v/>
      </c>
      <c r="K47" s="138"/>
      <c r="L47" s="5"/>
      <c r="M47" s="75"/>
      <c r="N47" s="77"/>
      <c r="O47" s="26"/>
      <c r="P47" s="26"/>
      <c r="Q47" s="118" t="str">
        <f>IF(M47=0,"",ROW())</f>
        <v/>
      </c>
      <c r="R47" s="153"/>
      <c r="S47" s="138" t="str">
        <f t="shared" si="10"/>
        <v/>
      </c>
      <c r="T47" s="148"/>
      <c r="U47" s="146"/>
      <c r="V47" s="146"/>
      <c r="W47" s="139"/>
      <c r="X47" s="139"/>
      <c r="Y47" s="148"/>
      <c r="Z47" s="138"/>
      <c r="AA47" s="138" t="str">
        <f t="shared" si="12"/>
        <v/>
      </c>
      <c r="AB47" s="239"/>
      <c r="AC47" s="325"/>
      <c r="AD47" s="325"/>
      <c r="AE47" s="325"/>
      <c r="AF47" s="325"/>
      <c r="AG47" s="325"/>
      <c r="AH47" s="325"/>
      <c r="AI47" s="325"/>
      <c r="AJ47" s="325"/>
      <c r="AK47" s="325"/>
      <c r="AL47" s="325"/>
      <c r="AM47" s="325"/>
      <c r="AN47" s="325"/>
      <c r="AO47" s="325"/>
      <c r="AP47" s="136"/>
      <c r="AQ47" s="136"/>
      <c r="AR47" s="136" t="str">
        <f t="shared" si="6"/>
        <v/>
      </c>
      <c r="AS47" s="136" t="str">
        <f t="shared" si="6"/>
        <v/>
      </c>
      <c r="AT47" s="5" t="str">
        <f t="shared" si="7"/>
        <v/>
      </c>
      <c r="AV47" s="27" t="str">
        <f>IF(G47="","",+"          ["&amp;TRIM(G47)&amp;"] ["&amp;TRIM(I47)&amp;"]"&amp;IF(H47="","","("&amp;H47&amp;")")&amp;" "&amp;TRIM(J47)&amp;IF(G48="","",","))</f>
        <v/>
      </c>
      <c r="AW47" s="27"/>
      <c r="AY47" s="122" t="str">
        <f t="shared" si="9"/>
        <v/>
      </c>
    </row>
    <row r="48" spans="2:51" ht="12.75">
      <c r="B48" s="20" t="str">
        <f t="shared" si="11"/>
        <v/>
      </c>
      <c r="C48" s="5"/>
      <c r="D48" s="5"/>
      <c r="E48" s="5"/>
      <c r="G48" s="5" t="str">
        <f>SUBSTITUTE(SUBSTITUTE(SUBSTITUTE(SUBSTITUTE(SUBSTITUTE(SUBSTITUTE(SUBSTITUTE(SUBSTITUTE(SUBSTITUTE(C48," ",""),".",""),"#","No"),"%",""),"(",""),"*",""),"-",""),"/",""),")","")</f>
        <v/>
      </c>
      <c r="H48" s="117" t="str">
        <f t="shared" si="13"/>
        <v/>
      </c>
      <c r="I48" s="5" t="str">
        <f>IF(E48=0,"",+E48)</f>
        <v/>
      </c>
      <c r="J48" s="5" t="str">
        <f>IF(C48=0,"",(IF(ISERROR(VLOOKUP(G48,$D$120:$D$127,1,FALSE)),""," NOT")&amp;" NULL"))</f>
        <v/>
      </c>
      <c r="K48" s="138"/>
      <c r="L48" s="5"/>
      <c r="M48" s="75"/>
      <c r="N48" s="77"/>
      <c r="O48" s="26"/>
      <c r="P48" s="26"/>
      <c r="Q48" s="118" t="str">
        <f>IF(M48=0,"",ROW())</f>
        <v/>
      </c>
      <c r="R48" s="153"/>
      <c r="S48" s="138" t="str">
        <f t="shared" si="10"/>
        <v/>
      </c>
      <c r="T48" s="148"/>
      <c r="U48" s="146"/>
      <c r="V48" s="146"/>
      <c r="W48" s="139"/>
      <c r="X48" s="139"/>
      <c r="Y48" s="148"/>
      <c r="Z48" s="138"/>
      <c r="AA48" s="138" t="str">
        <f t="shared" si="12"/>
        <v/>
      </c>
      <c r="AB48" s="239"/>
      <c r="AC48" s="325"/>
      <c r="AD48" s="325"/>
      <c r="AE48" s="325"/>
      <c r="AF48" s="325"/>
      <c r="AG48" s="325"/>
      <c r="AH48" s="325"/>
      <c r="AI48" s="325"/>
      <c r="AJ48" s="325"/>
      <c r="AK48" s="325"/>
      <c r="AL48" s="325"/>
      <c r="AM48" s="325"/>
      <c r="AN48" s="325"/>
      <c r="AO48" s="325"/>
      <c r="AP48" s="136"/>
      <c r="AQ48" s="136"/>
      <c r="AR48" s="136" t="str">
        <f t="shared" ref="AR48:AS79" si="15">IF(O48=0,"",ROW())</f>
        <v/>
      </c>
      <c r="AS48" s="136" t="str">
        <f t="shared" si="15"/>
        <v/>
      </c>
      <c r="AT48" s="5" t="str">
        <f t="shared" ref="AT48:AT79" si="16">IF(C48="","",C48&amp;IF(B49="","",","))</f>
        <v/>
      </c>
      <c r="AV48" s="27" t="str">
        <f>IF(G48="","",+"          ["&amp;TRIM(G48)&amp;"] ["&amp;TRIM(I48)&amp;"]"&amp;IF(H48="","","("&amp;H48&amp;")")&amp;" "&amp;TRIM(J48)&amp;IF(G96="","",","))</f>
        <v/>
      </c>
      <c r="AW48" s="27"/>
      <c r="AY48" s="122" t="str">
        <f t="shared" si="9"/>
        <v/>
      </c>
    </row>
    <row r="49" spans="2:51" ht="12.75">
      <c r="B49" s="20" t="str">
        <f t="shared" si="11"/>
        <v/>
      </c>
      <c r="C49" s="5"/>
      <c r="D49" s="5"/>
      <c r="E49" s="5"/>
      <c r="G49" s="5" t="str">
        <f>SUBSTITUTE(SUBSTITUTE(SUBSTITUTE(SUBSTITUTE(SUBSTITUTE(SUBSTITUTE(SUBSTITUTE(SUBSTITUTE(SUBSTITUTE(C49," ",""),".",""),"#","No"),"%",""),"(",""),"*",""),"-",""),"/",""),")","")</f>
        <v/>
      </c>
      <c r="H49" s="117" t="str">
        <f t="shared" si="13"/>
        <v/>
      </c>
      <c r="I49" s="5" t="str">
        <f>IF(E49=0,"",+E49)</f>
        <v/>
      </c>
      <c r="J49" s="5" t="str">
        <f>IF(C49=0,"",(IF(ISERROR(VLOOKUP(G49,$D$120:$D$127,1,FALSE)),""," NOT")&amp;" NULL"))</f>
        <v/>
      </c>
      <c r="K49" s="138"/>
      <c r="L49" s="5"/>
      <c r="M49" s="75"/>
      <c r="N49" s="77"/>
      <c r="O49" s="26"/>
      <c r="P49" s="26"/>
      <c r="Q49" s="118" t="str">
        <f>IF(M49=0,"",ROW())</f>
        <v/>
      </c>
      <c r="R49" s="153"/>
      <c r="S49" s="138" t="str">
        <f t="shared" si="10"/>
        <v/>
      </c>
      <c r="T49" s="148"/>
      <c r="U49" s="146"/>
      <c r="V49" s="146"/>
      <c r="W49" s="139"/>
      <c r="X49" s="139"/>
      <c r="Y49" s="148"/>
      <c r="Z49" s="138"/>
      <c r="AA49" s="138" t="str">
        <f t="shared" si="12"/>
        <v/>
      </c>
      <c r="AB49" s="239"/>
      <c r="AC49" s="325"/>
      <c r="AD49" s="325"/>
      <c r="AE49" s="325"/>
      <c r="AF49" s="325"/>
      <c r="AG49" s="325"/>
      <c r="AH49" s="325"/>
      <c r="AI49" s="325"/>
      <c r="AJ49" s="325"/>
      <c r="AK49" s="325"/>
      <c r="AL49" s="325"/>
      <c r="AM49" s="325"/>
      <c r="AN49" s="325"/>
      <c r="AO49" s="325"/>
      <c r="AP49" s="136"/>
      <c r="AQ49" s="136"/>
      <c r="AR49" s="136" t="str">
        <f t="shared" si="15"/>
        <v/>
      </c>
      <c r="AS49" s="136" t="str">
        <f t="shared" si="15"/>
        <v/>
      </c>
      <c r="AT49" s="5" t="str">
        <f t="shared" si="16"/>
        <v/>
      </c>
      <c r="AV49" s="27" t="str">
        <f>IF(G49="","",+"          ["&amp;TRIM(G49)&amp;"] ["&amp;TRIM(I49)&amp;"]"&amp;IF(H49="","","("&amp;H49&amp;")")&amp;" "&amp;TRIM(J49)&amp;IF(G95="","",","))</f>
        <v/>
      </c>
      <c r="AW49" s="27"/>
      <c r="AY49" s="122" t="str">
        <f t="shared" si="9"/>
        <v/>
      </c>
    </row>
    <row r="50" spans="2:51" ht="12.75">
      <c r="B50" s="20" t="str">
        <f t="shared" si="11"/>
        <v/>
      </c>
      <c r="C50" s="5"/>
      <c r="D50" s="5"/>
      <c r="E50" s="5"/>
      <c r="G50" s="5" t="str">
        <f t="shared" ref="G50:G93" si="17">SUBSTITUTE(SUBSTITUTE(SUBSTITUTE(SUBSTITUTE(SUBSTITUTE(SUBSTITUTE(SUBSTITUTE(SUBSTITUTE(SUBSTITUTE(C50," ",""),".",""),"#","No"),"%",""),"(",""),"*",""),"-",""),"/",""),")","")</f>
        <v/>
      </c>
      <c r="H50" s="117" t="str">
        <f t="shared" si="13"/>
        <v/>
      </c>
      <c r="I50" s="5" t="str">
        <f t="shared" ref="I50:I93" si="18">IF(E50=0,"",+E50)</f>
        <v/>
      </c>
      <c r="J50" s="5" t="str">
        <f t="shared" ref="J50:J93" si="19">IF(C50=0,"",(IF(ISERROR(VLOOKUP(G50,$D$120:$D$127,1,FALSE)),""," NOT")&amp;" NULL"))</f>
        <v/>
      </c>
      <c r="K50" s="138"/>
      <c r="L50" s="5"/>
      <c r="M50" s="75"/>
      <c r="N50" s="77"/>
      <c r="O50" s="26"/>
      <c r="P50" s="26"/>
      <c r="Q50" s="118" t="str">
        <f t="shared" ref="Q50:Q93" si="20">IF(M50=0,"",ROW())</f>
        <v/>
      </c>
      <c r="R50" s="153"/>
      <c r="S50" s="138" t="str">
        <f t="shared" si="10"/>
        <v/>
      </c>
      <c r="T50" s="148"/>
      <c r="U50" s="146"/>
      <c r="V50" s="146"/>
      <c r="W50" s="139"/>
      <c r="X50" s="139"/>
      <c r="Y50" s="148"/>
      <c r="Z50" s="138"/>
      <c r="AA50" s="138" t="str">
        <f t="shared" si="12"/>
        <v/>
      </c>
      <c r="AB50" s="239"/>
      <c r="AC50" s="325"/>
      <c r="AD50" s="325"/>
      <c r="AE50" s="325"/>
      <c r="AF50" s="325"/>
      <c r="AG50" s="325"/>
      <c r="AH50" s="325"/>
      <c r="AI50" s="325"/>
      <c r="AJ50" s="325"/>
      <c r="AK50" s="325"/>
      <c r="AL50" s="325"/>
      <c r="AM50" s="325"/>
      <c r="AN50" s="325"/>
      <c r="AO50" s="325"/>
      <c r="AP50" s="136"/>
      <c r="AQ50" s="136"/>
      <c r="AR50" s="136" t="str">
        <f t="shared" si="15"/>
        <v/>
      </c>
      <c r="AS50" s="136" t="str">
        <f t="shared" si="15"/>
        <v/>
      </c>
      <c r="AT50" s="5" t="str">
        <f t="shared" si="16"/>
        <v/>
      </c>
      <c r="AV50" s="27" t="str">
        <f>IF(G50="","",+"          ["&amp;TRIM(G50)&amp;"] ["&amp;TRIM(I50)&amp;"]"&amp;IF(H50="","","("&amp;H50&amp;")")&amp;" "&amp;TRIM(J50)&amp;IF(G51="","",","))</f>
        <v/>
      </c>
      <c r="AW50" s="27"/>
      <c r="AY50" s="122" t="str">
        <f t="shared" si="9"/>
        <v/>
      </c>
    </row>
    <row r="51" spans="2:51" ht="12.75">
      <c r="B51" s="20" t="str">
        <f t="shared" si="11"/>
        <v/>
      </c>
      <c r="C51" s="5"/>
      <c r="D51" s="5"/>
      <c r="E51" s="5"/>
      <c r="G51" s="5" t="str">
        <f t="shared" si="17"/>
        <v/>
      </c>
      <c r="H51" s="117" t="str">
        <f t="shared" si="13"/>
        <v/>
      </c>
      <c r="I51" s="5" t="str">
        <f t="shared" si="18"/>
        <v/>
      </c>
      <c r="J51" s="5" t="str">
        <f t="shared" si="19"/>
        <v/>
      </c>
      <c r="K51" s="138"/>
      <c r="L51" s="5"/>
      <c r="M51" s="75"/>
      <c r="N51" s="77"/>
      <c r="O51" s="26"/>
      <c r="P51" s="26"/>
      <c r="Q51" s="118" t="str">
        <f t="shared" si="20"/>
        <v/>
      </c>
      <c r="R51" s="153"/>
      <c r="S51" s="138" t="str">
        <f t="shared" si="10"/>
        <v/>
      </c>
      <c r="T51" s="148"/>
      <c r="U51" s="146"/>
      <c r="V51" s="146"/>
      <c r="W51" s="139"/>
      <c r="X51" s="139"/>
      <c r="Y51" s="148"/>
      <c r="Z51" s="138"/>
      <c r="AA51" s="138" t="str">
        <f t="shared" si="12"/>
        <v/>
      </c>
      <c r="AB51" s="239"/>
      <c r="AC51" s="325"/>
      <c r="AD51" s="325"/>
      <c r="AE51" s="325"/>
      <c r="AF51" s="325"/>
      <c r="AG51" s="325"/>
      <c r="AH51" s="325"/>
      <c r="AI51" s="325"/>
      <c r="AJ51" s="325"/>
      <c r="AK51" s="325"/>
      <c r="AL51" s="325"/>
      <c r="AM51" s="325"/>
      <c r="AN51" s="325"/>
      <c r="AO51" s="325"/>
      <c r="AP51" s="136"/>
      <c r="AQ51" s="136"/>
      <c r="AR51" s="136" t="str">
        <f t="shared" si="15"/>
        <v/>
      </c>
      <c r="AS51" s="136" t="str">
        <f t="shared" si="15"/>
        <v/>
      </c>
      <c r="AT51" s="5" t="str">
        <f t="shared" si="16"/>
        <v/>
      </c>
      <c r="AV51" s="27" t="str">
        <f>IF(G51="","",+"          ["&amp;TRIM(G51)&amp;"] ["&amp;TRIM(I51)&amp;"]"&amp;IF(H51="","","("&amp;H51&amp;")")&amp;" "&amp;TRIM(J51)&amp;IF(G54="","",","))</f>
        <v/>
      </c>
      <c r="AW51" s="27"/>
      <c r="AY51" s="122" t="str">
        <f t="shared" si="9"/>
        <v/>
      </c>
    </row>
    <row r="52" spans="2:51" ht="12.75">
      <c r="B52" s="20" t="str">
        <f t="shared" si="11"/>
        <v/>
      </c>
      <c r="C52" s="5"/>
      <c r="D52" s="5"/>
      <c r="E52" s="5"/>
      <c r="G52" s="5" t="str">
        <f t="shared" si="17"/>
        <v/>
      </c>
      <c r="H52" s="117" t="str">
        <f t="shared" si="13"/>
        <v/>
      </c>
      <c r="I52" s="5" t="str">
        <f t="shared" si="18"/>
        <v/>
      </c>
      <c r="J52" s="5" t="str">
        <f t="shared" si="19"/>
        <v/>
      </c>
      <c r="K52" s="138"/>
      <c r="L52" s="5"/>
      <c r="M52" s="75"/>
      <c r="N52" s="77"/>
      <c r="O52" s="26"/>
      <c r="P52" s="26"/>
      <c r="Q52" s="118" t="str">
        <f t="shared" si="20"/>
        <v/>
      </c>
      <c r="R52" s="153"/>
      <c r="S52" s="138" t="str">
        <f t="shared" si="10"/>
        <v/>
      </c>
      <c r="T52" s="148"/>
      <c r="U52" s="146"/>
      <c r="V52" s="146"/>
      <c r="W52" s="139"/>
      <c r="X52" s="139"/>
      <c r="Y52" s="148"/>
      <c r="Z52" s="138"/>
      <c r="AA52" s="138" t="str">
        <f t="shared" si="12"/>
        <v/>
      </c>
      <c r="AB52" s="239"/>
      <c r="AC52" s="325"/>
      <c r="AD52" s="325"/>
      <c r="AE52" s="325"/>
      <c r="AF52" s="325"/>
      <c r="AG52" s="325"/>
      <c r="AH52" s="325"/>
      <c r="AI52" s="325"/>
      <c r="AJ52" s="325"/>
      <c r="AK52" s="325"/>
      <c r="AL52" s="325"/>
      <c r="AM52" s="325"/>
      <c r="AN52" s="325"/>
      <c r="AO52" s="325"/>
      <c r="AP52" s="136"/>
      <c r="AQ52" s="136"/>
      <c r="AR52" s="136" t="str">
        <f t="shared" si="15"/>
        <v/>
      </c>
      <c r="AS52" s="136" t="str">
        <f t="shared" si="15"/>
        <v/>
      </c>
      <c r="AT52" s="5" t="str">
        <f t="shared" si="16"/>
        <v/>
      </c>
      <c r="AV52" s="27" t="str">
        <f>IF(G52="","",+"          ["&amp;TRIM(G52)&amp;"] ["&amp;TRIM(I52)&amp;"]"&amp;IF(H52="","","("&amp;H52&amp;")")&amp;" "&amp;TRIM(J52)&amp;IF(G53="","",","))</f>
        <v/>
      </c>
      <c r="AW52" s="27"/>
      <c r="AY52" s="122" t="str">
        <f t="shared" si="9"/>
        <v/>
      </c>
    </row>
    <row r="53" spans="2:51" ht="12.75">
      <c r="B53" s="20" t="str">
        <f t="shared" si="11"/>
        <v/>
      </c>
      <c r="C53" s="5"/>
      <c r="D53" s="5"/>
      <c r="E53" s="5"/>
      <c r="G53" s="5" t="str">
        <f t="shared" si="17"/>
        <v/>
      </c>
      <c r="H53" s="117" t="str">
        <f t="shared" si="13"/>
        <v/>
      </c>
      <c r="I53" s="5" t="str">
        <f t="shared" si="18"/>
        <v/>
      </c>
      <c r="J53" s="5" t="str">
        <f t="shared" si="19"/>
        <v/>
      </c>
      <c r="K53" s="138"/>
      <c r="L53" s="5"/>
      <c r="M53" s="75"/>
      <c r="N53" s="77"/>
      <c r="O53" s="26"/>
      <c r="P53" s="26"/>
      <c r="Q53" s="118" t="str">
        <f t="shared" si="20"/>
        <v/>
      </c>
      <c r="R53" s="153"/>
      <c r="S53" s="138" t="str">
        <f t="shared" si="10"/>
        <v/>
      </c>
      <c r="T53" s="148"/>
      <c r="U53" s="146"/>
      <c r="V53" s="146"/>
      <c r="W53" s="139"/>
      <c r="X53" s="139"/>
      <c r="Y53" s="148"/>
      <c r="Z53" s="138"/>
      <c r="AA53" s="138" t="str">
        <f t="shared" si="12"/>
        <v/>
      </c>
      <c r="AB53" s="239"/>
      <c r="AC53" s="325"/>
      <c r="AD53" s="325"/>
      <c r="AE53" s="325"/>
      <c r="AF53" s="325"/>
      <c r="AG53" s="325"/>
      <c r="AH53" s="325"/>
      <c r="AI53" s="325"/>
      <c r="AJ53" s="325"/>
      <c r="AK53" s="325"/>
      <c r="AL53" s="325"/>
      <c r="AM53" s="325"/>
      <c r="AN53" s="325"/>
      <c r="AO53" s="325"/>
      <c r="AP53" s="136"/>
      <c r="AQ53" s="136"/>
      <c r="AR53" s="136" t="str">
        <f t="shared" si="15"/>
        <v/>
      </c>
      <c r="AS53" s="136" t="str">
        <f t="shared" si="15"/>
        <v/>
      </c>
      <c r="AT53" s="5" t="str">
        <f t="shared" si="16"/>
        <v/>
      </c>
      <c r="AV53" s="27" t="str">
        <f>IF(G53="","",+"          ["&amp;TRIM(G53)&amp;"] ["&amp;TRIM(I53)&amp;"]"&amp;IF(H53="","","("&amp;H53&amp;")")&amp;" "&amp;TRIM(J53)&amp;IF(G54="","",","))</f>
        <v/>
      </c>
      <c r="AW53" s="27"/>
      <c r="AY53" s="122" t="str">
        <f t="shared" si="9"/>
        <v/>
      </c>
    </row>
    <row r="54" spans="2:51" ht="12.75">
      <c r="B54" s="20" t="str">
        <f t="shared" si="11"/>
        <v/>
      </c>
      <c r="C54" s="5"/>
      <c r="D54" s="5"/>
      <c r="E54" s="5"/>
      <c r="G54" s="5" t="str">
        <f t="shared" si="17"/>
        <v/>
      </c>
      <c r="H54" s="117" t="str">
        <f t="shared" si="13"/>
        <v/>
      </c>
      <c r="I54" s="5" t="str">
        <f t="shared" si="18"/>
        <v/>
      </c>
      <c r="J54" s="5" t="str">
        <f t="shared" si="19"/>
        <v/>
      </c>
      <c r="K54" s="138"/>
      <c r="L54" s="5"/>
      <c r="M54" s="75"/>
      <c r="N54" s="77"/>
      <c r="O54" s="26"/>
      <c r="P54" s="26"/>
      <c r="Q54" s="118" t="str">
        <f t="shared" si="20"/>
        <v/>
      </c>
      <c r="R54" s="153"/>
      <c r="S54" s="138" t="str">
        <f t="shared" si="10"/>
        <v/>
      </c>
      <c r="T54" s="148"/>
      <c r="U54" s="146"/>
      <c r="V54" s="146"/>
      <c r="W54" s="139"/>
      <c r="X54" s="139"/>
      <c r="Y54" s="148"/>
      <c r="Z54" s="138"/>
      <c r="AA54" s="138" t="str">
        <f t="shared" si="12"/>
        <v/>
      </c>
      <c r="AB54" s="239"/>
      <c r="AC54" s="325"/>
      <c r="AD54" s="325"/>
      <c r="AE54" s="325"/>
      <c r="AF54" s="325"/>
      <c r="AG54" s="325"/>
      <c r="AH54" s="325"/>
      <c r="AI54" s="325"/>
      <c r="AJ54" s="325"/>
      <c r="AK54" s="325"/>
      <c r="AL54" s="325"/>
      <c r="AM54" s="325"/>
      <c r="AN54" s="325"/>
      <c r="AO54" s="325"/>
      <c r="AP54" s="136"/>
      <c r="AQ54" s="136"/>
      <c r="AR54" s="136" t="str">
        <f t="shared" si="15"/>
        <v/>
      </c>
      <c r="AS54" s="136" t="str">
        <f t="shared" si="15"/>
        <v/>
      </c>
      <c r="AT54" s="5" t="str">
        <f t="shared" si="16"/>
        <v/>
      </c>
      <c r="AV54" s="27" t="str">
        <f>IF(G54="","",+"          ["&amp;TRIM(G54)&amp;"] ["&amp;TRIM(I54)&amp;"]"&amp;IF(H54="","","("&amp;H54&amp;")")&amp;" "&amp;TRIM(J54)&amp;IF(G63="","",","))</f>
        <v/>
      </c>
      <c r="AW54" s="27"/>
      <c r="AY54" s="122" t="str">
        <f t="shared" si="9"/>
        <v/>
      </c>
    </row>
    <row r="55" spans="2:51" ht="12.75">
      <c r="B55" s="20" t="str">
        <f t="shared" si="11"/>
        <v/>
      </c>
      <c r="C55" s="5"/>
      <c r="D55" s="5"/>
      <c r="E55" s="5"/>
      <c r="G55" s="5" t="str">
        <f t="shared" si="17"/>
        <v/>
      </c>
      <c r="H55" s="117" t="str">
        <f t="shared" si="13"/>
        <v/>
      </c>
      <c r="I55" s="5" t="str">
        <f t="shared" si="18"/>
        <v/>
      </c>
      <c r="J55" s="5" t="str">
        <f t="shared" si="19"/>
        <v/>
      </c>
      <c r="K55" s="138"/>
      <c r="L55" s="5"/>
      <c r="M55" s="75"/>
      <c r="N55" s="77"/>
      <c r="O55" s="26"/>
      <c r="P55" s="26"/>
      <c r="Q55" s="118" t="str">
        <f t="shared" si="20"/>
        <v/>
      </c>
      <c r="R55" s="153"/>
      <c r="S55" s="138" t="str">
        <f t="shared" si="10"/>
        <v/>
      </c>
      <c r="T55" s="148"/>
      <c r="U55" s="146"/>
      <c r="V55" s="146"/>
      <c r="W55" s="139"/>
      <c r="X55" s="139"/>
      <c r="Y55" s="148"/>
      <c r="Z55" s="138"/>
      <c r="AA55" s="138" t="str">
        <f t="shared" si="12"/>
        <v/>
      </c>
      <c r="AB55" s="239"/>
      <c r="AC55" s="325"/>
      <c r="AD55" s="325"/>
      <c r="AE55" s="325"/>
      <c r="AF55" s="325"/>
      <c r="AG55" s="325"/>
      <c r="AH55" s="325"/>
      <c r="AI55" s="325"/>
      <c r="AJ55" s="325"/>
      <c r="AK55" s="325"/>
      <c r="AL55" s="325"/>
      <c r="AM55" s="325"/>
      <c r="AN55" s="325"/>
      <c r="AO55" s="325"/>
      <c r="AP55" s="136"/>
      <c r="AQ55" s="136"/>
      <c r="AR55" s="136" t="str">
        <f t="shared" si="15"/>
        <v/>
      </c>
      <c r="AS55" s="136" t="str">
        <f t="shared" si="15"/>
        <v/>
      </c>
      <c r="AT55" s="5" t="str">
        <f t="shared" si="16"/>
        <v/>
      </c>
      <c r="AV55" s="27" t="str">
        <f>IF(G55="","",+"          ["&amp;TRIM(G55)&amp;"] ["&amp;TRIM(I55)&amp;"]"&amp;IF(H55="","","("&amp;H55&amp;")")&amp;" "&amp;TRIM(J55)&amp;IF(G56="","",","))</f>
        <v/>
      </c>
      <c r="AW55" s="27"/>
      <c r="AY55" s="122" t="str">
        <f t="shared" si="9"/>
        <v/>
      </c>
    </row>
    <row r="56" spans="2:51" ht="12.75">
      <c r="B56" s="20" t="str">
        <f t="shared" si="11"/>
        <v/>
      </c>
      <c r="C56" s="5"/>
      <c r="D56" s="5"/>
      <c r="E56" s="5"/>
      <c r="G56" s="5" t="str">
        <f t="shared" si="17"/>
        <v/>
      </c>
      <c r="H56" s="117" t="str">
        <f t="shared" si="13"/>
        <v/>
      </c>
      <c r="I56" s="5" t="str">
        <f t="shared" si="18"/>
        <v/>
      </c>
      <c r="J56" s="5" t="str">
        <f t="shared" si="19"/>
        <v/>
      </c>
      <c r="K56" s="138"/>
      <c r="L56" s="5"/>
      <c r="M56" s="75"/>
      <c r="N56" s="77"/>
      <c r="O56" s="26"/>
      <c r="P56" s="26"/>
      <c r="Q56" s="118" t="str">
        <f t="shared" si="20"/>
        <v/>
      </c>
      <c r="R56" s="153"/>
      <c r="S56" s="138" t="str">
        <f t="shared" si="10"/>
        <v/>
      </c>
      <c r="T56" s="148"/>
      <c r="U56" s="146"/>
      <c r="V56" s="146"/>
      <c r="W56" s="139"/>
      <c r="X56" s="139"/>
      <c r="Y56" s="148"/>
      <c r="Z56" s="138"/>
      <c r="AA56" s="138" t="str">
        <f t="shared" si="12"/>
        <v/>
      </c>
      <c r="AB56" s="239"/>
      <c r="AC56" s="325"/>
      <c r="AD56" s="325"/>
      <c r="AE56" s="325"/>
      <c r="AF56" s="325"/>
      <c r="AG56" s="325"/>
      <c r="AH56" s="325"/>
      <c r="AI56" s="325"/>
      <c r="AJ56" s="325"/>
      <c r="AK56" s="325"/>
      <c r="AL56" s="325"/>
      <c r="AM56" s="325"/>
      <c r="AN56" s="325"/>
      <c r="AO56" s="325"/>
      <c r="AP56" s="136"/>
      <c r="AQ56" s="136"/>
      <c r="AR56" s="136" t="str">
        <f t="shared" si="15"/>
        <v/>
      </c>
      <c r="AS56" s="136" t="str">
        <f t="shared" si="15"/>
        <v/>
      </c>
      <c r="AT56" s="5" t="str">
        <f t="shared" si="16"/>
        <v/>
      </c>
      <c r="AV56" s="27" t="str">
        <f>IF(G56="","",+"          ["&amp;TRIM(G56)&amp;"] ["&amp;TRIM(I56)&amp;"]"&amp;IF(H56="","","("&amp;H56&amp;")")&amp;" "&amp;TRIM(J56)&amp;IF(G62="","",","))</f>
        <v/>
      </c>
      <c r="AW56" s="27"/>
      <c r="AY56" s="122" t="str">
        <f t="shared" si="9"/>
        <v/>
      </c>
    </row>
    <row r="57" spans="2:51" ht="12.75">
      <c r="B57" s="20" t="str">
        <f t="shared" si="11"/>
        <v/>
      </c>
      <c r="C57" s="5"/>
      <c r="D57" s="5"/>
      <c r="E57" s="5"/>
      <c r="G57" s="5" t="str">
        <f t="shared" si="17"/>
        <v/>
      </c>
      <c r="H57" s="117" t="str">
        <f t="shared" si="13"/>
        <v/>
      </c>
      <c r="I57" s="5" t="str">
        <f t="shared" si="18"/>
        <v/>
      </c>
      <c r="J57" s="5" t="str">
        <f t="shared" si="19"/>
        <v/>
      </c>
      <c r="K57" s="138"/>
      <c r="L57" s="5"/>
      <c r="M57" s="75"/>
      <c r="N57" s="77"/>
      <c r="O57" s="26"/>
      <c r="P57" s="26"/>
      <c r="Q57" s="118" t="str">
        <f t="shared" si="20"/>
        <v/>
      </c>
      <c r="R57" s="153"/>
      <c r="S57" s="138" t="str">
        <f t="shared" si="10"/>
        <v/>
      </c>
      <c r="T57" s="148"/>
      <c r="U57" s="146"/>
      <c r="V57" s="146"/>
      <c r="W57" s="139"/>
      <c r="X57" s="139"/>
      <c r="Y57" s="148"/>
      <c r="Z57" s="138"/>
      <c r="AA57" s="138" t="str">
        <f t="shared" si="12"/>
        <v/>
      </c>
      <c r="AB57" s="239"/>
      <c r="AC57" s="325"/>
      <c r="AD57" s="325"/>
      <c r="AE57" s="325"/>
      <c r="AF57" s="325"/>
      <c r="AG57" s="325"/>
      <c r="AH57" s="325"/>
      <c r="AI57" s="325"/>
      <c r="AJ57" s="325"/>
      <c r="AK57" s="325"/>
      <c r="AL57" s="325"/>
      <c r="AM57" s="325"/>
      <c r="AN57" s="325"/>
      <c r="AO57" s="325"/>
      <c r="AP57" s="136"/>
      <c r="AQ57" s="136"/>
      <c r="AR57" s="136" t="str">
        <f t="shared" si="15"/>
        <v/>
      </c>
      <c r="AS57" s="136" t="str">
        <f t="shared" si="15"/>
        <v/>
      </c>
      <c r="AT57" s="5" t="str">
        <f t="shared" si="16"/>
        <v/>
      </c>
      <c r="AV57" s="27" t="str">
        <f>IF(G57="","",+"          ["&amp;TRIM(G57)&amp;"] ["&amp;TRIM(I57)&amp;"]"&amp;IF(H57="","","("&amp;H57&amp;")")&amp;" "&amp;TRIM(J57)&amp;IF(G58="","",","))</f>
        <v/>
      </c>
      <c r="AW57" s="27"/>
      <c r="AY57" s="122" t="str">
        <f t="shared" si="9"/>
        <v/>
      </c>
    </row>
    <row r="58" spans="2:51" ht="12.75">
      <c r="B58" s="20" t="str">
        <f t="shared" si="11"/>
        <v/>
      </c>
      <c r="C58" s="5"/>
      <c r="D58" s="5"/>
      <c r="E58" s="5"/>
      <c r="G58" s="5" t="str">
        <f t="shared" si="17"/>
        <v/>
      </c>
      <c r="H58" s="117" t="str">
        <f t="shared" si="13"/>
        <v/>
      </c>
      <c r="I58" s="5" t="str">
        <f t="shared" si="18"/>
        <v/>
      </c>
      <c r="J58" s="5" t="str">
        <f t="shared" si="19"/>
        <v/>
      </c>
      <c r="K58" s="138"/>
      <c r="L58" s="5"/>
      <c r="M58" s="75"/>
      <c r="N58" s="77"/>
      <c r="O58" s="26"/>
      <c r="P58" s="26"/>
      <c r="Q58" s="118" t="str">
        <f t="shared" si="20"/>
        <v/>
      </c>
      <c r="R58" s="153"/>
      <c r="S58" s="138" t="str">
        <f t="shared" si="10"/>
        <v/>
      </c>
      <c r="T58" s="148"/>
      <c r="U58" s="146"/>
      <c r="V58" s="146"/>
      <c r="W58" s="139"/>
      <c r="X58" s="139"/>
      <c r="Y58" s="148"/>
      <c r="Z58" s="138"/>
      <c r="AA58" s="138" t="str">
        <f t="shared" si="12"/>
        <v/>
      </c>
      <c r="AB58" s="239"/>
      <c r="AC58" s="325"/>
      <c r="AD58" s="325"/>
      <c r="AE58" s="325"/>
      <c r="AF58" s="325"/>
      <c r="AG58" s="325"/>
      <c r="AH58" s="325"/>
      <c r="AI58" s="325"/>
      <c r="AJ58" s="325"/>
      <c r="AK58" s="325"/>
      <c r="AL58" s="325"/>
      <c r="AM58" s="325"/>
      <c r="AN58" s="325"/>
      <c r="AO58" s="325"/>
      <c r="AP58" s="136"/>
      <c r="AQ58" s="136"/>
      <c r="AR58" s="136" t="str">
        <f t="shared" si="15"/>
        <v/>
      </c>
      <c r="AS58" s="136" t="str">
        <f t="shared" si="15"/>
        <v/>
      </c>
      <c r="AT58" s="5" t="str">
        <f t="shared" si="16"/>
        <v/>
      </c>
      <c r="AV58" s="27" t="str">
        <f>IF(G58="","",+"          ["&amp;TRIM(G58)&amp;"] ["&amp;TRIM(I58)&amp;"]"&amp;IF(H58="","","("&amp;H58&amp;")")&amp;" "&amp;TRIM(J58)&amp;IF(G61="","",","))</f>
        <v/>
      </c>
      <c r="AW58" s="27"/>
      <c r="AY58" s="122" t="str">
        <f t="shared" si="9"/>
        <v/>
      </c>
    </row>
    <row r="59" spans="2:51" ht="12.75">
      <c r="B59" s="20" t="str">
        <f t="shared" si="11"/>
        <v/>
      </c>
      <c r="C59" s="5"/>
      <c r="D59" s="5"/>
      <c r="E59" s="5"/>
      <c r="G59" s="5" t="str">
        <f t="shared" si="17"/>
        <v/>
      </c>
      <c r="H59" s="117" t="str">
        <f t="shared" si="13"/>
        <v/>
      </c>
      <c r="I59" s="5" t="str">
        <f t="shared" si="18"/>
        <v/>
      </c>
      <c r="J59" s="5" t="str">
        <f t="shared" si="19"/>
        <v/>
      </c>
      <c r="K59" s="5"/>
      <c r="L59" s="5"/>
      <c r="M59" s="75"/>
      <c r="N59" s="77"/>
      <c r="O59" s="26"/>
      <c r="P59" s="26"/>
      <c r="Q59" s="118" t="str">
        <f t="shared" si="20"/>
        <v/>
      </c>
      <c r="R59" s="153"/>
      <c r="S59" s="138" t="str">
        <f t="shared" si="10"/>
        <v/>
      </c>
      <c r="T59" s="148"/>
      <c r="U59" s="146"/>
      <c r="V59" s="146"/>
      <c r="W59" s="139"/>
      <c r="X59" s="139"/>
      <c r="Y59" s="148"/>
      <c r="Z59" s="138"/>
      <c r="AA59" s="138" t="str">
        <f t="shared" si="12"/>
        <v/>
      </c>
      <c r="AB59" s="239"/>
      <c r="AC59" s="325"/>
      <c r="AD59" s="325"/>
      <c r="AE59" s="325"/>
      <c r="AF59" s="325"/>
      <c r="AG59" s="325"/>
      <c r="AH59" s="325"/>
      <c r="AI59" s="325"/>
      <c r="AJ59" s="325"/>
      <c r="AK59" s="325"/>
      <c r="AL59" s="325"/>
      <c r="AM59" s="325"/>
      <c r="AN59" s="325"/>
      <c r="AO59" s="325"/>
      <c r="AP59" s="136"/>
      <c r="AQ59" s="136"/>
      <c r="AR59" s="136" t="str">
        <f t="shared" si="15"/>
        <v/>
      </c>
      <c r="AS59" s="136" t="str">
        <f t="shared" si="15"/>
        <v/>
      </c>
      <c r="AT59" s="5" t="str">
        <f t="shared" si="16"/>
        <v/>
      </c>
      <c r="AV59" s="27" t="str">
        <f t="shared" ref="AV59:AV64" si="21">IF(G59="","",+"          ["&amp;TRIM(G59)&amp;"] ["&amp;TRIM(I59)&amp;"]"&amp;IF(H59="","","("&amp;H59&amp;")")&amp;" "&amp;TRIM(J59)&amp;IF(G60="","",","))</f>
        <v/>
      </c>
      <c r="AW59" s="27"/>
      <c r="AY59" s="122" t="str">
        <f t="shared" si="9"/>
        <v/>
      </c>
    </row>
    <row r="60" spans="2:51" ht="12.75">
      <c r="B60" s="20" t="str">
        <f t="shared" si="11"/>
        <v/>
      </c>
      <c r="C60" s="5"/>
      <c r="D60" s="5"/>
      <c r="E60" s="5"/>
      <c r="G60" s="5" t="str">
        <f t="shared" si="17"/>
        <v/>
      </c>
      <c r="H60" s="117" t="str">
        <f t="shared" si="13"/>
        <v/>
      </c>
      <c r="I60" s="5" t="str">
        <f t="shared" si="18"/>
        <v/>
      </c>
      <c r="J60" s="5" t="str">
        <f t="shared" si="19"/>
        <v/>
      </c>
      <c r="K60" s="5"/>
      <c r="L60" s="5"/>
      <c r="M60" s="75"/>
      <c r="N60" s="77"/>
      <c r="O60" s="26"/>
      <c r="P60" s="26"/>
      <c r="Q60" s="118" t="str">
        <f t="shared" si="20"/>
        <v/>
      </c>
      <c r="R60" s="153"/>
      <c r="S60" s="138" t="str">
        <f t="shared" si="10"/>
        <v/>
      </c>
      <c r="T60" s="148"/>
      <c r="U60" s="146"/>
      <c r="V60" s="146"/>
      <c r="W60" s="139"/>
      <c r="X60" s="139"/>
      <c r="Y60" s="148"/>
      <c r="Z60" s="138" t="str">
        <f t="shared" ref="Z60:Z115" si="22">IF(M60&lt;9000,"","false")</f>
        <v/>
      </c>
      <c r="AA60" s="138" t="str">
        <f t="shared" si="12"/>
        <v/>
      </c>
      <c r="AB60" s="239"/>
      <c r="AC60" s="325"/>
      <c r="AD60" s="325"/>
      <c r="AE60" s="325"/>
      <c r="AF60" s="325"/>
      <c r="AG60" s="325"/>
      <c r="AH60" s="325"/>
      <c r="AI60" s="325"/>
      <c r="AJ60" s="325"/>
      <c r="AK60" s="325"/>
      <c r="AL60" s="325"/>
      <c r="AM60" s="325"/>
      <c r="AN60" s="325"/>
      <c r="AO60" s="325"/>
      <c r="AP60" s="136"/>
      <c r="AQ60" s="136"/>
      <c r="AR60" s="136" t="str">
        <f t="shared" si="15"/>
        <v/>
      </c>
      <c r="AS60" s="136" t="str">
        <f t="shared" si="15"/>
        <v/>
      </c>
      <c r="AT60" s="5" t="str">
        <f t="shared" si="16"/>
        <v/>
      </c>
      <c r="AV60" s="27" t="str">
        <f t="shared" si="21"/>
        <v/>
      </c>
      <c r="AW60" s="27"/>
      <c r="AY60" s="122" t="str">
        <f t="shared" si="9"/>
        <v/>
      </c>
    </row>
    <row r="61" spans="2:51" ht="12.75">
      <c r="B61" s="20" t="str">
        <f t="shared" si="11"/>
        <v/>
      </c>
      <c r="C61" s="5"/>
      <c r="D61" s="5"/>
      <c r="E61" s="5"/>
      <c r="G61" s="5" t="str">
        <f t="shared" si="17"/>
        <v/>
      </c>
      <c r="H61" s="117" t="str">
        <f t="shared" si="13"/>
        <v/>
      </c>
      <c r="I61" s="5" t="str">
        <f t="shared" si="18"/>
        <v/>
      </c>
      <c r="J61" s="5" t="str">
        <f t="shared" si="19"/>
        <v/>
      </c>
      <c r="K61" s="5"/>
      <c r="L61" s="5"/>
      <c r="M61" s="75"/>
      <c r="N61" s="77"/>
      <c r="O61" s="26"/>
      <c r="P61" s="26"/>
      <c r="Q61" s="118" t="str">
        <f t="shared" si="20"/>
        <v/>
      </c>
      <c r="R61" s="153"/>
      <c r="S61" s="138" t="str">
        <f t="shared" si="10"/>
        <v/>
      </c>
      <c r="T61" s="148"/>
      <c r="U61" s="146"/>
      <c r="V61" s="146"/>
      <c r="W61" s="139"/>
      <c r="X61" s="139"/>
      <c r="Y61" s="148"/>
      <c r="Z61" s="138" t="str">
        <f t="shared" si="22"/>
        <v/>
      </c>
      <c r="AA61" s="138" t="str">
        <f t="shared" si="12"/>
        <v/>
      </c>
      <c r="AB61" s="239"/>
      <c r="AC61" s="325"/>
      <c r="AD61" s="325"/>
      <c r="AE61" s="325"/>
      <c r="AF61" s="325"/>
      <c r="AG61" s="325"/>
      <c r="AH61" s="325"/>
      <c r="AI61" s="325"/>
      <c r="AJ61" s="325"/>
      <c r="AK61" s="325"/>
      <c r="AL61" s="325"/>
      <c r="AM61" s="325"/>
      <c r="AN61" s="325"/>
      <c r="AO61" s="325"/>
      <c r="AP61" s="136"/>
      <c r="AQ61" s="136"/>
      <c r="AR61" s="136" t="str">
        <f t="shared" si="15"/>
        <v/>
      </c>
      <c r="AS61" s="136" t="str">
        <f t="shared" si="15"/>
        <v/>
      </c>
      <c r="AT61" s="5" t="str">
        <f t="shared" si="16"/>
        <v/>
      </c>
      <c r="AV61" s="27" t="str">
        <f t="shared" si="21"/>
        <v/>
      </c>
      <c r="AW61" s="27"/>
      <c r="AY61" s="122" t="str">
        <f t="shared" si="9"/>
        <v/>
      </c>
    </row>
    <row r="62" spans="2:51" ht="12.75">
      <c r="B62" s="20" t="str">
        <f t="shared" si="11"/>
        <v/>
      </c>
      <c r="C62" s="5"/>
      <c r="D62" s="5"/>
      <c r="E62" s="5"/>
      <c r="G62" s="5" t="str">
        <f t="shared" si="17"/>
        <v/>
      </c>
      <c r="H62" s="117" t="str">
        <f t="shared" si="13"/>
        <v/>
      </c>
      <c r="I62" s="5" t="str">
        <f t="shared" si="18"/>
        <v/>
      </c>
      <c r="J62" s="5" t="str">
        <f t="shared" si="19"/>
        <v/>
      </c>
      <c r="K62" s="5"/>
      <c r="L62" s="5"/>
      <c r="M62" s="75"/>
      <c r="N62" s="77"/>
      <c r="O62" s="26"/>
      <c r="P62" s="26"/>
      <c r="Q62" s="118" t="str">
        <f t="shared" si="20"/>
        <v/>
      </c>
      <c r="R62" s="153"/>
      <c r="S62" s="138" t="str">
        <f t="shared" si="10"/>
        <v/>
      </c>
      <c r="T62" s="148"/>
      <c r="U62" s="146"/>
      <c r="V62" s="146"/>
      <c r="W62" s="139"/>
      <c r="X62" s="139"/>
      <c r="Y62" s="148"/>
      <c r="Z62" s="138" t="str">
        <f t="shared" si="22"/>
        <v/>
      </c>
      <c r="AA62" s="138" t="str">
        <f t="shared" si="12"/>
        <v/>
      </c>
      <c r="AB62" s="239"/>
      <c r="AC62" s="325"/>
      <c r="AD62" s="325"/>
      <c r="AE62" s="325"/>
      <c r="AF62" s="325"/>
      <c r="AG62" s="325"/>
      <c r="AH62" s="325"/>
      <c r="AI62" s="325"/>
      <c r="AJ62" s="325"/>
      <c r="AK62" s="325"/>
      <c r="AL62" s="325"/>
      <c r="AM62" s="325"/>
      <c r="AN62" s="325"/>
      <c r="AO62" s="325"/>
      <c r="AP62" s="136"/>
      <c r="AQ62" s="136"/>
      <c r="AR62" s="136" t="str">
        <f t="shared" si="15"/>
        <v/>
      </c>
      <c r="AS62" s="136" t="str">
        <f t="shared" si="15"/>
        <v/>
      </c>
      <c r="AT62" s="5" t="str">
        <f t="shared" si="16"/>
        <v/>
      </c>
      <c r="AV62" s="27" t="str">
        <f t="shared" si="21"/>
        <v/>
      </c>
      <c r="AW62" s="27"/>
      <c r="AY62" s="122" t="str">
        <f t="shared" si="9"/>
        <v/>
      </c>
    </row>
    <row r="63" spans="2:51" ht="12.75">
      <c r="B63" s="20" t="str">
        <f t="shared" si="11"/>
        <v/>
      </c>
      <c r="C63" s="5"/>
      <c r="D63" s="5"/>
      <c r="E63" s="5"/>
      <c r="G63" s="5" t="str">
        <f t="shared" si="17"/>
        <v/>
      </c>
      <c r="H63" s="117" t="str">
        <f t="shared" si="13"/>
        <v/>
      </c>
      <c r="I63" s="5" t="str">
        <f t="shared" si="18"/>
        <v/>
      </c>
      <c r="J63" s="5" t="str">
        <f t="shared" si="19"/>
        <v/>
      </c>
      <c r="K63" s="5"/>
      <c r="L63" s="5"/>
      <c r="M63" s="75"/>
      <c r="N63" s="77"/>
      <c r="O63" s="26"/>
      <c r="P63" s="26"/>
      <c r="Q63" s="118" t="str">
        <f t="shared" si="20"/>
        <v/>
      </c>
      <c r="R63" s="153"/>
      <c r="S63" s="138" t="str">
        <f t="shared" si="10"/>
        <v/>
      </c>
      <c r="T63" s="148"/>
      <c r="U63" s="146"/>
      <c r="V63" s="146"/>
      <c r="W63" s="139"/>
      <c r="X63" s="139"/>
      <c r="Y63" s="148"/>
      <c r="Z63" s="138" t="str">
        <f t="shared" si="22"/>
        <v/>
      </c>
      <c r="AA63" s="138" t="str">
        <f t="shared" si="12"/>
        <v/>
      </c>
      <c r="AB63" s="239"/>
      <c r="AC63" s="325"/>
      <c r="AD63" s="325"/>
      <c r="AE63" s="325"/>
      <c r="AF63" s="325"/>
      <c r="AG63" s="325"/>
      <c r="AH63" s="325"/>
      <c r="AI63" s="325"/>
      <c r="AJ63" s="325"/>
      <c r="AK63" s="325"/>
      <c r="AL63" s="325"/>
      <c r="AM63" s="325"/>
      <c r="AN63" s="325"/>
      <c r="AO63" s="325"/>
      <c r="AP63" s="136"/>
      <c r="AQ63" s="136"/>
      <c r="AR63" s="136" t="str">
        <f t="shared" si="15"/>
        <v/>
      </c>
      <c r="AS63" s="136" t="str">
        <f t="shared" si="15"/>
        <v/>
      </c>
      <c r="AT63" s="5" t="str">
        <f t="shared" si="16"/>
        <v/>
      </c>
      <c r="AV63" s="27" t="str">
        <f t="shared" si="21"/>
        <v/>
      </c>
      <c r="AW63" s="27"/>
      <c r="AY63" s="122" t="str">
        <f t="shared" si="9"/>
        <v/>
      </c>
    </row>
    <row r="64" spans="2:51" ht="12.75">
      <c r="B64" s="20" t="str">
        <f t="shared" si="11"/>
        <v/>
      </c>
      <c r="C64" s="5"/>
      <c r="D64" s="5"/>
      <c r="E64" s="5"/>
      <c r="G64" s="5" t="str">
        <f t="shared" si="17"/>
        <v/>
      </c>
      <c r="H64" s="117" t="str">
        <f t="shared" si="13"/>
        <v/>
      </c>
      <c r="I64" s="5" t="str">
        <f t="shared" si="18"/>
        <v/>
      </c>
      <c r="J64" s="5" t="str">
        <f t="shared" si="19"/>
        <v/>
      </c>
      <c r="K64" s="5"/>
      <c r="L64" s="5"/>
      <c r="M64" s="75"/>
      <c r="N64" s="77"/>
      <c r="O64" s="26"/>
      <c r="P64" s="26"/>
      <c r="Q64" s="118" t="str">
        <f t="shared" si="20"/>
        <v/>
      </c>
      <c r="R64" s="153"/>
      <c r="S64" s="138" t="str">
        <f t="shared" si="10"/>
        <v/>
      </c>
      <c r="T64" s="148"/>
      <c r="U64" s="146"/>
      <c r="V64" s="146"/>
      <c r="W64" s="139"/>
      <c r="X64" s="139"/>
      <c r="Y64" s="148"/>
      <c r="Z64" s="138" t="str">
        <f t="shared" si="22"/>
        <v/>
      </c>
      <c r="AA64" s="138" t="str">
        <f t="shared" si="12"/>
        <v/>
      </c>
      <c r="AB64" s="239"/>
      <c r="AC64" s="325"/>
      <c r="AD64" s="325"/>
      <c r="AE64" s="325"/>
      <c r="AF64" s="325"/>
      <c r="AG64" s="325"/>
      <c r="AH64" s="325"/>
      <c r="AI64" s="325"/>
      <c r="AJ64" s="325"/>
      <c r="AK64" s="325"/>
      <c r="AL64" s="325"/>
      <c r="AM64" s="325"/>
      <c r="AN64" s="325"/>
      <c r="AO64" s="325"/>
      <c r="AP64" s="136"/>
      <c r="AQ64" s="136"/>
      <c r="AR64" s="136" t="str">
        <f t="shared" si="15"/>
        <v/>
      </c>
      <c r="AS64" s="136" t="str">
        <f t="shared" si="15"/>
        <v/>
      </c>
      <c r="AT64" s="5" t="str">
        <f t="shared" si="16"/>
        <v/>
      </c>
      <c r="AV64" s="27" t="str">
        <f t="shared" si="21"/>
        <v/>
      </c>
      <c r="AW64" s="27"/>
      <c r="AY64" s="122" t="str">
        <f t="shared" si="9"/>
        <v/>
      </c>
    </row>
    <row r="65" spans="2:51" ht="12.75">
      <c r="B65" s="20" t="str">
        <f t="shared" si="11"/>
        <v/>
      </c>
      <c r="C65" s="5"/>
      <c r="D65" s="5"/>
      <c r="E65" s="5"/>
      <c r="G65" s="5" t="str">
        <f t="shared" si="17"/>
        <v/>
      </c>
      <c r="H65" s="117" t="str">
        <f t="shared" si="13"/>
        <v/>
      </c>
      <c r="I65" s="5" t="str">
        <f t="shared" si="18"/>
        <v/>
      </c>
      <c r="J65" s="5" t="str">
        <f t="shared" si="19"/>
        <v/>
      </c>
      <c r="K65" s="5"/>
      <c r="L65" s="5"/>
      <c r="M65" s="75"/>
      <c r="N65" s="77"/>
      <c r="O65" s="26"/>
      <c r="P65" s="26"/>
      <c r="Q65" s="118" t="str">
        <f t="shared" si="20"/>
        <v/>
      </c>
      <c r="R65" s="153"/>
      <c r="S65" s="138" t="str">
        <f t="shared" si="10"/>
        <v/>
      </c>
      <c r="T65" s="148"/>
      <c r="U65" s="146"/>
      <c r="V65" s="146"/>
      <c r="W65" s="139"/>
      <c r="X65" s="139"/>
      <c r="Y65" s="148"/>
      <c r="Z65" s="138" t="str">
        <f t="shared" si="22"/>
        <v/>
      </c>
      <c r="AA65" s="138" t="str">
        <f t="shared" si="12"/>
        <v/>
      </c>
      <c r="AB65" s="239"/>
      <c r="AC65" s="325"/>
      <c r="AD65" s="325"/>
      <c r="AE65" s="325"/>
      <c r="AF65" s="325"/>
      <c r="AG65" s="325"/>
      <c r="AH65" s="325"/>
      <c r="AI65" s="325"/>
      <c r="AJ65" s="325"/>
      <c r="AK65" s="325"/>
      <c r="AL65" s="325"/>
      <c r="AM65" s="325"/>
      <c r="AN65" s="325"/>
      <c r="AO65" s="325"/>
      <c r="AP65" s="136"/>
      <c r="AQ65" s="136"/>
      <c r="AR65" s="136" t="str">
        <f t="shared" si="15"/>
        <v/>
      </c>
      <c r="AS65" s="136" t="str">
        <f t="shared" si="15"/>
        <v/>
      </c>
      <c r="AT65" s="5" t="str">
        <f t="shared" si="16"/>
        <v/>
      </c>
      <c r="AV65" s="27" t="str">
        <f>IF(G65="","",+"          ["&amp;TRIM(G65)&amp;"] ["&amp;TRIM(I65)&amp;"]"&amp;IF(H65="","","("&amp;H65&amp;")")&amp;" "&amp;TRIM(J65)&amp;IF(G68="","",","))</f>
        <v/>
      </c>
      <c r="AW65" s="27"/>
      <c r="AY65" s="122" t="str">
        <f t="shared" si="9"/>
        <v/>
      </c>
    </row>
    <row r="66" spans="2:51" ht="12.75">
      <c r="B66" s="20" t="str">
        <f t="shared" si="11"/>
        <v/>
      </c>
      <c r="C66" s="5"/>
      <c r="D66" s="5"/>
      <c r="E66" s="5"/>
      <c r="G66" s="5" t="str">
        <f t="shared" si="17"/>
        <v/>
      </c>
      <c r="H66" s="117" t="str">
        <f t="shared" si="13"/>
        <v/>
      </c>
      <c r="I66" s="5" t="str">
        <f t="shared" si="18"/>
        <v/>
      </c>
      <c r="J66" s="5" t="str">
        <f t="shared" si="19"/>
        <v/>
      </c>
      <c r="K66" s="5"/>
      <c r="L66" s="5"/>
      <c r="M66" s="75"/>
      <c r="N66" s="77"/>
      <c r="O66" s="26"/>
      <c r="P66" s="26"/>
      <c r="Q66" s="118" t="str">
        <f t="shared" si="20"/>
        <v/>
      </c>
      <c r="R66" s="153"/>
      <c r="S66" s="138" t="str">
        <f t="shared" si="10"/>
        <v/>
      </c>
      <c r="T66" s="148"/>
      <c r="U66" s="146"/>
      <c r="V66" s="146"/>
      <c r="W66" s="139"/>
      <c r="X66" s="139"/>
      <c r="Y66" s="148"/>
      <c r="Z66" s="138" t="str">
        <f t="shared" si="22"/>
        <v/>
      </c>
      <c r="AA66" s="138" t="str">
        <f t="shared" si="12"/>
        <v/>
      </c>
      <c r="AB66" s="239"/>
      <c r="AC66" s="325"/>
      <c r="AD66" s="325"/>
      <c r="AE66" s="325"/>
      <c r="AF66" s="325"/>
      <c r="AG66" s="325"/>
      <c r="AH66" s="325"/>
      <c r="AI66" s="325"/>
      <c r="AJ66" s="325"/>
      <c r="AK66" s="325"/>
      <c r="AL66" s="325"/>
      <c r="AM66" s="325"/>
      <c r="AN66" s="325"/>
      <c r="AO66" s="325"/>
      <c r="AP66" s="136"/>
      <c r="AQ66" s="136"/>
      <c r="AR66" s="136" t="str">
        <f t="shared" si="15"/>
        <v/>
      </c>
      <c r="AS66" s="136" t="str">
        <f t="shared" si="15"/>
        <v/>
      </c>
      <c r="AT66" s="5" t="str">
        <f t="shared" si="16"/>
        <v/>
      </c>
      <c r="AV66" s="27" t="str">
        <f>IF(G66="","",+"          ["&amp;TRIM(G66)&amp;"] ["&amp;TRIM(I66)&amp;"]"&amp;IF(H66="","","("&amp;H66&amp;")")&amp;" "&amp;TRIM(J66)&amp;IF(G67="","",","))</f>
        <v/>
      </c>
      <c r="AW66" s="27"/>
      <c r="AY66" s="122" t="str">
        <f t="shared" si="9"/>
        <v/>
      </c>
    </row>
    <row r="67" spans="2:51" ht="12.75">
      <c r="B67" s="20" t="str">
        <f t="shared" si="11"/>
        <v/>
      </c>
      <c r="C67" s="5"/>
      <c r="D67" s="5"/>
      <c r="E67" s="5"/>
      <c r="G67" s="5" t="str">
        <f t="shared" si="17"/>
        <v/>
      </c>
      <c r="H67" s="117" t="str">
        <f t="shared" si="13"/>
        <v/>
      </c>
      <c r="I67" s="5" t="str">
        <f t="shared" si="18"/>
        <v/>
      </c>
      <c r="J67" s="5" t="str">
        <f t="shared" si="19"/>
        <v/>
      </c>
      <c r="K67" s="5"/>
      <c r="L67" s="5"/>
      <c r="M67" s="75"/>
      <c r="N67" s="77"/>
      <c r="O67" s="26"/>
      <c r="P67" s="26"/>
      <c r="Q67" s="118" t="str">
        <f t="shared" si="20"/>
        <v/>
      </c>
      <c r="R67" s="153"/>
      <c r="S67" s="138" t="str">
        <f t="shared" si="10"/>
        <v/>
      </c>
      <c r="T67" s="148"/>
      <c r="U67" s="146"/>
      <c r="V67" s="146"/>
      <c r="W67" s="139"/>
      <c r="X67" s="139"/>
      <c r="Y67" s="148"/>
      <c r="Z67" s="138" t="str">
        <f t="shared" si="22"/>
        <v/>
      </c>
      <c r="AA67" s="138" t="str">
        <f t="shared" si="12"/>
        <v/>
      </c>
      <c r="AB67" s="239"/>
      <c r="AC67" s="325"/>
      <c r="AD67" s="325"/>
      <c r="AE67" s="325"/>
      <c r="AF67" s="325"/>
      <c r="AG67" s="325"/>
      <c r="AH67" s="325"/>
      <c r="AI67" s="325"/>
      <c r="AJ67" s="325"/>
      <c r="AK67" s="325"/>
      <c r="AL67" s="325"/>
      <c r="AM67" s="325"/>
      <c r="AN67" s="325"/>
      <c r="AO67" s="325"/>
      <c r="AP67" s="136"/>
      <c r="AQ67" s="136"/>
      <c r="AR67" s="136" t="str">
        <f t="shared" si="15"/>
        <v/>
      </c>
      <c r="AS67" s="136" t="str">
        <f t="shared" si="15"/>
        <v/>
      </c>
      <c r="AT67" s="5" t="str">
        <f t="shared" si="16"/>
        <v/>
      </c>
      <c r="AV67" s="27" t="str">
        <f>IF(G67="","",+"          ["&amp;TRIM(G67)&amp;"] ["&amp;TRIM(I67)&amp;"]"&amp;IF(H67="","","("&amp;H67&amp;")")&amp;" "&amp;TRIM(J67)&amp;IF(G68="","",","))</f>
        <v/>
      </c>
      <c r="AW67" s="27"/>
      <c r="AY67" s="122" t="str">
        <f t="shared" si="9"/>
        <v/>
      </c>
    </row>
    <row r="68" spans="2:51" ht="12.75">
      <c r="B68" s="20" t="str">
        <f t="shared" si="11"/>
        <v/>
      </c>
      <c r="C68" s="5"/>
      <c r="D68" s="5"/>
      <c r="E68" s="5"/>
      <c r="G68" s="5" t="str">
        <f t="shared" si="17"/>
        <v/>
      </c>
      <c r="H68" s="117" t="str">
        <f t="shared" si="13"/>
        <v/>
      </c>
      <c r="I68" s="5" t="str">
        <f t="shared" si="18"/>
        <v/>
      </c>
      <c r="J68" s="5" t="str">
        <f t="shared" si="19"/>
        <v/>
      </c>
      <c r="K68" s="5"/>
      <c r="L68" s="5"/>
      <c r="M68" s="75"/>
      <c r="N68" s="77"/>
      <c r="O68" s="26"/>
      <c r="P68" s="26"/>
      <c r="Q68" s="118" t="str">
        <f t="shared" si="20"/>
        <v/>
      </c>
      <c r="R68" s="153"/>
      <c r="S68" s="138" t="str">
        <f t="shared" si="10"/>
        <v/>
      </c>
      <c r="T68" s="148"/>
      <c r="U68" s="146"/>
      <c r="V68" s="146"/>
      <c r="W68" s="139"/>
      <c r="X68" s="139"/>
      <c r="Y68" s="148"/>
      <c r="Z68" s="138" t="str">
        <f t="shared" si="22"/>
        <v/>
      </c>
      <c r="AA68" s="138" t="str">
        <f t="shared" si="12"/>
        <v/>
      </c>
      <c r="AB68" s="239"/>
      <c r="AC68" s="325"/>
      <c r="AD68" s="325"/>
      <c r="AE68" s="325"/>
      <c r="AF68" s="325"/>
      <c r="AG68" s="325"/>
      <c r="AH68" s="325"/>
      <c r="AI68" s="325"/>
      <c r="AJ68" s="325"/>
      <c r="AK68" s="325"/>
      <c r="AL68" s="325"/>
      <c r="AM68" s="325"/>
      <c r="AN68" s="325"/>
      <c r="AO68" s="325"/>
      <c r="AP68" s="136"/>
      <c r="AQ68" s="136"/>
      <c r="AR68" s="136" t="str">
        <f t="shared" si="15"/>
        <v/>
      </c>
      <c r="AS68" s="136" t="str">
        <f t="shared" si="15"/>
        <v/>
      </c>
      <c r="AT68" s="5" t="str">
        <f t="shared" si="16"/>
        <v/>
      </c>
      <c r="AV68" s="27" t="str">
        <f>IF(G68="","",+"          ["&amp;TRIM(G68)&amp;"] ["&amp;TRIM(I68)&amp;"]"&amp;IF(H68="","","("&amp;H68&amp;")")&amp;" "&amp;TRIM(J68)&amp;IF(G95="","",","))</f>
        <v/>
      </c>
      <c r="AW68" s="27"/>
      <c r="AY68" s="122" t="str">
        <f t="shared" si="9"/>
        <v/>
      </c>
    </row>
    <row r="69" spans="2:51" ht="12.75">
      <c r="B69" s="20" t="str">
        <f t="shared" si="11"/>
        <v/>
      </c>
      <c r="C69" s="5"/>
      <c r="D69" s="5"/>
      <c r="E69" s="5"/>
      <c r="G69" s="5" t="str">
        <f t="shared" si="17"/>
        <v/>
      </c>
      <c r="H69" s="117" t="str">
        <f t="shared" si="13"/>
        <v/>
      </c>
      <c r="I69" s="5" t="str">
        <f t="shared" si="18"/>
        <v/>
      </c>
      <c r="J69" s="5" t="str">
        <f t="shared" si="19"/>
        <v/>
      </c>
      <c r="K69" s="5"/>
      <c r="L69" s="5"/>
      <c r="M69" s="75"/>
      <c r="N69" s="77"/>
      <c r="O69" s="26"/>
      <c r="P69" s="26"/>
      <c r="Q69" s="118" t="str">
        <f t="shared" si="20"/>
        <v/>
      </c>
      <c r="R69" s="153"/>
      <c r="S69" s="138" t="str">
        <f t="shared" si="10"/>
        <v/>
      </c>
      <c r="T69" s="148"/>
      <c r="U69" s="146"/>
      <c r="V69" s="146"/>
      <c r="W69" s="139"/>
      <c r="X69" s="139"/>
      <c r="Y69" s="148"/>
      <c r="Z69" s="138" t="str">
        <f t="shared" si="22"/>
        <v/>
      </c>
      <c r="AA69" s="138" t="str">
        <f t="shared" si="12"/>
        <v/>
      </c>
      <c r="AB69" s="239"/>
      <c r="AC69" s="325"/>
      <c r="AD69" s="325"/>
      <c r="AE69" s="325"/>
      <c r="AF69" s="325"/>
      <c r="AG69" s="325"/>
      <c r="AH69" s="325"/>
      <c r="AI69" s="325"/>
      <c r="AJ69" s="325"/>
      <c r="AK69" s="325"/>
      <c r="AL69" s="325"/>
      <c r="AM69" s="325"/>
      <c r="AN69" s="325"/>
      <c r="AO69" s="325"/>
      <c r="AP69" s="136"/>
      <c r="AQ69" s="136"/>
      <c r="AR69" s="136" t="str">
        <f t="shared" si="15"/>
        <v/>
      </c>
      <c r="AS69" s="136" t="str">
        <f t="shared" si="15"/>
        <v/>
      </c>
      <c r="AT69" s="5" t="str">
        <f t="shared" si="16"/>
        <v/>
      </c>
      <c r="AV69" s="27" t="str">
        <f>IF(G69="","",+"          ["&amp;TRIM(G69)&amp;"] ["&amp;TRIM(I69)&amp;"]"&amp;IF(H69="","","("&amp;H69&amp;")")&amp;" "&amp;TRIM(J69)&amp;IF(G70="","",","))</f>
        <v/>
      </c>
      <c r="AW69" s="27"/>
      <c r="AY69" s="122" t="str">
        <f t="shared" si="9"/>
        <v/>
      </c>
    </row>
    <row r="70" spans="2:51" ht="12.75">
      <c r="B70" s="20" t="str">
        <f t="shared" si="11"/>
        <v/>
      </c>
      <c r="C70" s="5"/>
      <c r="D70" s="5"/>
      <c r="E70" s="5"/>
      <c r="G70" s="5" t="str">
        <f t="shared" si="17"/>
        <v/>
      </c>
      <c r="H70" s="117" t="str">
        <f t="shared" si="13"/>
        <v/>
      </c>
      <c r="I70" s="5" t="str">
        <f t="shared" si="18"/>
        <v/>
      </c>
      <c r="J70" s="5" t="str">
        <f t="shared" si="19"/>
        <v/>
      </c>
      <c r="K70" s="5"/>
      <c r="L70" s="5"/>
      <c r="M70" s="75"/>
      <c r="N70" s="77"/>
      <c r="O70" s="26"/>
      <c r="P70" s="26"/>
      <c r="Q70" s="118" t="str">
        <f t="shared" si="20"/>
        <v/>
      </c>
      <c r="R70" s="153"/>
      <c r="S70" s="138" t="str">
        <f t="shared" si="10"/>
        <v/>
      </c>
      <c r="T70" s="148"/>
      <c r="U70" s="146"/>
      <c r="V70" s="146"/>
      <c r="W70" s="139"/>
      <c r="X70" s="139"/>
      <c r="Y70" s="148"/>
      <c r="Z70" s="138" t="str">
        <f t="shared" si="22"/>
        <v/>
      </c>
      <c r="AA70" s="138" t="str">
        <f t="shared" si="12"/>
        <v/>
      </c>
      <c r="AB70" s="239"/>
      <c r="AC70" s="325"/>
      <c r="AD70" s="325"/>
      <c r="AE70" s="325"/>
      <c r="AF70" s="325"/>
      <c r="AG70" s="325"/>
      <c r="AH70" s="325"/>
      <c r="AI70" s="325"/>
      <c r="AJ70" s="325"/>
      <c r="AK70" s="325"/>
      <c r="AL70" s="325"/>
      <c r="AM70" s="325"/>
      <c r="AN70" s="325"/>
      <c r="AO70" s="325"/>
      <c r="AP70" s="136"/>
      <c r="AQ70" s="136"/>
      <c r="AR70" s="136" t="str">
        <f t="shared" si="15"/>
        <v/>
      </c>
      <c r="AS70" s="136" t="str">
        <f t="shared" si="15"/>
        <v/>
      </c>
      <c r="AT70" s="5" t="str">
        <f t="shared" si="16"/>
        <v/>
      </c>
      <c r="AV70" s="27" t="str">
        <f>IF(G70="","",+"          ["&amp;TRIM(G70)&amp;"] ["&amp;TRIM(I70)&amp;"]"&amp;IF(H70="","","("&amp;H70&amp;")")&amp;" "&amp;TRIM(J70)&amp;IF(G94="","",","))</f>
        <v/>
      </c>
      <c r="AW70" s="27"/>
      <c r="AY70" s="122" t="str">
        <f t="shared" si="9"/>
        <v/>
      </c>
    </row>
    <row r="71" spans="2:51" ht="12.75">
      <c r="B71" s="20" t="str">
        <f t="shared" si="11"/>
        <v/>
      </c>
      <c r="C71" s="5"/>
      <c r="D71" s="5"/>
      <c r="E71" s="5"/>
      <c r="G71" s="5" t="str">
        <f t="shared" si="17"/>
        <v/>
      </c>
      <c r="H71" s="117" t="str">
        <f t="shared" si="13"/>
        <v/>
      </c>
      <c r="I71" s="5" t="str">
        <f t="shared" si="18"/>
        <v/>
      </c>
      <c r="J71" s="5" t="str">
        <f t="shared" si="19"/>
        <v/>
      </c>
      <c r="K71" s="5"/>
      <c r="L71" s="5"/>
      <c r="M71" s="75"/>
      <c r="N71" s="77"/>
      <c r="O71" s="26"/>
      <c r="P71" s="26"/>
      <c r="Q71" s="118" t="str">
        <f t="shared" si="20"/>
        <v/>
      </c>
      <c r="R71" s="153"/>
      <c r="S71" s="138" t="str">
        <f t="shared" si="10"/>
        <v/>
      </c>
      <c r="T71" s="148"/>
      <c r="U71" s="146"/>
      <c r="V71" s="146"/>
      <c r="W71" s="139"/>
      <c r="X71" s="139"/>
      <c r="Y71" s="148"/>
      <c r="Z71" s="138" t="str">
        <f t="shared" si="22"/>
        <v/>
      </c>
      <c r="AA71" s="138" t="str">
        <f t="shared" si="12"/>
        <v/>
      </c>
      <c r="AB71" s="239"/>
      <c r="AC71" s="325"/>
      <c r="AD71" s="325"/>
      <c r="AE71" s="325"/>
      <c r="AF71" s="325"/>
      <c r="AG71" s="325"/>
      <c r="AH71" s="325"/>
      <c r="AI71" s="325"/>
      <c r="AJ71" s="325"/>
      <c r="AK71" s="325"/>
      <c r="AL71" s="325"/>
      <c r="AM71" s="325"/>
      <c r="AN71" s="325"/>
      <c r="AO71" s="325"/>
      <c r="AP71" s="136"/>
      <c r="AQ71" s="136"/>
      <c r="AR71" s="136" t="str">
        <f t="shared" si="15"/>
        <v/>
      </c>
      <c r="AS71" s="136" t="str">
        <f t="shared" si="15"/>
        <v/>
      </c>
      <c r="AT71" s="5" t="str">
        <f t="shared" si="16"/>
        <v/>
      </c>
      <c r="AV71" s="27" t="str">
        <f>IF(G71="","",+"          ["&amp;TRIM(G71)&amp;"] ["&amp;TRIM(I71)&amp;"]"&amp;IF(H71="","","("&amp;H71&amp;")")&amp;" "&amp;TRIM(J71)&amp;IF(G72="","",","))</f>
        <v/>
      </c>
      <c r="AW71" s="27"/>
      <c r="AY71" s="122" t="str">
        <f t="shared" si="9"/>
        <v/>
      </c>
    </row>
    <row r="72" spans="2:51" ht="12.75">
      <c r="B72" s="20" t="str">
        <f t="shared" si="11"/>
        <v/>
      </c>
      <c r="C72" s="5"/>
      <c r="D72" s="5"/>
      <c r="E72" s="5"/>
      <c r="G72" s="5" t="str">
        <f t="shared" si="17"/>
        <v/>
      </c>
      <c r="H72" s="117" t="str">
        <f t="shared" si="13"/>
        <v/>
      </c>
      <c r="I72" s="5" t="str">
        <f t="shared" si="18"/>
        <v/>
      </c>
      <c r="J72" s="5" t="str">
        <f t="shared" si="19"/>
        <v/>
      </c>
      <c r="K72" s="5"/>
      <c r="L72" s="5"/>
      <c r="M72" s="75"/>
      <c r="N72" s="77"/>
      <c r="O72" s="26"/>
      <c r="P72" s="26"/>
      <c r="Q72" s="118" t="str">
        <f t="shared" si="20"/>
        <v/>
      </c>
      <c r="R72" s="153"/>
      <c r="S72" s="138" t="str">
        <f t="shared" si="10"/>
        <v/>
      </c>
      <c r="T72" s="148"/>
      <c r="U72" s="146"/>
      <c r="V72" s="146"/>
      <c r="W72" s="139"/>
      <c r="X72" s="139"/>
      <c r="Y72" s="148"/>
      <c r="Z72" s="138" t="str">
        <f t="shared" si="22"/>
        <v/>
      </c>
      <c r="AA72" s="138" t="str">
        <f t="shared" si="12"/>
        <v/>
      </c>
      <c r="AB72" s="239"/>
      <c r="AC72" s="325"/>
      <c r="AD72" s="325"/>
      <c r="AE72" s="325"/>
      <c r="AF72" s="325"/>
      <c r="AG72" s="325"/>
      <c r="AH72" s="325"/>
      <c r="AI72" s="325"/>
      <c r="AJ72" s="325"/>
      <c r="AK72" s="325"/>
      <c r="AL72" s="325"/>
      <c r="AM72" s="325"/>
      <c r="AN72" s="325"/>
      <c r="AO72" s="325"/>
      <c r="AP72" s="136"/>
      <c r="AQ72" s="136"/>
      <c r="AR72" s="136" t="str">
        <f t="shared" si="15"/>
        <v/>
      </c>
      <c r="AS72" s="136" t="str">
        <f t="shared" si="15"/>
        <v/>
      </c>
      <c r="AT72" s="5" t="str">
        <f t="shared" si="16"/>
        <v/>
      </c>
      <c r="AV72" s="27" t="str">
        <f>IF(G72="","",+"          ["&amp;TRIM(G72)&amp;"] ["&amp;TRIM(I72)&amp;"]"&amp;IF(H72="","","("&amp;H72&amp;")")&amp;" "&amp;TRIM(J72)&amp;IF(G75="","",","))</f>
        <v/>
      </c>
      <c r="AW72" s="27"/>
      <c r="AY72" s="122" t="str">
        <f t="shared" si="9"/>
        <v/>
      </c>
    </row>
    <row r="73" spans="2:51" ht="12.75">
      <c r="B73" s="20" t="str">
        <f t="shared" si="11"/>
        <v/>
      </c>
      <c r="C73" s="5"/>
      <c r="D73" s="5"/>
      <c r="E73" s="5"/>
      <c r="G73" s="5" t="str">
        <f t="shared" si="17"/>
        <v/>
      </c>
      <c r="H73" s="117" t="str">
        <f t="shared" si="13"/>
        <v/>
      </c>
      <c r="I73" s="5" t="str">
        <f t="shared" si="18"/>
        <v/>
      </c>
      <c r="J73" s="5" t="str">
        <f t="shared" si="19"/>
        <v/>
      </c>
      <c r="K73" s="5"/>
      <c r="L73" s="5"/>
      <c r="M73" s="75"/>
      <c r="N73" s="77"/>
      <c r="O73" s="26"/>
      <c r="P73" s="26"/>
      <c r="Q73" s="118" t="str">
        <f t="shared" si="20"/>
        <v/>
      </c>
      <c r="R73" s="153"/>
      <c r="S73" s="138" t="str">
        <f t="shared" si="10"/>
        <v/>
      </c>
      <c r="T73" s="148"/>
      <c r="U73" s="146"/>
      <c r="V73" s="146"/>
      <c r="W73" s="139"/>
      <c r="X73" s="139"/>
      <c r="Y73" s="148"/>
      <c r="Z73" s="138" t="str">
        <f t="shared" si="22"/>
        <v/>
      </c>
      <c r="AA73" s="138" t="str">
        <f t="shared" si="12"/>
        <v/>
      </c>
      <c r="AB73" s="239"/>
      <c r="AC73" s="325"/>
      <c r="AD73" s="325"/>
      <c r="AE73" s="325"/>
      <c r="AF73" s="325"/>
      <c r="AG73" s="325"/>
      <c r="AH73" s="325"/>
      <c r="AI73" s="325"/>
      <c r="AJ73" s="325"/>
      <c r="AK73" s="325"/>
      <c r="AL73" s="325"/>
      <c r="AM73" s="325"/>
      <c r="AN73" s="325"/>
      <c r="AO73" s="325"/>
      <c r="AP73" s="136"/>
      <c r="AQ73" s="136"/>
      <c r="AR73" s="136" t="str">
        <f t="shared" si="15"/>
        <v/>
      </c>
      <c r="AS73" s="136" t="str">
        <f t="shared" si="15"/>
        <v/>
      </c>
      <c r="AT73" s="5" t="str">
        <f t="shared" si="16"/>
        <v/>
      </c>
      <c r="AV73" s="27" t="str">
        <f>IF(G73="","",+"          ["&amp;TRIM(G73)&amp;"] ["&amp;TRIM(I73)&amp;"]"&amp;IF(H73="","","("&amp;H73&amp;")")&amp;" "&amp;TRIM(J73)&amp;IF(G74="","",","))</f>
        <v/>
      </c>
      <c r="AW73" s="27"/>
      <c r="AY73" s="122" t="str">
        <f t="shared" si="9"/>
        <v/>
      </c>
    </row>
    <row r="74" spans="2:51" ht="12.75">
      <c r="B74" s="20" t="str">
        <f t="shared" si="11"/>
        <v/>
      </c>
      <c r="C74" s="5"/>
      <c r="D74" s="5"/>
      <c r="E74" s="5"/>
      <c r="G74" s="5" t="str">
        <f t="shared" si="17"/>
        <v/>
      </c>
      <c r="H74" s="117" t="str">
        <f t="shared" si="13"/>
        <v/>
      </c>
      <c r="I74" s="5" t="str">
        <f t="shared" si="18"/>
        <v/>
      </c>
      <c r="J74" s="5" t="str">
        <f t="shared" si="19"/>
        <v/>
      </c>
      <c r="K74" s="5"/>
      <c r="L74" s="5"/>
      <c r="M74" s="75"/>
      <c r="N74" s="77"/>
      <c r="O74" s="26"/>
      <c r="P74" s="26"/>
      <c r="Q74" s="118" t="str">
        <f t="shared" si="20"/>
        <v/>
      </c>
      <c r="R74" s="153"/>
      <c r="S74" s="138" t="str">
        <f t="shared" si="10"/>
        <v/>
      </c>
      <c r="T74" s="148"/>
      <c r="U74" s="146"/>
      <c r="V74" s="146"/>
      <c r="W74" s="139"/>
      <c r="X74" s="139"/>
      <c r="Y74" s="148"/>
      <c r="Z74" s="138" t="str">
        <f t="shared" si="22"/>
        <v/>
      </c>
      <c r="AA74" s="138" t="str">
        <f t="shared" si="12"/>
        <v/>
      </c>
      <c r="AB74" s="239"/>
      <c r="AC74" s="325"/>
      <c r="AD74" s="325"/>
      <c r="AE74" s="325"/>
      <c r="AF74" s="325"/>
      <c r="AG74" s="325"/>
      <c r="AH74" s="325"/>
      <c r="AI74" s="325"/>
      <c r="AJ74" s="325"/>
      <c r="AK74" s="325"/>
      <c r="AL74" s="325"/>
      <c r="AM74" s="325"/>
      <c r="AN74" s="325"/>
      <c r="AO74" s="325"/>
      <c r="AP74" s="136"/>
      <c r="AQ74" s="136"/>
      <c r="AR74" s="136" t="str">
        <f t="shared" si="15"/>
        <v/>
      </c>
      <c r="AS74" s="136" t="str">
        <f t="shared" si="15"/>
        <v/>
      </c>
      <c r="AT74" s="5" t="str">
        <f t="shared" si="16"/>
        <v/>
      </c>
      <c r="AV74" s="27" t="str">
        <f>IF(G74="","",+"          ["&amp;TRIM(G74)&amp;"] ["&amp;TRIM(I74)&amp;"]"&amp;IF(H74="","","("&amp;H74&amp;")")&amp;" "&amp;TRIM(J74)&amp;IF(G75="","",","))</f>
        <v/>
      </c>
      <c r="AW74" s="27"/>
      <c r="AY74" s="122" t="str">
        <f t="shared" si="9"/>
        <v/>
      </c>
    </row>
    <row r="75" spans="2:51" ht="12.75">
      <c r="B75" s="20" t="str">
        <f t="shared" si="11"/>
        <v/>
      </c>
      <c r="C75" s="5"/>
      <c r="D75" s="5"/>
      <c r="E75" s="5"/>
      <c r="G75" s="5" t="str">
        <f t="shared" si="17"/>
        <v/>
      </c>
      <c r="H75" s="117" t="str">
        <f t="shared" si="13"/>
        <v/>
      </c>
      <c r="I75" s="5" t="str">
        <f t="shared" si="18"/>
        <v/>
      </c>
      <c r="J75" s="5" t="str">
        <f t="shared" si="19"/>
        <v/>
      </c>
      <c r="K75" s="5"/>
      <c r="L75" s="5"/>
      <c r="M75" s="75"/>
      <c r="N75" s="77"/>
      <c r="O75" s="26"/>
      <c r="P75" s="26"/>
      <c r="Q75" s="118" t="str">
        <f t="shared" si="20"/>
        <v/>
      </c>
      <c r="R75" s="153"/>
      <c r="S75" s="138" t="str">
        <f t="shared" si="10"/>
        <v/>
      </c>
      <c r="T75" s="148"/>
      <c r="U75" s="146"/>
      <c r="V75" s="146"/>
      <c r="W75" s="139"/>
      <c r="X75" s="139"/>
      <c r="Y75" s="148"/>
      <c r="Z75" s="138" t="str">
        <f t="shared" si="22"/>
        <v/>
      </c>
      <c r="AA75" s="138" t="str">
        <f t="shared" si="12"/>
        <v/>
      </c>
      <c r="AB75" s="239"/>
      <c r="AC75" s="325"/>
      <c r="AD75" s="325"/>
      <c r="AE75" s="325"/>
      <c r="AF75" s="325"/>
      <c r="AG75" s="325"/>
      <c r="AH75" s="325"/>
      <c r="AI75" s="325"/>
      <c r="AJ75" s="325"/>
      <c r="AK75" s="325"/>
      <c r="AL75" s="325"/>
      <c r="AM75" s="325"/>
      <c r="AN75" s="325"/>
      <c r="AO75" s="325"/>
      <c r="AP75" s="136"/>
      <c r="AQ75" s="136"/>
      <c r="AR75" s="136" t="str">
        <f t="shared" si="15"/>
        <v/>
      </c>
      <c r="AS75" s="136" t="str">
        <f t="shared" si="15"/>
        <v/>
      </c>
      <c r="AT75" s="5" t="str">
        <f t="shared" si="16"/>
        <v/>
      </c>
      <c r="AV75" s="27" t="str">
        <f>IF(G75="","",+"          ["&amp;TRIM(G75)&amp;"] ["&amp;TRIM(I75)&amp;"]"&amp;IF(H75="","","("&amp;H75&amp;")")&amp;" "&amp;TRIM(J75)&amp;IF(G94="","",","))</f>
        <v/>
      </c>
      <c r="AW75" s="27"/>
      <c r="AY75" s="122" t="str">
        <f t="shared" si="9"/>
        <v/>
      </c>
    </row>
    <row r="76" spans="2:51" ht="12.75">
      <c r="B76" s="20" t="str">
        <f t="shared" si="11"/>
        <v/>
      </c>
      <c r="C76" s="5"/>
      <c r="D76" s="5"/>
      <c r="E76" s="5"/>
      <c r="G76" s="5" t="str">
        <f t="shared" si="17"/>
        <v/>
      </c>
      <c r="H76" s="117" t="str">
        <f t="shared" si="13"/>
        <v/>
      </c>
      <c r="I76" s="5" t="str">
        <f t="shared" si="18"/>
        <v/>
      </c>
      <c r="J76" s="5" t="str">
        <f t="shared" si="19"/>
        <v/>
      </c>
      <c r="K76" s="5"/>
      <c r="L76" s="5"/>
      <c r="M76" s="75"/>
      <c r="N76" s="77"/>
      <c r="O76" s="26"/>
      <c r="P76" s="26"/>
      <c r="Q76" s="118" t="str">
        <f t="shared" si="20"/>
        <v/>
      </c>
      <c r="R76" s="153"/>
      <c r="S76" s="138" t="str">
        <f t="shared" si="10"/>
        <v/>
      </c>
      <c r="T76" s="148"/>
      <c r="U76" s="146"/>
      <c r="V76" s="146"/>
      <c r="W76" s="139"/>
      <c r="X76" s="139"/>
      <c r="Y76" s="148"/>
      <c r="Z76" s="138" t="str">
        <f t="shared" si="22"/>
        <v/>
      </c>
      <c r="AA76" s="138" t="str">
        <f t="shared" si="12"/>
        <v/>
      </c>
      <c r="AB76" s="239"/>
      <c r="AC76" s="325"/>
      <c r="AD76" s="325"/>
      <c r="AE76" s="325"/>
      <c r="AF76" s="325"/>
      <c r="AG76" s="325"/>
      <c r="AH76" s="325"/>
      <c r="AI76" s="325"/>
      <c r="AJ76" s="325"/>
      <c r="AK76" s="325"/>
      <c r="AL76" s="325"/>
      <c r="AM76" s="325"/>
      <c r="AN76" s="325"/>
      <c r="AO76" s="325"/>
      <c r="AP76" s="136"/>
      <c r="AQ76" s="136"/>
      <c r="AR76" s="136" t="str">
        <f t="shared" si="15"/>
        <v/>
      </c>
      <c r="AS76" s="136" t="str">
        <f t="shared" si="15"/>
        <v/>
      </c>
      <c r="AT76" s="5" t="str">
        <f t="shared" si="16"/>
        <v/>
      </c>
      <c r="AV76" s="27" t="str">
        <f>IF(G76="","",+"          ["&amp;TRIM(G76)&amp;"] ["&amp;TRIM(I76)&amp;"]"&amp;IF(H76="","","("&amp;H76&amp;")")&amp;" "&amp;TRIM(J76)&amp;IF(G77="","",","))</f>
        <v/>
      </c>
      <c r="AW76" s="27"/>
      <c r="AY76" s="122" t="str">
        <f t="shared" si="9"/>
        <v/>
      </c>
    </row>
    <row r="77" spans="2:51" ht="12.75">
      <c r="B77" s="20" t="str">
        <f t="shared" si="11"/>
        <v/>
      </c>
      <c r="C77" s="5"/>
      <c r="D77" s="5"/>
      <c r="E77" s="5"/>
      <c r="G77" s="5" t="str">
        <f t="shared" si="17"/>
        <v/>
      </c>
      <c r="H77" s="117" t="str">
        <f t="shared" si="13"/>
        <v/>
      </c>
      <c r="I77" s="5" t="str">
        <f t="shared" si="18"/>
        <v/>
      </c>
      <c r="J77" s="5" t="str">
        <f t="shared" si="19"/>
        <v/>
      </c>
      <c r="K77" s="5"/>
      <c r="L77" s="5"/>
      <c r="M77" s="75"/>
      <c r="N77" s="77"/>
      <c r="O77" s="26"/>
      <c r="P77" s="26"/>
      <c r="Q77" s="118" t="str">
        <f t="shared" si="20"/>
        <v/>
      </c>
      <c r="R77" s="153"/>
      <c r="S77" s="138" t="str">
        <f t="shared" si="10"/>
        <v/>
      </c>
      <c r="T77" s="148"/>
      <c r="U77" s="146"/>
      <c r="V77" s="146"/>
      <c r="W77" s="139"/>
      <c r="X77" s="139"/>
      <c r="Y77" s="148"/>
      <c r="Z77" s="138" t="str">
        <f t="shared" si="22"/>
        <v/>
      </c>
      <c r="AA77" s="138" t="str">
        <f t="shared" si="12"/>
        <v/>
      </c>
      <c r="AB77" s="239"/>
      <c r="AC77" s="325"/>
      <c r="AD77" s="325"/>
      <c r="AE77" s="325"/>
      <c r="AF77" s="325"/>
      <c r="AG77" s="325"/>
      <c r="AH77" s="325"/>
      <c r="AI77" s="325"/>
      <c r="AJ77" s="325"/>
      <c r="AK77" s="325"/>
      <c r="AL77" s="325"/>
      <c r="AM77" s="325"/>
      <c r="AN77" s="325"/>
      <c r="AO77" s="325"/>
      <c r="AP77" s="136"/>
      <c r="AQ77" s="136"/>
      <c r="AR77" s="136" t="str">
        <f t="shared" si="15"/>
        <v/>
      </c>
      <c r="AS77" s="136" t="str">
        <f t="shared" si="15"/>
        <v/>
      </c>
      <c r="AT77" s="5" t="str">
        <f t="shared" si="16"/>
        <v/>
      </c>
      <c r="AV77" s="27" t="str">
        <f>IF(G77="","",+"          ["&amp;TRIM(G77)&amp;"] ["&amp;TRIM(I77)&amp;"]"&amp;IF(H77="","","("&amp;H77&amp;")")&amp;" "&amp;TRIM(J77)&amp;IF(G78="","",","))</f>
        <v/>
      </c>
      <c r="AW77" s="27"/>
      <c r="AY77" s="122" t="str">
        <f t="shared" si="9"/>
        <v/>
      </c>
    </row>
    <row r="78" spans="2:51" ht="12.75">
      <c r="B78" s="20" t="str">
        <f t="shared" si="11"/>
        <v/>
      </c>
      <c r="C78" s="5"/>
      <c r="D78" s="5"/>
      <c r="E78" s="5"/>
      <c r="G78" s="5" t="str">
        <f t="shared" si="17"/>
        <v/>
      </c>
      <c r="H78" s="117" t="str">
        <f t="shared" si="13"/>
        <v/>
      </c>
      <c r="I78" s="5" t="str">
        <f t="shared" si="18"/>
        <v/>
      </c>
      <c r="J78" s="5" t="str">
        <f t="shared" si="19"/>
        <v/>
      </c>
      <c r="K78" s="5"/>
      <c r="L78" s="5"/>
      <c r="M78" s="75"/>
      <c r="N78" s="77"/>
      <c r="O78" s="26"/>
      <c r="P78" s="26"/>
      <c r="Q78" s="118" t="str">
        <f t="shared" si="20"/>
        <v/>
      </c>
      <c r="R78" s="153"/>
      <c r="S78" s="138" t="str">
        <f t="shared" si="10"/>
        <v/>
      </c>
      <c r="T78" s="148"/>
      <c r="U78" s="146"/>
      <c r="V78" s="146"/>
      <c r="W78" s="139"/>
      <c r="X78" s="139"/>
      <c r="Y78" s="148"/>
      <c r="Z78" s="138" t="str">
        <f t="shared" si="22"/>
        <v/>
      </c>
      <c r="AA78" s="138" t="str">
        <f t="shared" si="12"/>
        <v/>
      </c>
      <c r="AB78" s="239"/>
      <c r="AC78" s="325"/>
      <c r="AD78" s="325"/>
      <c r="AE78" s="325"/>
      <c r="AF78" s="325"/>
      <c r="AG78" s="325"/>
      <c r="AH78" s="325"/>
      <c r="AI78" s="325"/>
      <c r="AJ78" s="325"/>
      <c r="AK78" s="325"/>
      <c r="AL78" s="325"/>
      <c r="AM78" s="325"/>
      <c r="AN78" s="325"/>
      <c r="AO78" s="325"/>
      <c r="AP78" s="136"/>
      <c r="AQ78" s="136"/>
      <c r="AR78" s="136" t="str">
        <f t="shared" si="15"/>
        <v/>
      </c>
      <c r="AS78" s="136" t="str">
        <f t="shared" si="15"/>
        <v/>
      </c>
      <c r="AT78" s="5" t="str">
        <f t="shared" si="16"/>
        <v/>
      </c>
      <c r="AV78" s="27" t="str">
        <f>IF(G78="","",+"          ["&amp;TRIM(G78)&amp;"] ["&amp;TRIM(I78)&amp;"]"&amp;IF(H78="","","("&amp;H78&amp;")")&amp;" "&amp;TRIM(J78)&amp;IF(G93="","",","))</f>
        <v/>
      </c>
      <c r="AW78" s="27"/>
      <c r="AY78" s="122" t="str">
        <f t="shared" si="9"/>
        <v/>
      </c>
    </row>
    <row r="79" spans="2:51" ht="12.75">
      <c r="B79" s="20" t="str">
        <f t="shared" si="11"/>
        <v/>
      </c>
      <c r="C79" s="5"/>
      <c r="D79" s="5"/>
      <c r="E79" s="5"/>
      <c r="G79" s="5" t="str">
        <f t="shared" si="17"/>
        <v/>
      </c>
      <c r="H79" s="117" t="str">
        <f t="shared" si="13"/>
        <v/>
      </c>
      <c r="I79" s="5" t="str">
        <f t="shared" si="18"/>
        <v/>
      </c>
      <c r="J79" s="5" t="str">
        <f t="shared" si="19"/>
        <v/>
      </c>
      <c r="K79" s="5"/>
      <c r="L79" s="5"/>
      <c r="M79" s="75"/>
      <c r="N79" s="77"/>
      <c r="O79" s="26"/>
      <c r="P79" s="26"/>
      <c r="Q79" s="118" t="str">
        <f t="shared" si="20"/>
        <v/>
      </c>
      <c r="R79" s="153"/>
      <c r="S79" s="138" t="str">
        <f t="shared" si="10"/>
        <v/>
      </c>
      <c r="T79" s="148"/>
      <c r="U79" s="146"/>
      <c r="V79" s="146"/>
      <c r="W79" s="139"/>
      <c r="X79" s="139"/>
      <c r="Y79" s="148"/>
      <c r="Z79" s="138" t="str">
        <f t="shared" si="22"/>
        <v/>
      </c>
      <c r="AA79" s="138" t="str">
        <f t="shared" si="12"/>
        <v/>
      </c>
      <c r="AB79" s="239"/>
      <c r="AC79" s="325"/>
      <c r="AD79" s="325"/>
      <c r="AE79" s="325"/>
      <c r="AF79" s="325"/>
      <c r="AG79" s="325"/>
      <c r="AH79" s="325"/>
      <c r="AI79" s="325"/>
      <c r="AJ79" s="325"/>
      <c r="AK79" s="325"/>
      <c r="AL79" s="325"/>
      <c r="AM79" s="325"/>
      <c r="AN79" s="325"/>
      <c r="AO79" s="325"/>
      <c r="AP79" s="136"/>
      <c r="AQ79" s="136"/>
      <c r="AR79" s="136" t="str">
        <f t="shared" si="15"/>
        <v/>
      </c>
      <c r="AS79" s="136" t="str">
        <f t="shared" si="15"/>
        <v/>
      </c>
      <c r="AT79" s="5" t="str">
        <f t="shared" si="16"/>
        <v/>
      </c>
      <c r="AV79" s="27" t="str">
        <f>IF(G79="","",+"          ["&amp;TRIM(G79)&amp;"] ["&amp;TRIM(I79)&amp;"]"&amp;IF(H79="","","("&amp;H79&amp;")")&amp;" "&amp;TRIM(J79)&amp;IF(G80="","",","))</f>
        <v/>
      </c>
      <c r="AW79" s="27"/>
      <c r="AY79" s="122" t="str">
        <f t="shared" si="9"/>
        <v/>
      </c>
    </row>
    <row r="80" spans="2:51" ht="12.75">
      <c r="B80" s="20" t="str">
        <f t="shared" si="11"/>
        <v/>
      </c>
      <c r="C80" s="5"/>
      <c r="D80" s="5"/>
      <c r="E80" s="5"/>
      <c r="G80" s="5" t="str">
        <f t="shared" si="17"/>
        <v/>
      </c>
      <c r="H80" s="117" t="str">
        <f t="shared" si="13"/>
        <v/>
      </c>
      <c r="I80" s="5" t="str">
        <f t="shared" si="18"/>
        <v/>
      </c>
      <c r="J80" s="5" t="str">
        <f t="shared" si="19"/>
        <v/>
      </c>
      <c r="K80" s="5"/>
      <c r="L80" s="5"/>
      <c r="M80" s="75"/>
      <c r="N80" s="77"/>
      <c r="O80" s="26"/>
      <c r="P80" s="26"/>
      <c r="Q80" s="118" t="str">
        <f t="shared" si="20"/>
        <v/>
      </c>
      <c r="R80" s="153"/>
      <c r="S80" s="138" t="str">
        <f t="shared" si="10"/>
        <v/>
      </c>
      <c r="T80" s="148"/>
      <c r="U80" s="146"/>
      <c r="V80" s="146"/>
      <c r="W80" s="139"/>
      <c r="X80" s="139"/>
      <c r="Y80" s="148"/>
      <c r="Z80" s="138" t="str">
        <f t="shared" si="22"/>
        <v/>
      </c>
      <c r="AA80" s="138" t="str">
        <f t="shared" si="12"/>
        <v/>
      </c>
      <c r="AB80" s="239"/>
      <c r="AC80" s="325"/>
      <c r="AD80" s="325"/>
      <c r="AE80" s="325"/>
      <c r="AF80" s="325"/>
      <c r="AG80" s="325"/>
      <c r="AH80" s="325"/>
      <c r="AI80" s="325"/>
      <c r="AJ80" s="325"/>
      <c r="AK80" s="325"/>
      <c r="AL80" s="325"/>
      <c r="AM80" s="325"/>
      <c r="AN80" s="325"/>
      <c r="AO80" s="325"/>
      <c r="AP80" s="136"/>
      <c r="AQ80" s="136"/>
      <c r="AR80" s="136" t="str">
        <f t="shared" ref="AR80:AS115" si="23">IF(O80=0,"",ROW())</f>
        <v/>
      </c>
      <c r="AS80" s="136" t="str">
        <f t="shared" si="23"/>
        <v/>
      </c>
      <c r="AT80" s="5" t="str">
        <f t="shared" ref="AT80:AT116" si="24">IF(C80="","",C80&amp;IF(B81="","",","))</f>
        <v/>
      </c>
      <c r="AV80" s="27" t="str">
        <f>IF(G80="","",+"          ["&amp;TRIM(G80)&amp;"] ["&amp;TRIM(I80)&amp;"]"&amp;IF(H80="","","("&amp;H80&amp;")")&amp;" "&amp;TRIM(J80)&amp;IF(G83="","",","))</f>
        <v/>
      </c>
      <c r="AW80" s="27"/>
      <c r="AY80" s="122"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7" t="str">
        <f t="shared" si="13"/>
        <v/>
      </c>
      <c r="I81" s="5" t="str">
        <f t="shared" si="18"/>
        <v/>
      </c>
      <c r="J81" s="5" t="str">
        <f t="shared" si="19"/>
        <v/>
      </c>
      <c r="K81" s="5"/>
      <c r="L81" s="5"/>
      <c r="M81" s="75"/>
      <c r="N81" s="77"/>
      <c r="O81" s="26"/>
      <c r="P81" s="26"/>
      <c r="Q81" s="118" t="str">
        <f t="shared" si="20"/>
        <v/>
      </c>
      <c r="R81" s="153"/>
      <c r="S81" s="138" t="str">
        <f t="shared" ref="S81:S115" si="26">IF(K81=0,"",K81)</f>
        <v/>
      </c>
      <c r="T81" s="148"/>
      <c r="U81" s="146"/>
      <c r="V81" s="146"/>
      <c r="W81" s="139"/>
      <c r="X81" s="139"/>
      <c r="Y81" s="148"/>
      <c r="Z81" s="138" t="str">
        <f t="shared" si="22"/>
        <v/>
      </c>
      <c r="AA81" s="138" t="str">
        <f t="shared" si="12"/>
        <v/>
      </c>
      <c r="AB81" s="239"/>
      <c r="AC81" s="325"/>
      <c r="AD81" s="325"/>
      <c r="AE81" s="325"/>
      <c r="AF81" s="325"/>
      <c r="AG81" s="325"/>
      <c r="AH81" s="325"/>
      <c r="AI81" s="325"/>
      <c r="AJ81" s="325"/>
      <c r="AK81" s="325"/>
      <c r="AL81" s="325"/>
      <c r="AM81" s="325"/>
      <c r="AN81" s="325"/>
      <c r="AO81" s="325"/>
      <c r="AP81" s="136"/>
      <c r="AQ81" s="136"/>
      <c r="AR81" s="136" t="str">
        <f t="shared" si="23"/>
        <v/>
      </c>
      <c r="AS81" s="136" t="str">
        <f t="shared" si="23"/>
        <v/>
      </c>
      <c r="AT81" s="5" t="str">
        <f t="shared" si="24"/>
        <v/>
      </c>
      <c r="AV81" s="27" t="str">
        <f>IF(G81="","",+"          ["&amp;TRIM(G81)&amp;"] ["&amp;TRIM(I81)&amp;"]"&amp;IF(H81="","","("&amp;H81&amp;")")&amp;" "&amp;TRIM(J81)&amp;IF(G82="","",","))</f>
        <v/>
      </c>
      <c r="AW81" s="27"/>
      <c r="AY81" s="122" t="str">
        <f t="shared" si="25"/>
        <v/>
      </c>
    </row>
    <row r="82" spans="2:51" ht="12.75">
      <c r="B82" s="20" t="str">
        <f t="shared" ref="B82:B115" si="27">IF(C82=0,"",+B81+1)</f>
        <v/>
      </c>
      <c r="C82" s="5"/>
      <c r="D82" s="5"/>
      <c r="E82" s="5"/>
      <c r="G82" s="5" t="str">
        <f t="shared" si="17"/>
        <v/>
      </c>
      <c r="H82" s="117" t="str">
        <f t="shared" si="13"/>
        <v/>
      </c>
      <c r="I82" s="5" t="str">
        <f t="shared" si="18"/>
        <v/>
      </c>
      <c r="J82" s="5" t="str">
        <f t="shared" si="19"/>
        <v/>
      </c>
      <c r="K82" s="5"/>
      <c r="L82" s="5"/>
      <c r="M82" s="75"/>
      <c r="N82" s="77"/>
      <c r="O82" s="26"/>
      <c r="P82" s="26"/>
      <c r="Q82" s="118" t="str">
        <f t="shared" si="20"/>
        <v/>
      </c>
      <c r="R82" s="153"/>
      <c r="S82" s="138" t="str">
        <f t="shared" si="26"/>
        <v/>
      </c>
      <c r="T82" s="148"/>
      <c r="U82" s="146"/>
      <c r="V82" s="146"/>
      <c r="W82" s="139"/>
      <c r="X82" s="139"/>
      <c r="Y82" s="148"/>
      <c r="Z82" s="138" t="str">
        <f t="shared" si="22"/>
        <v/>
      </c>
      <c r="AA82" s="138" t="str">
        <f t="shared" ref="AA82:AA115" si="28">IF($C$120=B82,"asc","")</f>
        <v/>
      </c>
      <c r="AB82" s="239"/>
      <c r="AC82" s="325"/>
      <c r="AD82" s="325"/>
      <c r="AE82" s="325"/>
      <c r="AF82" s="325"/>
      <c r="AG82" s="325"/>
      <c r="AH82" s="325"/>
      <c r="AI82" s="325"/>
      <c r="AJ82" s="325"/>
      <c r="AK82" s="325"/>
      <c r="AL82" s="325"/>
      <c r="AM82" s="325"/>
      <c r="AN82" s="325"/>
      <c r="AO82" s="325"/>
      <c r="AP82" s="136"/>
      <c r="AQ82" s="136"/>
      <c r="AR82" s="136" t="str">
        <f t="shared" si="23"/>
        <v/>
      </c>
      <c r="AS82" s="136" t="str">
        <f t="shared" si="23"/>
        <v/>
      </c>
      <c r="AT82" s="5" t="str">
        <f t="shared" si="24"/>
        <v/>
      </c>
      <c r="AV82" s="27" t="str">
        <f>IF(G82="","",+"          ["&amp;TRIM(G82)&amp;"] ["&amp;TRIM(I82)&amp;"]"&amp;IF(H82="","","("&amp;H82&amp;")")&amp;" "&amp;TRIM(J82)&amp;IF(G83="","",","))</f>
        <v/>
      </c>
      <c r="AW82" s="27"/>
      <c r="AY82" s="122" t="str">
        <f t="shared" si="25"/>
        <v/>
      </c>
    </row>
    <row r="83" spans="2:51" ht="12.75">
      <c r="B83" s="20" t="str">
        <f t="shared" si="27"/>
        <v/>
      </c>
      <c r="C83" s="5"/>
      <c r="D83" s="5"/>
      <c r="E83" s="5"/>
      <c r="G83" s="5" t="str">
        <f t="shared" si="17"/>
        <v/>
      </c>
      <c r="H83" s="117" t="str">
        <f t="shared" si="13"/>
        <v/>
      </c>
      <c r="I83" s="5" t="str">
        <f t="shared" si="18"/>
        <v/>
      </c>
      <c r="J83" s="5" t="str">
        <f t="shared" si="19"/>
        <v/>
      </c>
      <c r="K83" s="5"/>
      <c r="L83" s="5"/>
      <c r="M83" s="75"/>
      <c r="N83" s="77"/>
      <c r="O83" s="26"/>
      <c r="P83" s="26"/>
      <c r="Q83" s="118" t="str">
        <f t="shared" si="20"/>
        <v/>
      </c>
      <c r="R83" s="153"/>
      <c r="S83" s="138" t="str">
        <f t="shared" si="26"/>
        <v/>
      </c>
      <c r="T83" s="148"/>
      <c r="U83" s="146"/>
      <c r="V83" s="146"/>
      <c r="W83" s="139"/>
      <c r="X83" s="139"/>
      <c r="Y83" s="148"/>
      <c r="Z83" s="138" t="str">
        <f t="shared" si="22"/>
        <v/>
      </c>
      <c r="AA83" s="138" t="str">
        <f t="shared" si="28"/>
        <v/>
      </c>
      <c r="AB83" s="239"/>
      <c r="AC83" s="325"/>
      <c r="AD83" s="325"/>
      <c r="AE83" s="325"/>
      <c r="AF83" s="325"/>
      <c r="AG83" s="325"/>
      <c r="AH83" s="325"/>
      <c r="AI83" s="325"/>
      <c r="AJ83" s="325"/>
      <c r="AK83" s="325"/>
      <c r="AL83" s="325"/>
      <c r="AM83" s="325"/>
      <c r="AN83" s="325"/>
      <c r="AO83" s="325"/>
      <c r="AP83" s="136"/>
      <c r="AQ83" s="136"/>
      <c r="AR83" s="136" t="str">
        <f t="shared" si="23"/>
        <v/>
      </c>
      <c r="AS83" s="136" t="str">
        <f t="shared" si="23"/>
        <v/>
      </c>
      <c r="AT83" s="5" t="str">
        <f t="shared" si="24"/>
        <v/>
      </c>
      <c r="AV83" s="27" t="str">
        <f>IF(G83="","",+"          ["&amp;TRIM(G83)&amp;"] ["&amp;TRIM(I83)&amp;"]"&amp;IF(H83="","","("&amp;H83&amp;")")&amp;" "&amp;TRIM(J83)&amp;IF(G93="","",","))</f>
        <v/>
      </c>
      <c r="AW83" s="27"/>
      <c r="AY83" s="122" t="str">
        <f t="shared" si="25"/>
        <v/>
      </c>
    </row>
    <row r="84" spans="2:51" ht="12.75">
      <c r="B84" s="20" t="str">
        <f t="shared" si="27"/>
        <v/>
      </c>
      <c r="C84" s="5"/>
      <c r="D84" s="5"/>
      <c r="E84" s="5"/>
      <c r="G84" s="5" t="str">
        <f t="shared" si="17"/>
        <v/>
      </c>
      <c r="H84" s="117" t="str">
        <f t="shared" si="13"/>
        <v/>
      </c>
      <c r="I84" s="5" t="str">
        <f t="shared" si="18"/>
        <v/>
      </c>
      <c r="J84" s="5" t="str">
        <f t="shared" si="19"/>
        <v/>
      </c>
      <c r="K84" s="5"/>
      <c r="L84" s="5"/>
      <c r="M84" s="75"/>
      <c r="N84" s="77"/>
      <c r="O84" s="26"/>
      <c r="P84" s="26"/>
      <c r="Q84" s="118" t="str">
        <f t="shared" si="20"/>
        <v/>
      </c>
      <c r="R84" s="153"/>
      <c r="S84" s="138" t="str">
        <f t="shared" si="26"/>
        <v/>
      </c>
      <c r="T84" s="148"/>
      <c r="U84" s="146"/>
      <c r="V84" s="146"/>
      <c r="W84" s="139"/>
      <c r="X84" s="139"/>
      <c r="Y84" s="148"/>
      <c r="Z84" s="138" t="str">
        <f t="shared" si="22"/>
        <v/>
      </c>
      <c r="AA84" s="138" t="str">
        <f t="shared" si="28"/>
        <v/>
      </c>
      <c r="AB84" s="239"/>
      <c r="AC84" s="325"/>
      <c r="AD84" s="325"/>
      <c r="AE84" s="325"/>
      <c r="AF84" s="325"/>
      <c r="AG84" s="325"/>
      <c r="AH84" s="325"/>
      <c r="AI84" s="325"/>
      <c r="AJ84" s="325"/>
      <c r="AK84" s="325"/>
      <c r="AL84" s="325"/>
      <c r="AM84" s="325"/>
      <c r="AN84" s="325"/>
      <c r="AO84" s="325"/>
      <c r="AP84" s="136"/>
      <c r="AQ84" s="136"/>
      <c r="AR84" s="136" t="str">
        <f t="shared" si="23"/>
        <v/>
      </c>
      <c r="AS84" s="136" t="str">
        <f t="shared" si="23"/>
        <v/>
      </c>
      <c r="AT84" s="5" t="str">
        <f t="shared" si="24"/>
        <v/>
      </c>
      <c r="AV84" s="27" t="str">
        <f>IF(G84="","",+"          ["&amp;TRIM(G84)&amp;"] ["&amp;TRIM(I84)&amp;"]"&amp;IF(H84="","","("&amp;H84&amp;")")&amp;" "&amp;TRIM(J84)&amp;IF(G85="","",","))</f>
        <v/>
      </c>
      <c r="AW84" s="27"/>
      <c r="AY84" s="122" t="str">
        <f t="shared" si="25"/>
        <v/>
      </c>
    </row>
    <row r="85" spans="2:51" ht="12.75">
      <c r="B85" s="20" t="str">
        <f t="shared" si="27"/>
        <v/>
      </c>
      <c r="C85" s="5"/>
      <c r="D85" s="5"/>
      <c r="E85" s="5"/>
      <c r="G85" s="5" t="str">
        <f t="shared" si="17"/>
        <v/>
      </c>
      <c r="H85" s="117" t="str">
        <f t="shared" si="13"/>
        <v/>
      </c>
      <c r="I85" s="5" t="str">
        <f t="shared" si="18"/>
        <v/>
      </c>
      <c r="J85" s="5" t="str">
        <f t="shared" si="19"/>
        <v/>
      </c>
      <c r="K85" s="5"/>
      <c r="L85" s="5"/>
      <c r="M85" s="75"/>
      <c r="N85" s="77"/>
      <c r="O85" s="26"/>
      <c r="P85" s="26"/>
      <c r="Q85" s="118" t="str">
        <f t="shared" si="20"/>
        <v/>
      </c>
      <c r="R85" s="153"/>
      <c r="S85" s="138" t="str">
        <f t="shared" si="26"/>
        <v/>
      </c>
      <c r="T85" s="148"/>
      <c r="U85" s="146"/>
      <c r="V85" s="146"/>
      <c r="W85" s="139"/>
      <c r="X85" s="139"/>
      <c r="Y85" s="148"/>
      <c r="Z85" s="138" t="str">
        <f t="shared" si="22"/>
        <v/>
      </c>
      <c r="AA85" s="138" t="str">
        <f t="shared" si="28"/>
        <v/>
      </c>
      <c r="AB85" s="239"/>
      <c r="AC85" s="325"/>
      <c r="AD85" s="325"/>
      <c r="AE85" s="325"/>
      <c r="AF85" s="325"/>
      <c r="AG85" s="325"/>
      <c r="AH85" s="325"/>
      <c r="AI85" s="325"/>
      <c r="AJ85" s="325"/>
      <c r="AK85" s="325"/>
      <c r="AL85" s="325"/>
      <c r="AM85" s="325"/>
      <c r="AN85" s="325"/>
      <c r="AO85" s="325"/>
      <c r="AP85" s="136"/>
      <c r="AQ85" s="136"/>
      <c r="AR85" s="136" t="str">
        <f t="shared" si="23"/>
        <v/>
      </c>
      <c r="AS85" s="136" t="str">
        <f t="shared" si="23"/>
        <v/>
      </c>
      <c r="AT85" s="5" t="str">
        <f t="shared" si="24"/>
        <v/>
      </c>
      <c r="AV85" s="27" t="str">
        <f>IF(G85="","",+"          ["&amp;TRIM(G85)&amp;"] ["&amp;TRIM(I85)&amp;"]"&amp;IF(H85="","","("&amp;H85&amp;")")&amp;" "&amp;TRIM(J85)&amp;IF(G86="","",","))</f>
        <v/>
      </c>
      <c r="AW85" s="27"/>
      <c r="AY85" s="122" t="str">
        <f t="shared" si="25"/>
        <v/>
      </c>
    </row>
    <row r="86" spans="2:51" ht="12.75">
      <c r="B86" s="20" t="str">
        <f t="shared" si="27"/>
        <v/>
      </c>
      <c r="C86" s="5"/>
      <c r="D86" s="5"/>
      <c r="E86" s="5"/>
      <c r="G86" s="5" t="str">
        <f t="shared" si="17"/>
        <v/>
      </c>
      <c r="H86" s="117" t="str">
        <f t="shared" si="13"/>
        <v/>
      </c>
      <c r="I86" s="5" t="str">
        <f t="shared" si="18"/>
        <v/>
      </c>
      <c r="J86" s="5" t="str">
        <f t="shared" si="19"/>
        <v/>
      </c>
      <c r="K86" s="5"/>
      <c r="L86" s="5"/>
      <c r="M86" s="75"/>
      <c r="N86" s="77"/>
      <c r="O86" s="26"/>
      <c r="P86" s="26"/>
      <c r="Q86" s="118" t="str">
        <f t="shared" si="20"/>
        <v/>
      </c>
      <c r="R86" s="153"/>
      <c r="S86" s="138" t="str">
        <f t="shared" si="26"/>
        <v/>
      </c>
      <c r="T86" s="148"/>
      <c r="U86" s="146"/>
      <c r="V86" s="146"/>
      <c r="W86" s="139"/>
      <c r="X86" s="139"/>
      <c r="Y86" s="148"/>
      <c r="Z86" s="138" t="str">
        <f t="shared" si="22"/>
        <v/>
      </c>
      <c r="AA86" s="138" t="str">
        <f t="shared" si="28"/>
        <v/>
      </c>
      <c r="AB86" s="239"/>
      <c r="AC86" s="325"/>
      <c r="AD86" s="325"/>
      <c r="AE86" s="325"/>
      <c r="AF86" s="325"/>
      <c r="AG86" s="325"/>
      <c r="AH86" s="325"/>
      <c r="AI86" s="325"/>
      <c r="AJ86" s="325"/>
      <c r="AK86" s="325"/>
      <c r="AL86" s="325"/>
      <c r="AM86" s="325"/>
      <c r="AN86" s="325"/>
      <c r="AO86" s="325"/>
      <c r="AP86" s="136"/>
      <c r="AQ86" s="136"/>
      <c r="AR86" s="136" t="str">
        <f t="shared" si="23"/>
        <v/>
      </c>
      <c r="AS86" s="136" t="str">
        <f t="shared" si="23"/>
        <v/>
      </c>
      <c r="AT86" s="5" t="str">
        <f t="shared" si="24"/>
        <v/>
      </c>
      <c r="AV86" s="27" t="str">
        <f>IF(G86="","",+"          ["&amp;TRIM(G86)&amp;"] ["&amp;TRIM(I86)&amp;"]"&amp;IF(H86="","","("&amp;H86&amp;")")&amp;" "&amp;TRIM(J86)&amp;IF(G87="","",","))</f>
        <v/>
      </c>
      <c r="AW86" s="27"/>
      <c r="AY86" s="122" t="str">
        <f t="shared" si="25"/>
        <v/>
      </c>
    </row>
    <row r="87" spans="2:51" ht="12.75">
      <c r="B87" s="20" t="str">
        <f t="shared" si="27"/>
        <v/>
      </c>
      <c r="C87" s="5"/>
      <c r="D87" s="5"/>
      <c r="E87" s="5"/>
      <c r="G87" s="5" t="str">
        <f t="shared" si="17"/>
        <v/>
      </c>
      <c r="H87" s="117" t="str">
        <f t="shared" ref="H87:H115" si="29">IF(IFERROR(FIND("varchar",E87),0)&gt;0,IF(D87&gt;8000,"max",D87),"")</f>
        <v/>
      </c>
      <c r="I87" s="5" t="str">
        <f t="shared" si="18"/>
        <v/>
      </c>
      <c r="J87" s="5" t="str">
        <f t="shared" si="19"/>
        <v/>
      </c>
      <c r="K87" s="5"/>
      <c r="L87" s="5"/>
      <c r="M87" s="75"/>
      <c r="N87" s="77"/>
      <c r="O87" s="26"/>
      <c r="P87" s="26"/>
      <c r="Q87" s="118" t="str">
        <f t="shared" si="20"/>
        <v/>
      </c>
      <c r="R87" s="153"/>
      <c r="S87" s="138" t="str">
        <f t="shared" si="26"/>
        <v/>
      </c>
      <c r="T87" s="148"/>
      <c r="U87" s="146"/>
      <c r="V87" s="146"/>
      <c r="W87" s="139"/>
      <c r="X87" s="139"/>
      <c r="Y87" s="148"/>
      <c r="Z87" s="138" t="str">
        <f t="shared" si="22"/>
        <v/>
      </c>
      <c r="AA87" s="138" t="str">
        <f t="shared" si="28"/>
        <v/>
      </c>
      <c r="AB87" s="239"/>
      <c r="AC87" s="325"/>
      <c r="AD87" s="325"/>
      <c r="AE87" s="325"/>
      <c r="AF87" s="325"/>
      <c r="AG87" s="325"/>
      <c r="AH87" s="325"/>
      <c r="AI87" s="325"/>
      <c r="AJ87" s="325"/>
      <c r="AK87" s="325"/>
      <c r="AL87" s="325"/>
      <c r="AM87" s="325"/>
      <c r="AN87" s="325"/>
      <c r="AO87" s="325"/>
      <c r="AP87" s="136"/>
      <c r="AQ87" s="136"/>
      <c r="AR87" s="136" t="str">
        <f t="shared" si="23"/>
        <v/>
      </c>
      <c r="AS87" s="136" t="str">
        <f t="shared" si="23"/>
        <v/>
      </c>
      <c r="AT87" s="5" t="str">
        <f t="shared" si="24"/>
        <v/>
      </c>
      <c r="AV87" s="27" t="str">
        <f>IF(G87="","",+"          ["&amp;TRIM(G87)&amp;"] ["&amp;TRIM(I87)&amp;"]"&amp;IF(H87="","","("&amp;H87&amp;")")&amp;" "&amp;TRIM(J87)&amp;IF(G93="","",","))</f>
        <v/>
      </c>
      <c r="AW87" s="27"/>
      <c r="AY87" s="122" t="str">
        <f t="shared" si="25"/>
        <v/>
      </c>
    </row>
    <row r="88" spans="2:51" ht="12.75">
      <c r="B88" s="20" t="str">
        <f t="shared" si="27"/>
        <v/>
      </c>
      <c r="C88" s="5"/>
      <c r="D88" s="5"/>
      <c r="E88" s="5"/>
      <c r="G88" s="5" t="str">
        <f t="shared" si="17"/>
        <v/>
      </c>
      <c r="H88" s="117" t="str">
        <f t="shared" si="29"/>
        <v/>
      </c>
      <c r="I88" s="5" t="str">
        <f t="shared" si="18"/>
        <v/>
      </c>
      <c r="J88" s="5" t="str">
        <f t="shared" si="19"/>
        <v/>
      </c>
      <c r="K88" s="5"/>
      <c r="L88" s="5"/>
      <c r="M88" s="75"/>
      <c r="N88" s="77"/>
      <c r="O88" s="26"/>
      <c r="P88" s="26"/>
      <c r="Q88" s="118" t="str">
        <f t="shared" si="20"/>
        <v/>
      </c>
      <c r="R88" s="153"/>
      <c r="S88" s="138" t="str">
        <f t="shared" si="26"/>
        <v/>
      </c>
      <c r="T88" s="148"/>
      <c r="U88" s="146"/>
      <c r="V88" s="146"/>
      <c r="W88" s="139"/>
      <c r="X88" s="139"/>
      <c r="Y88" s="148"/>
      <c r="Z88" s="138" t="str">
        <f t="shared" si="22"/>
        <v/>
      </c>
      <c r="AA88" s="138" t="str">
        <f t="shared" si="28"/>
        <v/>
      </c>
      <c r="AB88" s="239"/>
      <c r="AC88" s="325"/>
      <c r="AD88" s="325"/>
      <c r="AE88" s="325"/>
      <c r="AF88" s="325"/>
      <c r="AG88" s="325"/>
      <c r="AH88" s="325"/>
      <c r="AI88" s="325"/>
      <c r="AJ88" s="325"/>
      <c r="AK88" s="325"/>
      <c r="AL88" s="325"/>
      <c r="AM88" s="325"/>
      <c r="AN88" s="325"/>
      <c r="AO88" s="325"/>
      <c r="AP88" s="136"/>
      <c r="AQ88" s="136"/>
      <c r="AR88" s="136" t="str">
        <f t="shared" si="23"/>
        <v/>
      </c>
      <c r="AS88" s="136" t="str">
        <f t="shared" si="23"/>
        <v/>
      </c>
      <c r="AT88" s="5" t="str">
        <f t="shared" si="24"/>
        <v/>
      </c>
      <c r="AV88" s="27" t="str">
        <f>IF(G88="","",+"          ["&amp;TRIM(G88)&amp;"] ["&amp;TRIM(I88)&amp;"]"&amp;IF(H88="","","("&amp;H88&amp;")")&amp;" "&amp;TRIM(J88)&amp;IF(G89="","",","))</f>
        <v/>
      </c>
      <c r="AW88" s="27"/>
      <c r="AY88" s="122" t="str">
        <f t="shared" si="25"/>
        <v/>
      </c>
    </row>
    <row r="89" spans="2:51" ht="12.75">
      <c r="B89" s="20" t="str">
        <f t="shared" si="27"/>
        <v/>
      </c>
      <c r="C89" s="5"/>
      <c r="D89" s="5"/>
      <c r="E89" s="5"/>
      <c r="G89" s="5" t="str">
        <f t="shared" si="17"/>
        <v/>
      </c>
      <c r="H89" s="117" t="str">
        <f t="shared" si="29"/>
        <v/>
      </c>
      <c r="I89" s="5" t="str">
        <f t="shared" si="18"/>
        <v/>
      </c>
      <c r="J89" s="5" t="str">
        <f t="shared" si="19"/>
        <v/>
      </c>
      <c r="K89" s="5"/>
      <c r="L89" s="5"/>
      <c r="M89" s="75"/>
      <c r="N89" s="77"/>
      <c r="O89" s="26"/>
      <c r="P89" s="26"/>
      <c r="Q89" s="118" t="str">
        <f t="shared" si="20"/>
        <v/>
      </c>
      <c r="R89" s="153"/>
      <c r="S89" s="138" t="str">
        <f t="shared" si="26"/>
        <v/>
      </c>
      <c r="T89" s="148"/>
      <c r="U89" s="146"/>
      <c r="V89" s="146"/>
      <c r="W89" s="139"/>
      <c r="X89" s="139"/>
      <c r="Y89" s="148"/>
      <c r="Z89" s="138" t="str">
        <f t="shared" si="22"/>
        <v/>
      </c>
      <c r="AA89" s="138" t="str">
        <f t="shared" si="28"/>
        <v/>
      </c>
      <c r="AB89" s="239"/>
      <c r="AC89" s="325"/>
      <c r="AD89" s="325"/>
      <c r="AE89" s="325"/>
      <c r="AF89" s="325"/>
      <c r="AG89" s="325"/>
      <c r="AH89" s="325"/>
      <c r="AI89" s="325"/>
      <c r="AJ89" s="325"/>
      <c r="AK89" s="325"/>
      <c r="AL89" s="325"/>
      <c r="AM89" s="325"/>
      <c r="AN89" s="325"/>
      <c r="AO89" s="325"/>
      <c r="AP89" s="136"/>
      <c r="AQ89" s="136"/>
      <c r="AR89" s="136" t="str">
        <f t="shared" si="23"/>
        <v/>
      </c>
      <c r="AS89" s="136" t="str">
        <f t="shared" si="23"/>
        <v/>
      </c>
      <c r="AT89" s="5" t="str">
        <f t="shared" si="24"/>
        <v/>
      </c>
      <c r="AV89" s="27" t="str">
        <f>IF(G89="","",+"          ["&amp;TRIM(G89)&amp;"] ["&amp;TRIM(I89)&amp;"]"&amp;IF(H89="","","("&amp;H89&amp;")")&amp;" "&amp;TRIM(J89)&amp;IF(G92="","",","))</f>
        <v/>
      </c>
      <c r="AW89" s="27"/>
      <c r="AY89" s="122" t="str">
        <f t="shared" si="25"/>
        <v/>
      </c>
    </row>
    <row r="90" spans="2:51" ht="12.75">
      <c r="B90" s="20" t="str">
        <f t="shared" si="27"/>
        <v/>
      </c>
      <c r="C90" s="5"/>
      <c r="D90" s="5"/>
      <c r="E90" s="5"/>
      <c r="G90" s="5" t="str">
        <f t="shared" si="17"/>
        <v/>
      </c>
      <c r="H90" s="117" t="str">
        <f t="shared" si="29"/>
        <v/>
      </c>
      <c r="I90" s="5" t="str">
        <f t="shared" si="18"/>
        <v/>
      </c>
      <c r="J90" s="5" t="str">
        <f t="shared" si="19"/>
        <v/>
      </c>
      <c r="K90" s="5"/>
      <c r="L90" s="5"/>
      <c r="M90" s="75"/>
      <c r="N90" s="77"/>
      <c r="O90" s="26"/>
      <c r="P90" s="26"/>
      <c r="Q90" s="118" t="str">
        <f t="shared" si="20"/>
        <v/>
      </c>
      <c r="R90" s="153"/>
      <c r="S90" s="138" t="str">
        <f t="shared" si="26"/>
        <v/>
      </c>
      <c r="T90" s="148"/>
      <c r="U90" s="146"/>
      <c r="V90" s="146"/>
      <c r="W90" s="139"/>
      <c r="X90" s="139"/>
      <c r="Y90" s="148"/>
      <c r="Z90" s="138" t="str">
        <f t="shared" si="22"/>
        <v/>
      </c>
      <c r="AA90" s="138" t="str">
        <f t="shared" si="28"/>
        <v/>
      </c>
      <c r="AB90" s="239"/>
      <c r="AC90" s="325"/>
      <c r="AD90" s="325"/>
      <c r="AE90" s="325"/>
      <c r="AF90" s="325"/>
      <c r="AG90" s="325"/>
      <c r="AH90" s="325"/>
      <c r="AI90" s="325"/>
      <c r="AJ90" s="325"/>
      <c r="AK90" s="325"/>
      <c r="AL90" s="325"/>
      <c r="AM90" s="325"/>
      <c r="AN90" s="325"/>
      <c r="AO90" s="325"/>
      <c r="AP90" s="136"/>
      <c r="AQ90" s="136"/>
      <c r="AR90" s="136" t="str">
        <f t="shared" si="23"/>
        <v/>
      </c>
      <c r="AS90" s="136" t="str">
        <f t="shared" si="23"/>
        <v/>
      </c>
      <c r="AT90" s="5" t="str">
        <f t="shared" si="24"/>
        <v/>
      </c>
      <c r="AV90" s="27" t="str">
        <f t="shared" ref="AV90:AV95" si="30">IF(G90="","",+"          ["&amp;TRIM(G90)&amp;"] ["&amp;TRIM(I90)&amp;"]"&amp;IF(H90="","","("&amp;H90&amp;")")&amp;" "&amp;TRIM(J90)&amp;IF(G91="","",","))</f>
        <v/>
      </c>
      <c r="AW90" s="27"/>
      <c r="AY90" s="122" t="str">
        <f t="shared" si="25"/>
        <v/>
      </c>
    </row>
    <row r="91" spans="2:51" ht="12.75">
      <c r="B91" s="20" t="str">
        <f t="shared" si="27"/>
        <v/>
      </c>
      <c r="C91" s="5"/>
      <c r="D91" s="5"/>
      <c r="E91" s="5"/>
      <c r="G91" s="5" t="str">
        <f t="shared" si="17"/>
        <v/>
      </c>
      <c r="H91" s="117" t="str">
        <f t="shared" si="29"/>
        <v/>
      </c>
      <c r="I91" s="5" t="str">
        <f t="shared" si="18"/>
        <v/>
      </c>
      <c r="J91" s="5" t="str">
        <f t="shared" si="19"/>
        <v/>
      </c>
      <c r="K91" s="5"/>
      <c r="L91" s="5"/>
      <c r="M91" s="75"/>
      <c r="N91" s="77"/>
      <c r="O91" s="26"/>
      <c r="P91" s="26"/>
      <c r="Q91" s="118" t="str">
        <f t="shared" si="20"/>
        <v/>
      </c>
      <c r="R91" s="153"/>
      <c r="S91" s="138" t="str">
        <f t="shared" si="26"/>
        <v/>
      </c>
      <c r="T91" s="148"/>
      <c r="U91" s="146"/>
      <c r="V91" s="146"/>
      <c r="W91" s="139"/>
      <c r="X91" s="139"/>
      <c r="Y91" s="148"/>
      <c r="Z91" s="138" t="str">
        <f t="shared" si="22"/>
        <v/>
      </c>
      <c r="AA91" s="138" t="str">
        <f t="shared" si="28"/>
        <v/>
      </c>
      <c r="AB91" s="239"/>
      <c r="AC91" s="325"/>
      <c r="AD91" s="325"/>
      <c r="AE91" s="325"/>
      <c r="AF91" s="325"/>
      <c r="AG91" s="325"/>
      <c r="AH91" s="325"/>
      <c r="AI91" s="325"/>
      <c r="AJ91" s="325"/>
      <c r="AK91" s="325"/>
      <c r="AL91" s="325"/>
      <c r="AM91" s="325"/>
      <c r="AN91" s="325"/>
      <c r="AO91" s="325"/>
      <c r="AP91" s="136"/>
      <c r="AQ91" s="136"/>
      <c r="AR91" s="136" t="str">
        <f t="shared" si="23"/>
        <v/>
      </c>
      <c r="AS91" s="136" t="str">
        <f t="shared" si="23"/>
        <v/>
      </c>
      <c r="AT91" s="5" t="str">
        <f t="shared" si="24"/>
        <v/>
      </c>
      <c r="AV91" s="27" t="str">
        <f t="shared" si="30"/>
        <v/>
      </c>
      <c r="AW91" s="27"/>
      <c r="AY91" s="122" t="str">
        <f t="shared" si="25"/>
        <v/>
      </c>
    </row>
    <row r="92" spans="2:51" ht="12.75">
      <c r="B92" s="20" t="str">
        <f t="shared" si="27"/>
        <v/>
      </c>
      <c r="C92" s="5"/>
      <c r="D92" s="5"/>
      <c r="E92" s="5"/>
      <c r="G92" s="5" t="str">
        <f t="shared" si="17"/>
        <v/>
      </c>
      <c r="H92" s="117" t="str">
        <f t="shared" si="29"/>
        <v/>
      </c>
      <c r="I92" s="5" t="str">
        <f t="shared" si="18"/>
        <v/>
      </c>
      <c r="J92" s="5" t="str">
        <f t="shared" si="19"/>
        <v/>
      </c>
      <c r="K92" s="5"/>
      <c r="L92" s="5"/>
      <c r="M92" s="75"/>
      <c r="N92" s="77"/>
      <c r="O92" s="26"/>
      <c r="P92" s="26"/>
      <c r="Q92" s="118" t="str">
        <f t="shared" si="20"/>
        <v/>
      </c>
      <c r="R92" s="153"/>
      <c r="S92" s="138" t="str">
        <f t="shared" si="26"/>
        <v/>
      </c>
      <c r="T92" s="148"/>
      <c r="U92" s="146"/>
      <c r="V92" s="146"/>
      <c r="W92" s="139"/>
      <c r="X92" s="139"/>
      <c r="Y92" s="148"/>
      <c r="Z92" s="138" t="str">
        <f t="shared" si="22"/>
        <v/>
      </c>
      <c r="AA92" s="138" t="str">
        <f t="shared" si="28"/>
        <v/>
      </c>
      <c r="AB92" s="239"/>
      <c r="AC92" s="325"/>
      <c r="AD92" s="325"/>
      <c r="AE92" s="325"/>
      <c r="AF92" s="325"/>
      <c r="AG92" s="325"/>
      <c r="AH92" s="325"/>
      <c r="AI92" s="325"/>
      <c r="AJ92" s="325"/>
      <c r="AK92" s="325"/>
      <c r="AL92" s="325"/>
      <c r="AM92" s="325"/>
      <c r="AN92" s="325"/>
      <c r="AO92" s="325"/>
      <c r="AP92" s="136"/>
      <c r="AQ92" s="136"/>
      <c r="AR92" s="136" t="str">
        <f t="shared" si="23"/>
        <v/>
      </c>
      <c r="AS92" s="136" t="str">
        <f t="shared" si="23"/>
        <v/>
      </c>
      <c r="AT92" s="5" t="str">
        <f t="shared" si="24"/>
        <v/>
      </c>
      <c r="AV92" s="27" t="str">
        <f t="shared" si="30"/>
        <v/>
      </c>
      <c r="AW92" s="27"/>
      <c r="AY92" s="122" t="str">
        <f t="shared" si="25"/>
        <v/>
      </c>
    </row>
    <row r="93" spans="2:51" ht="12.75">
      <c r="B93" s="20" t="str">
        <f t="shared" si="27"/>
        <v/>
      </c>
      <c r="C93" s="5"/>
      <c r="D93" s="5"/>
      <c r="E93" s="5"/>
      <c r="G93" s="5" t="str">
        <f t="shared" si="17"/>
        <v/>
      </c>
      <c r="H93" s="117" t="str">
        <f t="shared" si="29"/>
        <v/>
      </c>
      <c r="I93" s="5" t="str">
        <f t="shared" si="18"/>
        <v/>
      </c>
      <c r="J93" s="5" t="str">
        <f t="shared" si="19"/>
        <v/>
      </c>
      <c r="K93" s="5"/>
      <c r="L93" s="5"/>
      <c r="M93" s="75"/>
      <c r="N93" s="77"/>
      <c r="O93" s="26"/>
      <c r="P93" s="26"/>
      <c r="Q93" s="118" t="str">
        <f t="shared" si="20"/>
        <v/>
      </c>
      <c r="R93" s="153"/>
      <c r="S93" s="138" t="str">
        <f t="shared" si="26"/>
        <v/>
      </c>
      <c r="T93" s="148"/>
      <c r="U93" s="146"/>
      <c r="V93" s="146"/>
      <c r="W93" s="139"/>
      <c r="X93" s="139"/>
      <c r="Y93" s="148"/>
      <c r="Z93" s="138" t="str">
        <f t="shared" si="22"/>
        <v/>
      </c>
      <c r="AA93" s="138" t="str">
        <f t="shared" si="28"/>
        <v/>
      </c>
      <c r="AB93" s="239"/>
      <c r="AC93" s="325"/>
      <c r="AD93" s="325"/>
      <c r="AE93" s="325"/>
      <c r="AF93" s="325"/>
      <c r="AG93" s="325"/>
      <c r="AH93" s="325"/>
      <c r="AI93" s="325"/>
      <c r="AJ93" s="325"/>
      <c r="AK93" s="325"/>
      <c r="AL93" s="325"/>
      <c r="AM93" s="325"/>
      <c r="AN93" s="325"/>
      <c r="AO93" s="325"/>
      <c r="AP93" s="136"/>
      <c r="AQ93" s="136"/>
      <c r="AR93" s="136" t="str">
        <f t="shared" si="23"/>
        <v/>
      </c>
      <c r="AS93" s="136" t="str">
        <f t="shared" si="23"/>
        <v/>
      </c>
      <c r="AT93" s="5" t="str">
        <f t="shared" si="24"/>
        <v/>
      </c>
      <c r="AV93" s="27" t="str">
        <f t="shared" si="30"/>
        <v/>
      </c>
      <c r="AW93" s="27"/>
      <c r="AY93" s="122" t="str">
        <f t="shared" si="25"/>
        <v/>
      </c>
    </row>
    <row r="94" spans="2:51" ht="12.75">
      <c r="B94" s="20" t="str">
        <f t="shared" si="27"/>
        <v/>
      </c>
      <c r="C94" s="5"/>
      <c r="D94" s="5"/>
      <c r="E94" s="5"/>
      <c r="G94" s="5" t="str">
        <f>SUBSTITUTE(SUBSTITUTE(SUBSTITUTE(SUBSTITUTE(SUBSTITUTE(SUBSTITUTE(SUBSTITUTE(SUBSTITUTE(SUBSTITUTE(C94," ",""),".",""),"#","No"),"%",""),"(",""),"*",""),"-",""),"/",""),")","")</f>
        <v/>
      </c>
      <c r="H94" s="117" t="str">
        <f t="shared" si="29"/>
        <v/>
      </c>
      <c r="I94" s="5" t="str">
        <f>IF(E94=0,"",+E94)</f>
        <v/>
      </c>
      <c r="J94" s="5" t="str">
        <f>IF(C94=0,"",(IF(ISERROR(VLOOKUP(G94,$D$120:$D$127,1,FALSE)),""," NOT")&amp;" NULL"))</f>
        <v/>
      </c>
      <c r="K94" s="5"/>
      <c r="L94" s="5"/>
      <c r="M94" s="75"/>
      <c r="N94" s="77"/>
      <c r="O94" s="26"/>
      <c r="P94" s="26"/>
      <c r="Q94" s="118" t="str">
        <f>IF(M94=0,"",ROW())</f>
        <v/>
      </c>
      <c r="R94" s="153"/>
      <c r="S94" s="138" t="str">
        <f t="shared" si="26"/>
        <v/>
      </c>
      <c r="T94" s="148"/>
      <c r="U94" s="146"/>
      <c r="V94" s="146"/>
      <c r="W94" s="139"/>
      <c r="X94" s="139"/>
      <c r="Y94" s="148"/>
      <c r="Z94" s="138" t="str">
        <f t="shared" si="22"/>
        <v/>
      </c>
      <c r="AA94" s="138" t="str">
        <f t="shared" si="28"/>
        <v/>
      </c>
      <c r="AB94" s="239"/>
      <c r="AC94" s="325"/>
      <c r="AD94" s="325"/>
      <c r="AE94" s="325"/>
      <c r="AF94" s="325"/>
      <c r="AG94" s="325"/>
      <c r="AH94" s="325"/>
      <c r="AI94" s="325"/>
      <c r="AJ94" s="325"/>
      <c r="AK94" s="325"/>
      <c r="AL94" s="325"/>
      <c r="AM94" s="325"/>
      <c r="AN94" s="325"/>
      <c r="AO94" s="325"/>
      <c r="AP94" s="136"/>
      <c r="AQ94" s="136"/>
      <c r="AR94" s="136" t="str">
        <f t="shared" si="23"/>
        <v/>
      </c>
      <c r="AS94" s="136" t="str">
        <f t="shared" si="23"/>
        <v/>
      </c>
      <c r="AT94" s="5" t="str">
        <f t="shared" si="24"/>
        <v/>
      </c>
      <c r="AV94" s="27" t="str">
        <f t="shared" si="30"/>
        <v/>
      </c>
      <c r="AW94" s="27"/>
      <c r="AY94" s="122" t="str">
        <f t="shared" si="25"/>
        <v/>
      </c>
    </row>
    <row r="95" spans="2:51" ht="12.75">
      <c r="B95" s="20" t="str">
        <f t="shared" si="27"/>
        <v/>
      </c>
      <c r="C95" s="5"/>
      <c r="D95" s="5"/>
      <c r="E95" s="5"/>
      <c r="G95" s="5" t="str">
        <f>SUBSTITUTE(SUBSTITUTE(SUBSTITUTE(SUBSTITUTE(SUBSTITUTE(SUBSTITUTE(SUBSTITUTE(SUBSTITUTE(SUBSTITUTE(C95," ",""),".",""),"#","No"),"%",""),"(",""),"*",""),"-",""),"/",""),")","")</f>
        <v/>
      </c>
      <c r="H95" s="117" t="str">
        <f t="shared" si="29"/>
        <v/>
      </c>
      <c r="I95" s="5" t="str">
        <f>IF(E95=0,"",+E95)</f>
        <v/>
      </c>
      <c r="J95" s="5" t="str">
        <f>IF(C95=0,"",(IF(ISERROR(VLOOKUP(G95,$D$120:$D$127,1,FALSE)),""," NOT")&amp;" NULL"))</f>
        <v/>
      </c>
      <c r="K95" s="5"/>
      <c r="L95" s="5"/>
      <c r="M95" s="75"/>
      <c r="N95" s="77"/>
      <c r="O95" s="26"/>
      <c r="P95" s="26"/>
      <c r="Q95" s="118" t="str">
        <f>IF(M95=0,"",ROW())</f>
        <v/>
      </c>
      <c r="R95" s="153"/>
      <c r="S95" s="138" t="str">
        <f t="shared" si="26"/>
        <v/>
      </c>
      <c r="T95" s="148"/>
      <c r="U95" s="146"/>
      <c r="V95" s="146"/>
      <c r="W95" s="139"/>
      <c r="X95" s="139"/>
      <c r="Y95" s="148"/>
      <c r="Z95" s="138" t="str">
        <f t="shared" si="22"/>
        <v/>
      </c>
      <c r="AA95" s="138" t="str">
        <f t="shared" si="28"/>
        <v/>
      </c>
      <c r="AB95" s="239"/>
      <c r="AC95" s="325"/>
      <c r="AD95" s="325"/>
      <c r="AE95" s="325"/>
      <c r="AF95" s="325"/>
      <c r="AG95" s="325"/>
      <c r="AH95" s="325"/>
      <c r="AI95" s="325"/>
      <c r="AJ95" s="325"/>
      <c r="AK95" s="325"/>
      <c r="AL95" s="325"/>
      <c r="AM95" s="325"/>
      <c r="AN95" s="325"/>
      <c r="AO95" s="325"/>
      <c r="AP95" s="136"/>
      <c r="AQ95" s="136"/>
      <c r="AR95" s="136" t="str">
        <f t="shared" si="23"/>
        <v/>
      </c>
      <c r="AS95" s="136" t="str">
        <f t="shared" si="23"/>
        <v/>
      </c>
      <c r="AT95" s="5" t="str">
        <f t="shared" si="24"/>
        <v/>
      </c>
      <c r="AV95" s="27" t="str">
        <f t="shared" si="30"/>
        <v/>
      </c>
      <c r="AW95" s="27"/>
      <c r="AY95" s="122" t="str">
        <f t="shared" si="25"/>
        <v/>
      </c>
    </row>
    <row r="96" spans="2:51" ht="12.75">
      <c r="B96" s="20" t="str">
        <f t="shared" si="27"/>
        <v/>
      </c>
      <c r="C96" s="5"/>
      <c r="D96" s="5"/>
      <c r="E96" s="5"/>
      <c r="G96" s="5" t="str">
        <f>SUBSTITUTE(SUBSTITUTE(SUBSTITUTE(SUBSTITUTE(SUBSTITUTE(SUBSTITUTE(SUBSTITUTE(SUBSTITUTE(SUBSTITUTE(C96," ",""),".",""),"#","No"),"%",""),"(",""),"*",""),"-",""),"/",""),")","")</f>
        <v/>
      </c>
      <c r="H96" s="117" t="str">
        <f t="shared" si="29"/>
        <v/>
      </c>
      <c r="I96" s="5" t="str">
        <f>IF(E96=0,"",+E96)</f>
        <v/>
      </c>
      <c r="J96" s="5" t="str">
        <f>IF(C96=0,"",(IF(ISERROR(VLOOKUP(G96,$D$120:$D$127,1,FALSE)),""," NOT")&amp;" NULL"))</f>
        <v/>
      </c>
      <c r="K96" s="5"/>
      <c r="L96" s="5"/>
      <c r="M96" s="75"/>
      <c r="N96" s="77"/>
      <c r="O96" s="26"/>
      <c r="P96" s="26"/>
      <c r="Q96" s="118" t="str">
        <f>IF(M96=0,"",ROW())</f>
        <v/>
      </c>
      <c r="R96" s="153"/>
      <c r="S96" s="138" t="str">
        <f t="shared" si="26"/>
        <v/>
      </c>
      <c r="T96" s="148"/>
      <c r="U96" s="146"/>
      <c r="V96" s="146"/>
      <c r="W96" s="139"/>
      <c r="X96" s="139"/>
      <c r="Y96" s="148"/>
      <c r="Z96" s="138" t="str">
        <f t="shared" si="22"/>
        <v/>
      </c>
      <c r="AA96" s="138" t="str">
        <f t="shared" si="28"/>
        <v/>
      </c>
      <c r="AB96" s="239"/>
      <c r="AC96" s="325"/>
      <c r="AD96" s="325"/>
      <c r="AE96" s="325"/>
      <c r="AF96" s="325"/>
      <c r="AG96" s="325"/>
      <c r="AH96" s="325"/>
      <c r="AI96" s="325"/>
      <c r="AJ96" s="325"/>
      <c r="AK96" s="325"/>
      <c r="AL96" s="325"/>
      <c r="AM96" s="325"/>
      <c r="AN96" s="325"/>
      <c r="AO96" s="325"/>
      <c r="AP96" s="136"/>
      <c r="AQ96" s="136"/>
      <c r="AR96" s="136" t="str">
        <f t="shared" si="23"/>
        <v/>
      </c>
      <c r="AS96" s="136" t="str">
        <f t="shared" si="23"/>
        <v/>
      </c>
      <c r="AT96" s="5" t="str">
        <f t="shared" si="24"/>
        <v/>
      </c>
      <c r="AV96" s="27" t="str">
        <f>IF(G96="","",+"          ["&amp;TRIM(G96)&amp;"] ["&amp;TRIM(I96)&amp;"]"&amp;IF(H96="","","("&amp;H96&amp;")")&amp;" "&amp;TRIM(J96)&amp;IF(G108="","",","))</f>
        <v/>
      </c>
      <c r="AW96" s="27"/>
      <c r="AY96" s="122" t="str">
        <f t="shared" si="25"/>
        <v/>
      </c>
    </row>
    <row r="97" spans="2:51" ht="12.75">
      <c r="B97" s="20" t="str">
        <f t="shared" si="27"/>
        <v/>
      </c>
      <c r="C97" s="5"/>
      <c r="D97" s="5"/>
      <c r="E97" s="5"/>
      <c r="G97" s="5" t="str">
        <f t="shared" ref="G97:G115" si="31">SUBSTITUTE(SUBSTITUTE(SUBSTITUTE(SUBSTITUTE(SUBSTITUTE(SUBSTITUTE(SUBSTITUTE(SUBSTITUTE(SUBSTITUTE(C97," ",""),".",""),"#","No"),"%",""),"(",""),"*",""),"-",""),"/",""),")","")</f>
        <v/>
      </c>
      <c r="H97" s="117" t="str">
        <f t="shared" si="29"/>
        <v/>
      </c>
      <c r="I97" s="5" t="str">
        <f t="shared" ref="I97:I115" si="32">IF(E97=0,"",+E97)</f>
        <v/>
      </c>
      <c r="J97" s="5" t="str">
        <f t="shared" ref="J97:J115" si="33">IF(C97=0,"",(IF(ISERROR(VLOOKUP(G97,$D$120:$D$127,1,FALSE)),""," NOT")&amp;" NULL"))</f>
        <v/>
      </c>
      <c r="K97" s="5"/>
      <c r="L97" s="5"/>
      <c r="M97" s="75"/>
      <c r="N97" s="77"/>
      <c r="O97" s="26"/>
      <c r="P97" s="26"/>
      <c r="Q97" s="118" t="str">
        <f t="shared" ref="Q97:Q115" si="34">IF(M97=0,"",ROW())</f>
        <v/>
      </c>
      <c r="R97" s="153"/>
      <c r="S97" s="138" t="str">
        <f t="shared" si="26"/>
        <v/>
      </c>
      <c r="T97" s="148"/>
      <c r="U97" s="146"/>
      <c r="V97" s="146"/>
      <c r="W97" s="139"/>
      <c r="X97" s="139"/>
      <c r="Y97" s="148"/>
      <c r="Z97" s="138" t="str">
        <f t="shared" si="22"/>
        <v/>
      </c>
      <c r="AA97" s="138" t="str">
        <f t="shared" si="28"/>
        <v/>
      </c>
      <c r="AB97" s="239"/>
      <c r="AC97" s="325"/>
      <c r="AD97" s="325"/>
      <c r="AE97" s="325"/>
      <c r="AF97" s="325"/>
      <c r="AG97" s="325"/>
      <c r="AH97" s="325"/>
      <c r="AI97" s="325"/>
      <c r="AJ97" s="325"/>
      <c r="AK97" s="325"/>
      <c r="AL97" s="325"/>
      <c r="AM97" s="325"/>
      <c r="AN97" s="325"/>
      <c r="AO97" s="325"/>
      <c r="AP97" s="136"/>
      <c r="AQ97" s="136"/>
      <c r="AR97" s="136" t="str">
        <f t="shared" si="23"/>
        <v/>
      </c>
      <c r="AS97" s="136" t="str">
        <f t="shared" si="23"/>
        <v/>
      </c>
      <c r="AT97" s="5" t="str">
        <f t="shared" si="24"/>
        <v/>
      </c>
      <c r="AV97" s="27" t="str">
        <f>IF(G97="","",+"          ["&amp;TRIM(G97)&amp;"] ["&amp;TRIM(I97)&amp;"]"&amp;IF(H97="","","("&amp;H97&amp;")")&amp;" "&amp;TRIM(J97)&amp;IF(G98="","",","))</f>
        <v/>
      </c>
      <c r="AW97" s="27"/>
      <c r="AY97" s="122" t="str">
        <f t="shared" si="25"/>
        <v/>
      </c>
    </row>
    <row r="98" spans="2:51" ht="12.75">
      <c r="B98" s="20" t="str">
        <f t="shared" si="27"/>
        <v/>
      </c>
      <c r="C98" s="5"/>
      <c r="D98" s="5"/>
      <c r="E98" s="5"/>
      <c r="G98" s="5" t="str">
        <f t="shared" si="31"/>
        <v/>
      </c>
      <c r="H98" s="117" t="str">
        <f t="shared" si="29"/>
        <v/>
      </c>
      <c r="I98" s="5" t="str">
        <f t="shared" si="32"/>
        <v/>
      </c>
      <c r="J98" s="5" t="str">
        <f t="shared" si="33"/>
        <v/>
      </c>
      <c r="K98" s="5"/>
      <c r="L98" s="5"/>
      <c r="M98" s="75"/>
      <c r="N98" s="77"/>
      <c r="O98" s="26"/>
      <c r="P98" s="26"/>
      <c r="Q98" s="118" t="str">
        <f t="shared" si="34"/>
        <v/>
      </c>
      <c r="R98" s="153"/>
      <c r="S98" s="138" t="str">
        <f t="shared" si="26"/>
        <v/>
      </c>
      <c r="T98" s="148"/>
      <c r="U98" s="146"/>
      <c r="V98" s="146"/>
      <c r="W98" s="139"/>
      <c r="X98" s="139"/>
      <c r="Y98" s="148"/>
      <c r="Z98" s="138" t="str">
        <f t="shared" si="22"/>
        <v/>
      </c>
      <c r="AA98" s="138" t="str">
        <f t="shared" si="28"/>
        <v/>
      </c>
      <c r="AB98" s="239"/>
      <c r="AC98" s="325"/>
      <c r="AD98" s="325"/>
      <c r="AE98" s="325"/>
      <c r="AF98" s="325"/>
      <c r="AG98" s="325"/>
      <c r="AH98" s="325"/>
      <c r="AI98" s="325"/>
      <c r="AJ98" s="325"/>
      <c r="AK98" s="325"/>
      <c r="AL98" s="325"/>
      <c r="AM98" s="325"/>
      <c r="AN98" s="325"/>
      <c r="AO98" s="325"/>
      <c r="AP98" s="136"/>
      <c r="AQ98" s="136"/>
      <c r="AR98" s="136" t="str">
        <f t="shared" si="23"/>
        <v/>
      </c>
      <c r="AS98" s="136" t="str">
        <f t="shared" si="23"/>
        <v/>
      </c>
      <c r="AT98" s="5" t="str">
        <f t="shared" si="24"/>
        <v/>
      </c>
      <c r="AV98" s="27" t="str">
        <f>IF(G98="","",+"          ["&amp;TRIM(G98)&amp;"] ["&amp;TRIM(I98)&amp;"]"&amp;IF(H98="","","("&amp;H98&amp;")")&amp;" "&amp;TRIM(J98)&amp;IF(G107="","",","))</f>
        <v/>
      </c>
      <c r="AW98" s="27"/>
      <c r="AY98" s="122" t="str">
        <f t="shared" si="25"/>
        <v/>
      </c>
    </row>
    <row r="99" spans="2:51" ht="12.75">
      <c r="B99" s="20" t="str">
        <f t="shared" si="27"/>
        <v/>
      </c>
      <c r="C99" s="5"/>
      <c r="D99" s="5"/>
      <c r="E99" s="5"/>
      <c r="G99" s="5" t="str">
        <f t="shared" si="31"/>
        <v/>
      </c>
      <c r="H99" s="117" t="str">
        <f t="shared" si="29"/>
        <v/>
      </c>
      <c r="I99" s="5" t="str">
        <f t="shared" si="32"/>
        <v/>
      </c>
      <c r="J99" s="5" t="str">
        <f t="shared" si="33"/>
        <v/>
      </c>
      <c r="K99" s="5"/>
      <c r="L99" s="5"/>
      <c r="M99" s="75"/>
      <c r="N99" s="77"/>
      <c r="O99" s="26"/>
      <c r="P99" s="26"/>
      <c r="Q99" s="118" t="str">
        <f t="shared" si="34"/>
        <v/>
      </c>
      <c r="R99" s="153"/>
      <c r="S99" s="138" t="str">
        <f t="shared" si="26"/>
        <v/>
      </c>
      <c r="T99" s="148"/>
      <c r="U99" s="146"/>
      <c r="V99" s="146"/>
      <c r="W99" s="139"/>
      <c r="X99" s="139"/>
      <c r="Y99" s="148"/>
      <c r="Z99" s="138" t="str">
        <f t="shared" si="22"/>
        <v/>
      </c>
      <c r="AA99" s="138" t="str">
        <f t="shared" si="28"/>
        <v/>
      </c>
      <c r="AB99" s="239"/>
      <c r="AC99" s="325"/>
      <c r="AD99" s="325"/>
      <c r="AE99" s="325"/>
      <c r="AF99" s="325"/>
      <c r="AG99" s="325"/>
      <c r="AH99" s="325"/>
      <c r="AI99" s="325"/>
      <c r="AJ99" s="325"/>
      <c r="AK99" s="325"/>
      <c r="AL99" s="325"/>
      <c r="AM99" s="325"/>
      <c r="AN99" s="325"/>
      <c r="AO99" s="325"/>
      <c r="AP99" s="136"/>
      <c r="AQ99" s="136"/>
      <c r="AR99" s="136" t="str">
        <f t="shared" si="23"/>
        <v/>
      </c>
      <c r="AS99" s="136" t="str">
        <f t="shared" si="23"/>
        <v/>
      </c>
      <c r="AT99" s="5" t="str">
        <f t="shared" si="24"/>
        <v/>
      </c>
      <c r="AV99" s="27" t="str">
        <f>IF(G99="","",+"          ["&amp;TRIM(G99)&amp;"] ["&amp;TRIM(I99)&amp;"]"&amp;IF(H99="","","("&amp;H99&amp;")")&amp;" "&amp;TRIM(J99)&amp;IF(G106="","",","))</f>
        <v/>
      </c>
      <c r="AW99" s="27"/>
      <c r="AY99" s="122" t="str">
        <f t="shared" si="25"/>
        <v/>
      </c>
    </row>
    <row r="100" spans="2:51" ht="12.75">
      <c r="B100" s="20" t="str">
        <f t="shared" si="27"/>
        <v/>
      </c>
      <c r="C100" s="5"/>
      <c r="D100" s="5"/>
      <c r="E100" s="5"/>
      <c r="G100" s="5" t="str">
        <f t="shared" si="31"/>
        <v/>
      </c>
      <c r="H100" s="117" t="str">
        <f t="shared" si="29"/>
        <v/>
      </c>
      <c r="I100" s="5" t="str">
        <f t="shared" si="32"/>
        <v/>
      </c>
      <c r="J100" s="5" t="str">
        <f t="shared" si="33"/>
        <v/>
      </c>
      <c r="K100" s="5"/>
      <c r="L100" s="5"/>
      <c r="M100" s="75"/>
      <c r="N100" s="77"/>
      <c r="O100" s="26"/>
      <c r="P100" s="26"/>
      <c r="Q100" s="118" t="str">
        <f t="shared" si="34"/>
        <v/>
      </c>
      <c r="R100" s="153"/>
      <c r="S100" s="138" t="str">
        <f t="shared" si="26"/>
        <v/>
      </c>
      <c r="T100" s="148"/>
      <c r="U100" s="146"/>
      <c r="V100" s="146"/>
      <c r="W100" s="139"/>
      <c r="X100" s="139"/>
      <c r="Y100" s="148"/>
      <c r="Z100" s="138" t="str">
        <f t="shared" si="22"/>
        <v/>
      </c>
      <c r="AA100" s="138" t="str">
        <f t="shared" si="28"/>
        <v/>
      </c>
      <c r="AB100" s="239"/>
      <c r="AC100" s="325"/>
      <c r="AD100" s="325"/>
      <c r="AE100" s="325"/>
      <c r="AF100" s="325"/>
      <c r="AG100" s="325"/>
      <c r="AH100" s="325"/>
      <c r="AI100" s="325"/>
      <c r="AJ100" s="325"/>
      <c r="AK100" s="325"/>
      <c r="AL100" s="325"/>
      <c r="AM100" s="325"/>
      <c r="AN100" s="325"/>
      <c r="AO100" s="325"/>
      <c r="AP100" s="136"/>
      <c r="AQ100" s="136"/>
      <c r="AR100" s="136" t="str">
        <f t="shared" si="23"/>
        <v/>
      </c>
      <c r="AS100" s="136" t="str">
        <f t="shared" si="23"/>
        <v/>
      </c>
      <c r="AT100" s="5" t="str">
        <f t="shared" si="24"/>
        <v/>
      </c>
      <c r="AV100" s="27" t="str">
        <f>IF(G100="","",+"          ["&amp;TRIM(G100)&amp;"] ["&amp;TRIM(I100)&amp;"]"&amp;IF(H100="","","("&amp;H100&amp;")")&amp;" "&amp;TRIM(J100)&amp;IF(G101="","",","))</f>
        <v/>
      </c>
      <c r="AW100" s="27"/>
      <c r="AY100" s="122" t="str">
        <f t="shared" si="25"/>
        <v/>
      </c>
    </row>
    <row r="101" spans="2:51" ht="12.75">
      <c r="B101" s="20" t="str">
        <f t="shared" si="27"/>
        <v/>
      </c>
      <c r="C101" s="5"/>
      <c r="D101" s="5"/>
      <c r="E101" s="5"/>
      <c r="G101" s="5" t="str">
        <f t="shared" si="31"/>
        <v/>
      </c>
      <c r="H101" s="117" t="str">
        <f t="shared" si="29"/>
        <v/>
      </c>
      <c r="I101" s="5" t="str">
        <f t="shared" si="32"/>
        <v/>
      </c>
      <c r="J101" s="5" t="str">
        <f t="shared" si="33"/>
        <v/>
      </c>
      <c r="K101" s="5"/>
      <c r="L101" s="5"/>
      <c r="M101" s="75"/>
      <c r="N101" s="77"/>
      <c r="O101" s="26"/>
      <c r="P101" s="26"/>
      <c r="Q101" s="118" t="str">
        <f t="shared" si="34"/>
        <v/>
      </c>
      <c r="R101" s="153"/>
      <c r="S101" s="138" t="str">
        <f t="shared" si="26"/>
        <v/>
      </c>
      <c r="T101" s="148"/>
      <c r="U101" s="146"/>
      <c r="V101" s="146"/>
      <c r="W101" s="139"/>
      <c r="X101" s="139"/>
      <c r="Y101" s="148"/>
      <c r="Z101" s="138" t="str">
        <f t="shared" si="22"/>
        <v/>
      </c>
      <c r="AA101" s="138" t="str">
        <f t="shared" si="28"/>
        <v/>
      </c>
      <c r="AB101" s="239"/>
      <c r="AC101" s="325"/>
      <c r="AD101" s="325"/>
      <c r="AE101" s="325"/>
      <c r="AF101" s="325"/>
      <c r="AG101" s="325"/>
      <c r="AH101" s="325"/>
      <c r="AI101" s="325"/>
      <c r="AJ101" s="325"/>
      <c r="AK101" s="325"/>
      <c r="AL101" s="325"/>
      <c r="AM101" s="325"/>
      <c r="AN101" s="325"/>
      <c r="AO101" s="325"/>
      <c r="AP101" s="136"/>
      <c r="AQ101" s="136"/>
      <c r="AR101" s="136" t="str">
        <f t="shared" si="23"/>
        <v/>
      </c>
      <c r="AS101" s="136" t="str">
        <f t="shared" si="23"/>
        <v/>
      </c>
      <c r="AT101" s="5" t="str">
        <f t="shared" si="24"/>
        <v/>
      </c>
      <c r="AV101" s="27" t="str">
        <f>IF(G101="","",+"          ["&amp;TRIM(G101)&amp;"] ["&amp;TRIM(I101)&amp;"]"&amp;IF(H101="","","("&amp;H101&amp;")")&amp;" "&amp;TRIM(J101)&amp;IF(G102="","",","))</f>
        <v/>
      </c>
      <c r="AW101" s="27"/>
      <c r="AY101" s="122" t="str">
        <f t="shared" si="25"/>
        <v/>
      </c>
    </row>
    <row r="102" spans="2:51" ht="12.75">
      <c r="B102" s="20" t="str">
        <f t="shared" si="27"/>
        <v/>
      </c>
      <c r="C102" s="5"/>
      <c r="D102" s="5"/>
      <c r="E102" s="5"/>
      <c r="G102" s="5" t="str">
        <f t="shared" si="31"/>
        <v/>
      </c>
      <c r="H102" s="117" t="str">
        <f t="shared" si="29"/>
        <v/>
      </c>
      <c r="I102" s="5" t="str">
        <f t="shared" si="32"/>
        <v/>
      </c>
      <c r="J102" s="5" t="str">
        <f t="shared" si="33"/>
        <v/>
      </c>
      <c r="K102" s="5"/>
      <c r="L102" s="5"/>
      <c r="M102" s="75"/>
      <c r="N102" s="77"/>
      <c r="O102" s="26"/>
      <c r="P102" s="26"/>
      <c r="Q102" s="118" t="str">
        <f t="shared" si="34"/>
        <v/>
      </c>
      <c r="R102" s="153"/>
      <c r="S102" s="138" t="str">
        <f t="shared" si="26"/>
        <v/>
      </c>
      <c r="T102" s="148"/>
      <c r="U102" s="146"/>
      <c r="V102" s="146"/>
      <c r="W102" s="139"/>
      <c r="X102" s="139"/>
      <c r="Y102" s="148"/>
      <c r="Z102" s="138" t="str">
        <f t="shared" si="22"/>
        <v/>
      </c>
      <c r="AA102" s="138" t="str">
        <f t="shared" si="28"/>
        <v/>
      </c>
      <c r="AB102" s="239"/>
      <c r="AC102" s="325"/>
      <c r="AD102" s="325"/>
      <c r="AE102" s="325"/>
      <c r="AF102" s="325"/>
      <c r="AG102" s="325"/>
      <c r="AH102" s="325"/>
      <c r="AI102" s="325"/>
      <c r="AJ102" s="325"/>
      <c r="AK102" s="325"/>
      <c r="AL102" s="325"/>
      <c r="AM102" s="325"/>
      <c r="AN102" s="325"/>
      <c r="AO102" s="325"/>
      <c r="AP102" s="136"/>
      <c r="AQ102" s="136"/>
      <c r="AR102" s="136" t="str">
        <f t="shared" si="23"/>
        <v/>
      </c>
      <c r="AS102" s="136" t="str">
        <f t="shared" si="23"/>
        <v/>
      </c>
      <c r="AT102" s="5" t="str">
        <f t="shared" si="24"/>
        <v/>
      </c>
      <c r="AV102" s="27" t="str">
        <f>IF(G102="","",+"          ["&amp;TRIM(G102)&amp;"] ["&amp;TRIM(I102)&amp;"]"&amp;IF(H102="","","("&amp;H102&amp;")")&amp;" "&amp;TRIM(J102)&amp;IF(G103="","",","))</f>
        <v/>
      </c>
      <c r="AW102" s="27"/>
      <c r="AY102" s="122" t="str">
        <f t="shared" si="25"/>
        <v/>
      </c>
    </row>
    <row r="103" spans="2:51" ht="12.75">
      <c r="B103" s="20" t="str">
        <f t="shared" si="27"/>
        <v/>
      </c>
      <c r="C103" s="5"/>
      <c r="D103" s="5"/>
      <c r="E103" s="5"/>
      <c r="G103" s="5" t="str">
        <f t="shared" si="31"/>
        <v/>
      </c>
      <c r="H103" s="117" t="str">
        <f t="shared" si="29"/>
        <v/>
      </c>
      <c r="I103" s="5" t="str">
        <f t="shared" si="32"/>
        <v/>
      </c>
      <c r="J103" s="5" t="str">
        <f t="shared" si="33"/>
        <v/>
      </c>
      <c r="K103" s="5"/>
      <c r="L103" s="5"/>
      <c r="M103" s="75"/>
      <c r="N103" s="77"/>
      <c r="O103" s="26"/>
      <c r="P103" s="26"/>
      <c r="Q103" s="118" t="str">
        <f t="shared" si="34"/>
        <v/>
      </c>
      <c r="R103" s="153"/>
      <c r="S103" s="138" t="str">
        <f t="shared" si="26"/>
        <v/>
      </c>
      <c r="T103" s="148"/>
      <c r="U103" s="146"/>
      <c r="V103" s="146"/>
      <c r="W103" s="139"/>
      <c r="X103" s="139"/>
      <c r="Y103" s="148"/>
      <c r="Z103" s="138" t="str">
        <f t="shared" si="22"/>
        <v/>
      </c>
      <c r="AA103" s="138" t="str">
        <f t="shared" si="28"/>
        <v/>
      </c>
      <c r="AB103" s="239"/>
      <c r="AC103" s="325"/>
      <c r="AD103" s="325"/>
      <c r="AE103" s="325"/>
      <c r="AF103" s="325"/>
      <c r="AG103" s="325"/>
      <c r="AH103" s="325"/>
      <c r="AI103" s="325"/>
      <c r="AJ103" s="325"/>
      <c r="AK103" s="325"/>
      <c r="AL103" s="325"/>
      <c r="AM103" s="325"/>
      <c r="AN103" s="325"/>
      <c r="AO103" s="325"/>
      <c r="AP103" s="136"/>
      <c r="AQ103" s="136"/>
      <c r="AR103" s="136" t="str">
        <f t="shared" si="23"/>
        <v/>
      </c>
      <c r="AS103" s="136" t="str">
        <f t="shared" si="23"/>
        <v/>
      </c>
      <c r="AT103" s="5" t="str">
        <f t="shared" si="24"/>
        <v/>
      </c>
      <c r="AV103" s="27" t="str">
        <f>IF(G103="","",+"          ["&amp;TRIM(G103)&amp;"] ["&amp;TRIM(I103)&amp;"]"&amp;IF(H103="","","("&amp;H103&amp;")")&amp;" "&amp;TRIM(J103)&amp;IF(G106="","",","))</f>
        <v/>
      </c>
      <c r="AW103" s="27"/>
      <c r="AY103" s="122" t="str">
        <f t="shared" si="25"/>
        <v/>
      </c>
    </row>
    <row r="104" spans="2:51" ht="12.75">
      <c r="B104" s="20" t="str">
        <f t="shared" si="27"/>
        <v/>
      </c>
      <c r="C104" s="5"/>
      <c r="D104" s="5"/>
      <c r="E104" s="5"/>
      <c r="G104" s="5" t="str">
        <f t="shared" si="31"/>
        <v/>
      </c>
      <c r="H104" s="117" t="str">
        <f t="shared" si="29"/>
        <v/>
      </c>
      <c r="I104" s="5" t="str">
        <f t="shared" si="32"/>
        <v/>
      </c>
      <c r="J104" s="5" t="str">
        <f t="shared" si="33"/>
        <v/>
      </c>
      <c r="K104" s="5"/>
      <c r="L104" s="5"/>
      <c r="M104" s="75"/>
      <c r="N104" s="77"/>
      <c r="O104" s="26"/>
      <c r="P104" s="26"/>
      <c r="Q104" s="118" t="str">
        <f t="shared" si="34"/>
        <v/>
      </c>
      <c r="R104" s="153"/>
      <c r="S104" s="138" t="str">
        <f t="shared" si="26"/>
        <v/>
      </c>
      <c r="T104" s="148"/>
      <c r="U104" s="146"/>
      <c r="V104" s="146"/>
      <c r="W104" s="139"/>
      <c r="X104" s="139"/>
      <c r="Y104" s="148"/>
      <c r="Z104" s="138" t="str">
        <f t="shared" si="22"/>
        <v/>
      </c>
      <c r="AA104" s="138" t="str">
        <f t="shared" si="28"/>
        <v/>
      </c>
      <c r="AB104" s="239"/>
      <c r="AC104" s="325"/>
      <c r="AD104" s="325"/>
      <c r="AE104" s="325"/>
      <c r="AF104" s="325"/>
      <c r="AG104" s="325"/>
      <c r="AH104" s="325"/>
      <c r="AI104" s="325"/>
      <c r="AJ104" s="325"/>
      <c r="AK104" s="325"/>
      <c r="AL104" s="325"/>
      <c r="AM104" s="325"/>
      <c r="AN104" s="325"/>
      <c r="AO104" s="325"/>
      <c r="AP104" s="136"/>
      <c r="AQ104" s="136"/>
      <c r="AR104" s="136" t="str">
        <f t="shared" si="23"/>
        <v/>
      </c>
      <c r="AS104" s="136" t="str">
        <f t="shared" si="23"/>
        <v/>
      </c>
      <c r="AT104" s="5" t="str">
        <f t="shared" si="24"/>
        <v/>
      </c>
      <c r="AV104" s="27" t="str">
        <f t="shared" ref="AV104:AV115" si="35">IF(G104="","",+"          ["&amp;TRIM(G104)&amp;"] ["&amp;TRIM(I104)&amp;"]"&amp;IF(H104="","","("&amp;H104&amp;")")&amp;" "&amp;TRIM(J104)&amp;IF(G105="","",","))</f>
        <v/>
      </c>
      <c r="AW104" s="27"/>
      <c r="AY104" s="122" t="str">
        <f t="shared" si="25"/>
        <v/>
      </c>
    </row>
    <row r="105" spans="2:51" ht="12.75">
      <c r="B105" s="20" t="str">
        <f t="shared" si="27"/>
        <v/>
      </c>
      <c r="C105" s="5"/>
      <c r="D105" s="5"/>
      <c r="E105" s="5"/>
      <c r="G105" s="5" t="str">
        <f t="shared" si="31"/>
        <v/>
      </c>
      <c r="H105" s="117" t="str">
        <f t="shared" si="29"/>
        <v/>
      </c>
      <c r="I105" s="5" t="str">
        <f t="shared" si="32"/>
        <v/>
      </c>
      <c r="J105" s="5" t="str">
        <f t="shared" si="33"/>
        <v/>
      </c>
      <c r="K105" s="5"/>
      <c r="L105" s="5"/>
      <c r="M105" s="75"/>
      <c r="N105" s="77"/>
      <c r="O105" s="26"/>
      <c r="P105" s="26"/>
      <c r="Q105" s="118" t="str">
        <f t="shared" si="34"/>
        <v/>
      </c>
      <c r="R105" s="153"/>
      <c r="S105" s="138" t="str">
        <f t="shared" si="26"/>
        <v/>
      </c>
      <c r="T105" s="148"/>
      <c r="U105" s="146"/>
      <c r="V105" s="146"/>
      <c r="W105" s="139"/>
      <c r="X105" s="139"/>
      <c r="Y105" s="148"/>
      <c r="Z105" s="138" t="str">
        <f t="shared" si="22"/>
        <v/>
      </c>
      <c r="AA105" s="138" t="str">
        <f t="shared" si="28"/>
        <v/>
      </c>
      <c r="AB105" s="239"/>
      <c r="AC105" s="325"/>
      <c r="AD105" s="325"/>
      <c r="AE105" s="325"/>
      <c r="AF105" s="325"/>
      <c r="AG105" s="325"/>
      <c r="AH105" s="325"/>
      <c r="AI105" s="325"/>
      <c r="AJ105" s="325"/>
      <c r="AK105" s="325"/>
      <c r="AL105" s="325"/>
      <c r="AM105" s="325"/>
      <c r="AN105" s="325"/>
      <c r="AO105" s="325"/>
      <c r="AP105" s="136"/>
      <c r="AQ105" s="136"/>
      <c r="AR105" s="136" t="str">
        <f t="shared" si="23"/>
        <v/>
      </c>
      <c r="AS105" s="136" t="str">
        <f t="shared" si="23"/>
        <v/>
      </c>
      <c r="AT105" s="5" t="str">
        <f t="shared" si="24"/>
        <v/>
      </c>
      <c r="AV105" s="27" t="str">
        <f t="shared" si="35"/>
        <v/>
      </c>
      <c r="AW105" s="27"/>
      <c r="AY105" s="122" t="str">
        <f t="shared" si="25"/>
        <v/>
      </c>
    </row>
    <row r="106" spans="2:51" ht="12.75">
      <c r="B106" s="20" t="str">
        <f t="shared" si="27"/>
        <v/>
      </c>
      <c r="C106" s="5"/>
      <c r="D106" s="5"/>
      <c r="E106" s="5"/>
      <c r="G106" s="5" t="str">
        <f t="shared" si="31"/>
        <v/>
      </c>
      <c r="H106" s="117" t="str">
        <f t="shared" si="29"/>
        <v/>
      </c>
      <c r="I106" s="5" t="str">
        <f t="shared" si="32"/>
        <v/>
      </c>
      <c r="J106" s="5" t="str">
        <f t="shared" si="33"/>
        <v/>
      </c>
      <c r="K106" s="5"/>
      <c r="L106" s="5"/>
      <c r="M106" s="75"/>
      <c r="N106" s="77"/>
      <c r="O106" s="26"/>
      <c r="P106" s="26"/>
      <c r="Q106" s="118" t="str">
        <f t="shared" si="34"/>
        <v/>
      </c>
      <c r="R106" s="153"/>
      <c r="S106" s="138" t="str">
        <f t="shared" si="26"/>
        <v/>
      </c>
      <c r="T106" s="148"/>
      <c r="U106" s="146"/>
      <c r="V106" s="146"/>
      <c r="W106" s="139"/>
      <c r="X106" s="139"/>
      <c r="Y106" s="148"/>
      <c r="Z106" s="138" t="str">
        <f t="shared" si="22"/>
        <v/>
      </c>
      <c r="AA106" s="138" t="str">
        <f t="shared" si="28"/>
        <v/>
      </c>
      <c r="AB106" s="239"/>
      <c r="AC106" s="325"/>
      <c r="AD106" s="325"/>
      <c r="AE106" s="325"/>
      <c r="AF106" s="325"/>
      <c r="AG106" s="325"/>
      <c r="AH106" s="325"/>
      <c r="AI106" s="325"/>
      <c r="AJ106" s="325"/>
      <c r="AK106" s="325"/>
      <c r="AL106" s="325"/>
      <c r="AM106" s="325"/>
      <c r="AN106" s="325"/>
      <c r="AO106" s="325"/>
      <c r="AP106" s="136"/>
      <c r="AQ106" s="136"/>
      <c r="AR106" s="136" t="str">
        <f t="shared" si="23"/>
        <v/>
      </c>
      <c r="AS106" s="136" t="str">
        <f t="shared" si="23"/>
        <v/>
      </c>
      <c r="AT106" s="5" t="str">
        <f t="shared" si="24"/>
        <v/>
      </c>
      <c r="AV106" s="27" t="str">
        <f t="shared" si="35"/>
        <v/>
      </c>
      <c r="AW106" s="27"/>
      <c r="AY106" s="122" t="str">
        <f t="shared" si="25"/>
        <v/>
      </c>
    </row>
    <row r="107" spans="2:51" ht="12.75">
      <c r="B107" s="20" t="str">
        <f t="shared" si="27"/>
        <v/>
      </c>
      <c r="C107" s="5"/>
      <c r="D107" s="5"/>
      <c r="E107" s="5"/>
      <c r="G107" s="5" t="str">
        <f t="shared" si="31"/>
        <v/>
      </c>
      <c r="H107" s="117" t="str">
        <f t="shared" si="29"/>
        <v/>
      </c>
      <c r="I107" s="5" t="str">
        <f t="shared" si="32"/>
        <v/>
      </c>
      <c r="J107" s="5" t="str">
        <f t="shared" si="33"/>
        <v/>
      </c>
      <c r="K107" s="5"/>
      <c r="L107" s="5"/>
      <c r="M107" s="75"/>
      <c r="N107" s="77"/>
      <c r="O107" s="26"/>
      <c r="P107" s="26"/>
      <c r="Q107" s="118" t="str">
        <f t="shared" si="34"/>
        <v/>
      </c>
      <c r="R107" s="153"/>
      <c r="S107" s="138" t="str">
        <f t="shared" si="26"/>
        <v/>
      </c>
      <c r="T107" s="148"/>
      <c r="U107" s="146"/>
      <c r="V107" s="146"/>
      <c r="W107" s="139"/>
      <c r="X107" s="139"/>
      <c r="Y107" s="148"/>
      <c r="Z107" s="138" t="str">
        <f t="shared" si="22"/>
        <v/>
      </c>
      <c r="AA107" s="138" t="str">
        <f t="shared" si="28"/>
        <v/>
      </c>
      <c r="AB107" s="239"/>
      <c r="AC107" s="325"/>
      <c r="AD107" s="325"/>
      <c r="AE107" s="325"/>
      <c r="AF107" s="325"/>
      <c r="AG107" s="325"/>
      <c r="AH107" s="325"/>
      <c r="AI107" s="325"/>
      <c r="AJ107" s="325"/>
      <c r="AK107" s="325"/>
      <c r="AL107" s="325"/>
      <c r="AM107" s="325"/>
      <c r="AN107" s="325"/>
      <c r="AO107" s="325"/>
      <c r="AP107" s="136"/>
      <c r="AQ107" s="136"/>
      <c r="AR107" s="136" t="str">
        <f t="shared" si="23"/>
        <v/>
      </c>
      <c r="AS107" s="136" t="str">
        <f t="shared" si="23"/>
        <v/>
      </c>
      <c r="AT107" s="5" t="str">
        <f t="shared" si="24"/>
        <v/>
      </c>
      <c r="AV107" s="27" t="str">
        <f t="shared" si="35"/>
        <v/>
      </c>
      <c r="AW107" s="27"/>
      <c r="AY107" s="122" t="str">
        <f t="shared" si="25"/>
        <v/>
      </c>
    </row>
    <row r="108" spans="2:51" ht="12.75">
      <c r="B108" s="20" t="str">
        <f t="shared" si="27"/>
        <v/>
      </c>
      <c r="C108" s="5"/>
      <c r="D108" s="5"/>
      <c r="E108" s="5"/>
      <c r="G108" s="5" t="str">
        <f t="shared" si="31"/>
        <v/>
      </c>
      <c r="H108" s="117" t="str">
        <f t="shared" si="29"/>
        <v/>
      </c>
      <c r="I108" s="5" t="str">
        <f t="shared" si="32"/>
        <v/>
      </c>
      <c r="J108" s="5" t="str">
        <f t="shared" si="33"/>
        <v/>
      </c>
      <c r="K108" s="5"/>
      <c r="L108" s="5"/>
      <c r="M108" s="75"/>
      <c r="N108" s="77"/>
      <c r="O108" s="26"/>
      <c r="P108" s="26"/>
      <c r="Q108" s="118" t="str">
        <f t="shared" si="34"/>
        <v/>
      </c>
      <c r="R108" s="153"/>
      <c r="S108" s="138" t="str">
        <f t="shared" si="26"/>
        <v/>
      </c>
      <c r="T108" s="148"/>
      <c r="U108" s="146"/>
      <c r="V108" s="146"/>
      <c r="W108" s="139"/>
      <c r="X108" s="139"/>
      <c r="Y108" s="148"/>
      <c r="Z108" s="138" t="str">
        <f t="shared" si="22"/>
        <v/>
      </c>
      <c r="AA108" s="138" t="str">
        <f t="shared" si="28"/>
        <v/>
      </c>
      <c r="AB108" s="239"/>
      <c r="AC108" s="325"/>
      <c r="AD108" s="325"/>
      <c r="AE108" s="325"/>
      <c r="AF108" s="325"/>
      <c r="AG108" s="325"/>
      <c r="AH108" s="325"/>
      <c r="AI108" s="325"/>
      <c r="AJ108" s="325"/>
      <c r="AK108" s="325"/>
      <c r="AL108" s="325"/>
      <c r="AM108" s="325"/>
      <c r="AN108" s="325"/>
      <c r="AO108" s="325"/>
      <c r="AP108" s="136"/>
      <c r="AQ108" s="136"/>
      <c r="AR108" s="136" t="str">
        <f t="shared" si="23"/>
        <v/>
      </c>
      <c r="AS108" s="136" t="str">
        <f t="shared" si="23"/>
        <v/>
      </c>
      <c r="AT108" s="5" t="str">
        <f t="shared" si="24"/>
        <v/>
      </c>
      <c r="AV108" s="27" t="str">
        <f t="shared" si="35"/>
        <v/>
      </c>
      <c r="AW108" s="27"/>
      <c r="AY108" s="122" t="str">
        <f t="shared" si="25"/>
        <v/>
      </c>
    </row>
    <row r="109" spans="2:51" ht="12.75">
      <c r="B109" s="20" t="str">
        <f t="shared" si="27"/>
        <v/>
      </c>
      <c r="C109" s="5"/>
      <c r="D109" s="5"/>
      <c r="E109" s="5"/>
      <c r="G109" s="5" t="str">
        <f t="shared" si="31"/>
        <v/>
      </c>
      <c r="H109" s="117" t="str">
        <f t="shared" si="29"/>
        <v/>
      </c>
      <c r="I109" s="5" t="str">
        <f t="shared" si="32"/>
        <v/>
      </c>
      <c r="J109" s="5" t="str">
        <f t="shared" si="33"/>
        <v/>
      </c>
      <c r="K109" s="5"/>
      <c r="L109" s="5"/>
      <c r="M109" s="75"/>
      <c r="N109" s="77"/>
      <c r="O109" s="26"/>
      <c r="P109" s="26"/>
      <c r="Q109" s="118" t="str">
        <f t="shared" si="34"/>
        <v/>
      </c>
      <c r="R109" s="153"/>
      <c r="S109" s="138" t="str">
        <f t="shared" si="26"/>
        <v/>
      </c>
      <c r="T109" s="148"/>
      <c r="U109" s="146"/>
      <c r="V109" s="146"/>
      <c r="W109" s="139"/>
      <c r="X109" s="139"/>
      <c r="Y109" s="148"/>
      <c r="Z109" s="138" t="str">
        <f t="shared" si="22"/>
        <v/>
      </c>
      <c r="AA109" s="138" t="str">
        <f t="shared" si="28"/>
        <v/>
      </c>
      <c r="AB109" s="239"/>
      <c r="AC109" s="325"/>
      <c r="AD109" s="325"/>
      <c r="AE109" s="325"/>
      <c r="AF109" s="325"/>
      <c r="AG109" s="325"/>
      <c r="AH109" s="325"/>
      <c r="AI109" s="325"/>
      <c r="AJ109" s="325"/>
      <c r="AK109" s="325"/>
      <c r="AL109" s="325"/>
      <c r="AM109" s="325"/>
      <c r="AN109" s="325"/>
      <c r="AO109" s="325"/>
      <c r="AP109" s="136"/>
      <c r="AQ109" s="136"/>
      <c r="AR109" s="136" t="str">
        <f t="shared" si="23"/>
        <v/>
      </c>
      <c r="AS109" s="136" t="str">
        <f t="shared" si="23"/>
        <v/>
      </c>
      <c r="AT109" s="5" t="str">
        <f t="shared" si="24"/>
        <v/>
      </c>
      <c r="AV109" s="27" t="str">
        <f t="shared" si="35"/>
        <v/>
      </c>
      <c r="AW109" s="27"/>
      <c r="AY109" s="122" t="str">
        <f t="shared" si="25"/>
        <v/>
      </c>
    </row>
    <row r="110" spans="2:51" ht="12.75">
      <c r="B110" s="20" t="str">
        <f t="shared" si="27"/>
        <v/>
      </c>
      <c r="C110" s="5"/>
      <c r="D110" s="5"/>
      <c r="E110" s="5"/>
      <c r="G110" s="5" t="str">
        <f t="shared" si="31"/>
        <v/>
      </c>
      <c r="H110" s="117" t="str">
        <f t="shared" si="29"/>
        <v/>
      </c>
      <c r="I110" s="5" t="str">
        <f t="shared" si="32"/>
        <v/>
      </c>
      <c r="J110" s="5" t="str">
        <f t="shared" si="33"/>
        <v/>
      </c>
      <c r="K110" s="5"/>
      <c r="L110" s="5"/>
      <c r="M110" s="75"/>
      <c r="N110" s="77"/>
      <c r="O110" s="26"/>
      <c r="P110" s="26"/>
      <c r="Q110" s="118" t="str">
        <f t="shared" si="34"/>
        <v/>
      </c>
      <c r="R110" s="153"/>
      <c r="S110" s="138" t="str">
        <f t="shared" si="26"/>
        <v/>
      </c>
      <c r="T110" s="148"/>
      <c r="U110" s="146"/>
      <c r="V110" s="146"/>
      <c r="W110" s="139"/>
      <c r="X110" s="139"/>
      <c r="Y110" s="148"/>
      <c r="Z110" s="138" t="str">
        <f t="shared" si="22"/>
        <v/>
      </c>
      <c r="AA110" s="138" t="str">
        <f t="shared" si="28"/>
        <v/>
      </c>
      <c r="AB110" s="239"/>
      <c r="AC110" s="325"/>
      <c r="AD110" s="325"/>
      <c r="AE110" s="325"/>
      <c r="AF110" s="325"/>
      <c r="AG110" s="325"/>
      <c r="AH110" s="325"/>
      <c r="AI110" s="325"/>
      <c r="AJ110" s="325"/>
      <c r="AK110" s="325"/>
      <c r="AL110" s="325"/>
      <c r="AM110" s="325"/>
      <c r="AN110" s="325"/>
      <c r="AO110" s="325"/>
      <c r="AP110" s="136"/>
      <c r="AQ110" s="136"/>
      <c r="AR110" s="136" t="str">
        <f t="shared" si="23"/>
        <v/>
      </c>
      <c r="AS110" s="136" t="str">
        <f t="shared" si="23"/>
        <v/>
      </c>
      <c r="AT110" s="5" t="str">
        <f t="shared" si="24"/>
        <v/>
      </c>
      <c r="AV110" s="27" t="str">
        <f t="shared" si="35"/>
        <v/>
      </c>
      <c r="AW110" s="27"/>
      <c r="AY110" s="122" t="str">
        <f t="shared" si="25"/>
        <v/>
      </c>
    </row>
    <row r="111" spans="2:51" ht="12.75">
      <c r="B111" s="20" t="str">
        <f t="shared" si="27"/>
        <v/>
      </c>
      <c r="C111" s="5"/>
      <c r="D111" s="5"/>
      <c r="E111" s="5"/>
      <c r="G111" s="5" t="str">
        <f t="shared" si="31"/>
        <v/>
      </c>
      <c r="H111" s="117" t="str">
        <f t="shared" si="29"/>
        <v/>
      </c>
      <c r="I111" s="5" t="str">
        <f t="shared" si="32"/>
        <v/>
      </c>
      <c r="J111" s="5" t="str">
        <f t="shared" si="33"/>
        <v/>
      </c>
      <c r="K111" s="5"/>
      <c r="L111" s="5"/>
      <c r="M111" s="75"/>
      <c r="N111" s="77"/>
      <c r="O111" s="26"/>
      <c r="P111" s="26"/>
      <c r="Q111" s="118" t="str">
        <f t="shared" si="34"/>
        <v/>
      </c>
      <c r="R111" s="153"/>
      <c r="S111" s="138" t="str">
        <f t="shared" si="26"/>
        <v/>
      </c>
      <c r="T111" s="148"/>
      <c r="U111" s="146"/>
      <c r="V111" s="146"/>
      <c r="W111" s="139"/>
      <c r="X111" s="139"/>
      <c r="Y111" s="148"/>
      <c r="Z111" s="138" t="str">
        <f t="shared" si="22"/>
        <v/>
      </c>
      <c r="AA111" s="138" t="str">
        <f t="shared" si="28"/>
        <v/>
      </c>
      <c r="AB111" s="239"/>
      <c r="AC111" s="325"/>
      <c r="AD111" s="325"/>
      <c r="AE111" s="325"/>
      <c r="AF111" s="325"/>
      <c r="AG111" s="325"/>
      <c r="AH111" s="325"/>
      <c r="AI111" s="325"/>
      <c r="AJ111" s="325"/>
      <c r="AK111" s="325"/>
      <c r="AL111" s="325"/>
      <c r="AM111" s="325"/>
      <c r="AN111" s="325"/>
      <c r="AO111" s="325"/>
      <c r="AP111" s="136"/>
      <c r="AQ111" s="136"/>
      <c r="AR111" s="136" t="str">
        <f t="shared" si="23"/>
        <v/>
      </c>
      <c r="AS111" s="136" t="str">
        <f t="shared" si="23"/>
        <v/>
      </c>
      <c r="AT111" s="5" t="str">
        <f t="shared" si="24"/>
        <v/>
      </c>
      <c r="AV111" s="27" t="str">
        <f t="shared" si="35"/>
        <v/>
      </c>
      <c r="AW111" s="27"/>
      <c r="AY111" s="122" t="str">
        <f t="shared" si="25"/>
        <v/>
      </c>
    </row>
    <row r="112" spans="2:51" ht="12.75">
      <c r="B112" s="20" t="str">
        <f t="shared" si="27"/>
        <v/>
      </c>
      <c r="C112" s="5"/>
      <c r="D112" s="5"/>
      <c r="E112" s="5"/>
      <c r="G112" s="5" t="str">
        <f t="shared" si="31"/>
        <v/>
      </c>
      <c r="H112" s="117" t="str">
        <f t="shared" si="29"/>
        <v/>
      </c>
      <c r="I112" s="5" t="str">
        <f t="shared" si="32"/>
        <v/>
      </c>
      <c r="J112" s="5" t="str">
        <f t="shared" si="33"/>
        <v/>
      </c>
      <c r="K112" s="5"/>
      <c r="L112" s="5"/>
      <c r="M112" s="75"/>
      <c r="N112" s="77"/>
      <c r="O112" s="26"/>
      <c r="P112" s="26"/>
      <c r="Q112" s="118" t="str">
        <f t="shared" si="34"/>
        <v/>
      </c>
      <c r="R112" s="153"/>
      <c r="S112" s="138" t="str">
        <f t="shared" si="26"/>
        <v/>
      </c>
      <c r="T112" s="148"/>
      <c r="U112" s="146"/>
      <c r="V112" s="146"/>
      <c r="W112" s="139"/>
      <c r="X112" s="139"/>
      <c r="Y112" s="148"/>
      <c r="Z112" s="138" t="str">
        <f t="shared" si="22"/>
        <v/>
      </c>
      <c r="AA112" s="138" t="str">
        <f t="shared" si="28"/>
        <v/>
      </c>
      <c r="AB112" s="239"/>
      <c r="AC112" s="325"/>
      <c r="AD112" s="325"/>
      <c r="AE112" s="325"/>
      <c r="AF112" s="325"/>
      <c r="AG112" s="325"/>
      <c r="AH112" s="325"/>
      <c r="AI112" s="325"/>
      <c r="AJ112" s="325"/>
      <c r="AK112" s="325"/>
      <c r="AL112" s="325"/>
      <c r="AM112" s="325"/>
      <c r="AN112" s="325"/>
      <c r="AO112" s="325"/>
      <c r="AP112" s="136"/>
      <c r="AQ112" s="136"/>
      <c r="AR112" s="136" t="str">
        <f t="shared" si="23"/>
        <v/>
      </c>
      <c r="AS112" s="136" t="str">
        <f t="shared" si="23"/>
        <v/>
      </c>
      <c r="AT112" s="5" t="str">
        <f t="shared" si="24"/>
        <v/>
      </c>
      <c r="AV112" s="27" t="str">
        <f t="shared" si="35"/>
        <v/>
      </c>
      <c r="AW112" s="27"/>
      <c r="AY112" s="122" t="str">
        <f t="shared" si="25"/>
        <v/>
      </c>
    </row>
    <row r="113" spans="2:51" ht="12.75">
      <c r="B113" s="20" t="str">
        <f t="shared" si="27"/>
        <v/>
      </c>
      <c r="C113" s="5"/>
      <c r="D113" s="5"/>
      <c r="E113" s="5"/>
      <c r="G113" s="5" t="str">
        <f t="shared" si="31"/>
        <v/>
      </c>
      <c r="H113" s="117" t="str">
        <f t="shared" si="29"/>
        <v/>
      </c>
      <c r="I113" s="5" t="str">
        <f t="shared" si="32"/>
        <v/>
      </c>
      <c r="J113" s="5" t="str">
        <f t="shared" si="33"/>
        <v/>
      </c>
      <c r="K113" s="5"/>
      <c r="L113" s="5"/>
      <c r="M113" s="75"/>
      <c r="N113" s="77"/>
      <c r="O113" s="26"/>
      <c r="P113" s="26"/>
      <c r="Q113" s="118" t="str">
        <f t="shared" si="34"/>
        <v/>
      </c>
      <c r="R113" s="153"/>
      <c r="S113" s="138" t="str">
        <f t="shared" si="26"/>
        <v/>
      </c>
      <c r="T113" s="148"/>
      <c r="U113" s="146"/>
      <c r="V113" s="146"/>
      <c r="W113" s="139"/>
      <c r="X113" s="139"/>
      <c r="Y113" s="148"/>
      <c r="Z113" s="138" t="str">
        <f t="shared" si="22"/>
        <v/>
      </c>
      <c r="AA113" s="138" t="str">
        <f t="shared" si="28"/>
        <v/>
      </c>
      <c r="AB113" s="239"/>
      <c r="AC113" s="325"/>
      <c r="AD113" s="325"/>
      <c r="AE113" s="325"/>
      <c r="AF113" s="325"/>
      <c r="AG113" s="325"/>
      <c r="AH113" s="325"/>
      <c r="AI113" s="325"/>
      <c r="AJ113" s="325"/>
      <c r="AK113" s="325"/>
      <c r="AL113" s="325"/>
      <c r="AM113" s="325"/>
      <c r="AN113" s="325"/>
      <c r="AO113" s="325"/>
      <c r="AP113" s="136"/>
      <c r="AQ113" s="136"/>
      <c r="AR113" s="136" t="str">
        <f t="shared" si="23"/>
        <v/>
      </c>
      <c r="AS113" s="136" t="str">
        <f t="shared" si="23"/>
        <v/>
      </c>
      <c r="AT113" s="5" t="str">
        <f t="shared" si="24"/>
        <v/>
      </c>
      <c r="AV113" s="27" t="str">
        <f t="shared" si="35"/>
        <v/>
      </c>
      <c r="AW113" s="27"/>
      <c r="AY113" s="122" t="str">
        <f t="shared" si="25"/>
        <v/>
      </c>
    </row>
    <row r="114" spans="2:51" ht="12.75">
      <c r="B114" s="20" t="str">
        <f t="shared" si="27"/>
        <v/>
      </c>
      <c r="C114" s="5"/>
      <c r="D114" s="5"/>
      <c r="E114" s="5"/>
      <c r="G114" s="5" t="str">
        <f t="shared" si="31"/>
        <v/>
      </c>
      <c r="H114" s="117" t="str">
        <f t="shared" si="29"/>
        <v/>
      </c>
      <c r="I114" s="5" t="str">
        <f t="shared" si="32"/>
        <v/>
      </c>
      <c r="J114" s="5" t="str">
        <f t="shared" si="33"/>
        <v/>
      </c>
      <c r="K114" s="5"/>
      <c r="L114" s="5"/>
      <c r="M114" s="75"/>
      <c r="N114" s="77"/>
      <c r="O114" s="26"/>
      <c r="P114" s="26"/>
      <c r="Q114" s="118" t="str">
        <f t="shared" si="34"/>
        <v/>
      </c>
      <c r="R114" s="153"/>
      <c r="S114" s="138" t="str">
        <f t="shared" si="26"/>
        <v/>
      </c>
      <c r="T114" s="148"/>
      <c r="U114" s="146"/>
      <c r="V114" s="146"/>
      <c r="W114" s="139"/>
      <c r="X114" s="139"/>
      <c r="Y114" s="148"/>
      <c r="Z114" s="138" t="str">
        <f t="shared" si="22"/>
        <v/>
      </c>
      <c r="AA114" s="138" t="str">
        <f t="shared" si="28"/>
        <v/>
      </c>
      <c r="AB114" s="239"/>
      <c r="AC114" s="325"/>
      <c r="AD114" s="325"/>
      <c r="AE114" s="325"/>
      <c r="AF114" s="325"/>
      <c r="AG114" s="325"/>
      <c r="AH114" s="325"/>
      <c r="AI114" s="325"/>
      <c r="AJ114" s="325"/>
      <c r="AK114" s="325"/>
      <c r="AL114" s="325"/>
      <c r="AM114" s="325"/>
      <c r="AN114" s="325"/>
      <c r="AO114" s="325"/>
      <c r="AP114" s="136"/>
      <c r="AQ114" s="136"/>
      <c r="AR114" s="136" t="str">
        <f t="shared" si="23"/>
        <v/>
      </c>
      <c r="AS114" s="136" t="str">
        <f t="shared" si="23"/>
        <v/>
      </c>
      <c r="AT114" s="5" t="str">
        <f t="shared" si="24"/>
        <v/>
      </c>
      <c r="AV114" s="27" t="str">
        <f t="shared" si="35"/>
        <v/>
      </c>
      <c r="AW114" s="27"/>
      <c r="AY114" s="122" t="str">
        <f t="shared" si="25"/>
        <v/>
      </c>
    </row>
    <row r="115" spans="2:51" ht="12.75">
      <c r="B115" s="20" t="str">
        <f t="shared" si="27"/>
        <v/>
      </c>
      <c r="C115" s="5"/>
      <c r="D115" s="5"/>
      <c r="E115" s="5"/>
      <c r="G115" s="5" t="str">
        <f t="shared" si="31"/>
        <v/>
      </c>
      <c r="H115" s="117" t="str">
        <f t="shared" si="29"/>
        <v/>
      </c>
      <c r="I115" s="5" t="str">
        <f t="shared" si="32"/>
        <v/>
      </c>
      <c r="J115" s="5" t="str">
        <f t="shared" si="33"/>
        <v/>
      </c>
      <c r="K115" s="5"/>
      <c r="L115" s="5"/>
      <c r="M115" s="75"/>
      <c r="N115" s="77"/>
      <c r="O115" s="26"/>
      <c r="P115" s="26"/>
      <c r="Q115" s="118" t="str">
        <f t="shared" si="34"/>
        <v/>
      </c>
      <c r="R115" s="153"/>
      <c r="S115" s="138" t="str">
        <f t="shared" si="26"/>
        <v/>
      </c>
      <c r="T115" s="148"/>
      <c r="U115" s="146"/>
      <c r="V115" s="146"/>
      <c r="W115" s="139"/>
      <c r="X115" s="139"/>
      <c r="Y115" s="148"/>
      <c r="Z115" s="138" t="str">
        <f t="shared" si="22"/>
        <v/>
      </c>
      <c r="AA115" s="138" t="str">
        <f t="shared" si="28"/>
        <v/>
      </c>
      <c r="AB115" s="239"/>
      <c r="AC115" s="325"/>
      <c r="AD115" s="325"/>
      <c r="AE115" s="325"/>
      <c r="AF115" s="325"/>
      <c r="AG115" s="325"/>
      <c r="AH115" s="325"/>
      <c r="AI115" s="325"/>
      <c r="AJ115" s="325"/>
      <c r="AK115" s="325"/>
      <c r="AL115" s="325"/>
      <c r="AM115" s="325"/>
      <c r="AN115" s="325"/>
      <c r="AO115" s="325"/>
      <c r="AP115" s="136"/>
      <c r="AQ115" s="136"/>
      <c r="AR115" s="136" t="str">
        <f t="shared" si="23"/>
        <v/>
      </c>
      <c r="AS115" s="136" t="str">
        <f t="shared" si="23"/>
        <v/>
      </c>
      <c r="AT115" s="5" t="str">
        <f t="shared" si="24"/>
        <v/>
      </c>
      <c r="AV115" s="27" t="str">
        <f t="shared" si="35"/>
        <v/>
      </c>
      <c r="AW115" s="27"/>
      <c r="AY115" s="122" t="str">
        <f t="shared" si="25"/>
        <v/>
      </c>
    </row>
    <row r="116" spans="2:51">
      <c r="AT116" s="3" t="str">
        <f t="shared" si="24"/>
        <v/>
      </c>
      <c r="AV116" s="28"/>
      <c r="AW116" s="27"/>
      <c r="AY116" s="122" t="str">
        <f t="shared" si="25"/>
        <v/>
      </c>
    </row>
    <row r="117" spans="2:51">
      <c r="B117" s="11" t="s">
        <v>23</v>
      </c>
      <c r="AV117" s="28"/>
      <c r="AW117" s="27"/>
    </row>
    <row r="118" spans="2:51">
      <c r="B118" s="18" t="s">
        <v>17</v>
      </c>
      <c r="C118" s="22" t="str">
        <f>+"By"&amp;D120</f>
        <v>By</v>
      </c>
      <c r="D118" s="23" t="str">
        <f>SUBSTITUTE(SUBSTITUTE(SUBSTITUTE(SUBSTITUTE(SUBSTITUTE(SUBSTITUTE(SUBSTITUTE(C118," ",""),".",""),"&amp;",""),"(",""),")",""),",",""),"/","")&amp;"_"&amp;TRIM(TEXT(C7,"###"))</f>
        <v>By_</v>
      </c>
      <c r="E118" s="8"/>
      <c r="S118" s="283" t="s">
        <v>906</v>
      </c>
      <c r="AV118" s="27" t="str">
        <f>+" CONSTRAINT ["&amp;D118&amp;"] PRIMARY KEY NONCLUSTERED "</f>
        <v xml:space="preserve"> CONSTRAINT [By_]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6">IFERROR(INDEX($G$16:$G$115,C120),"")</f>
        <v/>
      </c>
      <c r="E120" s="10" t="s">
        <v>5</v>
      </c>
      <c r="G120" s="5" t="str">
        <f>CHAR(34)&amp;D120&amp;" LIKE "&amp;H120&amp;"%{0}%"&amp;H120&amp;CHAR(34)&amp;","</f>
        <v>" LIKE %{0}%",</v>
      </c>
      <c r="H120" s="3" t="str">
        <f>IF(IFERROR(INDEX($I$16:$I$115,C120),"")="varchar","'","")</f>
        <v/>
      </c>
      <c r="S120" s="282" t="str">
        <f>RIGHT(T2,1)&amp;V3&amp;MID(T2,2,1)&amp;V3&amp;MID(T2,5,1)&amp;LEFT(T2,1)&amp;C7</f>
        <v>eBmT</v>
      </c>
      <c r="T120" s="282">
        <f>+C8</f>
        <v>0</v>
      </c>
      <c r="U120" s="282" t="str">
        <f>+D120</f>
        <v/>
      </c>
      <c r="V120" s="239">
        <f>+C10</f>
        <v>0</v>
      </c>
      <c r="W120" s="272"/>
      <c r="X120" s="272"/>
      <c r="AV120" s="27" t="str">
        <f t="shared" ref="AV120:AV126" si="37">+IF(D120="","","          ["&amp;D120&amp;"] "&amp;IF(TRIM(E120)="Ascending","ASC","DES")&amp;IF(D121="","",","))</f>
        <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87" t="s">
        <v>574</v>
      </c>
      <c r="AV122" s="27" t="str">
        <f t="shared" si="37"/>
        <v/>
      </c>
      <c r="AW122" s="28"/>
    </row>
    <row r="123" spans="2:51">
      <c r="B123" s="20" t="str">
        <f t="shared" si="38"/>
        <v/>
      </c>
      <c r="C123" s="10"/>
      <c r="D123" s="21" t="str">
        <f t="shared" si="36"/>
        <v/>
      </c>
      <c r="E123" s="10"/>
      <c r="G123" s="5"/>
      <c r="S123" s="288" t="s">
        <v>312</v>
      </c>
      <c r="T123" s="288" t="s">
        <v>393</v>
      </c>
      <c r="U123" s="288" t="s">
        <v>394</v>
      </c>
      <c r="V123" s="288" t="s">
        <v>390</v>
      </c>
      <c r="W123" s="288" t="s">
        <v>391</v>
      </c>
      <c r="X123" s="288" t="s">
        <v>392</v>
      </c>
      <c r="Y123" s="288" t="s">
        <v>400</v>
      </c>
      <c r="Z123" s="288" t="s">
        <v>436</v>
      </c>
      <c r="AV123" s="27" t="str">
        <f t="shared" si="37"/>
        <v/>
      </c>
      <c r="AW123" s="28"/>
    </row>
    <row r="124" spans="2:51">
      <c r="B124" s="20" t="str">
        <f t="shared" si="38"/>
        <v/>
      </c>
      <c r="C124" s="10"/>
      <c r="D124" s="21" t="str">
        <f t="shared" si="36"/>
        <v/>
      </c>
      <c r="E124" s="10"/>
      <c r="G124" s="5"/>
      <c r="S124" s="239"/>
      <c r="T124" s="239"/>
      <c r="U124" s="239">
        <f>+E8</f>
        <v>0</v>
      </c>
      <c r="V124" s="239"/>
      <c r="W124" s="239"/>
      <c r="X124" s="239" t="str">
        <f>"./"&amp;V2</f>
        <v>./EBMT.html</v>
      </c>
      <c r="Y124" s="239"/>
      <c r="Z124" s="282" t="str">
        <f>+S120</f>
        <v>eBmT</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v>
      </c>
      <c r="C137" s="122"/>
      <c r="D137" s="122"/>
      <c r="E137" s="122"/>
      <c r="F137" s="122"/>
      <c r="G137" s="122"/>
      <c r="H137" s="122"/>
      <c r="I137" s="122"/>
      <c r="J137" s="122"/>
      <c r="K137" s="122"/>
      <c r="L137" s="122"/>
      <c r="M137" s="122"/>
    </row>
    <row r="138" spans="2:49">
      <c r="B138" s="273" t="str">
        <f>REPT(" ",6)&amp;CHAR(34)&amp;"QueryStr"&amp;CHAR(34)&amp;": "&amp;G120</f>
        <v xml:space="preserve">      "QueryStr": "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"cbb91dcb-9e28-438f-91ad-ed5ffe143802",</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c r="O150" s="14"/>
    </row>
    <row r="151" spans="2:16">
      <c r="B151" s="274"/>
      <c r="C151" s="14"/>
      <c r="D151" s="232"/>
      <c r="E151" s="14"/>
      <c r="F151" s="14"/>
      <c r="G151" s="14"/>
      <c r="H151" s="14"/>
      <c r="I151" s="14"/>
      <c r="J151" s="14"/>
      <c r="K151" s="14"/>
      <c r="L151" s="14"/>
      <c r="M151" s="14"/>
      <c r="N151" s="14"/>
      <c r="O151" s="14"/>
    </row>
    <row r="152" spans="2:16">
      <c r="B152" s="275"/>
      <c r="C152" s="275"/>
      <c r="D152" s="275"/>
      <c r="E152" s="275"/>
      <c r="F152" s="14"/>
      <c r="G152" s="276"/>
      <c r="H152" s="14"/>
      <c r="I152" s="14"/>
      <c r="J152" s="14"/>
      <c r="K152" s="14"/>
      <c r="L152" s="14"/>
      <c r="M152" s="14"/>
      <c r="N152" s="14"/>
      <c r="O152" s="14"/>
      <c r="P152" s="4"/>
    </row>
    <row r="153" spans="2:16">
      <c r="B153" s="277"/>
      <c r="C153" s="277"/>
      <c r="D153" s="278"/>
      <c r="E153" s="14"/>
      <c r="F153" s="14"/>
      <c r="G153" s="14"/>
      <c r="H153" s="14"/>
      <c r="I153" s="14"/>
      <c r="J153" s="14"/>
      <c r="K153" s="14"/>
      <c r="L153" s="14"/>
      <c r="M153" s="14"/>
      <c r="N153" s="14"/>
      <c r="O153" s="14"/>
    </row>
    <row r="154" spans="2:16">
      <c r="B154" s="277"/>
      <c r="C154" s="277"/>
      <c r="D154" s="278"/>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9"/>
      <c r="L161" s="14"/>
      <c r="M161" s="14"/>
      <c r="N161" s="14"/>
      <c r="O161" s="14"/>
    </row>
    <row r="162" spans="2:16">
      <c r="B162" s="14"/>
      <c r="C162" s="14"/>
      <c r="D162" s="14"/>
      <c r="E162" s="14"/>
      <c r="F162" s="14"/>
      <c r="G162" s="14"/>
      <c r="H162" s="14"/>
      <c r="I162" s="14"/>
      <c r="J162" s="14"/>
      <c r="K162" s="280"/>
      <c r="L162" s="14"/>
      <c r="M162" s="14"/>
      <c r="N162" s="14"/>
      <c r="O162" s="14"/>
    </row>
    <row r="163" spans="2:16">
      <c r="K163" s="107"/>
      <c r="L163" s="107"/>
    </row>
    <row r="164" spans="2:16">
      <c r="K164" s="107"/>
      <c r="L164" s="107"/>
      <c r="P164" s="107"/>
    </row>
    <row r="165" spans="2:16">
      <c r="K165" s="107"/>
      <c r="L165" s="107"/>
    </row>
    <row r="166" spans="2:16">
      <c r="K166" s="107"/>
      <c r="L166" s="107"/>
      <c r="O166" s="107"/>
    </row>
    <row r="167" spans="2:16">
      <c r="K167" s="107"/>
    </row>
    <row r="168" spans="2:16">
      <c r="K168" s="107"/>
    </row>
    <row r="169" spans="2:16">
      <c r="K169" s="107"/>
    </row>
    <row r="170" spans="2:16">
      <c r="K170" s="107"/>
      <c r="L170" s="107"/>
    </row>
    <row r="171" spans="2:16">
      <c r="K171" s="107"/>
      <c r="L171" s="107"/>
    </row>
    <row r="172" spans="2:16">
      <c r="K172" s="107"/>
      <c r="L172" s="107"/>
    </row>
    <row r="173" spans="2:16">
      <c r="K173" s="107"/>
      <c r="L173" s="107"/>
      <c r="O173" s="107"/>
    </row>
    <row r="174" spans="2:16">
      <c r="K174" s="107"/>
    </row>
  </sheetData>
  <mergeCells count="1">
    <mergeCell ref="N14:P14"/>
  </mergeCells>
  <dataValidations count="3">
    <dataValidation type="list" showInputMessage="1" showErrorMessage="1" sqref="W16:X115 X2 V6:V7 AL11:AL12 T7 X6" xr:uid="{4B6AB280-A03E-425E-9E9A-58F417A995E3}">
      <formula1>aBoolean</formula1>
    </dataValidation>
    <dataValidation type="list" showInputMessage="1" showErrorMessage="1" sqref="U16:U115" xr:uid="{3F247DC2-3BB4-455F-84B5-200F3F9330F3}">
      <formula1>aDataType</formula1>
    </dataValidation>
    <dataValidation type="list" showInputMessage="1" showErrorMessage="1" sqref="V16:V115" xr:uid="{E6AE7927-A938-4489-A9BD-71DC2F639F16}">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B70F8C43-674B-4C94-AEA8-E9C4DA717F99}">
          <x14:formula1>
            <xm:f>Variables!$B$22:$B$25</xm:f>
          </x14:formula1>
          <xm:sqref>E6</xm:sqref>
        </x14:dataValidation>
        <x14:dataValidation type="list" allowBlank="1" showInputMessage="1" showErrorMessage="1" xr:uid="{0D83D40B-40CD-45D4-8AFA-FFC5C643DE85}">
          <x14:formula1>
            <xm:f>Variables!$E$17:$E$22</xm:f>
          </x14:formula1>
          <xm:sqref>C6</xm:sqref>
        </x14:dataValidation>
        <x14:dataValidation type="list" allowBlank="1" showInputMessage="1" showErrorMessage="1" xr:uid="{7ACF9AB0-9B86-4498-979E-C5D33A8E6EBB}">
          <x14:formula1>
            <xm:f>Variables!$I$28:$I$35</xm:f>
          </x14:formula1>
          <xm:sqref>T6</xm:sqref>
        </x14:dataValidation>
        <x14:dataValidation type="list" allowBlank="1" showInputMessage="1" showErrorMessage="1" xr:uid="{3FEDE7E4-5654-48D0-B7B0-D33A5236967F}">
          <x14:formula1>
            <xm:f>Variables!$G$6:$G$8</xm:f>
          </x14:formula1>
          <xm:sqref>T5</xm:sqref>
        </x14:dataValidation>
        <x14:dataValidation type="list" allowBlank="1" showInputMessage="1" showErrorMessage="1" xr:uid="{32B01F53-435A-4D6E-807D-3018962B07AD}">
          <x14:formula1>
            <xm:f>Variables!$G$12:$G$14</xm:f>
          </x14:formula1>
          <xm:sqref>AA16:AA115</xm:sqref>
        </x14:dataValidation>
        <x14:dataValidation type="list" showInputMessage="1" showErrorMessage="1" xr:uid="{4B77DCEB-874E-4423-813F-EABF13BAB013}">
          <x14:formula1>
            <xm:f>Variables!$G$17:$G$22</xm:f>
          </x14:formula1>
          <xm:sqref>T8:T10</xm:sqref>
        </x14:dataValidation>
        <x14:dataValidation type="list" allowBlank="1" showInputMessage="1" showErrorMessage="1" xr:uid="{BEDC98C0-7AD3-44F1-8CBD-EC42B19EAD12}">
          <x14:formula1>
            <xm:f>Variables!E$28:E$34</xm:f>
          </x14:formula1>
          <xm:sqref>AJ16:AJ115</xm:sqref>
        </x14:dataValidation>
        <x14:dataValidation type="list" allowBlank="1" showInputMessage="1" showErrorMessage="1" xr:uid="{FC5BBFC9-6BD3-4795-A1A6-706E2E3422BF}">
          <x14:formula1>
            <xm:f>Variables!E$28:E$34</xm:f>
          </x14:formula1>
          <xm:sqref>AM16:AM115</xm:sqref>
        </x14:dataValidation>
        <x14:dataValidation type="list" allowBlank="1" showInputMessage="1" showErrorMessage="1" xr:uid="{F2FFC7C1-9D0D-48BB-B7B0-8390F8D03409}">
          <x14:formula1>
            <xm:f>Variables!G$38:G$45</xm:f>
          </x14:formula1>
          <xm:sqref>X5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7C175-F29E-4CCE-BCB7-BEAC53CBC5DA}">
  <sheetPr codeName="Sheet33">
    <tabColor theme="4" tint="0.79998168889431442"/>
  </sheetPr>
  <dimension ref="A1:AY174"/>
  <sheetViews>
    <sheetView showGridLines="0" workbookViewId="0">
      <pane xSplit="6" ySplit="15" topLeftCell="G16" activePane="bottomRight" state="frozen"/>
      <selection activeCell="B6" sqref="B6:E6"/>
      <selection pane="topRight" activeCell="B6" sqref="B6:E6"/>
      <selection pane="bottomLeft" activeCell="B6" sqref="B6:E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5.7109375" style="134" customWidth="1"/>
    <col min="21" max="21" width="15.140625" style="134" customWidth="1"/>
    <col min="22" max="22" width="17.85546875" style="134" customWidth="1"/>
    <col min="23" max="23" width="13.5703125" style="134" bestFit="1" customWidth="1"/>
    <col min="24" max="24" width="14.5703125" style="134" customWidth="1"/>
    <col min="25" max="25" width="10.140625" style="134" bestFit="1" customWidth="1"/>
    <col min="26" max="26" width="8.85546875"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4"/>
      <c r="AV1" s="13" t="s">
        <v>430</v>
      </c>
    </row>
    <row r="2" spans="2:51">
      <c r="S2" s="255" t="s">
        <v>875</v>
      </c>
      <c r="T2" s="240" t="str" cm="1">
        <f t="array" ref="T2">MID(CELL("filename",A1),FIND("]",CELL("filename",A1))+1,255)</f>
        <v>MENU</v>
      </c>
      <c r="U2" s="255" t="s">
        <v>874</v>
      </c>
      <c r="V2" s="240" t="str">
        <f>RIGHT(T2,1)&amp;V3&amp;MID(T2,2,1)&amp;V3&amp;MID(T2,5,1)&amp;LEFT(T2,1)&amp;C7&amp;".html"</f>
        <v>UEM9001.html</v>
      </c>
      <c r="W2" s="255" t="s">
        <v>1071</v>
      </c>
      <c r="X2" s="245" t="s">
        <v>379</v>
      </c>
      <c r="AV2" s="27" t="str">
        <f>+"USE "&amp;TRIM(C5)</f>
        <v>USE SIBISDB</v>
      </c>
      <c r="AW2" s="27"/>
    </row>
    <row r="3" spans="2:51">
      <c r="B3" s="247" t="s">
        <v>577</v>
      </c>
      <c r="C3" s="102" t="str">
        <f>+DBTableList!G5</f>
        <v>http://wikran-w10:8081</v>
      </c>
      <c r="D3" s="248" t="s">
        <v>846</v>
      </c>
      <c r="E3" s="5" t="str">
        <f>+DBTableList!$G$4</f>
        <v>CBS</v>
      </c>
      <c r="I3" s="219"/>
      <c r="J3" s="219"/>
      <c r="K3" s="62"/>
      <c r="U3" s="254" t="s">
        <v>876</v>
      </c>
      <c r="V3" s="239" t="str">
        <f>IF(ISERROR(FIND("Entryby",C11)),"","X")</f>
        <v/>
      </c>
      <c r="AV3" s="27" t="s">
        <v>0</v>
      </c>
      <c r="AW3" s="27"/>
    </row>
    <row r="4" spans="2:51">
      <c r="B4" s="248" t="s">
        <v>854</v>
      </c>
      <c r="C4" s="218" t="str">
        <f>+DBTableList!G6</f>
        <v>pythonLT</v>
      </c>
      <c r="D4" s="250" t="s">
        <v>412</v>
      </c>
      <c r="E4" s="68" t="s">
        <v>407</v>
      </c>
      <c r="S4" s="256" t="s">
        <v>872</v>
      </c>
      <c r="AV4" s="28" t="s">
        <v>1</v>
      </c>
      <c r="AW4" s="27"/>
    </row>
    <row r="5" spans="2:51">
      <c r="B5" s="249" t="s">
        <v>19</v>
      </c>
      <c r="C5" s="101" t="s">
        <v>20</v>
      </c>
      <c r="D5" s="248" t="s">
        <v>408</v>
      </c>
      <c r="E5" s="5" t="str">
        <f>+DBTableList!$G$4</f>
        <v>CBS</v>
      </c>
      <c r="S5" s="241" t="s">
        <v>873</v>
      </c>
      <c r="T5" s="244" t="s">
        <v>569</v>
      </c>
      <c r="U5" s="243" t="s">
        <v>377</v>
      </c>
      <c r="V5" s="240" t="str">
        <f>CHAR(34)&amp;E8&amp;" Info"&amp;CHAR(34)</f>
        <v>"Menu Table Info"</v>
      </c>
      <c r="W5" s="242"/>
      <c r="X5" s="240"/>
      <c r="AV5" s="28" t="s">
        <v>1</v>
      </c>
      <c r="AW5" s="27"/>
    </row>
    <row r="6" spans="2:51">
      <c r="B6" s="250" t="s">
        <v>10</v>
      </c>
      <c r="C6" s="5" t="s">
        <v>849</v>
      </c>
      <c r="D6" s="249" t="s">
        <v>429</v>
      </c>
      <c r="E6" s="5" t="s">
        <v>423</v>
      </c>
      <c r="S6" s="242" t="s">
        <v>514</v>
      </c>
      <c r="T6" s="245" t="s">
        <v>506</v>
      </c>
      <c r="U6" s="242" t="s">
        <v>507</v>
      </c>
      <c r="V6" s="245" t="s">
        <v>367</v>
      </c>
      <c r="W6" s="242"/>
      <c r="X6" s="240"/>
      <c r="AV6" s="27" t="s">
        <v>2</v>
      </c>
      <c r="AW6" s="27"/>
    </row>
    <row r="7" spans="2:51">
      <c r="B7" s="249" t="s">
        <v>315</v>
      </c>
      <c r="C7" s="17">
        <v>9001</v>
      </c>
      <c r="D7" s="249" t="str">
        <f>"LIMIT "&amp;IF(E7=0,"(MAX)","")</f>
        <v>LIMIT (MAX)</v>
      </c>
      <c r="E7" s="17">
        <v>0</v>
      </c>
      <c r="S7" s="242" t="s">
        <v>508</v>
      </c>
      <c r="T7" s="245" t="s">
        <v>379</v>
      </c>
      <c r="U7" s="242" t="s">
        <v>385</v>
      </c>
      <c r="V7" s="245" t="s">
        <v>379</v>
      </c>
      <c r="W7" s="242"/>
      <c r="X7" s="240"/>
      <c r="AV7" s="27" t="s">
        <v>0</v>
      </c>
      <c r="AW7" s="27"/>
    </row>
    <row r="8" spans="2:51">
      <c r="B8" s="251" t="s">
        <v>16</v>
      </c>
      <c r="C8" s="17" t="s">
        <v>395</v>
      </c>
      <c r="D8" s="251" t="s">
        <v>847</v>
      </c>
      <c r="E8" s="17" t="s">
        <v>848</v>
      </c>
      <c r="G8" s="62"/>
      <c r="S8" s="242" t="s">
        <v>509</v>
      </c>
      <c r="T8" s="245" t="s">
        <v>379</v>
      </c>
      <c r="U8" s="242" t="s">
        <v>380</v>
      </c>
      <c r="V8" s="246">
        <v>1000</v>
      </c>
      <c r="W8" s="242"/>
      <c r="X8" s="240"/>
      <c r="AV8" s="28" t="s">
        <v>1</v>
      </c>
      <c r="AW8" s="27"/>
    </row>
    <row r="9" spans="2:51">
      <c r="B9" s="250" t="s">
        <v>409</v>
      </c>
      <c r="C9" s="102" t="str">
        <f>VLOOKUP(E6,Variables!$B$22:$C$25,2,FALSE)</f>
        <v>cbb91dcb-9e28-438f-91ad-ed5ffe143802</v>
      </c>
      <c r="D9" s="104"/>
      <c r="E9" s="103"/>
      <c r="S9" s="242" t="s">
        <v>510</v>
      </c>
      <c r="T9" s="245" t="s">
        <v>1244</v>
      </c>
      <c r="U9" s="242" t="s">
        <v>378</v>
      </c>
      <c r="V9" s="246">
        <v>525</v>
      </c>
      <c r="W9" s="242"/>
      <c r="X9" s="240"/>
      <c r="AV9" s="27" t="s">
        <v>3</v>
      </c>
      <c r="AW9" s="27"/>
    </row>
    <row r="10" spans="2:51">
      <c r="B10" s="252" t="str">
        <f>HYPERLINK("[http://wikran-w10:8080/Gentoken.html]","TBTOKEN")</f>
        <v>TBTOKEN</v>
      </c>
      <c r="C10" s="102" t="s">
        <v>442</v>
      </c>
      <c r="D10" s="104"/>
      <c r="E10" s="103"/>
      <c r="M10" s="107" t="s">
        <v>1</v>
      </c>
      <c r="S10" s="242" t="s">
        <v>511</v>
      </c>
      <c r="T10" s="245" t="s">
        <v>1245</v>
      </c>
      <c r="U10" s="242"/>
      <c r="V10" s="246"/>
      <c r="W10" s="242"/>
      <c r="X10" s="240"/>
      <c r="AV10" s="27" t="s">
        <v>0</v>
      </c>
      <c r="AW10" s="27"/>
    </row>
    <row r="11" spans="2:51">
      <c r="B11" s="250"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ID,categoryid,name,icon,alabel,url,rightsgroup,PageID</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52" t="str">
        <f>HYPERLINK("["&amp;C12&amp;"]","DATA LINK")</f>
        <v>DATA LINK</v>
      </c>
      <c r="C12" s="164" t="str">
        <f xml:space="preserve"> TRIM(C3)&amp;"/"&amp;C4&amp;"/" &amp;Variables!$C$15 &amp; "/" &amp; C10&amp; "/" &amp; "all"</f>
        <v>http://wikran-w10:8081/pythonLT/A75FCC75-8FB6-4460-B3F6-7070B4437930/d1a42aa7-349e-477c-8f26-75781206caeb/all</v>
      </c>
      <c r="D12" s="104"/>
      <c r="E12" s="104"/>
      <c r="F12" s="104"/>
      <c r="G12" s="104"/>
      <c r="H12" s="104"/>
      <c r="I12" s="104"/>
      <c r="J12" s="104"/>
      <c r="K12" s="104"/>
      <c r="L12" s="103"/>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8</v>
      </c>
      <c r="D14" s="3" t="s">
        <v>496</v>
      </c>
      <c r="E14" s="3">
        <f>+C14+15</f>
        <v>23</v>
      </c>
      <c r="G14" s="16" t="s">
        <v>22</v>
      </c>
      <c r="H14" s="131" t="str">
        <f>IF(IFERROR(FIND("varchar",E22),0)&gt;0,IF(D22&gt;8000,"max",D22),"")</f>
        <v>max</v>
      </c>
      <c r="M14" s="107" t="s">
        <v>369</v>
      </c>
      <c r="N14" s="489" t="s">
        <v>305</v>
      </c>
      <c r="O14" s="490"/>
      <c r="P14" s="491"/>
      <c r="S14" s="257" t="s">
        <v>871</v>
      </c>
      <c r="T14" s="149" t="s">
        <v>893</v>
      </c>
      <c r="AJ14" s="347">
        <f>COUNTBLANK(AJ16:AJ115)</f>
        <v>100</v>
      </c>
      <c r="AK14" s="30" t="s">
        <v>1044</v>
      </c>
      <c r="AM14" s="347">
        <f>COUNTBLANK(AM16:AM115)</f>
        <v>100</v>
      </c>
      <c r="AN14" s="30" t="s">
        <v>1036</v>
      </c>
      <c r="AO14" s="347">
        <f>+AM14+AJ14</f>
        <v>200</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[dbo].[MenuTable](</v>
      </c>
      <c r="AW15" s="27"/>
      <c r="AY15" s="122" t="str">
        <f>+"CREATE TABLE "&amp;TRIM(C8)&amp;" ("</f>
        <v>CREATE TABLE MenuTable (</v>
      </c>
    </row>
    <row r="16" spans="2:51" ht="12.75">
      <c r="B16" s="20">
        <f>IF(C16=0,"",1)</f>
        <v>1</v>
      </c>
      <c r="C16" s="5" t="s">
        <v>312</v>
      </c>
      <c r="D16" s="5">
        <v>10</v>
      </c>
      <c r="E16" s="5" t="s">
        <v>11</v>
      </c>
      <c r="G16" s="5" t="str">
        <f t="shared" ref="G16:G32" si="0">SUBSTITUTE(SUBSTITUTE(SUBSTITUTE(SUBSTITUTE(SUBSTITUTE(SUBSTITUTE(SUBSTITUTE(SUBSTITUTE(SUBSTITUTE(C16," ",""),".",""),"#","No"),"%",""),"(",""),"*",""),"-",""),"/",""),")","")</f>
        <v>ID</v>
      </c>
      <c r="H16" s="117">
        <f t="shared" ref="H16:H21" si="1">IF(IFERROR(FIND("varchar",E16),0)&gt;0,IF(D16&gt;8000,"max",D16),"")</f>
        <v>10</v>
      </c>
      <c r="I16" s="5" t="str">
        <f t="shared" ref="I16:I45" si="2">IF(E16=0,"",+E16)</f>
        <v>varchar</v>
      </c>
      <c r="J16" s="5" t="str">
        <f t="shared" ref="J16:J45" si="3">IF(C16=0,"",(IF(ISERROR(VLOOKUP(G16,$D$120:$D$127,1,FALSE)),""," NOT")&amp;" NULL"))</f>
        <v xml:space="preserve"> NOT NULL</v>
      </c>
      <c r="K16" s="138" t="s">
        <v>312</v>
      </c>
      <c r="L16" s="5" t="s">
        <v>312</v>
      </c>
      <c r="M16" s="75">
        <v>1</v>
      </c>
      <c r="N16" s="77"/>
      <c r="O16" s="26"/>
      <c r="P16" s="26"/>
      <c r="Q16" s="118">
        <f t="shared" ref="Q16:Q45" si="4">IF(M16=0,"",ROW())</f>
        <v>16</v>
      </c>
      <c r="R16" s="153"/>
      <c r="S16" s="138" t="s">
        <v>312</v>
      </c>
      <c r="T16" s="148"/>
      <c r="U16" s="146"/>
      <c r="V16" s="146"/>
      <c r="W16" s="139" t="s">
        <v>379</v>
      </c>
      <c r="X16" s="139" t="s">
        <v>367</v>
      </c>
      <c r="Y16" s="148">
        <v>100</v>
      </c>
      <c r="Z16" s="138" t="str">
        <f t="shared" ref="Z16:Z23" si="5">IF(M16&lt;9000,"","false")</f>
        <v/>
      </c>
      <c r="AA16" s="138" t="str">
        <f>IF($C$120=B16,"asc","")</f>
        <v>asc</v>
      </c>
      <c r="AB16" s="239"/>
      <c r="AC16" s="325"/>
      <c r="AD16" s="325"/>
      <c r="AE16" s="325"/>
      <c r="AF16" s="325"/>
      <c r="AG16" s="325"/>
      <c r="AH16" s="325"/>
      <c r="AI16" s="325"/>
      <c r="AJ16" s="325"/>
      <c r="AK16" s="325"/>
      <c r="AL16" s="325"/>
      <c r="AM16" s="325"/>
      <c r="AN16" s="325"/>
      <c r="AO16" s="325"/>
      <c r="AP16" s="136"/>
      <c r="AQ16" s="136"/>
      <c r="AR16" s="136" t="str">
        <f t="shared" ref="AR16:AS47" si="6">IF(O16=0,"",ROW())</f>
        <v/>
      </c>
      <c r="AS16" s="136" t="str">
        <f t="shared" si="6"/>
        <v/>
      </c>
      <c r="AT16" s="5" t="str">
        <f t="shared" ref="AT16:AT47" si="7">IF(C16="","",C16&amp;IF(B17="","",","))</f>
        <v>ID,</v>
      </c>
      <c r="AV16" s="27" t="str">
        <f t="shared" ref="AV16:AV35" si="8">IF(G16="","",+"          ["&amp;TRIM(G16)&amp;"] ["&amp;TRIM(I16)&amp;"]"&amp;IF(H16="","","("&amp;H16&amp;")")&amp;" "&amp;TRIM(J16)&amp;IF(G17="","",","))</f>
        <v xml:space="preserve">          [ID] [varchar](10) NOT NULL,</v>
      </c>
      <c r="AW16" s="27"/>
      <c r="AY16" s="122" t="str">
        <f t="shared" ref="AY16:AY79" si="9">IF(G16="",IF(OR(AY15=");",AY15=""),"",");"),+"          "&amp;TRIM(G16)&amp;" "&amp;UPPER(TRIM(I16))&amp;IF(H16="",""," ("&amp;H16&amp;")")&amp;" "&amp;IF(TRIM(J16)="NOT NULL","PRIMARY KEY UNIQUE NOT NULL",TRIM(J16))&amp;IF(G17="","",","))</f>
        <v xml:space="preserve">          ID VARCHAR (10) PRIMARY KEY UNIQUE NOT NULL,</v>
      </c>
    </row>
    <row r="17" spans="2:51" ht="12.75">
      <c r="B17" s="20">
        <f>IF(C17=0,"",+B16+1)</f>
        <v>2</v>
      </c>
      <c r="C17" s="5" t="s">
        <v>393</v>
      </c>
      <c r="D17" s="5">
        <v>10</v>
      </c>
      <c r="E17" s="5" t="s">
        <v>11</v>
      </c>
      <c r="G17" s="5" t="str">
        <f t="shared" si="0"/>
        <v>categoryid</v>
      </c>
      <c r="H17" s="117">
        <f t="shared" si="1"/>
        <v>10</v>
      </c>
      <c r="I17" s="5" t="str">
        <f t="shared" si="2"/>
        <v>varchar</v>
      </c>
      <c r="J17" s="5" t="str">
        <f t="shared" si="3"/>
        <v xml:space="preserve"> NULL</v>
      </c>
      <c r="K17" s="138" t="s">
        <v>798</v>
      </c>
      <c r="L17" s="5" t="s">
        <v>798</v>
      </c>
      <c r="M17" s="75">
        <v>2</v>
      </c>
      <c r="N17" s="77"/>
      <c r="O17" s="26"/>
      <c r="P17" s="26"/>
      <c r="Q17" s="118">
        <f t="shared" si="4"/>
        <v>17</v>
      </c>
      <c r="R17" s="153"/>
      <c r="S17" s="138" t="s">
        <v>798</v>
      </c>
      <c r="T17" s="148"/>
      <c r="U17" s="146"/>
      <c r="V17" s="146"/>
      <c r="W17" s="139"/>
      <c r="X17" s="139"/>
      <c r="Y17" s="148"/>
      <c r="Z17" s="138" t="str">
        <f t="shared" si="5"/>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6"/>
        <v/>
      </c>
      <c r="AS17" s="136" t="str">
        <f t="shared" si="6"/>
        <v/>
      </c>
      <c r="AT17" s="5" t="str">
        <f t="shared" si="7"/>
        <v>categoryid,</v>
      </c>
      <c r="AV17" s="27" t="str">
        <f t="shared" si="8"/>
        <v xml:space="preserve">          [categoryid] [varchar](10) NULL,</v>
      </c>
      <c r="AW17" s="27"/>
      <c r="AY17" s="122" t="str">
        <f t="shared" si="9"/>
        <v xml:space="preserve">          categoryid VARCHAR (10) NULL,</v>
      </c>
    </row>
    <row r="18" spans="2:51" ht="12.75">
      <c r="B18" s="20">
        <f t="shared" ref="B18:B81" si="10">IF(C18=0,"",+B17+1)</f>
        <v>3</v>
      </c>
      <c r="C18" s="5" t="s">
        <v>394</v>
      </c>
      <c r="D18" s="5">
        <v>200</v>
      </c>
      <c r="E18" s="5" t="s">
        <v>11</v>
      </c>
      <c r="G18" s="5" t="str">
        <f t="shared" si="0"/>
        <v>name</v>
      </c>
      <c r="H18" s="117">
        <f t="shared" si="1"/>
        <v>200</v>
      </c>
      <c r="I18" s="5" t="str">
        <f t="shared" si="2"/>
        <v>varchar</v>
      </c>
      <c r="J18" s="5" t="str">
        <f t="shared" si="3"/>
        <v xml:space="preserve"> NULL</v>
      </c>
      <c r="K18" s="138" t="s">
        <v>399</v>
      </c>
      <c r="L18" s="5" t="s">
        <v>399</v>
      </c>
      <c r="M18" s="75">
        <v>3</v>
      </c>
      <c r="N18" s="77"/>
      <c r="O18" s="26"/>
      <c r="P18" s="26"/>
      <c r="Q18" s="118">
        <f t="shared" si="4"/>
        <v>18</v>
      </c>
      <c r="R18" s="153"/>
      <c r="S18" s="138" t="s">
        <v>399</v>
      </c>
      <c r="T18" s="148"/>
      <c r="U18" s="146"/>
      <c r="V18" s="146"/>
      <c r="W18" s="139"/>
      <c r="X18" s="139"/>
      <c r="Y18" s="148"/>
      <c r="Z18" s="138" t="str">
        <f t="shared" si="5"/>
        <v/>
      </c>
      <c r="AA18" s="138" t="str">
        <f t="shared" ref="AA18:AA81" si="11">IF($C$120=B18,"asc","")</f>
        <v/>
      </c>
      <c r="AB18" s="239"/>
      <c r="AC18" s="325"/>
      <c r="AD18" s="325"/>
      <c r="AE18" s="325"/>
      <c r="AF18" s="325"/>
      <c r="AG18" s="325"/>
      <c r="AH18" s="325"/>
      <c r="AI18" s="325"/>
      <c r="AJ18" s="325"/>
      <c r="AK18" s="325"/>
      <c r="AL18" s="325"/>
      <c r="AM18" s="325"/>
      <c r="AN18" s="325"/>
      <c r="AO18" s="325"/>
      <c r="AP18" s="136"/>
      <c r="AQ18" s="136"/>
      <c r="AR18" s="136" t="str">
        <f t="shared" si="6"/>
        <v/>
      </c>
      <c r="AS18" s="136" t="str">
        <f t="shared" si="6"/>
        <v/>
      </c>
      <c r="AT18" s="5" t="str">
        <f t="shared" si="7"/>
        <v>name,</v>
      </c>
      <c r="AV18" s="27" t="str">
        <f t="shared" si="8"/>
        <v xml:space="preserve">          [name] [varchar](200) NULL,</v>
      </c>
      <c r="AW18" s="27"/>
      <c r="AY18" s="122" t="str">
        <f t="shared" si="9"/>
        <v xml:space="preserve">          name VARCHAR (200) NULL,</v>
      </c>
    </row>
    <row r="19" spans="2:51" ht="12.75">
      <c r="B19" s="20">
        <f t="shared" si="10"/>
        <v>4</v>
      </c>
      <c r="C19" s="5" t="s">
        <v>390</v>
      </c>
      <c r="D19" s="5">
        <v>50</v>
      </c>
      <c r="E19" s="5" t="s">
        <v>11</v>
      </c>
      <c r="G19" s="5" t="str">
        <f t="shared" si="0"/>
        <v>icon</v>
      </c>
      <c r="H19" s="117">
        <f t="shared" si="1"/>
        <v>50</v>
      </c>
      <c r="I19" s="5" t="str">
        <f t="shared" si="2"/>
        <v>varchar</v>
      </c>
      <c r="J19" s="5" t="str">
        <f t="shared" si="3"/>
        <v xml:space="preserve"> NULL</v>
      </c>
      <c r="K19" s="138" t="s">
        <v>396</v>
      </c>
      <c r="L19" s="5" t="s">
        <v>397</v>
      </c>
      <c r="M19" s="75">
        <v>4</v>
      </c>
      <c r="N19" s="77"/>
      <c r="O19" s="26"/>
      <c r="P19" s="26"/>
      <c r="Q19" s="118">
        <f t="shared" si="4"/>
        <v>19</v>
      </c>
      <c r="R19" s="153"/>
      <c r="S19" s="138" t="s">
        <v>396</v>
      </c>
      <c r="T19" s="148"/>
      <c r="U19" s="146"/>
      <c r="V19" s="146"/>
      <c r="W19" s="139"/>
      <c r="X19" s="139"/>
      <c r="Y19" s="148"/>
      <c r="Z19" s="138" t="str">
        <f t="shared" si="5"/>
        <v/>
      </c>
      <c r="AA19" s="138" t="str">
        <f t="shared" si="11"/>
        <v/>
      </c>
      <c r="AB19" s="239"/>
      <c r="AC19" s="325"/>
      <c r="AD19" s="325"/>
      <c r="AE19" s="325"/>
      <c r="AF19" s="325"/>
      <c r="AG19" s="325"/>
      <c r="AH19" s="325"/>
      <c r="AI19" s="325"/>
      <c r="AJ19" s="325"/>
      <c r="AK19" s="325"/>
      <c r="AL19" s="325"/>
      <c r="AM19" s="325"/>
      <c r="AN19" s="325"/>
      <c r="AO19" s="325"/>
      <c r="AP19" s="136"/>
      <c r="AQ19" s="136"/>
      <c r="AR19" s="136" t="str">
        <f t="shared" si="6"/>
        <v/>
      </c>
      <c r="AS19" s="136" t="str">
        <f t="shared" si="6"/>
        <v/>
      </c>
      <c r="AT19" s="5" t="str">
        <f t="shared" si="7"/>
        <v>icon,</v>
      </c>
      <c r="AV19" s="27" t="str">
        <f t="shared" si="8"/>
        <v xml:space="preserve">          [icon] [varchar](50) NULL,</v>
      </c>
      <c r="AW19" s="27"/>
      <c r="AY19" s="122" t="str">
        <f t="shared" si="9"/>
        <v xml:space="preserve">          icon VARCHAR (50) NULL,</v>
      </c>
    </row>
    <row r="20" spans="2:51" ht="12.75">
      <c r="B20" s="20">
        <f t="shared" si="10"/>
        <v>5</v>
      </c>
      <c r="C20" s="5" t="s">
        <v>391</v>
      </c>
      <c r="D20" s="5">
        <v>100</v>
      </c>
      <c r="E20" s="5" t="s">
        <v>11</v>
      </c>
      <c r="G20" s="5" t="str">
        <f t="shared" si="0"/>
        <v>alabel</v>
      </c>
      <c r="H20" s="117">
        <f t="shared" si="1"/>
        <v>100</v>
      </c>
      <c r="I20" s="5" t="str">
        <f t="shared" si="2"/>
        <v>varchar</v>
      </c>
      <c r="J20" s="5" t="str">
        <f t="shared" si="3"/>
        <v xml:space="preserve"> NULL</v>
      </c>
      <c r="K20" s="138" t="s">
        <v>797</v>
      </c>
      <c r="L20" s="5" t="s">
        <v>797</v>
      </c>
      <c r="M20" s="75">
        <v>5</v>
      </c>
      <c r="N20" s="77"/>
      <c r="O20" s="26"/>
      <c r="P20" s="26"/>
      <c r="Q20" s="118">
        <f t="shared" si="4"/>
        <v>20</v>
      </c>
      <c r="R20" s="153"/>
      <c r="S20" s="138" t="s">
        <v>797</v>
      </c>
      <c r="T20" s="148"/>
      <c r="U20" s="146"/>
      <c r="V20" s="146"/>
      <c r="W20" s="139"/>
      <c r="X20" s="139"/>
      <c r="Y20" s="148">
        <v>250</v>
      </c>
      <c r="Z20" s="138" t="str">
        <f t="shared" si="5"/>
        <v/>
      </c>
      <c r="AA20" s="138" t="str">
        <f t="shared" si="11"/>
        <v/>
      </c>
      <c r="AB20" s="239"/>
      <c r="AC20" s="325"/>
      <c r="AD20" s="325"/>
      <c r="AE20" s="325"/>
      <c r="AF20" s="325"/>
      <c r="AG20" s="325"/>
      <c r="AH20" s="325"/>
      <c r="AI20" s="325"/>
      <c r="AJ20" s="325"/>
      <c r="AK20" s="325"/>
      <c r="AL20" s="325"/>
      <c r="AM20" s="325"/>
      <c r="AN20" s="325"/>
      <c r="AO20" s="325"/>
      <c r="AP20" s="136"/>
      <c r="AQ20" s="136"/>
      <c r="AR20" s="136" t="str">
        <f t="shared" si="6"/>
        <v/>
      </c>
      <c r="AS20" s="136" t="str">
        <f t="shared" si="6"/>
        <v/>
      </c>
      <c r="AT20" s="5" t="str">
        <f t="shared" si="7"/>
        <v>alabel,</v>
      </c>
      <c r="AV20" s="27" t="str">
        <f t="shared" si="8"/>
        <v xml:space="preserve">          [alabel] [varchar](100) NULL,</v>
      </c>
      <c r="AW20" s="27"/>
      <c r="AY20" s="122" t="str">
        <f t="shared" si="9"/>
        <v xml:space="preserve">          alabel VARCHAR (100) NULL,</v>
      </c>
    </row>
    <row r="21" spans="2:51" ht="12.75">
      <c r="B21" s="20">
        <f t="shared" si="10"/>
        <v>6</v>
      </c>
      <c r="C21" s="5" t="s">
        <v>392</v>
      </c>
      <c r="D21" s="5">
        <v>100</v>
      </c>
      <c r="E21" s="5" t="s">
        <v>11</v>
      </c>
      <c r="G21" s="5" t="str">
        <f t="shared" si="0"/>
        <v>url</v>
      </c>
      <c r="H21" s="117">
        <f t="shared" si="1"/>
        <v>100</v>
      </c>
      <c r="I21" s="5" t="str">
        <f t="shared" si="2"/>
        <v>varchar</v>
      </c>
      <c r="J21" s="5" t="str">
        <f t="shared" si="3"/>
        <v xml:space="preserve"> NULL</v>
      </c>
      <c r="K21" s="138" t="s">
        <v>398</v>
      </c>
      <c r="L21" s="5" t="s">
        <v>398</v>
      </c>
      <c r="M21" s="75">
        <v>6</v>
      </c>
      <c r="N21" s="77"/>
      <c r="O21" s="26"/>
      <c r="P21" s="26"/>
      <c r="Q21" s="118">
        <f t="shared" si="4"/>
        <v>21</v>
      </c>
      <c r="R21" s="153"/>
      <c r="S21" s="138" t="s">
        <v>398</v>
      </c>
      <c r="T21" s="148"/>
      <c r="U21" s="146"/>
      <c r="V21" s="146"/>
      <c r="W21" s="139"/>
      <c r="X21" s="139"/>
      <c r="Y21" s="148"/>
      <c r="Z21" s="138" t="str">
        <f t="shared" si="5"/>
        <v/>
      </c>
      <c r="AA21" s="138" t="str">
        <f t="shared" si="11"/>
        <v/>
      </c>
      <c r="AB21" s="239"/>
      <c r="AC21" s="325"/>
      <c r="AD21" s="325"/>
      <c r="AE21" s="325"/>
      <c r="AF21" s="325"/>
      <c r="AG21" s="325"/>
      <c r="AH21" s="325"/>
      <c r="AI21" s="325"/>
      <c r="AJ21" s="325"/>
      <c r="AK21" s="325"/>
      <c r="AL21" s="325"/>
      <c r="AM21" s="325"/>
      <c r="AN21" s="325"/>
      <c r="AO21" s="325"/>
      <c r="AP21" s="136"/>
      <c r="AQ21" s="136"/>
      <c r="AR21" s="136" t="str">
        <f t="shared" si="6"/>
        <v/>
      </c>
      <c r="AS21" s="136" t="str">
        <f t="shared" si="6"/>
        <v/>
      </c>
      <c r="AT21" s="5" t="str">
        <f t="shared" si="7"/>
        <v>url,</v>
      </c>
      <c r="AV21" s="27" t="str">
        <f t="shared" si="8"/>
        <v xml:space="preserve">          [url] [varchar](100) NULL,</v>
      </c>
      <c r="AW21" s="27"/>
      <c r="AY21" s="122" t="str">
        <f t="shared" si="9"/>
        <v xml:space="preserve">          url VARCHAR (100) NULL,</v>
      </c>
    </row>
    <row r="22" spans="2:51" ht="12.75">
      <c r="B22" s="20">
        <f t="shared" si="10"/>
        <v>7</v>
      </c>
      <c r="C22" s="5" t="s">
        <v>400</v>
      </c>
      <c r="D22" s="5">
        <v>9999</v>
      </c>
      <c r="E22" s="5" t="s">
        <v>401</v>
      </c>
      <c r="G22" s="5" t="str">
        <f t="shared" si="0"/>
        <v>rightsgroup</v>
      </c>
      <c r="H22" s="117" t="str">
        <f>IF(IFERROR(FIND("varchar",E22),0)&gt;0,IF(D22&gt;8000,"max",D22),"")</f>
        <v>max</v>
      </c>
      <c r="I22" s="5" t="str">
        <f t="shared" si="2"/>
        <v>nvarchar</v>
      </c>
      <c r="J22" s="5" t="str">
        <f t="shared" si="3"/>
        <v xml:space="preserve"> NULL</v>
      </c>
      <c r="K22" s="138" t="s">
        <v>402</v>
      </c>
      <c r="L22" s="5" t="s">
        <v>402</v>
      </c>
      <c r="M22" s="75">
        <v>7</v>
      </c>
      <c r="N22" s="77"/>
      <c r="O22" s="26"/>
      <c r="P22" s="26"/>
      <c r="Q22" s="118">
        <f t="shared" si="4"/>
        <v>22</v>
      </c>
      <c r="R22" s="153"/>
      <c r="S22" s="138" t="s">
        <v>402</v>
      </c>
      <c r="T22" s="148"/>
      <c r="U22" s="146"/>
      <c r="V22" s="146"/>
      <c r="W22" s="139"/>
      <c r="X22" s="139"/>
      <c r="Y22" s="148"/>
      <c r="Z22" s="138" t="str">
        <f t="shared" si="5"/>
        <v/>
      </c>
      <c r="AA22" s="138" t="str">
        <f t="shared" si="11"/>
        <v/>
      </c>
      <c r="AB22" s="239"/>
      <c r="AC22" s="325"/>
      <c r="AD22" s="325"/>
      <c r="AE22" s="325"/>
      <c r="AF22" s="325"/>
      <c r="AG22" s="325"/>
      <c r="AH22" s="325"/>
      <c r="AI22" s="325"/>
      <c r="AJ22" s="325"/>
      <c r="AK22" s="325"/>
      <c r="AL22" s="325"/>
      <c r="AM22" s="325"/>
      <c r="AN22" s="325"/>
      <c r="AO22" s="325"/>
      <c r="AP22" s="136"/>
      <c r="AQ22" s="136"/>
      <c r="AR22" s="136" t="str">
        <f t="shared" si="6"/>
        <v/>
      </c>
      <c r="AS22" s="136" t="str">
        <f t="shared" si="6"/>
        <v/>
      </c>
      <c r="AT22" s="5" t="str">
        <f t="shared" si="7"/>
        <v>rightsgroup,</v>
      </c>
      <c r="AV22" s="27" t="str">
        <f t="shared" si="8"/>
        <v xml:space="preserve">          [rightsgroup] [nvarchar](max) NULL,</v>
      </c>
      <c r="AW22" s="27"/>
      <c r="AY22" s="122" t="str">
        <f t="shared" si="9"/>
        <v xml:space="preserve">          rightsgroup NVARCHAR (max) NULL,</v>
      </c>
    </row>
    <row r="23" spans="2:51" ht="12.75">
      <c r="B23" s="20">
        <f t="shared" si="10"/>
        <v>8</v>
      </c>
      <c r="C23" s="5" t="s">
        <v>796</v>
      </c>
      <c r="D23" s="5">
        <v>50</v>
      </c>
      <c r="E23" s="5" t="s">
        <v>11</v>
      </c>
      <c r="G23" s="5" t="str">
        <f t="shared" si="0"/>
        <v>PageID</v>
      </c>
      <c r="H23" s="117">
        <f t="shared" ref="H23:H86" si="12">IF(IFERROR(FIND("varchar",E23),0)&gt;0,IF(D23&gt;8000,"max",D23),"")</f>
        <v>50</v>
      </c>
      <c r="I23" s="5" t="str">
        <f t="shared" si="2"/>
        <v>varchar</v>
      </c>
      <c r="J23" s="5" t="str">
        <f t="shared" si="3"/>
        <v xml:space="preserve"> NULL</v>
      </c>
      <c r="K23" s="138" t="s">
        <v>437</v>
      </c>
      <c r="L23" s="5" t="s">
        <v>437</v>
      </c>
      <c r="M23" s="75">
        <v>8</v>
      </c>
      <c r="N23" s="77"/>
      <c r="O23" s="26"/>
      <c r="P23" s="26"/>
      <c r="Q23" s="118">
        <f t="shared" si="4"/>
        <v>23</v>
      </c>
      <c r="R23" s="153"/>
      <c r="S23" s="138" t="s">
        <v>437</v>
      </c>
      <c r="T23" s="148"/>
      <c r="U23" s="146"/>
      <c r="V23" s="146"/>
      <c r="W23" s="139"/>
      <c r="X23" s="139"/>
      <c r="Y23" s="148"/>
      <c r="Z23" s="138" t="str">
        <f t="shared" si="5"/>
        <v/>
      </c>
      <c r="AA23" s="138" t="str">
        <f t="shared" si="11"/>
        <v/>
      </c>
      <c r="AB23" s="239"/>
      <c r="AC23" s="325"/>
      <c r="AD23" s="325"/>
      <c r="AE23" s="325"/>
      <c r="AF23" s="325"/>
      <c r="AG23" s="325"/>
      <c r="AH23" s="325"/>
      <c r="AI23" s="325"/>
      <c r="AJ23" s="325"/>
      <c r="AK23" s="325"/>
      <c r="AL23" s="325"/>
      <c r="AM23" s="325"/>
      <c r="AN23" s="325"/>
      <c r="AO23" s="325"/>
      <c r="AP23" s="136"/>
      <c r="AQ23" s="136"/>
      <c r="AR23" s="136" t="str">
        <f t="shared" si="6"/>
        <v/>
      </c>
      <c r="AS23" s="136" t="str">
        <f t="shared" si="6"/>
        <v/>
      </c>
      <c r="AT23" s="5" t="str">
        <f t="shared" si="7"/>
        <v>PageID</v>
      </c>
      <c r="AV23" s="27" t="str">
        <f t="shared" si="8"/>
        <v xml:space="preserve">          [PageID] [varchar](50) NULL</v>
      </c>
      <c r="AW23" s="27"/>
      <c r="AY23" s="122" t="str">
        <f t="shared" si="9"/>
        <v xml:space="preserve">          PageID VARCHAR (50) NULL</v>
      </c>
    </row>
    <row r="24" spans="2:51" ht="12.75">
      <c r="B24" s="20" t="str">
        <f t="shared" si="10"/>
        <v/>
      </c>
      <c r="C24" s="5"/>
      <c r="D24" s="5"/>
      <c r="E24" s="5"/>
      <c r="G24" s="5" t="str">
        <f t="shared" si="0"/>
        <v/>
      </c>
      <c r="H24" s="117" t="str">
        <f t="shared" si="12"/>
        <v/>
      </c>
      <c r="I24" s="5" t="str">
        <f t="shared" si="2"/>
        <v/>
      </c>
      <c r="J24" s="5" t="str">
        <f t="shared" si="3"/>
        <v/>
      </c>
      <c r="K24" s="138"/>
      <c r="L24" s="5"/>
      <c r="M24" s="75"/>
      <c r="N24" s="77"/>
      <c r="O24" s="26"/>
      <c r="P24" s="26"/>
      <c r="Q24" s="118" t="str">
        <f t="shared" si="4"/>
        <v/>
      </c>
      <c r="R24" s="153"/>
      <c r="S24" s="138"/>
      <c r="T24" s="148"/>
      <c r="U24" s="146"/>
      <c r="V24" s="146"/>
      <c r="W24" s="139"/>
      <c r="X24" s="139"/>
      <c r="Y24" s="148"/>
      <c r="Z24" s="138"/>
      <c r="AA24" s="138" t="str">
        <f t="shared" si="11"/>
        <v/>
      </c>
      <c r="AB24" s="239"/>
      <c r="AC24" s="325"/>
      <c r="AD24" s="325"/>
      <c r="AE24" s="325"/>
      <c r="AF24" s="325"/>
      <c r="AG24" s="325"/>
      <c r="AH24" s="325"/>
      <c r="AI24" s="325"/>
      <c r="AJ24" s="325"/>
      <c r="AK24" s="325"/>
      <c r="AL24" s="325"/>
      <c r="AM24" s="325"/>
      <c r="AN24" s="325"/>
      <c r="AO24" s="325"/>
      <c r="AP24" s="136"/>
      <c r="AQ24" s="136"/>
      <c r="AR24" s="136" t="str">
        <f t="shared" si="6"/>
        <v/>
      </c>
      <c r="AS24" s="136" t="str">
        <f t="shared" si="6"/>
        <v/>
      </c>
      <c r="AT24" s="5" t="str">
        <f t="shared" si="7"/>
        <v/>
      </c>
      <c r="AV24" s="27" t="str">
        <f t="shared" si="8"/>
        <v/>
      </c>
      <c r="AW24" s="27"/>
      <c r="AY24" s="122" t="str">
        <f t="shared" si="9"/>
        <v>);</v>
      </c>
    </row>
    <row r="25" spans="2:51" ht="12.75">
      <c r="B25" s="20" t="str">
        <f t="shared" si="10"/>
        <v/>
      </c>
      <c r="C25" s="5"/>
      <c r="D25" s="5"/>
      <c r="E25" s="5"/>
      <c r="G25" s="5" t="str">
        <f t="shared" si="0"/>
        <v/>
      </c>
      <c r="H25" s="117" t="str">
        <f t="shared" si="12"/>
        <v/>
      </c>
      <c r="I25" s="5" t="str">
        <f t="shared" si="2"/>
        <v/>
      </c>
      <c r="J25" s="5" t="str">
        <f t="shared" si="3"/>
        <v/>
      </c>
      <c r="K25" s="138"/>
      <c r="L25" s="5"/>
      <c r="M25" s="75"/>
      <c r="N25" s="77"/>
      <c r="O25" s="26"/>
      <c r="P25" s="26"/>
      <c r="Q25" s="118" t="str">
        <f t="shared" si="4"/>
        <v/>
      </c>
      <c r="R25" s="153"/>
      <c r="S25" s="138"/>
      <c r="T25" s="148"/>
      <c r="U25" s="146"/>
      <c r="V25" s="146"/>
      <c r="W25" s="139"/>
      <c r="X25" s="139"/>
      <c r="Y25" s="148"/>
      <c r="Z25" s="138"/>
      <c r="AA25" s="138" t="str">
        <f t="shared" si="11"/>
        <v/>
      </c>
      <c r="AB25" s="239"/>
      <c r="AC25" s="325"/>
      <c r="AD25" s="325"/>
      <c r="AE25" s="325"/>
      <c r="AF25" s="325"/>
      <c r="AG25" s="325"/>
      <c r="AH25" s="325"/>
      <c r="AI25" s="325"/>
      <c r="AJ25" s="325"/>
      <c r="AK25" s="325"/>
      <c r="AL25" s="325"/>
      <c r="AM25" s="325"/>
      <c r="AN25" s="325"/>
      <c r="AO25" s="325"/>
      <c r="AP25" s="136"/>
      <c r="AQ25" s="136"/>
      <c r="AR25" s="136" t="str">
        <f t="shared" si="6"/>
        <v/>
      </c>
      <c r="AS25" s="136" t="str">
        <f t="shared" si="6"/>
        <v/>
      </c>
      <c r="AT25" s="5" t="str">
        <f t="shared" si="7"/>
        <v/>
      </c>
      <c r="AV25" s="27" t="str">
        <f t="shared" si="8"/>
        <v/>
      </c>
      <c r="AW25" s="27"/>
      <c r="AY25" s="122" t="str">
        <f t="shared" si="9"/>
        <v/>
      </c>
    </row>
    <row r="26" spans="2:51" ht="12.75">
      <c r="B26" s="20" t="str">
        <f t="shared" si="10"/>
        <v/>
      </c>
      <c r="C26" s="5"/>
      <c r="D26" s="5"/>
      <c r="E26" s="5"/>
      <c r="G26" s="5" t="str">
        <f t="shared" si="0"/>
        <v/>
      </c>
      <c r="H26" s="117" t="str">
        <f t="shared" si="12"/>
        <v/>
      </c>
      <c r="I26" s="5" t="str">
        <f t="shared" si="2"/>
        <v/>
      </c>
      <c r="J26" s="5" t="str">
        <f t="shared" si="3"/>
        <v/>
      </c>
      <c r="K26" s="138"/>
      <c r="L26" s="5"/>
      <c r="M26" s="75"/>
      <c r="N26" s="77"/>
      <c r="O26" s="26"/>
      <c r="P26" s="26"/>
      <c r="Q26" s="118" t="str">
        <f t="shared" si="4"/>
        <v/>
      </c>
      <c r="R26" s="153"/>
      <c r="S26" s="138"/>
      <c r="T26" s="148"/>
      <c r="U26" s="146"/>
      <c r="V26" s="146"/>
      <c r="W26" s="139"/>
      <c r="X26" s="139"/>
      <c r="Y26" s="148"/>
      <c r="Z26" s="138"/>
      <c r="AA26" s="138" t="str">
        <f t="shared" si="11"/>
        <v/>
      </c>
      <c r="AB26" s="239"/>
      <c r="AC26" s="325"/>
      <c r="AD26" s="325"/>
      <c r="AE26" s="325"/>
      <c r="AF26" s="325"/>
      <c r="AG26" s="325"/>
      <c r="AH26" s="325"/>
      <c r="AI26" s="325"/>
      <c r="AJ26" s="325"/>
      <c r="AK26" s="325"/>
      <c r="AL26" s="325"/>
      <c r="AM26" s="325"/>
      <c r="AN26" s="325"/>
      <c r="AO26" s="325"/>
      <c r="AP26" s="136"/>
      <c r="AQ26" s="136"/>
      <c r="AR26" s="136" t="str">
        <f t="shared" si="6"/>
        <v/>
      </c>
      <c r="AS26" s="136" t="str">
        <f t="shared" si="6"/>
        <v/>
      </c>
      <c r="AT26" s="5" t="str">
        <f t="shared" si="7"/>
        <v/>
      </c>
      <c r="AV26" s="27" t="str">
        <f t="shared" si="8"/>
        <v/>
      </c>
      <c r="AW26" s="27"/>
      <c r="AY26" s="122" t="str">
        <f t="shared" si="9"/>
        <v/>
      </c>
    </row>
    <row r="27" spans="2:51" ht="12.75">
      <c r="B27" s="20" t="str">
        <f t="shared" si="10"/>
        <v/>
      </c>
      <c r="C27" s="5"/>
      <c r="D27" s="5"/>
      <c r="E27" s="5"/>
      <c r="G27" s="5" t="str">
        <f t="shared" si="0"/>
        <v/>
      </c>
      <c r="H27" s="117" t="str">
        <f t="shared" si="12"/>
        <v/>
      </c>
      <c r="I27" s="5" t="str">
        <f t="shared" si="2"/>
        <v/>
      </c>
      <c r="J27" s="5" t="str">
        <f t="shared" si="3"/>
        <v/>
      </c>
      <c r="K27" s="138"/>
      <c r="L27" s="5"/>
      <c r="M27" s="75"/>
      <c r="N27" s="77"/>
      <c r="O27" s="26"/>
      <c r="P27" s="26"/>
      <c r="Q27" s="118" t="str">
        <f t="shared" si="4"/>
        <v/>
      </c>
      <c r="R27" s="153"/>
      <c r="S27" s="138"/>
      <c r="T27" s="148"/>
      <c r="U27" s="146"/>
      <c r="V27" s="146"/>
      <c r="W27" s="139"/>
      <c r="X27" s="139"/>
      <c r="Y27" s="148"/>
      <c r="Z27" s="138"/>
      <c r="AA27" s="138" t="str">
        <f t="shared" si="11"/>
        <v/>
      </c>
      <c r="AB27" s="239"/>
      <c r="AC27" s="325"/>
      <c r="AD27" s="325"/>
      <c r="AE27" s="325"/>
      <c r="AF27" s="325"/>
      <c r="AG27" s="325"/>
      <c r="AH27" s="325"/>
      <c r="AI27" s="325"/>
      <c r="AJ27" s="325"/>
      <c r="AK27" s="325"/>
      <c r="AL27" s="325"/>
      <c r="AM27" s="325"/>
      <c r="AN27" s="325"/>
      <c r="AO27" s="325"/>
      <c r="AP27" s="136"/>
      <c r="AQ27" s="136"/>
      <c r="AR27" s="136" t="str">
        <f t="shared" si="6"/>
        <v/>
      </c>
      <c r="AS27" s="136" t="str">
        <f t="shared" si="6"/>
        <v/>
      </c>
      <c r="AT27" s="5" t="str">
        <f t="shared" si="7"/>
        <v/>
      </c>
      <c r="AV27" s="27" t="str">
        <f t="shared" si="8"/>
        <v/>
      </c>
      <c r="AW27" s="27"/>
      <c r="AY27" s="122" t="str">
        <f t="shared" si="9"/>
        <v/>
      </c>
    </row>
    <row r="28" spans="2:51" ht="12.75">
      <c r="B28" s="20" t="str">
        <f t="shared" si="10"/>
        <v/>
      </c>
      <c r="C28" s="5"/>
      <c r="D28" s="5"/>
      <c r="E28" s="5"/>
      <c r="G28" s="5" t="str">
        <f t="shared" si="0"/>
        <v/>
      </c>
      <c r="H28" s="117" t="str">
        <f t="shared" si="12"/>
        <v/>
      </c>
      <c r="I28" s="5" t="str">
        <f t="shared" si="2"/>
        <v/>
      </c>
      <c r="J28" s="5" t="str">
        <f t="shared" si="3"/>
        <v/>
      </c>
      <c r="K28" s="138"/>
      <c r="L28" s="5"/>
      <c r="M28" s="75"/>
      <c r="N28" s="77"/>
      <c r="O28" s="26"/>
      <c r="P28" s="26"/>
      <c r="Q28" s="118" t="str">
        <f t="shared" si="4"/>
        <v/>
      </c>
      <c r="R28" s="153"/>
      <c r="S28" s="138"/>
      <c r="T28" s="148"/>
      <c r="U28" s="146"/>
      <c r="V28" s="146"/>
      <c r="W28" s="139"/>
      <c r="X28" s="139"/>
      <c r="Y28" s="148"/>
      <c r="Z28" s="138"/>
      <c r="AA28" s="138" t="str">
        <f t="shared" si="11"/>
        <v/>
      </c>
      <c r="AB28" s="239"/>
      <c r="AC28" s="325"/>
      <c r="AD28" s="325"/>
      <c r="AE28" s="325"/>
      <c r="AF28" s="325"/>
      <c r="AG28" s="325"/>
      <c r="AH28" s="325"/>
      <c r="AI28" s="325"/>
      <c r="AJ28" s="325"/>
      <c r="AK28" s="325"/>
      <c r="AL28" s="325"/>
      <c r="AM28" s="325"/>
      <c r="AN28" s="325"/>
      <c r="AO28" s="325"/>
      <c r="AP28" s="136"/>
      <c r="AQ28" s="136"/>
      <c r="AR28" s="136" t="str">
        <f t="shared" si="6"/>
        <v/>
      </c>
      <c r="AS28" s="136" t="str">
        <f t="shared" si="6"/>
        <v/>
      </c>
      <c r="AT28" s="5" t="str">
        <f t="shared" si="7"/>
        <v/>
      </c>
      <c r="AV28" s="27" t="str">
        <f t="shared" si="8"/>
        <v/>
      </c>
      <c r="AW28" s="27"/>
      <c r="AY28" s="122" t="str">
        <f t="shared" si="9"/>
        <v/>
      </c>
    </row>
    <row r="29" spans="2:51" ht="12.75">
      <c r="B29" s="20" t="str">
        <f t="shared" si="10"/>
        <v/>
      </c>
      <c r="C29" s="5"/>
      <c r="D29" s="5"/>
      <c r="E29" s="5"/>
      <c r="G29" s="5" t="str">
        <f t="shared" si="0"/>
        <v/>
      </c>
      <c r="H29" s="117" t="str">
        <f t="shared" si="12"/>
        <v/>
      </c>
      <c r="I29" s="5" t="str">
        <f t="shared" si="2"/>
        <v/>
      </c>
      <c r="J29" s="5" t="str">
        <f t="shared" si="3"/>
        <v/>
      </c>
      <c r="K29" s="138"/>
      <c r="L29" s="5"/>
      <c r="M29" s="75"/>
      <c r="N29" s="77"/>
      <c r="O29" s="26"/>
      <c r="P29" s="26"/>
      <c r="Q29" s="118" t="str">
        <f t="shared" si="4"/>
        <v/>
      </c>
      <c r="R29" s="153"/>
      <c r="S29" s="138"/>
      <c r="T29" s="148"/>
      <c r="U29" s="146"/>
      <c r="V29" s="146"/>
      <c r="W29" s="139"/>
      <c r="X29" s="139"/>
      <c r="Y29" s="148"/>
      <c r="Z29" s="138"/>
      <c r="AA29" s="138" t="str">
        <f t="shared" si="11"/>
        <v/>
      </c>
      <c r="AB29" s="239"/>
      <c r="AC29" s="325"/>
      <c r="AD29" s="325"/>
      <c r="AE29" s="325"/>
      <c r="AF29" s="325"/>
      <c r="AG29" s="325"/>
      <c r="AH29" s="325"/>
      <c r="AI29" s="325"/>
      <c r="AJ29" s="325"/>
      <c r="AK29" s="325"/>
      <c r="AL29" s="325"/>
      <c r="AM29" s="325"/>
      <c r="AN29" s="325"/>
      <c r="AO29" s="325"/>
      <c r="AP29" s="136"/>
      <c r="AQ29" s="136"/>
      <c r="AR29" s="136" t="str">
        <f t="shared" si="6"/>
        <v/>
      </c>
      <c r="AS29" s="136" t="str">
        <f t="shared" si="6"/>
        <v/>
      </c>
      <c r="AT29" s="5" t="str">
        <f t="shared" si="7"/>
        <v/>
      </c>
      <c r="AV29" s="27" t="str">
        <f t="shared" si="8"/>
        <v/>
      </c>
      <c r="AW29" s="27"/>
      <c r="AY29" s="122" t="str">
        <f t="shared" si="9"/>
        <v/>
      </c>
    </row>
    <row r="30" spans="2:51" ht="12.75">
      <c r="B30" s="20" t="str">
        <f t="shared" si="10"/>
        <v/>
      </c>
      <c r="C30" s="5"/>
      <c r="D30" s="5"/>
      <c r="E30" s="5"/>
      <c r="G30" s="5" t="str">
        <f t="shared" si="0"/>
        <v/>
      </c>
      <c r="H30" s="117" t="str">
        <f t="shared" si="12"/>
        <v/>
      </c>
      <c r="I30" s="5" t="str">
        <f t="shared" si="2"/>
        <v/>
      </c>
      <c r="J30" s="5" t="str">
        <f t="shared" si="3"/>
        <v/>
      </c>
      <c r="K30" s="138"/>
      <c r="L30" s="5"/>
      <c r="M30" s="75"/>
      <c r="N30" s="77"/>
      <c r="O30" s="26"/>
      <c r="P30" s="26"/>
      <c r="Q30" s="118" t="str">
        <f t="shared" si="4"/>
        <v/>
      </c>
      <c r="R30" s="153"/>
      <c r="S30" s="138"/>
      <c r="T30" s="148"/>
      <c r="U30" s="146"/>
      <c r="V30" s="146"/>
      <c r="W30" s="139"/>
      <c r="X30" s="139"/>
      <c r="Y30" s="148"/>
      <c r="Z30" s="138"/>
      <c r="AA30" s="138" t="str">
        <f t="shared" si="11"/>
        <v/>
      </c>
      <c r="AB30" s="239"/>
      <c r="AC30" s="325"/>
      <c r="AD30" s="325"/>
      <c r="AE30" s="325"/>
      <c r="AF30" s="325"/>
      <c r="AG30" s="325"/>
      <c r="AH30" s="325"/>
      <c r="AI30" s="325"/>
      <c r="AJ30" s="325"/>
      <c r="AK30" s="325"/>
      <c r="AL30" s="325"/>
      <c r="AM30" s="325"/>
      <c r="AN30" s="325"/>
      <c r="AO30" s="325"/>
      <c r="AP30" s="136"/>
      <c r="AQ30" s="136"/>
      <c r="AR30" s="136" t="str">
        <f t="shared" si="6"/>
        <v/>
      </c>
      <c r="AS30" s="136" t="str">
        <f t="shared" si="6"/>
        <v/>
      </c>
      <c r="AT30" s="5" t="str">
        <f t="shared" si="7"/>
        <v/>
      </c>
      <c r="AV30" s="27" t="str">
        <f t="shared" si="8"/>
        <v/>
      </c>
      <c r="AW30" s="27"/>
      <c r="AY30" s="122" t="str">
        <f t="shared" si="9"/>
        <v/>
      </c>
    </row>
    <row r="31" spans="2:51" ht="12.75">
      <c r="B31" s="20" t="str">
        <f t="shared" si="10"/>
        <v/>
      </c>
      <c r="C31" s="5"/>
      <c r="D31" s="5"/>
      <c r="E31" s="5"/>
      <c r="G31" s="5" t="str">
        <f t="shared" si="0"/>
        <v/>
      </c>
      <c r="H31" s="117" t="str">
        <f t="shared" si="12"/>
        <v/>
      </c>
      <c r="I31" s="5" t="str">
        <f t="shared" si="2"/>
        <v/>
      </c>
      <c r="J31" s="5" t="str">
        <f t="shared" si="3"/>
        <v/>
      </c>
      <c r="K31" s="138"/>
      <c r="L31" s="5"/>
      <c r="M31" s="75"/>
      <c r="N31" s="77"/>
      <c r="O31" s="26"/>
      <c r="P31" s="26"/>
      <c r="Q31" s="118" t="str">
        <f t="shared" si="4"/>
        <v/>
      </c>
      <c r="R31" s="153"/>
      <c r="S31" s="138"/>
      <c r="T31" s="148"/>
      <c r="U31" s="146"/>
      <c r="V31" s="146"/>
      <c r="W31" s="139"/>
      <c r="X31" s="139"/>
      <c r="Y31" s="148"/>
      <c r="Z31" s="138"/>
      <c r="AA31" s="138" t="str">
        <f t="shared" si="11"/>
        <v/>
      </c>
      <c r="AB31" s="239"/>
      <c r="AC31" s="325"/>
      <c r="AD31" s="325"/>
      <c r="AE31" s="325"/>
      <c r="AF31" s="325"/>
      <c r="AG31" s="325"/>
      <c r="AH31" s="325"/>
      <c r="AI31" s="325"/>
      <c r="AJ31" s="325"/>
      <c r="AK31" s="325"/>
      <c r="AL31" s="325"/>
      <c r="AM31" s="325"/>
      <c r="AN31" s="325"/>
      <c r="AO31" s="325"/>
      <c r="AP31" s="136"/>
      <c r="AQ31" s="136"/>
      <c r="AR31" s="136" t="str">
        <f t="shared" si="6"/>
        <v/>
      </c>
      <c r="AS31" s="136" t="str">
        <f t="shared" si="6"/>
        <v/>
      </c>
      <c r="AT31" s="5" t="str">
        <f t="shared" si="7"/>
        <v/>
      </c>
      <c r="AV31" s="27" t="str">
        <f t="shared" si="8"/>
        <v/>
      </c>
      <c r="AW31" s="27"/>
      <c r="AY31" s="122" t="str">
        <f t="shared" si="9"/>
        <v/>
      </c>
    </row>
    <row r="32" spans="2:51" ht="12.75">
      <c r="B32" s="20" t="str">
        <f t="shared" si="10"/>
        <v/>
      </c>
      <c r="C32" s="5"/>
      <c r="D32" s="5"/>
      <c r="E32" s="5"/>
      <c r="G32" s="5" t="str">
        <f t="shared" si="0"/>
        <v/>
      </c>
      <c r="H32" s="117" t="str">
        <f t="shared" si="12"/>
        <v/>
      </c>
      <c r="I32" s="5" t="str">
        <f t="shared" si="2"/>
        <v/>
      </c>
      <c r="J32" s="5" t="str">
        <f t="shared" si="3"/>
        <v/>
      </c>
      <c r="K32" s="138"/>
      <c r="L32" s="5"/>
      <c r="M32" s="75"/>
      <c r="N32" s="77"/>
      <c r="O32" s="26"/>
      <c r="P32" s="26"/>
      <c r="Q32" s="118" t="str">
        <f t="shared" si="4"/>
        <v/>
      </c>
      <c r="R32" s="153"/>
      <c r="S32" s="138"/>
      <c r="T32" s="148"/>
      <c r="U32" s="146"/>
      <c r="V32" s="146"/>
      <c r="W32" s="139"/>
      <c r="X32" s="139"/>
      <c r="Y32" s="148"/>
      <c r="Z32" s="138"/>
      <c r="AA32" s="138" t="str">
        <f t="shared" si="11"/>
        <v/>
      </c>
      <c r="AB32" s="239"/>
      <c r="AC32" s="325"/>
      <c r="AD32" s="325"/>
      <c r="AE32" s="325"/>
      <c r="AF32" s="325"/>
      <c r="AG32" s="325"/>
      <c r="AH32" s="325"/>
      <c r="AI32" s="325"/>
      <c r="AJ32" s="325"/>
      <c r="AK32" s="325"/>
      <c r="AL32" s="325"/>
      <c r="AM32" s="325"/>
      <c r="AN32" s="325"/>
      <c r="AO32" s="325"/>
      <c r="AP32" s="136"/>
      <c r="AQ32" s="136"/>
      <c r="AR32" s="136" t="str">
        <f t="shared" si="6"/>
        <v/>
      </c>
      <c r="AS32" s="136" t="str">
        <f t="shared" si="6"/>
        <v/>
      </c>
      <c r="AT32" s="5" t="str">
        <f t="shared" si="7"/>
        <v/>
      </c>
      <c r="AV32" s="27" t="str">
        <f t="shared" si="8"/>
        <v/>
      </c>
      <c r="AW32" s="27"/>
      <c r="AY32" s="122" t="str">
        <f t="shared" si="9"/>
        <v/>
      </c>
    </row>
    <row r="33" spans="2:51" ht="12.75">
      <c r="B33" s="20" t="str">
        <f t="shared" si="10"/>
        <v/>
      </c>
      <c r="C33" s="5"/>
      <c r="D33" s="5"/>
      <c r="E33" s="5"/>
      <c r="G33" s="5" t="str">
        <f>SUBSTITUTE(SUBSTITUTE(SUBSTITUTE(SUBSTITUTE(SUBSTITUTE(SUBSTITUTE(SUBSTITUTE(SUBSTITUTE(SUBSTITUTE(C33," ",""),".",""),"#","No"),"%",""),"(",""),"*",""),"-",""),"/",""),")","")</f>
        <v/>
      </c>
      <c r="H33" s="117" t="str">
        <f t="shared" si="12"/>
        <v/>
      </c>
      <c r="I33" s="5" t="str">
        <f t="shared" si="2"/>
        <v/>
      </c>
      <c r="J33" s="5" t="str">
        <f t="shared" si="3"/>
        <v/>
      </c>
      <c r="K33" s="138"/>
      <c r="L33" s="5"/>
      <c r="M33" s="75"/>
      <c r="N33" s="77"/>
      <c r="O33" s="26"/>
      <c r="P33" s="26"/>
      <c r="Q33" s="118" t="str">
        <f t="shared" si="4"/>
        <v/>
      </c>
      <c r="R33" s="153"/>
      <c r="S33" s="138"/>
      <c r="T33" s="148"/>
      <c r="U33" s="146"/>
      <c r="V33" s="146"/>
      <c r="W33" s="139"/>
      <c r="X33" s="139"/>
      <c r="Y33" s="148"/>
      <c r="Z33" s="138"/>
      <c r="AA33" s="138" t="str">
        <f t="shared" si="11"/>
        <v/>
      </c>
      <c r="AB33" s="239"/>
      <c r="AC33" s="325"/>
      <c r="AD33" s="325"/>
      <c r="AE33" s="325"/>
      <c r="AF33" s="325"/>
      <c r="AG33" s="325"/>
      <c r="AH33" s="325"/>
      <c r="AI33" s="325"/>
      <c r="AJ33" s="325"/>
      <c r="AK33" s="325"/>
      <c r="AL33" s="325"/>
      <c r="AM33" s="325"/>
      <c r="AN33" s="325"/>
      <c r="AO33" s="325"/>
      <c r="AP33" s="136"/>
      <c r="AQ33" s="136"/>
      <c r="AR33" s="136" t="str">
        <f t="shared" si="6"/>
        <v/>
      </c>
      <c r="AS33" s="136" t="str">
        <f t="shared" si="6"/>
        <v/>
      </c>
      <c r="AT33" s="5" t="str">
        <f t="shared" si="7"/>
        <v/>
      </c>
      <c r="AV33" s="27" t="str">
        <f t="shared" si="8"/>
        <v/>
      </c>
      <c r="AW33" s="27"/>
      <c r="AY33" s="122" t="str">
        <f t="shared" si="9"/>
        <v/>
      </c>
    </row>
    <row r="34" spans="2:51" ht="12.75">
      <c r="B34" s="20" t="str">
        <f t="shared" si="10"/>
        <v/>
      </c>
      <c r="C34" s="5"/>
      <c r="D34" s="5"/>
      <c r="E34" s="5"/>
      <c r="G34" s="5" t="str">
        <f>SUBSTITUTE(SUBSTITUTE(SUBSTITUTE(SUBSTITUTE(SUBSTITUTE(SUBSTITUTE(SUBSTITUTE(SUBSTITUTE(SUBSTITUTE(C34," ",""),".",""),"#","No"),"%",""),"(",""),"*",""),"-",""),"/",""),")","")</f>
        <v/>
      </c>
      <c r="H34" s="117" t="str">
        <f t="shared" si="12"/>
        <v/>
      </c>
      <c r="I34" s="5" t="str">
        <f t="shared" si="2"/>
        <v/>
      </c>
      <c r="J34" s="5" t="str">
        <f t="shared" si="3"/>
        <v/>
      </c>
      <c r="K34" s="138"/>
      <c r="L34" s="5"/>
      <c r="M34" s="75"/>
      <c r="N34" s="77"/>
      <c r="O34" s="26"/>
      <c r="P34" s="26"/>
      <c r="Q34" s="118" t="str">
        <f t="shared" si="4"/>
        <v/>
      </c>
      <c r="R34" s="153"/>
      <c r="S34" s="138"/>
      <c r="T34" s="148"/>
      <c r="U34" s="146"/>
      <c r="V34" s="146"/>
      <c r="W34" s="139"/>
      <c r="X34" s="139"/>
      <c r="Y34" s="148"/>
      <c r="Z34" s="138"/>
      <c r="AA34" s="138" t="str">
        <f t="shared" si="11"/>
        <v/>
      </c>
      <c r="AB34" s="239"/>
      <c r="AC34" s="325"/>
      <c r="AD34" s="325"/>
      <c r="AE34" s="325"/>
      <c r="AF34" s="325"/>
      <c r="AG34" s="325"/>
      <c r="AH34" s="325"/>
      <c r="AI34" s="325"/>
      <c r="AJ34" s="325"/>
      <c r="AK34" s="325"/>
      <c r="AL34" s="325"/>
      <c r="AM34" s="325"/>
      <c r="AN34" s="325"/>
      <c r="AO34" s="325"/>
      <c r="AP34" s="136"/>
      <c r="AQ34" s="136"/>
      <c r="AR34" s="136" t="str">
        <f t="shared" si="6"/>
        <v/>
      </c>
      <c r="AS34" s="136" t="str">
        <f t="shared" si="6"/>
        <v/>
      </c>
      <c r="AT34" s="5" t="str">
        <f t="shared" si="7"/>
        <v/>
      </c>
      <c r="AV34" s="27" t="str">
        <f t="shared" si="8"/>
        <v/>
      </c>
      <c r="AW34" s="27"/>
      <c r="AY34" s="122" t="str">
        <f t="shared" si="9"/>
        <v/>
      </c>
    </row>
    <row r="35" spans="2:51" ht="12.75">
      <c r="B35" s="20" t="str">
        <f t="shared" si="10"/>
        <v/>
      </c>
      <c r="C35" s="5"/>
      <c r="D35" s="5"/>
      <c r="E35" s="5"/>
      <c r="G35" s="5" t="str">
        <f>SUBSTITUTE(SUBSTITUTE(SUBSTITUTE(SUBSTITUTE(SUBSTITUTE(SUBSTITUTE(SUBSTITUTE(SUBSTITUTE(SUBSTITUTE(C35," ",""),".",""),"#","No"),"%",""),"(",""),"*",""),"-",""),"/",""),")","")</f>
        <v/>
      </c>
      <c r="H35" s="117" t="str">
        <f t="shared" si="12"/>
        <v/>
      </c>
      <c r="I35" s="5" t="str">
        <f t="shared" si="2"/>
        <v/>
      </c>
      <c r="J35" s="5" t="str">
        <f t="shared" si="3"/>
        <v/>
      </c>
      <c r="K35" s="138"/>
      <c r="L35" s="5"/>
      <c r="M35" s="75"/>
      <c r="N35" s="77"/>
      <c r="O35" s="26"/>
      <c r="P35" s="26"/>
      <c r="Q35" s="118" t="str">
        <f t="shared" si="4"/>
        <v/>
      </c>
      <c r="R35" s="153"/>
      <c r="S35" s="138"/>
      <c r="T35" s="148"/>
      <c r="U35" s="146"/>
      <c r="V35" s="146"/>
      <c r="W35" s="139"/>
      <c r="X35" s="139"/>
      <c r="Y35" s="148"/>
      <c r="Z35" s="138"/>
      <c r="AA35" s="138" t="str">
        <f t="shared" si="11"/>
        <v/>
      </c>
      <c r="AB35" s="239"/>
      <c r="AC35" s="325"/>
      <c r="AD35" s="325"/>
      <c r="AE35" s="325"/>
      <c r="AF35" s="325"/>
      <c r="AG35" s="325"/>
      <c r="AH35" s="325"/>
      <c r="AI35" s="325"/>
      <c r="AJ35" s="325"/>
      <c r="AK35" s="325"/>
      <c r="AL35" s="325"/>
      <c r="AM35" s="325"/>
      <c r="AN35" s="325"/>
      <c r="AO35" s="325"/>
      <c r="AP35" s="136"/>
      <c r="AQ35" s="136"/>
      <c r="AR35" s="136" t="str">
        <f t="shared" si="6"/>
        <v/>
      </c>
      <c r="AS35" s="136" t="str">
        <f t="shared" si="6"/>
        <v/>
      </c>
      <c r="AT35" s="5" t="str">
        <f t="shared" si="7"/>
        <v/>
      </c>
      <c r="AV35" s="27" t="str">
        <f t="shared" si="8"/>
        <v/>
      </c>
      <c r="AW35" s="27"/>
      <c r="AY35" s="122" t="str">
        <f t="shared" si="9"/>
        <v/>
      </c>
    </row>
    <row r="36" spans="2:51" ht="12.75">
      <c r="B36" s="20" t="str">
        <f t="shared" si="10"/>
        <v/>
      </c>
      <c r="C36" s="5"/>
      <c r="D36" s="5"/>
      <c r="E36" s="5"/>
      <c r="G36" s="5" t="str">
        <f>SUBSTITUTE(SUBSTITUTE(SUBSTITUTE(SUBSTITUTE(SUBSTITUTE(SUBSTITUTE(SUBSTITUTE(SUBSTITUTE(SUBSTITUTE(C36," ",""),".",""),"#","No"),"%",""),"(",""),"*",""),"-",""),"/",""),")","")</f>
        <v/>
      </c>
      <c r="H36" s="117" t="str">
        <f t="shared" si="12"/>
        <v/>
      </c>
      <c r="I36" s="5" t="str">
        <f t="shared" si="2"/>
        <v/>
      </c>
      <c r="J36" s="5" t="str">
        <f t="shared" si="3"/>
        <v/>
      </c>
      <c r="K36" s="138"/>
      <c r="L36" s="5"/>
      <c r="M36" s="75"/>
      <c r="N36" s="77"/>
      <c r="O36" s="26"/>
      <c r="P36" s="26"/>
      <c r="Q36" s="118" t="str">
        <f t="shared" si="4"/>
        <v/>
      </c>
      <c r="R36" s="153"/>
      <c r="S36" s="138"/>
      <c r="T36" s="148"/>
      <c r="U36" s="146"/>
      <c r="V36" s="146"/>
      <c r="W36" s="139"/>
      <c r="X36" s="139"/>
      <c r="Y36" s="148"/>
      <c r="Z36" s="138"/>
      <c r="AA36" s="138" t="str">
        <f t="shared" si="11"/>
        <v/>
      </c>
      <c r="AB36" s="239"/>
      <c r="AC36" s="325"/>
      <c r="AD36" s="325"/>
      <c r="AE36" s="325"/>
      <c r="AF36" s="325"/>
      <c r="AG36" s="325"/>
      <c r="AH36" s="325"/>
      <c r="AI36" s="325"/>
      <c r="AJ36" s="325"/>
      <c r="AK36" s="325"/>
      <c r="AL36" s="325"/>
      <c r="AM36" s="325"/>
      <c r="AN36" s="325"/>
      <c r="AO36" s="325"/>
      <c r="AP36" s="136"/>
      <c r="AQ36" s="136"/>
      <c r="AR36" s="136" t="str">
        <f t="shared" si="6"/>
        <v/>
      </c>
      <c r="AS36" s="136" t="str">
        <f t="shared" si="6"/>
        <v/>
      </c>
      <c r="AT36" s="5" t="str">
        <f t="shared" si="7"/>
        <v/>
      </c>
      <c r="AV36" s="27" t="str">
        <f>IF(G36="","",+"          ["&amp;TRIM(G36)&amp;"] ["&amp;TRIM(I36)&amp;"]"&amp;IF(H36="","","("&amp;H36&amp;")")&amp;" "&amp;TRIM(J36)&amp;IF(G46="","",","))</f>
        <v/>
      </c>
      <c r="AW36" s="27"/>
      <c r="AY36" s="122" t="str">
        <f t="shared" si="9"/>
        <v/>
      </c>
    </row>
    <row r="37" spans="2:51" ht="12.75">
      <c r="B37" s="20" t="str">
        <f t="shared" si="10"/>
        <v/>
      </c>
      <c r="C37" s="5"/>
      <c r="D37" s="5"/>
      <c r="E37" s="5"/>
      <c r="G37" s="5" t="str">
        <f t="shared" ref="G37:G45" si="13">SUBSTITUTE(SUBSTITUTE(SUBSTITUTE(SUBSTITUTE(SUBSTITUTE(SUBSTITUTE(SUBSTITUTE(SUBSTITUTE(SUBSTITUTE(C37," ",""),".",""),"#","No"),"%",""),"(",""),"*",""),"-",""),"/",""),")","")</f>
        <v/>
      </c>
      <c r="H37" s="117" t="str">
        <f t="shared" si="12"/>
        <v/>
      </c>
      <c r="I37" s="5" t="str">
        <f t="shared" si="2"/>
        <v/>
      </c>
      <c r="J37" s="5" t="str">
        <f t="shared" si="3"/>
        <v/>
      </c>
      <c r="K37" s="138"/>
      <c r="L37" s="5"/>
      <c r="M37" s="75"/>
      <c r="N37" s="77"/>
      <c r="O37" s="26"/>
      <c r="P37" s="26"/>
      <c r="Q37" s="118" t="str">
        <f t="shared" si="4"/>
        <v/>
      </c>
      <c r="R37" s="153"/>
      <c r="S37" s="138"/>
      <c r="T37" s="148"/>
      <c r="U37" s="146"/>
      <c r="V37" s="146"/>
      <c r="W37" s="139"/>
      <c r="X37" s="139"/>
      <c r="Y37" s="148"/>
      <c r="Z37" s="138"/>
      <c r="AA37" s="138" t="str">
        <f t="shared" si="11"/>
        <v/>
      </c>
      <c r="AB37" s="239"/>
      <c r="AC37" s="325"/>
      <c r="AD37" s="325"/>
      <c r="AE37" s="325"/>
      <c r="AF37" s="325"/>
      <c r="AG37" s="325"/>
      <c r="AH37" s="325"/>
      <c r="AI37" s="325"/>
      <c r="AJ37" s="325"/>
      <c r="AK37" s="325"/>
      <c r="AL37" s="325"/>
      <c r="AM37" s="325"/>
      <c r="AN37" s="325"/>
      <c r="AO37" s="325"/>
      <c r="AP37" s="136"/>
      <c r="AQ37" s="136"/>
      <c r="AR37" s="136" t="str">
        <f t="shared" si="6"/>
        <v/>
      </c>
      <c r="AS37" s="136" t="str">
        <f t="shared" si="6"/>
        <v/>
      </c>
      <c r="AT37" s="5" t="str">
        <f t="shared" si="7"/>
        <v/>
      </c>
      <c r="AV37" s="27" t="str">
        <f>IF(G37="","",+"          ["&amp;TRIM(G37)&amp;"] ["&amp;TRIM(I37)&amp;"]"&amp;IF(H37="","","("&amp;H37&amp;")")&amp;" "&amp;TRIM(J37)&amp;IF(G38="","",","))</f>
        <v/>
      </c>
      <c r="AW37" s="27"/>
      <c r="AY37" s="122" t="str">
        <f t="shared" si="9"/>
        <v/>
      </c>
    </row>
    <row r="38" spans="2:51" ht="12.75">
      <c r="B38" s="20" t="str">
        <f t="shared" si="10"/>
        <v/>
      </c>
      <c r="C38" s="5"/>
      <c r="D38" s="5"/>
      <c r="E38" s="5"/>
      <c r="G38" s="5" t="str">
        <f t="shared" si="13"/>
        <v/>
      </c>
      <c r="H38" s="117" t="str">
        <f t="shared" si="12"/>
        <v/>
      </c>
      <c r="I38" s="5" t="str">
        <f t="shared" si="2"/>
        <v/>
      </c>
      <c r="J38" s="5" t="str">
        <f t="shared" si="3"/>
        <v/>
      </c>
      <c r="K38" s="138"/>
      <c r="L38" s="5"/>
      <c r="M38" s="75"/>
      <c r="N38" s="77"/>
      <c r="O38" s="26"/>
      <c r="P38" s="26"/>
      <c r="Q38" s="118" t="str">
        <f t="shared" si="4"/>
        <v/>
      </c>
      <c r="R38" s="153"/>
      <c r="S38" s="138"/>
      <c r="T38" s="148"/>
      <c r="U38" s="146"/>
      <c r="V38" s="146"/>
      <c r="W38" s="139"/>
      <c r="X38" s="139"/>
      <c r="Y38" s="148"/>
      <c r="Z38" s="138"/>
      <c r="AA38" s="138" t="str">
        <f t="shared" si="11"/>
        <v/>
      </c>
      <c r="AB38" s="239"/>
      <c r="AC38" s="325"/>
      <c r="AD38" s="325"/>
      <c r="AE38" s="325"/>
      <c r="AF38" s="325"/>
      <c r="AG38" s="325"/>
      <c r="AH38" s="325"/>
      <c r="AI38" s="325"/>
      <c r="AJ38" s="325"/>
      <c r="AK38" s="325"/>
      <c r="AL38" s="325"/>
      <c r="AM38" s="325"/>
      <c r="AN38" s="325"/>
      <c r="AO38" s="325"/>
      <c r="AP38" s="136"/>
      <c r="AQ38" s="136"/>
      <c r="AR38" s="136" t="str">
        <f t="shared" si="6"/>
        <v/>
      </c>
      <c r="AS38" s="136" t="str">
        <f t="shared" si="6"/>
        <v/>
      </c>
      <c r="AT38" s="5" t="str">
        <f t="shared" si="7"/>
        <v/>
      </c>
      <c r="AV38" s="27" t="str">
        <f>IF(G38="","",+"          ["&amp;TRIM(G38)&amp;"] ["&amp;TRIM(I38)&amp;"]"&amp;IF(H38="","","("&amp;H38&amp;")")&amp;" "&amp;TRIM(J38)&amp;IF(G39="","",","))</f>
        <v/>
      </c>
      <c r="AW38" s="27"/>
      <c r="AY38" s="122" t="str">
        <f t="shared" si="9"/>
        <v/>
      </c>
    </row>
    <row r="39" spans="2:51" ht="12.75">
      <c r="B39" s="20" t="str">
        <f t="shared" si="10"/>
        <v/>
      </c>
      <c r="C39" s="5"/>
      <c r="D39" s="5"/>
      <c r="E39" s="5"/>
      <c r="G39" s="5" t="str">
        <f t="shared" si="13"/>
        <v/>
      </c>
      <c r="H39" s="117" t="str">
        <f t="shared" si="12"/>
        <v/>
      </c>
      <c r="I39" s="5" t="str">
        <f t="shared" si="2"/>
        <v/>
      </c>
      <c r="J39" s="5" t="str">
        <f t="shared" si="3"/>
        <v/>
      </c>
      <c r="K39" s="138"/>
      <c r="L39" s="5"/>
      <c r="M39" s="75"/>
      <c r="N39" s="77"/>
      <c r="O39" s="26"/>
      <c r="P39" s="26"/>
      <c r="Q39" s="118" t="str">
        <f t="shared" si="4"/>
        <v/>
      </c>
      <c r="R39" s="153"/>
      <c r="S39" s="138"/>
      <c r="T39" s="148"/>
      <c r="U39" s="146"/>
      <c r="V39" s="146"/>
      <c r="W39" s="139"/>
      <c r="X39" s="139"/>
      <c r="Y39" s="148"/>
      <c r="Z39" s="138"/>
      <c r="AA39" s="138" t="str">
        <f t="shared" si="11"/>
        <v/>
      </c>
      <c r="AB39" s="239"/>
      <c r="AC39" s="325"/>
      <c r="AD39" s="325"/>
      <c r="AE39" s="325"/>
      <c r="AF39" s="325"/>
      <c r="AG39" s="325"/>
      <c r="AH39" s="325"/>
      <c r="AI39" s="325"/>
      <c r="AJ39" s="325"/>
      <c r="AK39" s="325"/>
      <c r="AL39" s="325"/>
      <c r="AM39" s="325"/>
      <c r="AN39" s="325"/>
      <c r="AO39" s="325"/>
      <c r="AP39" s="136"/>
      <c r="AQ39" s="136"/>
      <c r="AR39" s="136" t="str">
        <f t="shared" si="6"/>
        <v/>
      </c>
      <c r="AS39" s="136" t="str">
        <f t="shared" si="6"/>
        <v/>
      </c>
      <c r="AT39" s="5" t="str">
        <f t="shared" si="7"/>
        <v/>
      </c>
      <c r="AV39" s="27" t="str">
        <f>IF(G39="","",+"          ["&amp;TRIM(G39)&amp;"] ["&amp;TRIM(I39)&amp;"]"&amp;IF(H39="","","("&amp;H39&amp;")")&amp;" "&amp;TRIM(J39)&amp;IF(G69="","",","))</f>
        <v/>
      </c>
      <c r="AW39" s="27"/>
      <c r="AY39" s="122" t="str">
        <f t="shared" si="9"/>
        <v/>
      </c>
    </row>
    <row r="40" spans="2:51" ht="12.75">
      <c r="B40" s="20" t="str">
        <f t="shared" si="10"/>
        <v/>
      </c>
      <c r="C40" s="5"/>
      <c r="D40" s="5"/>
      <c r="E40" s="5"/>
      <c r="G40" s="5" t="str">
        <f t="shared" si="13"/>
        <v/>
      </c>
      <c r="H40" s="117" t="str">
        <f t="shared" si="12"/>
        <v/>
      </c>
      <c r="I40" s="5" t="str">
        <f t="shared" si="2"/>
        <v/>
      </c>
      <c r="J40" s="5" t="str">
        <f t="shared" si="3"/>
        <v/>
      </c>
      <c r="K40" s="138"/>
      <c r="L40" s="5"/>
      <c r="M40" s="75"/>
      <c r="N40" s="77"/>
      <c r="O40" s="26"/>
      <c r="P40" s="26"/>
      <c r="Q40" s="118" t="str">
        <f t="shared" si="4"/>
        <v/>
      </c>
      <c r="R40" s="153"/>
      <c r="S40" s="138"/>
      <c r="T40" s="148"/>
      <c r="U40" s="146"/>
      <c r="V40" s="146"/>
      <c r="W40" s="139"/>
      <c r="X40" s="139"/>
      <c r="Y40" s="148"/>
      <c r="Z40" s="138"/>
      <c r="AA40" s="138" t="str">
        <f t="shared" si="11"/>
        <v/>
      </c>
      <c r="AB40" s="239"/>
      <c r="AC40" s="325"/>
      <c r="AD40" s="325"/>
      <c r="AE40" s="325"/>
      <c r="AF40" s="325"/>
      <c r="AG40" s="325"/>
      <c r="AH40" s="325"/>
      <c r="AI40" s="325"/>
      <c r="AJ40" s="325"/>
      <c r="AK40" s="325"/>
      <c r="AL40" s="325"/>
      <c r="AM40" s="325"/>
      <c r="AN40" s="325"/>
      <c r="AO40" s="325"/>
      <c r="AP40" s="136"/>
      <c r="AQ40" s="136"/>
      <c r="AR40" s="136" t="str">
        <f t="shared" si="6"/>
        <v/>
      </c>
      <c r="AS40" s="136" t="str">
        <f t="shared" si="6"/>
        <v/>
      </c>
      <c r="AT40" s="5" t="str">
        <f t="shared" si="7"/>
        <v/>
      </c>
      <c r="AV40" s="27" t="str">
        <f>IF(G40="","",+"          ["&amp;TRIM(G40)&amp;"] ["&amp;TRIM(I40)&amp;"]"&amp;IF(H40="","","("&amp;H40&amp;")")&amp;" "&amp;TRIM(J40)&amp;IF(G68="","",","))</f>
        <v/>
      </c>
      <c r="AW40" s="27"/>
      <c r="AY40" s="122" t="str">
        <f t="shared" si="9"/>
        <v/>
      </c>
    </row>
    <row r="41" spans="2:51" ht="12.75">
      <c r="B41" s="20" t="str">
        <f t="shared" si="10"/>
        <v/>
      </c>
      <c r="C41" s="5"/>
      <c r="D41" s="5"/>
      <c r="E41" s="5"/>
      <c r="G41" s="5" t="str">
        <f t="shared" si="13"/>
        <v/>
      </c>
      <c r="H41" s="117" t="str">
        <f t="shared" si="12"/>
        <v/>
      </c>
      <c r="I41" s="5" t="str">
        <f t="shared" si="2"/>
        <v/>
      </c>
      <c r="J41" s="5" t="str">
        <f t="shared" si="3"/>
        <v/>
      </c>
      <c r="K41" s="138"/>
      <c r="L41" s="5"/>
      <c r="M41" s="75"/>
      <c r="N41" s="77"/>
      <c r="O41" s="26"/>
      <c r="P41" s="26"/>
      <c r="Q41" s="118" t="str">
        <f t="shared" si="4"/>
        <v/>
      </c>
      <c r="R41" s="153"/>
      <c r="S41" s="138"/>
      <c r="T41" s="148"/>
      <c r="U41" s="146"/>
      <c r="V41" s="146"/>
      <c r="W41" s="139"/>
      <c r="X41" s="139"/>
      <c r="Y41" s="148"/>
      <c r="Z41" s="138"/>
      <c r="AA41" s="138" t="str">
        <f t="shared" si="11"/>
        <v/>
      </c>
      <c r="AB41" s="239"/>
      <c r="AC41" s="325"/>
      <c r="AD41" s="325"/>
      <c r="AE41" s="325"/>
      <c r="AF41" s="325"/>
      <c r="AG41" s="325"/>
      <c r="AH41" s="325"/>
      <c r="AI41" s="325"/>
      <c r="AJ41" s="325"/>
      <c r="AK41" s="325"/>
      <c r="AL41" s="325"/>
      <c r="AM41" s="325"/>
      <c r="AN41" s="325"/>
      <c r="AO41" s="325"/>
      <c r="AP41" s="136"/>
      <c r="AQ41" s="136"/>
      <c r="AR41" s="136" t="str">
        <f t="shared" si="6"/>
        <v/>
      </c>
      <c r="AS41" s="136" t="str">
        <f t="shared" si="6"/>
        <v/>
      </c>
      <c r="AT41" s="5" t="str">
        <f t="shared" si="7"/>
        <v/>
      </c>
      <c r="AV41" s="27" t="str">
        <f>IF(G41="","",+"          ["&amp;TRIM(G41)&amp;"] ["&amp;TRIM(I41)&amp;"]"&amp;IF(H41="","","("&amp;H41&amp;")")&amp;" "&amp;TRIM(J41)&amp;IF(G42="","",","))</f>
        <v/>
      </c>
      <c r="AW41" s="27"/>
      <c r="AY41" s="122" t="str">
        <f t="shared" si="9"/>
        <v/>
      </c>
    </row>
    <row r="42" spans="2:51" ht="12.75">
      <c r="B42" s="20" t="str">
        <f t="shared" si="10"/>
        <v/>
      </c>
      <c r="C42" s="5"/>
      <c r="D42" s="5"/>
      <c r="E42" s="5"/>
      <c r="G42" s="5" t="str">
        <f t="shared" si="13"/>
        <v/>
      </c>
      <c r="H42" s="117" t="str">
        <f t="shared" si="12"/>
        <v/>
      </c>
      <c r="I42" s="5" t="str">
        <f t="shared" si="2"/>
        <v/>
      </c>
      <c r="J42" s="5" t="str">
        <f>IF(C42=0,"",(IF(ISERROR(VLOOKUP(G42,$D$120:$D$127,1,FALSE)),""," NOT")&amp;" NULL"))</f>
        <v/>
      </c>
      <c r="K42" s="138"/>
      <c r="L42" s="5"/>
      <c r="M42" s="75"/>
      <c r="N42" s="77"/>
      <c r="O42" s="26"/>
      <c r="P42" s="26"/>
      <c r="Q42" s="118" t="str">
        <f t="shared" si="4"/>
        <v/>
      </c>
      <c r="R42" s="153"/>
      <c r="S42" s="138"/>
      <c r="T42" s="148"/>
      <c r="U42" s="146"/>
      <c r="V42" s="146"/>
      <c r="W42" s="139"/>
      <c r="X42" s="139"/>
      <c r="Y42" s="148"/>
      <c r="Z42" s="138"/>
      <c r="AA42" s="138" t="str">
        <f t="shared" si="11"/>
        <v/>
      </c>
      <c r="AB42" s="239"/>
      <c r="AC42" s="325"/>
      <c r="AD42" s="325"/>
      <c r="AE42" s="325"/>
      <c r="AF42" s="325"/>
      <c r="AG42" s="325"/>
      <c r="AH42" s="325"/>
      <c r="AI42" s="325"/>
      <c r="AJ42" s="325"/>
      <c r="AK42" s="325"/>
      <c r="AL42" s="325"/>
      <c r="AM42" s="325"/>
      <c r="AN42" s="325"/>
      <c r="AO42" s="325"/>
      <c r="AP42" s="136"/>
      <c r="AQ42" s="136"/>
      <c r="AR42" s="136" t="str">
        <f t="shared" si="6"/>
        <v/>
      </c>
      <c r="AS42" s="136" t="str">
        <f t="shared" si="6"/>
        <v/>
      </c>
      <c r="AT42" s="5" t="str">
        <f t="shared" si="7"/>
        <v/>
      </c>
      <c r="AV42" s="27" t="str">
        <f>IF(G42="","",+"          ["&amp;TRIM(G42)&amp;"] ["&amp;TRIM(I42)&amp;"]"&amp;IF(H42="","","("&amp;H42&amp;")")&amp;" "&amp;TRIM(J42)&amp;IF(G45="","",","))</f>
        <v/>
      </c>
      <c r="AW42" s="27"/>
      <c r="AY42" s="122" t="str">
        <f t="shared" si="9"/>
        <v/>
      </c>
    </row>
    <row r="43" spans="2:51" ht="12.75">
      <c r="B43" s="20" t="str">
        <f t="shared" si="10"/>
        <v/>
      </c>
      <c r="C43" s="5"/>
      <c r="D43" s="5"/>
      <c r="E43" s="5"/>
      <c r="G43" s="5" t="str">
        <f t="shared" si="13"/>
        <v/>
      </c>
      <c r="H43" s="117" t="str">
        <f t="shared" si="12"/>
        <v/>
      </c>
      <c r="I43" s="5" t="str">
        <f t="shared" si="2"/>
        <v/>
      </c>
      <c r="J43" s="5" t="str">
        <f t="shared" si="3"/>
        <v/>
      </c>
      <c r="K43" s="138"/>
      <c r="L43" s="5"/>
      <c r="M43" s="75"/>
      <c r="N43" s="77"/>
      <c r="O43" s="26"/>
      <c r="P43" s="26"/>
      <c r="Q43" s="118" t="str">
        <f t="shared" si="4"/>
        <v/>
      </c>
      <c r="R43" s="153"/>
      <c r="S43" s="138"/>
      <c r="T43" s="148"/>
      <c r="U43" s="146"/>
      <c r="V43" s="146"/>
      <c r="W43" s="139"/>
      <c r="X43" s="139"/>
      <c r="Y43" s="148"/>
      <c r="Z43" s="138"/>
      <c r="AA43" s="138" t="str">
        <f t="shared" si="11"/>
        <v/>
      </c>
      <c r="AB43" s="239"/>
      <c r="AC43" s="325"/>
      <c r="AD43" s="325"/>
      <c r="AE43" s="325"/>
      <c r="AF43" s="325"/>
      <c r="AG43" s="325"/>
      <c r="AH43" s="325"/>
      <c r="AI43" s="325"/>
      <c r="AJ43" s="325"/>
      <c r="AK43" s="325"/>
      <c r="AL43" s="325"/>
      <c r="AM43" s="325"/>
      <c r="AN43" s="325"/>
      <c r="AO43" s="325"/>
      <c r="AP43" s="136"/>
      <c r="AQ43" s="136"/>
      <c r="AR43" s="136" t="str">
        <f t="shared" si="6"/>
        <v/>
      </c>
      <c r="AS43" s="136" t="str">
        <f t="shared" si="6"/>
        <v/>
      </c>
      <c r="AT43" s="5" t="str">
        <f t="shared" si="7"/>
        <v/>
      </c>
      <c r="AV43" s="27" t="str">
        <f>IF(G43="","",+"          ["&amp;TRIM(G43)&amp;"] ["&amp;TRIM(I43)&amp;"]"&amp;IF(H43="","","("&amp;H43&amp;")")&amp;" "&amp;TRIM(J43)&amp;IF(G44="","",","))</f>
        <v/>
      </c>
      <c r="AW43" s="27"/>
      <c r="AY43" s="122" t="str">
        <f t="shared" si="9"/>
        <v/>
      </c>
    </row>
    <row r="44" spans="2:51" ht="12.75">
      <c r="B44" s="20" t="str">
        <f t="shared" si="10"/>
        <v/>
      </c>
      <c r="C44" s="5"/>
      <c r="D44" s="5"/>
      <c r="E44" s="5"/>
      <c r="G44" s="5" t="str">
        <f t="shared" si="13"/>
        <v/>
      </c>
      <c r="H44" s="117" t="str">
        <f t="shared" si="12"/>
        <v/>
      </c>
      <c r="I44" s="5" t="str">
        <f t="shared" si="2"/>
        <v/>
      </c>
      <c r="J44" s="5" t="str">
        <f t="shared" si="3"/>
        <v/>
      </c>
      <c r="K44" s="138"/>
      <c r="L44" s="5"/>
      <c r="M44" s="75"/>
      <c r="N44" s="77"/>
      <c r="O44" s="26"/>
      <c r="P44" s="26"/>
      <c r="Q44" s="118" t="str">
        <f t="shared" si="4"/>
        <v/>
      </c>
      <c r="R44" s="153"/>
      <c r="S44" s="138"/>
      <c r="T44" s="148"/>
      <c r="U44" s="146"/>
      <c r="V44" s="146"/>
      <c r="W44" s="139"/>
      <c r="X44" s="139"/>
      <c r="Y44" s="148"/>
      <c r="Z44" s="138"/>
      <c r="AA44" s="138" t="str">
        <f t="shared" si="11"/>
        <v/>
      </c>
      <c r="AB44" s="239"/>
      <c r="AC44" s="325"/>
      <c r="AD44" s="325"/>
      <c r="AE44" s="325"/>
      <c r="AF44" s="325"/>
      <c r="AG44" s="325"/>
      <c r="AH44" s="325"/>
      <c r="AI44" s="325"/>
      <c r="AJ44" s="325"/>
      <c r="AK44" s="325"/>
      <c r="AL44" s="325"/>
      <c r="AM44" s="325"/>
      <c r="AN44" s="325"/>
      <c r="AO44" s="325"/>
      <c r="AP44" s="136"/>
      <c r="AQ44" s="136"/>
      <c r="AR44" s="136" t="str">
        <f t="shared" si="6"/>
        <v/>
      </c>
      <c r="AS44" s="136" t="str">
        <f t="shared" si="6"/>
        <v/>
      </c>
      <c r="AT44" s="5" t="str">
        <f t="shared" si="7"/>
        <v/>
      </c>
      <c r="AV44" s="27" t="str">
        <f>IF(G44="","",+"          ["&amp;TRIM(G44)&amp;"] ["&amp;TRIM(I44)&amp;"]"&amp;IF(H44="","","("&amp;H44&amp;")")&amp;" "&amp;TRIM(J44)&amp;IF(G45="","",","))</f>
        <v/>
      </c>
      <c r="AW44" s="27"/>
      <c r="AY44" s="122" t="str">
        <f t="shared" si="9"/>
        <v/>
      </c>
    </row>
    <row r="45" spans="2:51" ht="12.75">
      <c r="B45" s="20" t="str">
        <f t="shared" si="10"/>
        <v/>
      </c>
      <c r="C45" s="5"/>
      <c r="D45" s="5"/>
      <c r="E45" s="5"/>
      <c r="G45" s="5" t="str">
        <f t="shared" si="13"/>
        <v/>
      </c>
      <c r="H45" s="117" t="str">
        <f t="shared" si="12"/>
        <v/>
      </c>
      <c r="I45" s="5" t="str">
        <f t="shared" si="2"/>
        <v/>
      </c>
      <c r="J45" s="5" t="str">
        <f t="shared" si="3"/>
        <v/>
      </c>
      <c r="K45" s="138"/>
      <c r="L45" s="5"/>
      <c r="M45" s="75"/>
      <c r="N45" s="77"/>
      <c r="O45" s="26"/>
      <c r="P45" s="26"/>
      <c r="Q45" s="118" t="str">
        <f t="shared" si="4"/>
        <v/>
      </c>
      <c r="R45" s="153"/>
      <c r="S45" s="138"/>
      <c r="T45" s="148"/>
      <c r="U45" s="146"/>
      <c r="V45" s="146"/>
      <c r="W45" s="139"/>
      <c r="X45" s="139"/>
      <c r="Y45" s="148"/>
      <c r="Z45" s="138"/>
      <c r="AA45" s="138" t="str">
        <f t="shared" si="11"/>
        <v/>
      </c>
      <c r="AB45" s="239"/>
      <c r="AC45" s="325"/>
      <c r="AD45" s="325"/>
      <c r="AE45" s="325"/>
      <c r="AF45" s="325"/>
      <c r="AG45" s="325"/>
      <c r="AH45" s="325"/>
      <c r="AI45" s="325"/>
      <c r="AJ45" s="325"/>
      <c r="AK45" s="325"/>
      <c r="AL45" s="325"/>
      <c r="AM45" s="325"/>
      <c r="AN45" s="325"/>
      <c r="AO45" s="325"/>
      <c r="AP45" s="136"/>
      <c r="AQ45" s="136"/>
      <c r="AR45" s="136" t="str">
        <f t="shared" si="6"/>
        <v/>
      </c>
      <c r="AS45" s="136" t="str">
        <f t="shared" si="6"/>
        <v/>
      </c>
      <c r="AT45" s="5" t="str">
        <f t="shared" si="7"/>
        <v/>
      </c>
      <c r="AV45" s="27" t="str">
        <f>IF(G45="","",+"          ["&amp;TRIM(G45)&amp;"] ["&amp;TRIM(I45)&amp;"]"&amp;IF(H45="","","("&amp;H45&amp;")")&amp;" "&amp;TRIM(J45)&amp;IF(G54="","",","))</f>
        <v/>
      </c>
      <c r="AW45" s="27"/>
      <c r="AY45" s="122" t="str">
        <f t="shared" si="9"/>
        <v/>
      </c>
    </row>
    <row r="46" spans="2:51" ht="12.75">
      <c r="B46" s="20" t="str">
        <f t="shared" si="10"/>
        <v/>
      </c>
      <c r="C46" s="5"/>
      <c r="D46" s="5"/>
      <c r="E46" s="5"/>
      <c r="G46" s="5" t="str">
        <f>SUBSTITUTE(SUBSTITUTE(SUBSTITUTE(SUBSTITUTE(SUBSTITUTE(SUBSTITUTE(SUBSTITUTE(SUBSTITUTE(SUBSTITUTE(C46," ",""),".",""),"#","No"),"%",""),"(",""),"*",""),"-",""),"/",""),")","")</f>
        <v/>
      </c>
      <c r="H46" s="117" t="str">
        <f t="shared" si="12"/>
        <v/>
      </c>
      <c r="I46" s="5" t="str">
        <f>IF(E46=0,"",+E46)</f>
        <v/>
      </c>
      <c r="J46" s="5" t="str">
        <f>IF(C46=0,"",(IF(ISERROR(VLOOKUP(G46,$D$120:$D$127,1,FALSE)),""," NOT")&amp;" NULL"))</f>
        <v/>
      </c>
      <c r="K46" s="138"/>
      <c r="L46" s="5"/>
      <c r="M46" s="75"/>
      <c r="N46" s="77"/>
      <c r="O46" s="26"/>
      <c r="P46" s="26"/>
      <c r="Q46" s="118" t="str">
        <f>IF(M46=0,"",ROW())</f>
        <v/>
      </c>
      <c r="R46" s="153"/>
      <c r="S46" s="138"/>
      <c r="T46" s="148"/>
      <c r="U46" s="146"/>
      <c r="V46" s="146"/>
      <c r="W46" s="139"/>
      <c r="X46" s="139"/>
      <c r="Y46" s="148"/>
      <c r="Z46" s="138"/>
      <c r="AA46" s="138" t="str">
        <f t="shared" si="11"/>
        <v/>
      </c>
      <c r="AB46" s="239"/>
      <c r="AC46" s="325"/>
      <c r="AD46" s="325"/>
      <c r="AE46" s="325"/>
      <c r="AF46" s="325"/>
      <c r="AG46" s="325"/>
      <c r="AH46" s="325"/>
      <c r="AI46" s="325"/>
      <c r="AJ46" s="325"/>
      <c r="AK46" s="325"/>
      <c r="AL46" s="325"/>
      <c r="AM46" s="325"/>
      <c r="AN46" s="325"/>
      <c r="AO46" s="325"/>
      <c r="AP46" s="136"/>
      <c r="AQ46" s="136"/>
      <c r="AR46" s="136" t="str">
        <f t="shared" si="6"/>
        <v/>
      </c>
      <c r="AS46" s="136" t="str">
        <f t="shared" si="6"/>
        <v/>
      </c>
      <c r="AT46" s="5" t="str">
        <f t="shared" si="7"/>
        <v/>
      </c>
      <c r="AV46" s="27" t="str">
        <f>IF(G46="","",+"          ["&amp;TRIM(G46)&amp;"] ["&amp;TRIM(I46)&amp;"]"&amp;IF(H46="","","("&amp;H46&amp;")")&amp;" "&amp;TRIM(J46)&amp;IF(G47="","",","))</f>
        <v/>
      </c>
      <c r="AW46" s="27"/>
      <c r="AY46" s="122" t="str">
        <f t="shared" si="9"/>
        <v/>
      </c>
    </row>
    <row r="47" spans="2:51" ht="12.75">
      <c r="B47" s="20" t="str">
        <f t="shared" si="10"/>
        <v/>
      </c>
      <c r="C47" s="5"/>
      <c r="D47" s="5"/>
      <c r="E47" s="5"/>
      <c r="G47" s="5" t="str">
        <f>SUBSTITUTE(SUBSTITUTE(SUBSTITUTE(SUBSTITUTE(SUBSTITUTE(SUBSTITUTE(SUBSTITUTE(SUBSTITUTE(SUBSTITUTE(C47," ",""),".",""),"#","No"),"%",""),"(",""),"*",""),"-",""),"/",""),")","")</f>
        <v/>
      </c>
      <c r="H47" s="117" t="str">
        <f t="shared" si="12"/>
        <v/>
      </c>
      <c r="I47" s="5" t="str">
        <f>IF(E47=0,"",+E47)</f>
        <v/>
      </c>
      <c r="J47" s="5" t="str">
        <f>IF(C47=0,"",(IF(ISERROR(VLOOKUP(G47,$D$120:$D$127,1,FALSE)),""," NOT")&amp;" NULL"))</f>
        <v/>
      </c>
      <c r="K47" s="138"/>
      <c r="L47" s="5"/>
      <c r="M47" s="75"/>
      <c r="N47" s="77"/>
      <c r="O47" s="26"/>
      <c r="P47" s="26"/>
      <c r="Q47" s="118" t="str">
        <f>IF(M47=0,"",ROW())</f>
        <v/>
      </c>
      <c r="R47" s="153"/>
      <c r="S47" s="138"/>
      <c r="T47" s="148"/>
      <c r="U47" s="146"/>
      <c r="V47" s="146"/>
      <c r="W47" s="139"/>
      <c r="X47" s="139"/>
      <c r="Y47" s="148"/>
      <c r="Z47" s="138"/>
      <c r="AA47" s="138" t="str">
        <f t="shared" si="11"/>
        <v/>
      </c>
      <c r="AB47" s="239"/>
      <c r="AC47" s="325"/>
      <c r="AD47" s="325"/>
      <c r="AE47" s="325"/>
      <c r="AF47" s="325"/>
      <c r="AG47" s="325"/>
      <c r="AH47" s="325"/>
      <c r="AI47" s="325"/>
      <c r="AJ47" s="325"/>
      <c r="AK47" s="325"/>
      <c r="AL47" s="325"/>
      <c r="AM47" s="325"/>
      <c r="AN47" s="325"/>
      <c r="AO47" s="325"/>
      <c r="AP47" s="136"/>
      <c r="AQ47" s="136"/>
      <c r="AR47" s="136" t="str">
        <f t="shared" si="6"/>
        <v/>
      </c>
      <c r="AS47" s="136" t="str">
        <f t="shared" si="6"/>
        <v/>
      </c>
      <c r="AT47" s="5" t="str">
        <f t="shared" si="7"/>
        <v/>
      </c>
      <c r="AV47" s="27" t="str">
        <f>IF(G47="","",+"          ["&amp;TRIM(G47)&amp;"] ["&amp;TRIM(I47)&amp;"]"&amp;IF(H47="","","("&amp;H47&amp;")")&amp;" "&amp;TRIM(J47)&amp;IF(G48="","",","))</f>
        <v/>
      </c>
      <c r="AW47" s="27"/>
      <c r="AY47" s="122" t="str">
        <f t="shared" si="9"/>
        <v/>
      </c>
    </row>
    <row r="48" spans="2:51" ht="12.75">
      <c r="B48" s="20" t="str">
        <f t="shared" si="10"/>
        <v/>
      </c>
      <c r="C48" s="5"/>
      <c r="D48" s="5"/>
      <c r="E48" s="5"/>
      <c r="G48" s="5" t="str">
        <f>SUBSTITUTE(SUBSTITUTE(SUBSTITUTE(SUBSTITUTE(SUBSTITUTE(SUBSTITUTE(SUBSTITUTE(SUBSTITUTE(SUBSTITUTE(C48," ",""),".",""),"#","No"),"%",""),"(",""),"*",""),"-",""),"/",""),")","")</f>
        <v/>
      </c>
      <c r="H48" s="117" t="str">
        <f t="shared" si="12"/>
        <v/>
      </c>
      <c r="I48" s="5" t="str">
        <f>IF(E48=0,"",+E48)</f>
        <v/>
      </c>
      <c r="J48" s="5" t="str">
        <f>IF(C48=0,"",(IF(ISERROR(VLOOKUP(G48,$D$120:$D$127,1,FALSE)),""," NOT")&amp;" NULL"))</f>
        <v/>
      </c>
      <c r="K48" s="138"/>
      <c r="L48" s="5"/>
      <c r="M48" s="75"/>
      <c r="N48" s="77"/>
      <c r="O48" s="26"/>
      <c r="P48" s="26"/>
      <c r="Q48" s="118" t="str">
        <f>IF(M48=0,"",ROW())</f>
        <v/>
      </c>
      <c r="R48" s="153"/>
      <c r="S48" s="138"/>
      <c r="T48" s="148"/>
      <c r="U48" s="146"/>
      <c r="V48" s="146"/>
      <c r="W48" s="139"/>
      <c r="X48" s="139"/>
      <c r="Y48" s="148"/>
      <c r="Z48" s="138"/>
      <c r="AA48" s="138" t="str">
        <f t="shared" si="11"/>
        <v/>
      </c>
      <c r="AB48" s="239"/>
      <c r="AC48" s="325"/>
      <c r="AD48" s="325"/>
      <c r="AE48" s="325"/>
      <c r="AF48" s="325"/>
      <c r="AG48" s="325"/>
      <c r="AH48" s="325"/>
      <c r="AI48" s="325"/>
      <c r="AJ48" s="325"/>
      <c r="AK48" s="325"/>
      <c r="AL48" s="325"/>
      <c r="AM48" s="325"/>
      <c r="AN48" s="325"/>
      <c r="AO48" s="325"/>
      <c r="AP48" s="136"/>
      <c r="AQ48" s="136"/>
      <c r="AR48" s="136" t="str">
        <f t="shared" ref="AR48:AS79" si="14">IF(O48=0,"",ROW())</f>
        <v/>
      </c>
      <c r="AS48" s="136" t="str">
        <f t="shared" si="14"/>
        <v/>
      </c>
      <c r="AT48" s="5" t="str">
        <f t="shared" ref="AT48:AT79" si="15">IF(C48="","",C48&amp;IF(B49="","",","))</f>
        <v/>
      </c>
      <c r="AV48" s="27" t="str">
        <f>IF(G48="","",+"          ["&amp;TRIM(G48)&amp;"] ["&amp;TRIM(I48)&amp;"]"&amp;IF(H48="","","("&amp;H48&amp;")")&amp;" "&amp;TRIM(J48)&amp;IF(G96="","",","))</f>
        <v/>
      </c>
      <c r="AW48" s="27"/>
      <c r="AY48" s="122" t="str">
        <f t="shared" si="9"/>
        <v/>
      </c>
    </row>
    <row r="49" spans="2:51" ht="12.75">
      <c r="B49" s="20" t="str">
        <f t="shared" si="10"/>
        <v/>
      </c>
      <c r="C49" s="5"/>
      <c r="D49" s="5"/>
      <c r="E49" s="5"/>
      <c r="G49" s="5" t="str">
        <f>SUBSTITUTE(SUBSTITUTE(SUBSTITUTE(SUBSTITUTE(SUBSTITUTE(SUBSTITUTE(SUBSTITUTE(SUBSTITUTE(SUBSTITUTE(C49," ",""),".",""),"#","No"),"%",""),"(",""),"*",""),"-",""),"/",""),")","")</f>
        <v/>
      </c>
      <c r="H49" s="117" t="str">
        <f t="shared" si="12"/>
        <v/>
      </c>
      <c r="I49" s="5" t="str">
        <f>IF(E49=0,"",+E49)</f>
        <v/>
      </c>
      <c r="J49" s="5" t="str">
        <f>IF(C49=0,"",(IF(ISERROR(VLOOKUP(G49,$D$120:$D$127,1,FALSE)),""," NOT")&amp;" NULL"))</f>
        <v/>
      </c>
      <c r="K49" s="138"/>
      <c r="L49" s="5"/>
      <c r="M49" s="75"/>
      <c r="N49" s="77"/>
      <c r="O49" s="26"/>
      <c r="P49" s="26"/>
      <c r="Q49" s="118" t="str">
        <f>IF(M49=0,"",ROW())</f>
        <v/>
      </c>
      <c r="R49" s="153"/>
      <c r="S49" s="138"/>
      <c r="T49" s="148"/>
      <c r="U49" s="146"/>
      <c r="V49" s="146"/>
      <c r="W49" s="139"/>
      <c r="X49" s="139"/>
      <c r="Y49" s="148"/>
      <c r="Z49" s="138"/>
      <c r="AA49" s="138" t="str">
        <f t="shared" si="11"/>
        <v/>
      </c>
      <c r="AB49" s="239"/>
      <c r="AC49" s="325"/>
      <c r="AD49" s="325"/>
      <c r="AE49" s="325"/>
      <c r="AF49" s="325"/>
      <c r="AG49" s="325"/>
      <c r="AH49" s="325"/>
      <c r="AI49" s="325"/>
      <c r="AJ49" s="325"/>
      <c r="AK49" s="325"/>
      <c r="AL49" s="325"/>
      <c r="AM49" s="325"/>
      <c r="AN49" s="325"/>
      <c r="AO49" s="325"/>
      <c r="AP49" s="136"/>
      <c r="AQ49" s="136"/>
      <c r="AR49" s="136" t="str">
        <f t="shared" si="14"/>
        <v/>
      </c>
      <c r="AS49" s="136" t="str">
        <f t="shared" si="14"/>
        <v/>
      </c>
      <c r="AT49" s="5" t="str">
        <f t="shared" si="15"/>
        <v/>
      </c>
      <c r="AV49" s="27" t="str">
        <f>IF(G49="","",+"          ["&amp;TRIM(G49)&amp;"] ["&amp;TRIM(I49)&amp;"]"&amp;IF(H49="","","("&amp;H49&amp;")")&amp;" "&amp;TRIM(J49)&amp;IF(G95="","",","))</f>
        <v/>
      </c>
      <c r="AW49" s="27"/>
      <c r="AY49" s="122" t="str">
        <f t="shared" si="9"/>
        <v/>
      </c>
    </row>
    <row r="50" spans="2:51" ht="12.75">
      <c r="B50" s="20" t="str">
        <f t="shared" si="10"/>
        <v/>
      </c>
      <c r="C50" s="5"/>
      <c r="D50" s="5"/>
      <c r="E50" s="5"/>
      <c r="G50" s="5" t="str">
        <f t="shared" ref="G50:G93" si="16">SUBSTITUTE(SUBSTITUTE(SUBSTITUTE(SUBSTITUTE(SUBSTITUTE(SUBSTITUTE(SUBSTITUTE(SUBSTITUTE(SUBSTITUTE(C50," ",""),".",""),"#","No"),"%",""),"(",""),"*",""),"-",""),"/",""),")","")</f>
        <v/>
      </c>
      <c r="H50" s="117" t="str">
        <f t="shared" si="12"/>
        <v/>
      </c>
      <c r="I50" s="5" t="str">
        <f t="shared" ref="I50:I93" si="17">IF(E50=0,"",+E50)</f>
        <v/>
      </c>
      <c r="J50" s="5" t="str">
        <f t="shared" ref="J50:J93" si="18">IF(C50=0,"",(IF(ISERROR(VLOOKUP(G50,$D$120:$D$127,1,FALSE)),""," NOT")&amp;" NULL"))</f>
        <v/>
      </c>
      <c r="K50" s="138"/>
      <c r="L50" s="5"/>
      <c r="M50" s="75"/>
      <c r="N50" s="77"/>
      <c r="O50" s="26"/>
      <c r="P50" s="26"/>
      <c r="Q50" s="118" t="str">
        <f t="shared" ref="Q50:Q93" si="19">IF(M50=0,"",ROW())</f>
        <v/>
      </c>
      <c r="R50" s="153"/>
      <c r="S50" s="138"/>
      <c r="T50" s="148"/>
      <c r="U50" s="146"/>
      <c r="V50" s="146"/>
      <c r="W50" s="139"/>
      <c r="X50" s="139"/>
      <c r="Y50" s="148"/>
      <c r="Z50" s="138"/>
      <c r="AA50" s="138" t="str">
        <f t="shared" si="11"/>
        <v/>
      </c>
      <c r="AB50" s="239"/>
      <c r="AC50" s="325"/>
      <c r="AD50" s="325"/>
      <c r="AE50" s="325"/>
      <c r="AF50" s="325"/>
      <c r="AG50" s="325"/>
      <c r="AH50" s="325"/>
      <c r="AI50" s="325"/>
      <c r="AJ50" s="325"/>
      <c r="AK50" s="325"/>
      <c r="AL50" s="325"/>
      <c r="AM50" s="325"/>
      <c r="AN50" s="325"/>
      <c r="AO50" s="325"/>
      <c r="AP50" s="136"/>
      <c r="AQ50" s="136"/>
      <c r="AR50" s="136" t="str">
        <f t="shared" si="14"/>
        <v/>
      </c>
      <c r="AS50" s="136" t="str">
        <f t="shared" si="14"/>
        <v/>
      </c>
      <c r="AT50" s="5" t="str">
        <f t="shared" si="15"/>
        <v/>
      </c>
      <c r="AV50" s="27" t="str">
        <f>IF(G50="","",+"          ["&amp;TRIM(G50)&amp;"] ["&amp;TRIM(I50)&amp;"]"&amp;IF(H50="","","("&amp;H50&amp;")")&amp;" "&amp;TRIM(J50)&amp;IF(G51="","",","))</f>
        <v/>
      </c>
      <c r="AW50" s="27"/>
      <c r="AY50" s="122" t="str">
        <f t="shared" si="9"/>
        <v/>
      </c>
    </row>
    <row r="51" spans="2:51" ht="12.75">
      <c r="B51" s="20" t="str">
        <f t="shared" si="10"/>
        <v/>
      </c>
      <c r="C51" s="5"/>
      <c r="D51" s="5"/>
      <c r="E51" s="5"/>
      <c r="G51" s="5" t="str">
        <f t="shared" si="16"/>
        <v/>
      </c>
      <c r="H51" s="117" t="str">
        <f t="shared" si="12"/>
        <v/>
      </c>
      <c r="I51" s="5" t="str">
        <f t="shared" si="17"/>
        <v/>
      </c>
      <c r="J51" s="5" t="str">
        <f t="shared" si="18"/>
        <v/>
      </c>
      <c r="K51" s="138"/>
      <c r="L51" s="5"/>
      <c r="M51" s="75"/>
      <c r="N51" s="77"/>
      <c r="O51" s="26"/>
      <c r="P51" s="26"/>
      <c r="Q51" s="118" t="str">
        <f t="shared" si="19"/>
        <v/>
      </c>
      <c r="R51" s="153"/>
      <c r="S51" s="138"/>
      <c r="T51" s="148"/>
      <c r="U51" s="146"/>
      <c r="V51" s="146"/>
      <c r="W51" s="139"/>
      <c r="X51" s="139"/>
      <c r="Y51" s="148"/>
      <c r="Z51" s="138"/>
      <c r="AA51" s="138" t="str">
        <f t="shared" si="11"/>
        <v/>
      </c>
      <c r="AB51" s="239"/>
      <c r="AC51" s="325"/>
      <c r="AD51" s="325"/>
      <c r="AE51" s="325"/>
      <c r="AF51" s="325"/>
      <c r="AG51" s="325"/>
      <c r="AH51" s="325"/>
      <c r="AI51" s="325"/>
      <c r="AJ51" s="325"/>
      <c r="AK51" s="325"/>
      <c r="AL51" s="325"/>
      <c r="AM51" s="325"/>
      <c r="AN51" s="325"/>
      <c r="AO51" s="325"/>
      <c r="AP51" s="136"/>
      <c r="AQ51" s="136"/>
      <c r="AR51" s="136" t="str">
        <f t="shared" si="14"/>
        <v/>
      </c>
      <c r="AS51" s="136" t="str">
        <f t="shared" si="14"/>
        <v/>
      </c>
      <c r="AT51" s="5" t="str">
        <f t="shared" si="15"/>
        <v/>
      </c>
      <c r="AV51" s="27" t="str">
        <f>IF(G51="","",+"          ["&amp;TRIM(G51)&amp;"] ["&amp;TRIM(I51)&amp;"]"&amp;IF(H51="","","("&amp;H51&amp;")")&amp;" "&amp;TRIM(J51)&amp;IF(G54="","",","))</f>
        <v/>
      </c>
      <c r="AW51" s="27"/>
      <c r="AY51" s="122" t="str">
        <f t="shared" si="9"/>
        <v/>
      </c>
    </row>
    <row r="52" spans="2:51" ht="12.75">
      <c r="B52" s="20" t="str">
        <f t="shared" si="10"/>
        <v/>
      </c>
      <c r="C52" s="5"/>
      <c r="D52" s="5"/>
      <c r="E52" s="5"/>
      <c r="G52" s="5" t="str">
        <f t="shared" si="16"/>
        <v/>
      </c>
      <c r="H52" s="117" t="str">
        <f t="shared" si="12"/>
        <v/>
      </c>
      <c r="I52" s="5" t="str">
        <f t="shared" si="17"/>
        <v/>
      </c>
      <c r="J52" s="5" t="str">
        <f t="shared" si="18"/>
        <v/>
      </c>
      <c r="K52" s="138"/>
      <c r="L52" s="5"/>
      <c r="M52" s="75"/>
      <c r="N52" s="77"/>
      <c r="O52" s="26"/>
      <c r="P52" s="26"/>
      <c r="Q52" s="118" t="str">
        <f t="shared" si="19"/>
        <v/>
      </c>
      <c r="R52" s="153"/>
      <c r="S52" s="138"/>
      <c r="T52" s="148"/>
      <c r="U52" s="146"/>
      <c r="V52" s="146"/>
      <c r="W52" s="139"/>
      <c r="X52" s="139"/>
      <c r="Y52" s="148"/>
      <c r="Z52" s="138"/>
      <c r="AA52" s="138" t="str">
        <f t="shared" si="11"/>
        <v/>
      </c>
      <c r="AB52" s="239"/>
      <c r="AC52" s="325"/>
      <c r="AD52" s="325"/>
      <c r="AE52" s="325"/>
      <c r="AF52" s="325"/>
      <c r="AG52" s="325"/>
      <c r="AH52" s="325"/>
      <c r="AI52" s="325"/>
      <c r="AJ52" s="325"/>
      <c r="AK52" s="325"/>
      <c r="AL52" s="325"/>
      <c r="AM52" s="325"/>
      <c r="AN52" s="325"/>
      <c r="AO52" s="325"/>
      <c r="AP52" s="136"/>
      <c r="AQ52" s="136"/>
      <c r="AR52" s="136" t="str">
        <f t="shared" si="14"/>
        <v/>
      </c>
      <c r="AS52" s="136" t="str">
        <f t="shared" si="14"/>
        <v/>
      </c>
      <c r="AT52" s="5" t="str">
        <f t="shared" si="15"/>
        <v/>
      </c>
      <c r="AV52" s="27" t="str">
        <f>IF(G52="","",+"          ["&amp;TRIM(G52)&amp;"] ["&amp;TRIM(I52)&amp;"]"&amp;IF(H52="","","("&amp;H52&amp;")")&amp;" "&amp;TRIM(J52)&amp;IF(G53="","",","))</f>
        <v/>
      </c>
      <c r="AW52" s="27"/>
      <c r="AY52" s="122" t="str">
        <f t="shared" si="9"/>
        <v/>
      </c>
    </row>
    <row r="53" spans="2:51" ht="12.75">
      <c r="B53" s="20" t="str">
        <f t="shared" si="10"/>
        <v/>
      </c>
      <c r="C53" s="5"/>
      <c r="D53" s="5"/>
      <c r="E53" s="5"/>
      <c r="G53" s="5" t="str">
        <f t="shared" si="16"/>
        <v/>
      </c>
      <c r="H53" s="117" t="str">
        <f t="shared" si="12"/>
        <v/>
      </c>
      <c r="I53" s="5" t="str">
        <f t="shared" si="17"/>
        <v/>
      </c>
      <c r="J53" s="5" t="str">
        <f t="shared" si="18"/>
        <v/>
      </c>
      <c r="K53" s="138"/>
      <c r="L53" s="5"/>
      <c r="M53" s="75"/>
      <c r="N53" s="77"/>
      <c r="O53" s="26"/>
      <c r="P53" s="26"/>
      <c r="Q53" s="118" t="str">
        <f t="shared" si="19"/>
        <v/>
      </c>
      <c r="R53" s="153"/>
      <c r="S53" s="138"/>
      <c r="T53" s="148"/>
      <c r="U53" s="146"/>
      <c r="V53" s="146"/>
      <c r="W53" s="139"/>
      <c r="X53" s="139"/>
      <c r="Y53" s="148"/>
      <c r="Z53" s="138"/>
      <c r="AA53" s="138" t="str">
        <f t="shared" si="11"/>
        <v/>
      </c>
      <c r="AB53" s="239"/>
      <c r="AC53" s="325"/>
      <c r="AD53" s="325"/>
      <c r="AE53" s="325"/>
      <c r="AF53" s="325"/>
      <c r="AG53" s="325"/>
      <c r="AH53" s="325"/>
      <c r="AI53" s="325"/>
      <c r="AJ53" s="325"/>
      <c r="AK53" s="325"/>
      <c r="AL53" s="325"/>
      <c r="AM53" s="325"/>
      <c r="AN53" s="325"/>
      <c r="AO53" s="325"/>
      <c r="AP53" s="136"/>
      <c r="AQ53" s="136"/>
      <c r="AR53" s="136" t="str">
        <f t="shared" si="14"/>
        <v/>
      </c>
      <c r="AS53" s="136" t="str">
        <f t="shared" si="14"/>
        <v/>
      </c>
      <c r="AT53" s="5" t="str">
        <f t="shared" si="15"/>
        <v/>
      </c>
      <c r="AV53" s="27" t="str">
        <f>IF(G53="","",+"          ["&amp;TRIM(G53)&amp;"] ["&amp;TRIM(I53)&amp;"]"&amp;IF(H53="","","("&amp;H53&amp;")")&amp;" "&amp;TRIM(J53)&amp;IF(G54="","",","))</f>
        <v/>
      </c>
      <c r="AW53" s="27"/>
      <c r="AY53" s="122" t="str">
        <f t="shared" si="9"/>
        <v/>
      </c>
    </row>
    <row r="54" spans="2:51" ht="12.75">
      <c r="B54" s="20" t="str">
        <f t="shared" si="10"/>
        <v/>
      </c>
      <c r="C54" s="5"/>
      <c r="D54" s="5"/>
      <c r="E54" s="5"/>
      <c r="G54" s="5" t="str">
        <f t="shared" si="16"/>
        <v/>
      </c>
      <c r="H54" s="117" t="str">
        <f t="shared" si="12"/>
        <v/>
      </c>
      <c r="I54" s="5" t="str">
        <f t="shared" si="17"/>
        <v/>
      </c>
      <c r="J54" s="5" t="str">
        <f t="shared" si="18"/>
        <v/>
      </c>
      <c r="K54" s="138"/>
      <c r="L54" s="5"/>
      <c r="M54" s="75"/>
      <c r="N54" s="77"/>
      <c r="O54" s="26"/>
      <c r="P54" s="26"/>
      <c r="Q54" s="118" t="str">
        <f t="shared" si="19"/>
        <v/>
      </c>
      <c r="R54" s="153"/>
      <c r="S54" s="138"/>
      <c r="T54" s="148"/>
      <c r="U54" s="146"/>
      <c r="V54" s="146"/>
      <c r="W54" s="139"/>
      <c r="X54" s="139"/>
      <c r="Y54" s="148"/>
      <c r="Z54" s="138"/>
      <c r="AA54" s="138" t="str">
        <f t="shared" si="11"/>
        <v/>
      </c>
      <c r="AB54" s="239"/>
      <c r="AC54" s="325"/>
      <c r="AD54" s="325"/>
      <c r="AE54" s="325"/>
      <c r="AF54" s="325"/>
      <c r="AG54" s="325"/>
      <c r="AH54" s="325"/>
      <c r="AI54" s="325"/>
      <c r="AJ54" s="325"/>
      <c r="AK54" s="325"/>
      <c r="AL54" s="325"/>
      <c r="AM54" s="325"/>
      <c r="AN54" s="325"/>
      <c r="AO54" s="325"/>
      <c r="AP54" s="136"/>
      <c r="AQ54" s="136"/>
      <c r="AR54" s="136" t="str">
        <f t="shared" si="14"/>
        <v/>
      </c>
      <c r="AS54" s="136" t="str">
        <f t="shared" si="14"/>
        <v/>
      </c>
      <c r="AT54" s="5" t="str">
        <f t="shared" si="15"/>
        <v/>
      </c>
      <c r="AV54" s="27" t="str">
        <f>IF(G54="","",+"          ["&amp;TRIM(G54)&amp;"] ["&amp;TRIM(I54)&amp;"]"&amp;IF(H54="","","("&amp;H54&amp;")")&amp;" "&amp;TRIM(J54)&amp;IF(G63="","",","))</f>
        <v/>
      </c>
      <c r="AW54" s="27"/>
      <c r="AY54" s="122" t="str">
        <f t="shared" si="9"/>
        <v/>
      </c>
    </row>
    <row r="55" spans="2:51" ht="12.75">
      <c r="B55" s="20" t="str">
        <f t="shared" si="10"/>
        <v/>
      </c>
      <c r="C55" s="5"/>
      <c r="D55" s="5"/>
      <c r="E55" s="5"/>
      <c r="G55" s="5" t="str">
        <f t="shared" si="16"/>
        <v/>
      </c>
      <c r="H55" s="117" t="str">
        <f t="shared" si="12"/>
        <v/>
      </c>
      <c r="I55" s="5" t="str">
        <f t="shared" si="17"/>
        <v/>
      </c>
      <c r="J55" s="5" t="str">
        <f t="shared" si="18"/>
        <v/>
      </c>
      <c r="K55" s="138"/>
      <c r="L55" s="5"/>
      <c r="M55" s="75"/>
      <c r="N55" s="77"/>
      <c r="O55" s="26"/>
      <c r="P55" s="26"/>
      <c r="Q55" s="118" t="str">
        <f t="shared" si="19"/>
        <v/>
      </c>
      <c r="R55" s="153"/>
      <c r="S55" s="138"/>
      <c r="T55" s="148"/>
      <c r="U55" s="146"/>
      <c r="V55" s="146"/>
      <c r="W55" s="139"/>
      <c r="X55" s="139"/>
      <c r="Y55" s="148"/>
      <c r="Z55" s="138"/>
      <c r="AA55" s="138" t="str">
        <f t="shared" si="11"/>
        <v/>
      </c>
      <c r="AB55" s="239"/>
      <c r="AC55" s="325"/>
      <c r="AD55" s="325"/>
      <c r="AE55" s="325"/>
      <c r="AF55" s="325"/>
      <c r="AG55" s="325"/>
      <c r="AH55" s="325"/>
      <c r="AI55" s="325"/>
      <c r="AJ55" s="325"/>
      <c r="AK55" s="325"/>
      <c r="AL55" s="325"/>
      <c r="AM55" s="325"/>
      <c r="AN55" s="325"/>
      <c r="AO55" s="325"/>
      <c r="AP55" s="136"/>
      <c r="AQ55" s="136"/>
      <c r="AR55" s="136" t="str">
        <f t="shared" si="14"/>
        <v/>
      </c>
      <c r="AS55" s="136" t="str">
        <f t="shared" si="14"/>
        <v/>
      </c>
      <c r="AT55" s="5" t="str">
        <f t="shared" si="15"/>
        <v/>
      </c>
      <c r="AV55" s="27" t="str">
        <f>IF(G55="","",+"          ["&amp;TRIM(G55)&amp;"] ["&amp;TRIM(I55)&amp;"]"&amp;IF(H55="","","("&amp;H55&amp;")")&amp;" "&amp;TRIM(J55)&amp;IF(G56="","",","))</f>
        <v/>
      </c>
      <c r="AW55" s="27"/>
      <c r="AY55" s="122" t="str">
        <f t="shared" si="9"/>
        <v/>
      </c>
    </row>
    <row r="56" spans="2:51" ht="12.75">
      <c r="B56" s="20" t="str">
        <f t="shared" si="10"/>
        <v/>
      </c>
      <c r="C56" s="5"/>
      <c r="D56" s="5"/>
      <c r="E56" s="5"/>
      <c r="G56" s="5" t="str">
        <f t="shared" si="16"/>
        <v/>
      </c>
      <c r="H56" s="117" t="str">
        <f t="shared" si="12"/>
        <v/>
      </c>
      <c r="I56" s="5" t="str">
        <f t="shared" si="17"/>
        <v/>
      </c>
      <c r="J56" s="5" t="str">
        <f t="shared" si="18"/>
        <v/>
      </c>
      <c r="K56" s="138"/>
      <c r="L56" s="5"/>
      <c r="M56" s="75"/>
      <c r="N56" s="77"/>
      <c r="O56" s="26"/>
      <c r="P56" s="26"/>
      <c r="Q56" s="118" t="str">
        <f t="shared" si="19"/>
        <v/>
      </c>
      <c r="R56" s="153"/>
      <c r="S56" s="138"/>
      <c r="T56" s="148"/>
      <c r="U56" s="146"/>
      <c r="V56" s="146"/>
      <c r="W56" s="139"/>
      <c r="X56" s="139"/>
      <c r="Y56" s="148"/>
      <c r="Z56" s="138"/>
      <c r="AA56" s="138" t="str">
        <f t="shared" si="11"/>
        <v/>
      </c>
      <c r="AB56" s="239"/>
      <c r="AC56" s="325"/>
      <c r="AD56" s="325"/>
      <c r="AE56" s="325"/>
      <c r="AF56" s="325"/>
      <c r="AG56" s="325"/>
      <c r="AH56" s="325"/>
      <c r="AI56" s="325"/>
      <c r="AJ56" s="325"/>
      <c r="AK56" s="325"/>
      <c r="AL56" s="325"/>
      <c r="AM56" s="325"/>
      <c r="AN56" s="325"/>
      <c r="AO56" s="325"/>
      <c r="AP56" s="136"/>
      <c r="AQ56" s="136"/>
      <c r="AR56" s="136" t="str">
        <f t="shared" si="14"/>
        <v/>
      </c>
      <c r="AS56" s="136" t="str">
        <f t="shared" si="14"/>
        <v/>
      </c>
      <c r="AT56" s="5" t="str">
        <f t="shared" si="15"/>
        <v/>
      </c>
      <c r="AV56" s="27" t="str">
        <f>IF(G56="","",+"          ["&amp;TRIM(G56)&amp;"] ["&amp;TRIM(I56)&amp;"]"&amp;IF(H56="","","("&amp;H56&amp;")")&amp;" "&amp;TRIM(J56)&amp;IF(G62="","",","))</f>
        <v/>
      </c>
      <c r="AW56" s="27"/>
      <c r="AY56" s="122" t="str">
        <f t="shared" si="9"/>
        <v/>
      </c>
    </row>
    <row r="57" spans="2:51" ht="12.75">
      <c r="B57" s="20" t="str">
        <f t="shared" si="10"/>
        <v/>
      </c>
      <c r="C57" s="5"/>
      <c r="D57" s="5"/>
      <c r="E57" s="5"/>
      <c r="G57" s="5" t="str">
        <f t="shared" si="16"/>
        <v/>
      </c>
      <c r="H57" s="117" t="str">
        <f t="shared" si="12"/>
        <v/>
      </c>
      <c r="I57" s="5" t="str">
        <f t="shared" si="17"/>
        <v/>
      </c>
      <c r="J57" s="5" t="str">
        <f t="shared" si="18"/>
        <v/>
      </c>
      <c r="K57" s="138"/>
      <c r="L57" s="5"/>
      <c r="M57" s="75"/>
      <c r="N57" s="77"/>
      <c r="O57" s="26"/>
      <c r="P57" s="26"/>
      <c r="Q57" s="118" t="str">
        <f t="shared" si="19"/>
        <v/>
      </c>
      <c r="R57" s="153"/>
      <c r="S57" s="138"/>
      <c r="T57" s="148"/>
      <c r="U57" s="146"/>
      <c r="V57" s="146"/>
      <c r="W57" s="139"/>
      <c r="X57" s="139"/>
      <c r="Y57" s="148"/>
      <c r="Z57" s="138"/>
      <c r="AA57" s="138" t="str">
        <f t="shared" si="11"/>
        <v/>
      </c>
      <c r="AB57" s="239"/>
      <c r="AC57" s="325"/>
      <c r="AD57" s="325"/>
      <c r="AE57" s="325"/>
      <c r="AF57" s="325"/>
      <c r="AG57" s="325"/>
      <c r="AH57" s="325"/>
      <c r="AI57" s="325"/>
      <c r="AJ57" s="325"/>
      <c r="AK57" s="325"/>
      <c r="AL57" s="325"/>
      <c r="AM57" s="325"/>
      <c r="AN57" s="325"/>
      <c r="AO57" s="325"/>
      <c r="AP57" s="136"/>
      <c r="AQ57" s="136"/>
      <c r="AR57" s="136" t="str">
        <f t="shared" si="14"/>
        <v/>
      </c>
      <c r="AS57" s="136" t="str">
        <f t="shared" si="14"/>
        <v/>
      </c>
      <c r="AT57" s="5" t="str">
        <f t="shared" si="15"/>
        <v/>
      </c>
      <c r="AV57" s="27" t="str">
        <f>IF(G57="","",+"          ["&amp;TRIM(G57)&amp;"] ["&amp;TRIM(I57)&amp;"]"&amp;IF(H57="","","("&amp;H57&amp;")")&amp;" "&amp;TRIM(J57)&amp;IF(G58="","",","))</f>
        <v/>
      </c>
      <c r="AW57" s="27"/>
      <c r="AY57" s="122" t="str">
        <f t="shared" si="9"/>
        <v/>
      </c>
    </row>
    <row r="58" spans="2:51" ht="12.75">
      <c r="B58" s="20" t="str">
        <f t="shared" si="10"/>
        <v/>
      </c>
      <c r="C58" s="5"/>
      <c r="D58" s="5"/>
      <c r="E58" s="5"/>
      <c r="G58" s="5" t="str">
        <f t="shared" si="16"/>
        <v/>
      </c>
      <c r="H58" s="117" t="str">
        <f t="shared" si="12"/>
        <v/>
      </c>
      <c r="I58" s="5" t="str">
        <f t="shared" si="17"/>
        <v/>
      </c>
      <c r="J58" s="5" t="str">
        <f t="shared" si="18"/>
        <v/>
      </c>
      <c r="K58" s="138"/>
      <c r="L58" s="5"/>
      <c r="M58" s="75"/>
      <c r="N58" s="77"/>
      <c r="O58" s="26"/>
      <c r="P58" s="26"/>
      <c r="Q58" s="118" t="str">
        <f t="shared" si="19"/>
        <v/>
      </c>
      <c r="R58" s="153"/>
      <c r="S58" s="138"/>
      <c r="T58" s="148"/>
      <c r="U58" s="146"/>
      <c r="V58" s="146"/>
      <c r="W58" s="139"/>
      <c r="X58" s="139"/>
      <c r="Y58" s="148"/>
      <c r="Z58" s="138"/>
      <c r="AA58" s="138" t="str">
        <f t="shared" si="11"/>
        <v/>
      </c>
      <c r="AB58" s="239"/>
      <c r="AC58" s="325"/>
      <c r="AD58" s="325"/>
      <c r="AE58" s="325"/>
      <c r="AF58" s="325"/>
      <c r="AG58" s="325"/>
      <c r="AH58" s="325"/>
      <c r="AI58" s="325"/>
      <c r="AJ58" s="325"/>
      <c r="AK58" s="325"/>
      <c r="AL58" s="325"/>
      <c r="AM58" s="325"/>
      <c r="AN58" s="325"/>
      <c r="AO58" s="325"/>
      <c r="AP58" s="136"/>
      <c r="AQ58" s="136"/>
      <c r="AR58" s="136" t="str">
        <f t="shared" si="14"/>
        <v/>
      </c>
      <c r="AS58" s="136" t="str">
        <f t="shared" si="14"/>
        <v/>
      </c>
      <c r="AT58" s="5" t="str">
        <f t="shared" si="15"/>
        <v/>
      </c>
      <c r="AV58" s="27" t="str">
        <f>IF(G58="","",+"          ["&amp;TRIM(G58)&amp;"] ["&amp;TRIM(I58)&amp;"]"&amp;IF(H58="","","("&amp;H58&amp;")")&amp;" "&amp;TRIM(J58)&amp;IF(G61="","",","))</f>
        <v/>
      </c>
      <c r="AW58" s="27"/>
      <c r="AY58" s="122" t="str">
        <f t="shared" si="9"/>
        <v/>
      </c>
    </row>
    <row r="59" spans="2:51" ht="12.75">
      <c r="B59" s="20" t="str">
        <f t="shared" si="10"/>
        <v/>
      </c>
      <c r="C59" s="5"/>
      <c r="D59" s="5"/>
      <c r="E59" s="5"/>
      <c r="G59" s="5" t="str">
        <f t="shared" si="16"/>
        <v/>
      </c>
      <c r="H59" s="117" t="str">
        <f t="shared" si="12"/>
        <v/>
      </c>
      <c r="I59" s="5" t="str">
        <f t="shared" si="17"/>
        <v/>
      </c>
      <c r="J59" s="5" t="str">
        <f t="shared" si="18"/>
        <v/>
      </c>
      <c r="K59" s="5"/>
      <c r="L59" s="5"/>
      <c r="M59" s="75"/>
      <c r="N59" s="77"/>
      <c r="O59" s="26"/>
      <c r="P59" s="26"/>
      <c r="Q59" s="118" t="str">
        <f t="shared" si="19"/>
        <v/>
      </c>
      <c r="R59" s="153"/>
      <c r="S59" s="138"/>
      <c r="T59" s="148"/>
      <c r="U59" s="146"/>
      <c r="V59" s="146"/>
      <c r="W59" s="139"/>
      <c r="X59" s="139"/>
      <c r="Y59" s="148"/>
      <c r="Z59" s="138"/>
      <c r="AA59" s="138" t="str">
        <f t="shared" si="11"/>
        <v/>
      </c>
      <c r="AB59" s="239"/>
      <c r="AC59" s="325"/>
      <c r="AD59" s="325"/>
      <c r="AE59" s="325"/>
      <c r="AF59" s="325"/>
      <c r="AG59" s="325"/>
      <c r="AH59" s="325"/>
      <c r="AI59" s="325"/>
      <c r="AJ59" s="325"/>
      <c r="AK59" s="325"/>
      <c r="AL59" s="325"/>
      <c r="AM59" s="325"/>
      <c r="AN59" s="325"/>
      <c r="AO59" s="325"/>
      <c r="AP59" s="136"/>
      <c r="AQ59" s="136"/>
      <c r="AR59" s="136" t="str">
        <f t="shared" si="14"/>
        <v/>
      </c>
      <c r="AS59" s="136" t="str">
        <f t="shared" si="14"/>
        <v/>
      </c>
      <c r="AT59" s="5" t="str">
        <f t="shared" si="15"/>
        <v/>
      </c>
      <c r="AV59" s="27" t="str">
        <f t="shared" ref="AV59:AV64" si="20">IF(G59="","",+"          ["&amp;TRIM(G59)&amp;"] ["&amp;TRIM(I59)&amp;"]"&amp;IF(H59="","","("&amp;H59&amp;")")&amp;" "&amp;TRIM(J59)&amp;IF(G60="","",","))</f>
        <v/>
      </c>
      <c r="AW59" s="27"/>
      <c r="AY59" s="122" t="str">
        <f t="shared" si="9"/>
        <v/>
      </c>
    </row>
    <row r="60" spans="2:51" ht="12.75">
      <c r="B60" s="20" t="str">
        <f t="shared" si="10"/>
        <v/>
      </c>
      <c r="C60" s="5"/>
      <c r="D60" s="5"/>
      <c r="E60" s="5"/>
      <c r="G60" s="5" t="str">
        <f t="shared" si="16"/>
        <v/>
      </c>
      <c r="H60" s="117" t="str">
        <f t="shared" si="12"/>
        <v/>
      </c>
      <c r="I60" s="5" t="str">
        <f t="shared" si="17"/>
        <v/>
      </c>
      <c r="J60" s="5" t="str">
        <f t="shared" si="18"/>
        <v/>
      </c>
      <c r="K60" s="5"/>
      <c r="L60" s="5"/>
      <c r="M60" s="75"/>
      <c r="N60" s="77"/>
      <c r="O60" s="26"/>
      <c r="P60" s="26"/>
      <c r="Q60" s="118" t="str">
        <f t="shared" si="19"/>
        <v/>
      </c>
      <c r="R60" s="153"/>
      <c r="S60" s="138" t="str">
        <f t="shared" ref="S60:S115" si="21">IF(+K60=0,"",K60)</f>
        <v/>
      </c>
      <c r="T60" s="148"/>
      <c r="U60" s="146"/>
      <c r="V60" s="146"/>
      <c r="W60" s="139"/>
      <c r="X60" s="139"/>
      <c r="Y60" s="148"/>
      <c r="Z60" s="138" t="str">
        <f t="shared" ref="Z60:Z80" si="22">IF(M60&lt;9000,"","false")</f>
        <v/>
      </c>
      <c r="AA60" s="138" t="str">
        <f t="shared" si="11"/>
        <v/>
      </c>
      <c r="AB60" s="239"/>
      <c r="AC60" s="325"/>
      <c r="AD60" s="325"/>
      <c r="AE60" s="325"/>
      <c r="AF60" s="325"/>
      <c r="AG60" s="325"/>
      <c r="AH60" s="325"/>
      <c r="AI60" s="325"/>
      <c r="AJ60" s="325"/>
      <c r="AK60" s="325"/>
      <c r="AL60" s="325"/>
      <c r="AM60" s="325"/>
      <c r="AN60" s="325"/>
      <c r="AO60" s="325"/>
      <c r="AP60" s="136"/>
      <c r="AQ60" s="136"/>
      <c r="AR60" s="136" t="str">
        <f t="shared" si="14"/>
        <v/>
      </c>
      <c r="AS60" s="136" t="str">
        <f t="shared" si="14"/>
        <v/>
      </c>
      <c r="AT60" s="5" t="str">
        <f t="shared" si="15"/>
        <v/>
      </c>
      <c r="AV60" s="27" t="str">
        <f t="shared" si="20"/>
        <v/>
      </c>
      <c r="AW60" s="27"/>
      <c r="AY60" s="122" t="str">
        <f t="shared" si="9"/>
        <v/>
      </c>
    </row>
    <row r="61" spans="2:51" ht="12.75">
      <c r="B61" s="20" t="str">
        <f t="shared" si="10"/>
        <v/>
      </c>
      <c r="C61" s="5"/>
      <c r="D61" s="5"/>
      <c r="E61" s="5"/>
      <c r="G61" s="5" t="str">
        <f t="shared" si="16"/>
        <v/>
      </c>
      <c r="H61" s="117" t="str">
        <f t="shared" si="12"/>
        <v/>
      </c>
      <c r="I61" s="5" t="str">
        <f t="shared" si="17"/>
        <v/>
      </c>
      <c r="J61" s="5" t="str">
        <f t="shared" si="18"/>
        <v/>
      </c>
      <c r="K61" s="5"/>
      <c r="L61" s="5"/>
      <c r="M61" s="75"/>
      <c r="N61" s="77"/>
      <c r="O61" s="26"/>
      <c r="P61" s="26"/>
      <c r="Q61" s="118" t="str">
        <f t="shared" si="19"/>
        <v/>
      </c>
      <c r="R61" s="153"/>
      <c r="S61" s="138" t="str">
        <f t="shared" si="21"/>
        <v/>
      </c>
      <c r="T61" s="148"/>
      <c r="U61" s="146"/>
      <c r="V61" s="146"/>
      <c r="W61" s="139"/>
      <c r="X61" s="139"/>
      <c r="Y61" s="148"/>
      <c r="Z61" s="138" t="str">
        <f t="shared" si="22"/>
        <v/>
      </c>
      <c r="AA61" s="138" t="str">
        <f t="shared" si="11"/>
        <v/>
      </c>
      <c r="AB61" s="239"/>
      <c r="AC61" s="325"/>
      <c r="AD61" s="325"/>
      <c r="AE61" s="325"/>
      <c r="AF61" s="325"/>
      <c r="AG61" s="325"/>
      <c r="AH61" s="325"/>
      <c r="AI61" s="325"/>
      <c r="AJ61" s="325"/>
      <c r="AK61" s="325"/>
      <c r="AL61" s="325"/>
      <c r="AM61" s="325"/>
      <c r="AN61" s="325"/>
      <c r="AO61" s="325"/>
      <c r="AP61" s="136"/>
      <c r="AQ61" s="136"/>
      <c r="AR61" s="136" t="str">
        <f t="shared" si="14"/>
        <v/>
      </c>
      <c r="AS61" s="136" t="str">
        <f t="shared" si="14"/>
        <v/>
      </c>
      <c r="AT61" s="5" t="str">
        <f t="shared" si="15"/>
        <v/>
      </c>
      <c r="AV61" s="27" t="str">
        <f t="shared" si="20"/>
        <v/>
      </c>
      <c r="AW61" s="27"/>
      <c r="AY61" s="122" t="str">
        <f t="shared" si="9"/>
        <v/>
      </c>
    </row>
    <row r="62" spans="2:51" ht="12.75">
      <c r="B62" s="20" t="str">
        <f t="shared" si="10"/>
        <v/>
      </c>
      <c r="C62" s="5"/>
      <c r="D62" s="5"/>
      <c r="E62" s="5"/>
      <c r="G62" s="5" t="str">
        <f t="shared" si="16"/>
        <v/>
      </c>
      <c r="H62" s="117" t="str">
        <f t="shared" si="12"/>
        <v/>
      </c>
      <c r="I62" s="5" t="str">
        <f t="shared" si="17"/>
        <v/>
      </c>
      <c r="J62" s="5" t="str">
        <f t="shared" si="18"/>
        <v/>
      </c>
      <c r="K62" s="5"/>
      <c r="L62" s="5"/>
      <c r="M62" s="75"/>
      <c r="N62" s="77"/>
      <c r="O62" s="26"/>
      <c r="P62" s="26"/>
      <c r="Q62" s="118" t="str">
        <f t="shared" si="19"/>
        <v/>
      </c>
      <c r="R62" s="153"/>
      <c r="S62" s="138" t="str">
        <f t="shared" si="21"/>
        <v/>
      </c>
      <c r="T62" s="148"/>
      <c r="U62" s="146"/>
      <c r="V62" s="146"/>
      <c r="W62" s="139"/>
      <c r="X62" s="139"/>
      <c r="Y62" s="148"/>
      <c r="Z62" s="138" t="str">
        <f t="shared" si="22"/>
        <v/>
      </c>
      <c r="AA62" s="138" t="str">
        <f t="shared" si="11"/>
        <v/>
      </c>
      <c r="AB62" s="239"/>
      <c r="AC62" s="325"/>
      <c r="AD62" s="325"/>
      <c r="AE62" s="325"/>
      <c r="AF62" s="325"/>
      <c r="AG62" s="325"/>
      <c r="AH62" s="325"/>
      <c r="AI62" s="325"/>
      <c r="AJ62" s="325"/>
      <c r="AK62" s="325"/>
      <c r="AL62" s="325"/>
      <c r="AM62" s="325"/>
      <c r="AN62" s="325"/>
      <c r="AO62" s="325"/>
      <c r="AP62" s="136"/>
      <c r="AQ62" s="136"/>
      <c r="AR62" s="136" t="str">
        <f t="shared" si="14"/>
        <v/>
      </c>
      <c r="AS62" s="136" t="str">
        <f t="shared" si="14"/>
        <v/>
      </c>
      <c r="AT62" s="5" t="str">
        <f t="shared" si="15"/>
        <v/>
      </c>
      <c r="AV62" s="27" t="str">
        <f t="shared" si="20"/>
        <v/>
      </c>
      <c r="AW62" s="27"/>
      <c r="AY62" s="122" t="str">
        <f t="shared" si="9"/>
        <v/>
      </c>
    </row>
    <row r="63" spans="2:51" ht="12.75">
      <c r="B63" s="20" t="str">
        <f t="shared" si="10"/>
        <v/>
      </c>
      <c r="C63" s="5"/>
      <c r="D63" s="5"/>
      <c r="E63" s="5"/>
      <c r="G63" s="5" t="str">
        <f t="shared" si="16"/>
        <v/>
      </c>
      <c r="H63" s="117" t="str">
        <f t="shared" si="12"/>
        <v/>
      </c>
      <c r="I63" s="5" t="str">
        <f t="shared" si="17"/>
        <v/>
      </c>
      <c r="J63" s="5" t="str">
        <f t="shared" si="18"/>
        <v/>
      </c>
      <c r="K63" s="5"/>
      <c r="L63" s="5"/>
      <c r="M63" s="75"/>
      <c r="N63" s="77"/>
      <c r="O63" s="26"/>
      <c r="P63" s="26"/>
      <c r="Q63" s="118" t="str">
        <f t="shared" si="19"/>
        <v/>
      </c>
      <c r="R63" s="153"/>
      <c r="S63" s="138" t="str">
        <f t="shared" si="21"/>
        <v/>
      </c>
      <c r="T63" s="148"/>
      <c r="U63" s="146"/>
      <c r="V63" s="146"/>
      <c r="W63" s="139"/>
      <c r="X63" s="139"/>
      <c r="Y63" s="148"/>
      <c r="Z63" s="138" t="str">
        <f t="shared" si="22"/>
        <v/>
      </c>
      <c r="AA63" s="138" t="str">
        <f t="shared" si="11"/>
        <v/>
      </c>
      <c r="AB63" s="239"/>
      <c r="AC63" s="325"/>
      <c r="AD63" s="325"/>
      <c r="AE63" s="325"/>
      <c r="AF63" s="325"/>
      <c r="AG63" s="325"/>
      <c r="AH63" s="325"/>
      <c r="AI63" s="325"/>
      <c r="AJ63" s="325"/>
      <c r="AK63" s="325"/>
      <c r="AL63" s="325"/>
      <c r="AM63" s="325"/>
      <c r="AN63" s="325"/>
      <c r="AO63" s="325"/>
      <c r="AP63" s="136"/>
      <c r="AQ63" s="136"/>
      <c r="AR63" s="136" t="str">
        <f t="shared" si="14"/>
        <v/>
      </c>
      <c r="AS63" s="136" t="str">
        <f t="shared" si="14"/>
        <v/>
      </c>
      <c r="AT63" s="5" t="str">
        <f t="shared" si="15"/>
        <v/>
      </c>
      <c r="AV63" s="27" t="str">
        <f t="shared" si="20"/>
        <v/>
      </c>
      <c r="AW63" s="27"/>
      <c r="AY63" s="122" t="str">
        <f t="shared" si="9"/>
        <v/>
      </c>
    </row>
    <row r="64" spans="2:51" ht="12.75">
      <c r="B64" s="20" t="str">
        <f t="shared" si="10"/>
        <v/>
      </c>
      <c r="C64" s="5"/>
      <c r="D64" s="5"/>
      <c r="E64" s="5"/>
      <c r="G64" s="5" t="str">
        <f t="shared" si="16"/>
        <v/>
      </c>
      <c r="H64" s="117" t="str">
        <f t="shared" si="12"/>
        <v/>
      </c>
      <c r="I64" s="5" t="str">
        <f t="shared" si="17"/>
        <v/>
      </c>
      <c r="J64" s="5" t="str">
        <f t="shared" si="18"/>
        <v/>
      </c>
      <c r="K64" s="5"/>
      <c r="L64" s="5"/>
      <c r="M64" s="75"/>
      <c r="N64" s="77"/>
      <c r="O64" s="26"/>
      <c r="P64" s="26"/>
      <c r="Q64" s="118" t="str">
        <f t="shared" si="19"/>
        <v/>
      </c>
      <c r="R64" s="153"/>
      <c r="S64" s="138" t="str">
        <f t="shared" si="21"/>
        <v/>
      </c>
      <c r="T64" s="148"/>
      <c r="U64" s="146"/>
      <c r="V64" s="146"/>
      <c r="W64" s="139"/>
      <c r="X64" s="139"/>
      <c r="Y64" s="148"/>
      <c r="Z64" s="138" t="str">
        <f t="shared" si="22"/>
        <v/>
      </c>
      <c r="AA64" s="138" t="str">
        <f t="shared" si="11"/>
        <v/>
      </c>
      <c r="AB64" s="239"/>
      <c r="AC64" s="325"/>
      <c r="AD64" s="325"/>
      <c r="AE64" s="325"/>
      <c r="AF64" s="325"/>
      <c r="AG64" s="325"/>
      <c r="AH64" s="325"/>
      <c r="AI64" s="325"/>
      <c r="AJ64" s="325"/>
      <c r="AK64" s="325"/>
      <c r="AL64" s="325"/>
      <c r="AM64" s="325"/>
      <c r="AN64" s="325"/>
      <c r="AO64" s="325"/>
      <c r="AP64" s="136"/>
      <c r="AQ64" s="136"/>
      <c r="AR64" s="136" t="str">
        <f t="shared" si="14"/>
        <v/>
      </c>
      <c r="AS64" s="136" t="str">
        <f t="shared" si="14"/>
        <v/>
      </c>
      <c r="AT64" s="5" t="str">
        <f t="shared" si="15"/>
        <v/>
      </c>
      <c r="AV64" s="27" t="str">
        <f t="shared" si="20"/>
        <v/>
      </c>
      <c r="AW64" s="27"/>
      <c r="AY64" s="122" t="str">
        <f t="shared" si="9"/>
        <v/>
      </c>
    </row>
    <row r="65" spans="2:51" ht="12.75">
      <c r="B65" s="20" t="str">
        <f t="shared" si="10"/>
        <v/>
      </c>
      <c r="C65" s="5"/>
      <c r="D65" s="5"/>
      <c r="E65" s="5"/>
      <c r="G65" s="5" t="str">
        <f t="shared" si="16"/>
        <v/>
      </c>
      <c r="H65" s="117" t="str">
        <f t="shared" si="12"/>
        <v/>
      </c>
      <c r="I65" s="5" t="str">
        <f t="shared" si="17"/>
        <v/>
      </c>
      <c r="J65" s="5" t="str">
        <f t="shared" si="18"/>
        <v/>
      </c>
      <c r="K65" s="5"/>
      <c r="L65" s="5"/>
      <c r="M65" s="75"/>
      <c r="N65" s="77"/>
      <c r="O65" s="26"/>
      <c r="P65" s="26"/>
      <c r="Q65" s="118" t="str">
        <f t="shared" si="19"/>
        <v/>
      </c>
      <c r="R65" s="153"/>
      <c r="S65" s="138" t="str">
        <f t="shared" si="21"/>
        <v/>
      </c>
      <c r="T65" s="148"/>
      <c r="U65" s="146"/>
      <c r="V65" s="146"/>
      <c r="W65" s="139"/>
      <c r="X65" s="139"/>
      <c r="Y65" s="148"/>
      <c r="Z65" s="138" t="str">
        <f t="shared" si="22"/>
        <v/>
      </c>
      <c r="AA65" s="138" t="str">
        <f t="shared" si="11"/>
        <v/>
      </c>
      <c r="AB65" s="239"/>
      <c r="AC65" s="325"/>
      <c r="AD65" s="325"/>
      <c r="AE65" s="325"/>
      <c r="AF65" s="325"/>
      <c r="AG65" s="325"/>
      <c r="AH65" s="325"/>
      <c r="AI65" s="325"/>
      <c r="AJ65" s="325"/>
      <c r="AK65" s="325"/>
      <c r="AL65" s="325"/>
      <c r="AM65" s="325"/>
      <c r="AN65" s="325"/>
      <c r="AO65" s="325"/>
      <c r="AP65" s="136"/>
      <c r="AQ65" s="136"/>
      <c r="AR65" s="136" t="str">
        <f t="shared" si="14"/>
        <v/>
      </c>
      <c r="AS65" s="136" t="str">
        <f t="shared" si="14"/>
        <v/>
      </c>
      <c r="AT65" s="5" t="str">
        <f t="shared" si="15"/>
        <v/>
      </c>
      <c r="AV65" s="27" t="str">
        <f>IF(G65="","",+"          ["&amp;TRIM(G65)&amp;"] ["&amp;TRIM(I65)&amp;"]"&amp;IF(H65="","","("&amp;H65&amp;")")&amp;" "&amp;TRIM(J65)&amp;IF(G68="","",","))</f>
        <v/>
      </c>
      <c r="AW65" s="27"/>
      <c r="AY65" s="122" t="str">
        <f t="shared" si="9"/>
        <v/>
      </c>
    </row>
    <row r="66" spans="2:51" ht="12.75">
      <c r="B66" s="20" t="str">
        <f t="shared" si="10"/>
        <v/>
      </c>
      <c r="C66" s="5"/>
      <c r="D66" s="5"/>
      <c r="E66" s="5"/>
      <c r="G66" s="5" t="str">
        <f t="shared" si="16"/>
        <v/>
      </c>
      <c r="H66" s="117" t="str">
        <f t="shared" si="12"/>
        <v/>
      </c>
      <c r="I66" s="5" t="str">
        <f t="shared" si="17"/>
        <v/>
      </c>
      <c r="J66" s="5" t="str">
        <f t="shared" si="18"/>
        <v/>
      </c>
      <c r="K66" s="5"/>
      <c r="L66" s="5"/>
      <c r="M66" s="75"/>
      <c r="N66" s="77"/>
      <c r="O66" s="26"/>
      <c r="P66" s="26"/>
      <c r="Q66" s="118" t="str">
        <f t="shared" si="19"/>
        <v/>
      </c>
      <c r="R66" s="153"/>
      <c r="S66" s="138" t="str">
        <f t="shared" si="21"/>
        <v/>
      </c>
      <c r="T66" s="148"/>
      <c r="U66" s="146"/>
      <c r="V66" s="146"/>
      <c r="W66" s="139"/>
      <c r="X66" s="139"/>
      <c r="Y66" s="148"/>
      <c r="Z66" s="138" t="str">
        <f t="shared" si="22"/>
        <v/>
      </c>
      <c r="AA66" s="138" t="str">
        <f t="shared" si="11"/>
        <v/>
      </c>
      <c r="AB66" s="239"/>
      <c r="AC66" s="325"/>
      <c r="AD66" s="325"/>
      <c r="AE66" s="325"/>
      <c r="AF66" s="325"/>
      <c r="AG66" s="325"/>
      <c r="AH66" s="325"/>
      <c r="AI66" s="325"/>
      <c r="AJ66" s="325"/>
      <c r="AK66" s="325"/>
      <c r="AL66" s="325"/>
      <c r="AM66" s="325"/>
      <c r="AN66" s="325"/>
      <c r="AO66" s="325"/>
      <c r="AP66" s="136"/>
      <c r="AQ66" s="136"/>
      <c r="AR66" s="136" t="str">
        <f t="shared" si="14"/>
        <v/>
      </c>
      <c r="AS66" s="136" t="str">
        <f t="shared" si="14"/>
        <v/>
      </c>
      <c r="AT66" s="5" t="str">
        <f t="shared" si="15"/>
        <v/>
      </c>
      <c r="AV66" s="27" t="str">
        <f>IF(G66="","",+"          ["&amp;TRIM(G66)&amp;"] ["&amp;TRIM(I66)&amp;"]"&amp;IF(H66="","","("&amp;H66&amp;")")&amp;" "&amp;TRIM(J66)&amp;IF(G67="","",","))</f>
        <v/>
      </c>
      <c r="AW66" s="27"/>
      <c r="AY66" s="122" t="str">
        <f t="shared" si="9"/>
        <v/>
      </c>
    </row>
    <row r="67" spans="2:51" ht="12.75">
      <c r="B67" s="20" t="str">
        <f t="shared" si="10"/>
        <v/>
      </c>
      <c r="C67" s="5"/>
      <c r="D67" s="5"/>
      <c r="E67" s="5"/>
      <c r="G67" s="5" t="str">
        <f t="shared" si="16"/>
        <v/>
      </c>
      <c r="H67" s="117" t="str">
        <f t="shared" si="12"/>
        <v/>
      </c>
      <c r="I67" s="5" t="str">
        <f t="shared" si="17"/>
        <v/>
      </c>
      <c r="J67" s="5" t="str">
        <f t="shared" si="18"/>
        <v/>
      </c>
      <c r="K67" s="5"/>
      <c r="L67" s="5"/>
      <c r="M67" s="75"/>
      <c r="N67" s="77"/>
      <c r="O67" s="26"/>
      <c r="P67" s="26"/>
      <c r="Q67" s="118" t="str">
        <f t="shared" si="19"/>
        <v/>
      </c>
      <c r="R67" s="153"/>
      <c r="S67" s="138" t="str">
        <f t="shared" si="21"/>
        <v/>
      </c>
      <c r="T67" s="148"/>
      <c r="U67" s="146"/>
      <c r="V67" s="146"/>
      <c r="W67" s="139"/>
      <c r="X67" s="139"/>
      <c r="Y67" s="148"/>
      <c r="Z67" s="138" t="str">
        <f t="shared" si="22"/>
        <v/>
      </c>
      <c r="AA67" s="138" t="str">
        <f t="shared" si="11"/>
        <v/>
      </c>
      <c r="AB67" s="239"/>
      <c r="AC67" s="325"/>
      <c r="AD67" s="325"/>
      <c r="AE67" s="325"/>
      <c r="AF67" s="325"/>
      <c r="AG67" s="325"/>
      <c r="AH67" s="325"/>
      <c r="AI67" s="325"/>
      <c r="AJ67" s="325"/>
      <c r="AK67" s="325"/>
      <c r="AL67" s="325"/>
      <c r="AM67" s="325"/>
      <c r="AN67" s="325"/>
      <c r="AO67" s="325"/>
      <c r="AP67" s="136"/>
      <c r="AQ67" s="136"/>
      <c r="AR67" s="136" t="str">
        <f t="shared" si="14"/>
        <v/>
      </c>
      <c r="AS67" s="136" t="str">
        <f t="shared" si="14"/>
        <v/>
      </c>
      <c r="AT67" s="5" t="str">
        <f t="shared" si="15"/>
        <v/>
      </c>
      <c r="AV67" s="27" t="str">
        <f>IF(G67="","",+"          ["&amp;TRIM(G67)&amp;"] ["&amp;TRIM(I67)&amp;"]"&amp;IF(H67="","","("&amp;H67&amp;")")&amp;" "&amp;TRIM(J67)&amp;IF(G68="","",","))</f>
        <v/>
      </c>
      <c r="AW67" s="27"/>
      <c r="AY67" s="122" t="str">
        <f t="shared" si="9"/>
        <v/>
      </c>
    </row>
    <row r="68" spans="2:51" ht="12.75">
      <c r="B68" s="20" t="str">
        <f t="shared" si="10"/>
        <v/>
      </c>
      <c r="C68" s="5"/>
      <c r="D68" s="5"/>
      <c r="E68" s="5"/>
      <c r="G68" s="5" t="str">
        <f t="shared" si="16"/>
        <v/>
      </c>
      <c r="H68" s="117" t="str">
        <f t="shared" si="12"/>
        <v/>
      </c>
      <c r="I68" s="5" t="str">
        <f t="shared" si="17"/>
        <v/>
      </c>
      <c r="J68" s="5" t="str">
        <f t="shared" si="18"/>
        <v/>
      </c>
      <c r="K68" s="5"/>
      <c r="L68" s="5"/>
      <c r="M68" s="75"/>
      <c r="N68" s="77"/>
      <c r="O68" s="26"/>
      <c r="P68" s="26"/>
      <c r="Q68" s="118" t="str">
        <f t="shared" si="19"/>
        <v/>
      </c>
      <c r="R68" s="153"/>
      <c r="S68" s="138" t="str">
        <f t="shared" si="21"/>
        <v/>
      </c>
      <c r="T68" s="148"/>
      <c r="U68" s="146"/>
      <c r="V68" s="146"/>
      <c r="W68" s="139"/>
      <c r="X68" s="139"/>
      <c r="Y68" s="148"/>
      <c r="Z68" s="138" t="str">
        <f t="shared" si="22"/>
        <v/>
      </c>
      <c r="AA68" s="138" t="str">
        <f t="shared" si="11"/>
        <v/>
      </c>
      <c r="AB68" s="239"/>
      <c r="AC68" s="325"/>
      <c r="AD68" s="325"/>
      <c r="AE68" s="325"/>
      <c r="AF68" s="325"/>
      <c r="AG68" s="325"/>
      <c r="AH68" s="325"/>
      <c r="AI68" s="325"/>
      <c r="AJ68" s="325"/>
      <c r="AK68" s="325"/>
      <c r="AL68" s="325"/>
      <c r="AM68" s="325"/>
      <c r="AN68" s="325"/>
      <c r="AO68" s="325"/>
      <c r="AP68" s="136"/>
      <c r="AQ68" s="136"/>
      <c r="AR68" s="136" t="str">
        <f t="shared" si="14"/>
        <v/>
      </c>
      <c r="AS68" s="136" t="str">
        <f t="shared" si="14"/>
        <v/>
      </c>
      <c r="AT68" s="5" t="str">
        <f t="shared" si="15"/>
        <v/>
      </c>
      <c r="AV68" s="27" t="str">
        <f>IF(G68="","",+"          ["&amp;TRIM(G68)&amp;"] ["&amp;TRIM(I68)&amp;"]"&amp;IF(H68="","","("&amp;H68&amp;")")&amp;" "&amp;TRIM(J68)&amp;IF(G95="","",","))</f>
        <v/>
      </c>
      <c r="AW68" s="27"/>
      <c r="AY68" s="122" t="str">
        <f t="shared" si="9"/>
        <v/>
      </c>
    </row>
    <row r="69" spans="2:51" ht="12.75">
      <c r="B69" s="20" t="str">
        <f t="shared" si="10"/>
        <v/>
      </c>
      <c r="C69" s="5"/>
      <c r="D69" s="5"/>
      <c r="E69" s="5"/>
      <c r="G69" s="5" t="str">
        <f t="shared" si="16"/>
        <v/>
      </c>
      <c r="H69" s="117" t="str">
        <f t="shared" si="12"/>
        <v/>
      </c>
      <c r="I69" s="5" t="str">
        <f t="shared" si="17"/>
        <v/>
      </c>
      <c r="J69" s="5" t="str">
        <f t="shared" si="18"/>
        <v/>
      </c>
      <c r="K69" s="5"/>
      <c r="L69" s="5"/>
      <c r="M69" s="75"/>
      <c r="N69" s="77"/>
      <c r="O69" s="26"/>
      <c r="P69" s="26"/>
      <c r="Q69" s="118" t="str">
        <f t="shared" si="19"/>
        <v/>
      </c>
      <c r="R69" s="153"/>
      <c r="S69" s="138" t="str">
        <f t="shared" si="21"/>
        <v/>
      </c>
      <c r="T69" s="148"/>
      <c r="U69" s="146"/>
      <c r="V69" s="146"/>
      <c r="W69" s="139"/>
      <c r="X69" s="139"/>
      <c r="Y69" s="148"/>
      <c r="Z69" s="138" t="str">
        <f t="shared" si="22"/>
        <v/>
      </c>
      <c r="AA69" s="138" t="str">
        <f t="shared" si="11"/>
        <v/>
      </c>
      <c r="AB69" s="239"/>
      <c r="AC69" s="325"/>
      <c r="AD69" s="325"/>
      <c r="AE69" s="325"/>
      <c r="AF69" s="325"/>
      <c r="AG69" s="325"/>
      <c r="AH69" s="325"/>
      <c r="AI69" s="325"/>
      <c r="AJ69" s="325"/>
      <c r="AK69" s="325"/>
      <c r="AL69" s="325"/>
      <c r="AM69" s="325"/>
      <c r="AN69" s="325"/>
      <c r="AO69" s="325"/>
      <c r="AP69" s="136"/>
      <c r="AQ69" s="136"/>
      <c r="AR69" s="136" t="str">
        <f t="shared" si="14"/>
        <v/>
      </c>
      <c r="AS69" s="136" t="str">
        <f t="shared" si="14"/>
        <v/>
      </c>
      <c r="AT69" s="5" t="str">
        <f t="shared" si="15"/>
        <v/>
      </c>
      <c r="AV69" s="27" t="str">
        <f>IF(G69="","",+"          ["&amp;TRIM(G69)&amp;"] ["&amp;TRIM(I69)&amp;"]"&amp;IF(H69="","","("&amp;H69&amp;")")&amp;" "&amp;TRIM(J69)&amp;IF(G70="","",","))</f>
        <v/>
      </c>
      <c r="AW69" s="27"/>
      <c r="AY69" s="122" t="str">
        <f t="shared" si="9"/>
        <v/>
      </c>
    </row>
    <row r="70" spans="2:51" ht="12.75">
      <c r="B70" s="20" t="str">
        <f t="shared" si="10"/>
        <v/>
      </c>
      <c r="C70" s="5"/>
      <c r="D70" s="5"/>
      <c r="E70" s="5"/>
      <c r="G70" s="5" t="str">
        <f t="shared" si="16"/>
        <v/>
      </c>
      <c r="H70" s="117" t="str">
        <f t="shared" si="12"/>
        <v/>
      </c>
      <c r="I70" s="5" t="str">
        <f t="shared" si="17"/>
        <v/>
      </c>
      <c r="J70" s="5" t="str">
        <f t="shared" si="18"/>
        <v/>
      </c>
      <c r="K70" s="5"/>
      <c r="L70" s="5"/>
      <c r="M70" s="75"/>
      <c r="N70" s="77"/>
      <c r="O70" s="26"/>
      <c r="P70" s="26"/>
      <c r="Q70" s="118" t="str">
        <f t="shared" si="19"/>
        <v/>
      </c>
      <c r="R70" s="153"/>
      <c r="S70" s="138" t="str">
        <f t="shared" si="21"/>
        <v/>
      </c>
      <c r="T70" s="148"/>
      <c r="U70" s="146"/>
      <c r="V70" s="146"/>
      <c r="W70" s="139"/>
      <c r="X70" s="139"/>
      <c r="Y70" s="148"/>
      <c r="Z70" s="138" t="str">
        <f t="shared" si="22"/>
        <v/>
      </c>
      <c r="AA70" s="138" t="str">
        <f t="shared" si="11"/>
        <v/>
      </c>
      <c r="AB70" s="239"/>
      <c r="AC70" s="325"/>
      <c r="AD70" s="325"/>
      <c r="AE70" s="325"/>
      <c r="AF70" s="325"/>
      <c r="AG70" s="325"/>
      <c r="AH70" s="325"/>
      <c r="AI70" s="325"/>
      <c r="AJ70" s="325"/>
      <c r="AK70" s="325"/>
      <c r="AL70" s="325"/>
      <c r="AM70" s="325"/>
      <c r="AN70" s="325"/>
      <c r="AO70" s="325"/>
      <c r="AP70" s="136"/>
      <c r="AQ70" s="136"/>
      <c r="AR70" s="136" t="str">
        <f t="shared" si="14"/>
        <v/>
      </c>
      <c r="AS70" s="136" t="str">
        <f t="shared" si="14"/>
        <v/>
      </c>
      <c r="AT70" s="5" t="str">
        <f t="shared" si="15"/>
        <v/>
      </c>
      <c r="AV70" s="27" t="str">
        <f>IF(G70="","",+"          ["&amp;TRIM(G70)&amp;"] ["&amp;TRIM(I70)&amp;"]"&amp;IF(H70="","","("&amp;H70&amp;")")&amp;" "&amp;TRIM(J70)&amp;IF(G94="","",","))</f>
        <v/>
      </c>
      <c r="AW70" s="27"/>
      <c r="AY70" s="122" t="str">
        <f t="shared" si="9"/>
        <v/>
      </c>
    </row>
    <row r="71" spans="2:51" ht="12.75">
      <c r="B71" s="20" t="str">
        <f t="shared" si="10"/>
        <v/>
      </c>
      <c r="C71" s="5"/>
      <c r="D71" s="5"/>
      <c r="E71" s="5"/>
      <c r="G71" s="5" t="str">
        <f t="shared" si="16"/>
        <v/>
      </c>
      <c r="H71" s="117" t="str">
        <f t="shared" si="12"/>
        <v/>
      </c>
      <c r="I71" s="5" t="str">
        <f t="shared" si="17"/>
        <v/>
      </c>
      <c r="J71" s="5" t="str">
        <f t="shared" si="18"/>
        <v/>
      </c>
      <c r="K71" s="5"/>
      <c r="L71" s="5"/>
      <c r="M71" s="75"/>
      <c r="N71" s="77"/>
      <c r="O71" s="26"/>
      <c r="P71" s="26"/>
      <c r="Q71" s="118" t="str">
        <f t="shared" si="19"/>
        <v/>
      </c>
      <c r="R71" s="153"/>
      <c r="S71" s="138" t="str">
        <f t="shared" si="21"/>
        <v/>
      </c>
      <c r="T71" s="148"/>
      <c r="U71" s="146"/>
      <c r="V71" s="146"/>
      <c r="W71" s="139"/>
      <c r="X71" s="139"/>
      <c r="Y71" s="148"/>
      <c r="Z71" s="138" t="str">
        <f t="shared" si="22"/>
        <v/>
      </c>
      <c r="AA71" s="138" t="str">
        <f t="shared" si="11"/>
        <v/>
      </c>
      <c r="AB71" s="239"/>
      <c r="AC71" s="325"/>
      <c r="AD71" s="325"/>
      <c r="AE71" s="325"/>
      <c r="AF71" s="325"/>
      <c r="AG71" s="325"/>
      <c r="AH71" s="325"/>
      <c r="AI71" s="325"/>
      <c r="AJ71" s="325"/>
      <c r="AK71" s="325"/>
      <c r="AL71" s="325"/>
      <c r="AM71" s="325"/>
      <c r="AN71" s="325"/>
      <c r="AO71" s="325"/>
      <c r="AP71" s="136"/>
      <c r="AQ71" s="136"/>
      <c r="AR71" s="136" t="str">
        <f t="shared" si="14"/>
        <v/>
      </c>
      <c r="AS71" s="136" t="str">
        <f t="shared" si="14"/>
        <v/>
      </c>
      <c r="AT71" s="5" t="str">
        <f t="shared" si="15"/>
        <v/>
      </c>
      <c r="AV71" s="27" t="str">
        <f>IF(G71="","",+"          ["&amp;TRIM(G71)&amp;"] ["&amp;TRIM(I71)&amp;"]"&amp;IF(H71="","","("&amp;H71&amp;")")&amp;" "&amp;TRIM(J71)&amp;IF(G72="","",","))</f>
        <v/>
      </c>
      <c r="AW71" s="27"/>
      <c r="AY71" s="122" t="str">
        <f t="shared" si="9"/>
        <v/>
      </c>
    </row>
    <row r="72" spans="2:51" ht="12.75">
      <c r="B72" s="20" t="str">
        <f t="shared" si="10"/>
        <v/>
      </c>
      <c r="C72" s="5"/>
      <c r="D72" s="5"/>
      <c r="E72" s="5"/>
      <c r="G72" s="5" t="str">
        <f t="shared" si="16"/>
        <v/>
      </c>
      <c r="H72" s="117" t="str">
        <f t="shared" si="12"/>
        <v/>
      </c>
      <c r="I72" s="5" t="str">
        <f t="shared" si="17"/>
        <v/>
      </c>
      <c r="J72" s="5" t="str">
        <f t="shared" si="18"/>
        <v/>
      </c>
      <c r="K72" s="5"/>
      <c r="L72" s="5"/>
      <c r="M72" s="75"/>
      <c r="N72" s="77"/>
      <c r="O72" s="26"/>
      <c r="P72" s="26"/>
      <c r="Q72" s="118" t="str">
        <f t="shared" si="19"/>
        <v/>
      </c>
      <c r="R72" s="153"/>
      <c r="S72" s="138" t="str">
        <f t="shared" si="21"/>
        <v/>
      </c>
      <c r="T72" s="148"/>
      <c r="U72" s="146"/>
      <c r="V72" s="146"/>
      <c r="W72" s="139"/>
      <c r="X72" s="139"/>
      <c r="Y72" s="148"/>
      <c r="Z72" s="138" t="str">
        <f t="shared" si="22"/>
        <v/>
      </c>
      <c r="AA72" s="138" t="str">
        <f t="shared" si="11"/>
        <v/>
      </c>
      <c r="AB72" s="239"/>
      <c r="AC72" s="325"/>
      <c r="AD72" s="325"/>
      <c r="AE72" s="325"/>
      <c r="AF72" s="325"/>
      <c r="AG72" s="325"/>
      <c r="AH72" s="325"/>
      <c r="AI72" s="325"/>
      <c r="AJ72" s="325"/>
      <c r="AK72" s="325"/>
      <c r="AL72" s="325"/>
      <c r="AM72" s="325"/>
      <c r="AN72" s="325"/>
      <c r="AO72" s="325"/>
      <c r="AP72" s="136"/>
      <c r="AQ72" s="136"/>
      <c r="AR72" s="136" t="str">
        <f t="shared" si="14"/>
        <v/>
      </c>
      <c r="AS72" s="136" t="str">
        <f t="shared" si="14"/>
        <v/>
      </c>
      <c r="AT72" s="5" t="str">
        <f t="shared" si="15"/>
        <v/>
      </c>
      <c r="AV72" s="27" t="str">
        <f>IF(G72="","",+"          ["&amp;TRIM(G72)&amp;"] ["&amp;TRIM(I72)&amp;"]"&amp;IF(H72="","","("&amp;H72&amp;")")&amp;" "&amp;TRIM(J72)&amp;IF(G75="","",","))</f>
        <v/>
      </c>
      <c r="AW72" s="27"/>
      <c r="AY72" s="122" t="str">
        <f t="shared" si="9"/>
        <v/>
      </c>
    </row>
    <row r="73" spans="2:51" ht="12.75">
      <c r="B73" s="20" t="str">
        <f t="shared" si="10"/>
        <v/>
      </c>
      <c r="C73" s="5"/>
      <c r="D73" s="5"/>
      <c r="E73" s="5"/>
      <c r="G73" s="5" t="str">
        <f t="shared" si="16"/>
        <v/>
      </c>
      <c r="H73" s="117" t="str">
        <f t="shared" si="12"/>
        <v/>
      </c>
      <c r="I73" s="5" t="str">
        <f t="shared" si="17"/>
        <v/>
      </c>
      <c r="J73" s="5" t="str">
        <f t="shared" si="18"/>
        <v/>
      </c>
      <c r="K73" s="5"/>
      <c r="L73" s="5"/>
      <c r="M73" s="75"/>
      <c r="N73" s="77"/>
      <c r="O73" s="26"/>
      <c r="P73" s="26"/>
      <c r="Q73" s="118" t="str">
        <f t="shared" si="19"/>
        <v/>
      </c>
      <c r="R73" s="153"/>
      <c r="S73" s="138" t="str">
        <f t="shared" si="21"/>
        <v/>
      </c>
      <c r="T73" s="148"/>
      <c r="U73" s="146"/>
      <c r="V73" s="146"/>
      <c r="W73" s="139"/>
      <c r="X73" s="139"/>
      <c r="Y73" s="148"/>
      <c r="Z73" s="138" t="str">
        <f t="shared" si="22"/>
        <v/>
      </c>
      <c r="AA73" s="138" t="str">
        <f t="shared" si="11"/>
        <v/>
      </c>
      <c r="AB73" s="239"/>
      <c r="AC73" s="325"/>
      <c r="AD73" s="325"/>
      <c r="AE73" s="325"/>
      <c r="AF73" s="325"/>
      <c r="AG73" s="325"/>
      <c r="AH73" s="325"/>
      <c r="AI73" s="325"/>
      <c r="AJ73" s="325"/>
      <c r="AK73" s="325"/>
      <c r="AL73" s="325"/>
      <c r="AM73" s="325"/>
      <c r="AN73" s="325"/>
      <c r="AO73" s="325"/>
      <c r="AP73" s="136"/>
      <c r="AQ73" s="136"/>
      <c r="AR73" s="136" t="str">
        <f t="shared" si="14"/>
        <v/>
      </c>
      <c r="AS73" s="136" t="str">
        <f t="shared" si="14"/>
        <v/>
      </c>
      <c r="AT73" s="5" t="str">
        <f t="shared" si="15"/>
        <v/>
      </c>
      <c r="AV73" s="27" t="str">
        <f>IF(G73="","",+"          ["&amp;TRIM(G73)&amp;"] ["&amp;TRIM(I73)&amp;"]"&amp;IF(H73="","","("&amp;H73&amp;")")&amp;" "&amp;TRIM(J73)&amp;IF(G74="","",","))</f>
        <v/>
      </c>
      <c r="AW73" s="27"/>
      <c r="AY73" s="122" t="str">
        <f t="shared" si="9"/>
        <v/>
      </c>
    </row>
    <row r="74" spans="2:51" ht="12.75">
      <c r="B74" s="20" t="str">
        <f t="shared" si="10"/>
        <v/>
      </c>
      <c r="C74" s="5"/>
      <c r="D74" s="5"/>
      <c r="E74" s="5"/>
      <c r="G74" s="5" t="str">
        <f t="shared" si="16"/>
        <v/>
      </c>
      <c r="H74" s="117" t="str">
        <f t="shared" si="12"/>
        <v/>
      </c>
      <c r="I74" s="5" t="str">
        <f t="shared" si="17"/>
        <v/>
      </c>
      <c r="J74" s="5" t="str">
        <f t="shared" si="18"/>
        <v/>
      </c>
      <c r="K74" s="5"/>
      <c r="L74" s="5"/>
      <c r="M74" s="75"/>
      <c r="N74" s="77"/>
      <c r="O74" s="26"/>
      <c r="P74" s="26"/>
      <c r="Q74" s="118" t="str">
        <f t="shared" si="19"/>
        <v/>
      </c>
      <c r="R74" s="153"/>
      <c r="S74" s="138" t="str">
        <f t="shared" si="21"/>
        <v/>
      </c>
      <c r="T74" s="148"/>
      <c r="U74" s="146"/>
      <c r="V74" s="146"/>
      <c r="W74" s="139"/>
      <c r="X74" s="139"/>
      <c r="Y74" s="148"/>
      <c r="Z74" s="138" t="str">
        <f t="shared" si="22"/>
        <v/>
      </c>
      <c r="AA74" s="138" t="str">
        <f t="shared" si="11"/>
        <v/>
      </c>
      <c r="AB74" s="239"/>
      <c r="AC74" s="325"/>
      <c r="AD74" s="325"/>
      <c r="AE74" s="325"/>
      <c r="AF74" s="325"/>
      <c r="AG74" s="325"/>
      <c r="AH74" s="325"/>
      <c r="AI74" s="325"/>
      <c r="AJ74" s="325"/>
      <c r="AK74" s="325"/>
      <c r="AL74" s="325"/>
      <c r="AM74" s="325"/>
      <c r="AN74" s="325"/>
      <c r="AO74" s="325"/>
      <c r="AP74" s="136"/>
      <c r="AQ74" s="136"/>
      <c r="AR74" s="136" t="str">
        <f t="shared" si="14"/>
        <v/>
      </c>
      <c r="AS74" s="136" t="str">
        <f t="shared" si="14"/>
        <v/>
      </c>
      <c r="AT74" s="5" t="str">
        <f t="shared" si="15"/>
        <v/>
      </c>
      <c r="AV74" s="27" t="str">
        <f>IF(G74="","",+"          ["&amp;TRIM(G74)&amp;"] ["&amp;TRIM(I74)&amp;"]"&amp;IF(H74="","","("&amp;H74&amp;")")&amp;" "&amp;TRIM(J74)&amp;IF(G75="","",","))</f>
        <v/>
      </c>
      <c r="AW74" s="27"/>
      <c r="AY74" s="122" t="str">
        <f t="shared" si="9"/>
        <v/>
      </c>
    </row>
    <row r="75" spans="2:51" ht="12.75">
      <c r="B75" s="20" t="str">
        <f t="shared" si="10"/>
        <v/>
      </c>
      <c r="C75" s="5"/>
      <c r="D75" s="5"/>
      <c r="E75" s="5"/>
      <c r="G75" s="5" t="str">
        <f t="shared" si="16"/>
        <v/>
      </c>
      <c r="H75" s="117" t="str">
        <f t="shared" si="12"/>
        <v/>
      </c>
      <c r="I75" s="5" t="str">
        <f t="shared" si="17"/>
        <v/>
      </c>
      <c r="J75" s="5" t="str">
        <f t="shared" si="18"/>
        <v/>
      </c>
      <c r="K75" s="5"/>
      <c r="L75" s="5"/>
      <c r="M75" s="75"/>
      <c r="N75" s="77"/>
      <c r="O75" s="26"/>
      <c r="P75" s="26"/>
      <c r="Q75" s="118" t="str">
        <f t="shared" si="19"/>
        <v/>
      </c>
      <c r="R75" s="153"/>
      <c r="S75" s="138" t="str">
        <f t="shared" si="21"/>
        <v/>
      </c>
      <c r="T75" s="148"/>
      <c r="U75" s="146"/>
      <c r="V75" s="146"/>
      <c r="W75" s="139"/>
      <c r="X75" s="139"/>
      <c r="Y75" s="148"/>
      <c r="Z75" s="138" t="str">
        <f t="shared" si="22"/>
        <v/>
      </c>
      <c r="AA75" s="138" t="str">
        <f t="shared" si="11"/>
        <v/>
      </c>
      <c r="AB75" s="239"/>
      <c r="AC75" s="325"/>
      <c r="AD75" s="325"/>
      <c r="AE75" s="325"/>
      <c r="AF75" s="325"/>
      <c r="AG75" s="325"/>
      <c r="AH75" s="325"/>
      <c r="AI75" s="325"/>
      <c r="AJ75" s="325"/>
      <c r="AK75" s="325"/>
      <c r="AL75" s="325"/>
      <c r="AM75" s="325"/>
      <c r="AN75" s="325"/>
      <c r="AO75" s="325"/>
      <c r="AP75" s="136"/>
      <c r="AQ75" s="136"/>
      <c r="AR75" s="136" t="str">
        <f t="shared" si="14"/>
        <v/>
      </c>
      <c r="AS75" s="136" t="str">
        <f t="shared" si="14"/>
        <v/>
      </c>
      <c r="AT75" s="5" t="str">
        <f t="shared" si="15"/>
        <v/>
      </c>
      <c r="AV75" s="27" t="str">
        <f>IF(G75="","",+"          ["&amp;TRIM(G75)&amp;"] ["&amp;TRIM(I75)&amp;"]"&amp;IF(H75="","","("&amp;H75&amp;")")&amp;" "&amp;TRIM(J75)&amp;IF(G94="","",","))</f>
        <v/>
      </c>
      <c r="AW75" s="27"/>
      <c r="AY75" s="122" t="str">
        <f t="shared" si="9"/>
        <v/>
      </c>
    </row>
    <row r="76" spans="2:51" ht="12.75">
      <c r="B76" s="20" t="str">
        <f t="shared" si="10"/>
        <v/>
      </c>
      <c r="C76" s="5"/>
      <c r="D76" s="5"/>
      <c r="E76" s="5"/>
      <c r="G76" s="5" t="str">
        <f t="shared" si="16"/>
        <v/>
      </c>
      <c r="H76" s="117" t="str">
        <f t="shared" si="12"/>
        <v/>
      </c>
      <c r="I76" s="5" t="str">
        <f t="shared" si="17"/>
        <v/>
      </c>
      <c r="J76" s="5" t="str">
        <f t="shared" si="18"/>
        <v/>
      </c>
      <c r="K76" s="5"/>
      <c r="L76" s="5"/>
      <c r="M76" s="75"/>
      <c r="N76" s="77"/>
      <c r="O76" s="26"/>
      <c r="P76" s="26"/>
      <c r="Q76" s="118" t="str">
        <f t="shared" si="19"/>
        <v/>
      </c>
      <c r="R76" s="153"/>
      <c r="S76" s="138" t="str">
        <f t="shared" si="21"/>
        <v/>
      </c>
      <c r="T76" s="148"/>
      <c r="U76" s="146"/>
      <c r="V76" s="146"/>
      <c r="W76" s="139"/>
      <c r="X76" s="139"/>
      <c r="Y76" s="148"/>
      <c r="Z76" s="138" t="str">
        <f t="shared" si="22"/>
        <v/>
      </c>
      <c r="AA76" s="138" t="str">
        <f t="shared" si="11"/>
        <v/>
      </c>
      <c r="AB76" s="239"/>
      <c r="AC76" s="325"/>
      <c r="AD76" s="325"/>
      <c r="AE76" s="325"/>
      <c r="AF76" s="325"/>
      <c r="AG76" s="325"/>
      <c r="AH76" s="325"/>
      <c r="AI76" s="325"/>
      <c r="AJ76" s="325"/>
      <c r="AK76" s="325"/>
      <c r="AL76" s="325"/>
      <c r="AM76" s="325"/>
      <c r="AN76" s="325"/>
      <c r="AO76" s="325"/>
      <c r="AP76" s="136"/>
      <c r="AQ76" s="136"/>
      <c r="AR76" s="136" t="str">
        <f t="shared" si="14"/>
        <v/>
      </c>
      <c r="AS76" s="136" t="str">
        <f t="shared" si="14"/>
        <v/>
      </c>
      <c r="AT76" s="5" t="str">
        <f t="shared" si="15"/>
        <v/>
      </c>
      <c r="AV76" s="27" t="str">
        <f>IF(G76="","",+"          ["&amp;TRIM(G76)&amp;"] ["&amp;TRIM(I76)&amp;"]"&amp;IF(H76="","","("&amp;H76&amp;")")&amp;" "&amp;TRIM(J76)&amp;IF(G77="","",","))</f>
        <v/>
      </c>
      <c r="AW76" s="27"/>
      <c r="AY76" s="122" t="str">
        <f t="shared" si="9"/>
        <v/>
      </c>
    </row>
    <row r="77" spans="2:51" ht="12.75">
      <c r="B77" s="20" t="str">
        <f t="shared" si="10"/>
        <v/>
      </c>
      <c r="C77" s="5"/>
      <c r="D77" s="5"/>
      <c r="E77" s="5"/>
      <c r="G77" s="5" t="str">
        <f t="shared" si="16"/>
        <v/>
      </c>
      <c r="H77" s="117" t="str">
        <f t="shared" si="12"/>
        <v/>
      </c>
      <c r="I77" s="5" t="str">
        <f t="shared" si="17"/>
        <v/>
      </c>
      <c r="J77" s="5" t="str">
        <f t="shared" si="18"/>
        <v/>
      </c>
      <c r="K77" s="5"/>
      <c r="L77" s="5"/>
      <c r="M77" s="75"/>
      <c r="N77" s="77"/>
      <c r="O77" s="26"/>
      <c r="P77" s="26"/>
      <c r="Q77" s="118" t="str">
        <f t="shared" si="19"/>
        <v/>
      </c>
      <c r="R77" s="153"/>
      <c r="S77" s="138" t="str">
        <f t="shared" si="21"/>
        <v/>
      </c>
      <c r="T77" s="148"/>
      <c r="U77" s="146"/>
      <c r="V77" s="146"/>
      <c r="W77" s="139"/>
      <c r="X77" s="139"/>
      <c r="Y77" s="148"/>
      <c r="Z77" s="138" t="str">
        <f t="shared" si="22"/>
        <v/>
      </c>
      <c r="AA77" s="138" t="str">
        <f t="shared" si="11"/>
        <v/>
      </c>
      <c r="AB77" s="239"/>
      <c r="AC77" s="325"/>
      <c r="AD77" s="325"/>
      <c r="AE77" s="325"/>
      <c r="AF77" s="325"/>
      <c r="AG77" s="325"/>
      <c r="AH77" s="325"/>
      <c r="AI77" s="325"/>
      <c r="AJ77" s="325"/>
      <c r="AK77" s="325"/>
      <c r="AL77" s="325"/>
      <c r="AM77" s="325"/>
      <c r="AN77" s="325"/>
      <c r="AO77" s="325"/>
      <c r="AP77" s="136"/>
      <c r="AQ77" s="136"/>
      <c r="AR77" s="136" t="str">
        <f t="shared" si="14"/>
        <v/>
      </c>
      <c r="AS77" s="136" t="str">
        <f t="shared" si="14"/>
        <v/>
      </c>
      <c r="AT77" s="5" t="str">
        <f t="shared" si="15"/>
        <v/>
      </c>
      <c r="AV77" s="27" t="str">
        <f>IF(G77="","",+"          ["&amp;TRIM(G77)&amp;"] ["&amp;TRIM(I77)&amp;"]"&amp;IF(H77="","","("&amp;H77&amp;")")&amp;" "&amp;TRIM(J77)&amp;IF(G78="","",","))</f>
        <v/>
      </c>
      <c r="AW77" s="27"/>
      <c r="AY77" s="122" t="str">
        <f t="shared" si="9"/>
        <v/>
      </c>
    </row>
    <row r="78" spans="2:51" ht="12.75">
      <c r="B78" s="20" t="str">
        <f t="shared" si="10"/>
        <v/>
      </c>
      <c r="C78" s="5"/>
      <c r="D78" s="5"/>
      <c r="E78" s="5"/>
      <c r="G78" s="5" t="str">
        <f t="shared" si="16"/>
        <v/>
      </c>
      <c r="H78" s="117" t="str">
        <f t="shared" si="12"/>
        <v/>
      </c>
      <c r="I78" s="5" t="str">
        <f t="shared" si="17"/>
        <v/>
      </c>
      <c r="J78" s="5" t="str">
        <f t="shared" si="18"/>
        <v/>
      </c>
      <c r="K78" s="5"/>
      <c r="L78" s="5"/>
      <c r="M78" s="75"/>
      <c r="N78" s="77"/>
      <c r="O78" s="26"/>
      <c r="P78" s="26"/>
      <c r="Q78" s="118" t="str">
        <f t="shared" si="19"/>
        <v/>
      </c>
      <c r="R78" s="153"/>
      <c r="S78" s="138" t="str">
        <f t="shared" si="21"/>
        <v/>
      </c>
      <c r="T78" s="148"/>
      <c r="U78" s="146"/>
      <c r="V78" s="146"/>
      <c r="W78" s="139"/>
      <c r="X78" s="139"/>
      <c r="Y78" s="148"/>
      <c r="Z78" s="138" t="str">
        <f t="shared" si="22"/>
        <v/>
      </c>
      <c r="AA78" s="138" t="str">
        <f t="shared" si="11"/>
        <v/>
      </c>
      <c r="AB78" s="239"/>
      <c r="AC78" s="325"/>
      <c r="AD78" s="325"/>
      <c r="AE78" s="325"/>
      <c r="AF78" s="325"/>
      <c r="AG78" s="325"/>
      <c r="AH78" s="325"/>
      <c r="AI78" s="325"/>
      <c r="AJ78" s="325"/>
      <c r="AK78" s="325"/>
      <c r="AL78" s="325"/>
      <c r="AM78" s="325"/>
      <c r="AN78" s="325"/>
      <c r="AO78" s="325"/>
      <c r="AP78" s="136"/>
      <c r="AQ78" s="136"/>
      <c r="AR78" s="136" t="str">
        <f t="shared" si="14"/>
        <v/>
      </c>
      <c r="AS78" s="136" t="str">
        <f t="shared" si="14"/>
        <v/>
      </c>
      <c r="AT78" s="5" t="str">
        <f t="shared" si="15"/>
        <v/>
      </c>
      <c r="AV78" s="27" t="str">
        <f>IF(G78="","",+"          ["&amp;TRIM(G78)&amp;"] ["&amp;TRIM(I78)&amp;"]"&amp;IF(H78="","","("&amp;H78&amp;")")&amp;" "&amp;TRIM(J78)&amp;IF(G93="","",","))</f>
        <v/>
      </c>
      <c r="AW78" s="27"/>
      <c r="AY78" s="122" t="str">
        <f t="shared" si="9"/>
        <v/>
      </c>
    </row>
    <row r="79" spans="2:51" ht="12.75">
      <c r="B79" s="20" t="str">
        <f t="shared" si="10"/>
        <v/>
      </c>
      <c r="C79" s="5"/>
      <c r="D79" s="5"/>
      <c r="E79" s="5"/>
      <c r="G79" s="5" t="str">
        <f t="shared" si="16"/>
        <v/>
      </c>
      <c r="H79" s="117" t="str">
        <f t="shared" si="12"/>
        <v/>
      </c>
      <c r="I79" s="5" t="str">
        <f t="shared" si="17"/>
        <v/>
      </c>
      <c r="J79" s="5" t="str">
        <f t="shared" si="18"/>
        <v/>
      </c>
      <c r="K79" s="5"/>
      <c r="L79" s="5"/>
      <c r="M79" s="75"/>
      <c r="N79" s="77"/>
      <c r="O79" s="26"/>
      <c r="P79" s="26"/>
      <c r="Q79" s="118" t="str">
        <f t="shared" si="19"/>
        <v/>
      </c>
      <c r="R79" s="153"/>
      <c r="S79" s="138" t="str">
        <f t="shared" si="21"/>
        <v/>
      </c>
      <c r="T79" s="148"/>
      <c r="U79" s="146"/>
      <c r="V79" s="146"/>
      <c r="W79" s="139"/>
      <c r="X79" s="139"/>
      <c r="Y79" s="148"/>
      <c r="Z79" s="138" t="str">
        <f t="shared" si="22"/>
        <v/>
      </c>
      <c r="AA79" s="138" t="str">
        <f t="shared" si="11"/>
        <v/>
      </c>
      <c r="AB79" s="239"/>
      <c r="AC79" s="325"/>
      <c r="AD79" s="325"/>
      <c r="AE79" s="325"/>
      <c r="AF79" s="325"/>
      <c r="AG79" s="325"/>
      <c r="AH79" s="325"/>
      <c r="AI79" s="325"/>
      <c r="AJ79" s="325"/>
      <c r="AK79" s="325"/>
      <c r="AL79" s="325"/>
      <c r="AM79" s="325"/>
      <c r="AN79" s="325"/>
      <c r="AO79" s="325"/>
      <c r="AP79" s="136"/>
      <c r="AQ79" s="136"/>
      <c r="AR79" s="136" t="str">
        <f t="shared" si="14"/>
        <v/>
      </c>
      <c r="AS79" s="136" t="str">
        <f t="shared" si="14"/>
        <v/>
      </c>
      <c r="AT79" s="5" t="str">
        <f t="shared" si="15"/>
        <v/>
      </c>
      <c r="AV79" s="27" t="str">
        <f>IF(G79="","",+"          ["&amp;TRIM(G79)&amp;"] ["&amp;TRIM(I79)&amp;"]"&amp;IF(H79="","","("&amp;H79&amp;")")&amp;" "&amp;TRIM(J79)&amp;IF(G80="","",","))</f>
        <v/>
      </c>
      <c r="AW79" s="27"/>
      <c r="AY79" s="122" t="str">
        <f t="shared" si="9"/>
        <v/>
      </c>
    </row>
    <row r="80" spans="2:51" ht="12.75">
      <c r="B80" s="20" t="str">
        <f t="shared" si="10"/>
        <v/>
      </c>
      <c r="C80" s="5"/>
      <c r="D80" s="5"/>
      <c r="E80" s="5"/>
      <c r="G80" s="5" t="str">
        <f t="shared" si="16"/>
        <v/>
      </c>
      <c r="H80" s="117" t="str">
        <f t="shared" si="12"/>
        <v/>
      </c>
      <c r="I80" s="5" t="str">
        <f t="shared" si="17"/>
        <v/>
      </c>
      <c r="J80" s="5" t="str">
        <f t="shared" si="18"/>
        <v/>
      </c>
      <c r="K80" s="5"/>
      <c r="L80" s="5"/>
      <c r="M80" s="75"/>
      <c r="N80" s="77"/>
      <c r="O80" s="26"/>
      <c r="P80" s="26"/>
      <c r="Q80" s="118" t="str">
        <f t="shared" si="19"/>
        <v/>
      </c>
      <c r="R80" s="153"/>
      <c r="S80" s="138" t="str">
        <f t="shared" si="21"/>
        <v/>
      </c>
      <c r="T80" s="148"/>
      <c r="U80" s="146"/>
      <c r="V80" s="146"/>
      <c r="W80" s="139"/>
      <c r="X80" s="139"/>
      <c r="Y80" s="148"/>
      <c r="Z80" s="138" t="str">
        <f t="shared" si="22"/>
        <v/>
      </c>
      <c r="AA80" s="138" t="str">
        <f t="shared" si="11"/>
        <v/>
      </c>
      <c r="AB80" s="239"/>
      <c r="AC80" s="325"/>
      <c r="AD80" s="325"/>
      <c r="AE80" s="325"/>
      <c r="AF80" s="325"/>
      <c r="AG80" s="325"/>
      <c r="AH80" s="325"/>
      <c r="AI80" s="325"/>
      <c r="AJ80" s="325"/>
      <c r="AK80" s="325"/>
      <c r="AL80" s="325"/>
      <c r="AM80" s="325"/>
      <c r="AN80" s="325"/>
      <c r="AO80" s="325"/>
      <c r="AP80" s="136"/>
      <c r="AQ80" s="136"/>
      <c r="AR80" s="136" t="str">
        <f t="shared" ref="AR80:AS115" si="23">IF(O80=0,"",ROW())</f>
        <v/>
      </c>
      <c r="AS80" s="136" t="str">
        <f t="shared" si="23"/>
        <v/>
      </c>
      <c r="AT80" s="5" t="str">
        <f t="shared" ref="AT80:AT116" si="24">IF(C80="","",C80&amp;IF(B81="","",","))</f>
        <v/>
      </c>
      <c r="AV80" s="27" t="str">
        <f>IF(G80="","",+"          ["&amp;TRIM(G80)&amp;"] ["&amp;TRIM(I80)&amp;"]"&amp;IF(H80="","","("&amp;H80&amp;")")&amp;" "&amp;TRIM(J80)&amp;IF(G83="","",","))</f>
        <v/>
      </c>
      <c r="AW80" s="27"/>
      <c r="AY80" s="122" t="str">
        <f t="shared" ref="AY80:AY116" si="25">IF(G80="",IF(OR(AY79=");",AY79=""),"",");"),+"          "&amp;TRIM(G80)&amp;" "&amp;UPPER(TRIM(I80))&amp;IF(H80="",""," ("&amp;H80&amp;")")&amp;" "&amp;IF(TRIM(J80)="NOT NULL","PRIMARY KEY UNIQUE NOT NULL",TRIM(J80))&amp;IF(G81="","",","))</f>
        <v/>
      </c>
    </row>
    <row r="81" spans="2:51" ht="12.75">
      <c r="B81" s="20" t="str">
        <f t="shared" si="10"/>
        <v/>
      </c>
      <c r="C81" s="5"/>
      <c r="D81" s="5"/>
      <c r="E81" s="5"/>
      <c r="G81" s="5" t="str">
        <f t="shared" si="16"/>
        <v/>
      </c>
      <c r="H81" s="117" t="str">
        <f t="shared" si="12"/>
        <v/>
      </c>
      <c r="I81" s="5" t="str">
        <f t="shared" si="17"/>
        <v/>
      </c>
      <c r="J81" s="5" t="str">
        <f t="shared" si="18"/>
        <v/>
      </c>
      <c r="K81" s="5"/>
      <c r="L81" s="5"/>
      <c r="M81" s="75"/>
      <c r="N81" s="77"/>
      <c r="O81" s="26"/>
      <c r="P81" s="26"/>
      <c r="Q81" s="118" t="str">
        <f t="shared" si="19"/>
        <v/>
      </c>
      <c r="R81" s="153"/>
      <c r="S81" s="138" t="str">
        <f t="shared" si="21"/>
        <v/>
      </c>
      <c r="T81" s="148"/>
      <c r="U81" s="146"/>
      <c r="V81" s="146"/>
      <c r="W81" s="139"/>
      <c r="X81" s="139"/>
      <c r="Y81" s="148"/>
      <c r="Z81" s="138" t="str">
        <f t="shared" ref="Z81:Z115" si="26">IF(M81&lt;9000,"","false")</f>
        <v/>
      </c>
      <c r="AA81" s="138" t="str">
        <f t="shared" si="11"/>
        <v/>
      </c>
      <c r="AB81" s="239"/>
      <c r="AC81" s="325"/>
      <c r="AD81" s="325"/>
      <c r="AE81" s="325"/>
      <c r="AF81" s="325"/>
      <c r="AG81" s="325"/>
      <c r="AH81" s="325"/>
      <c r="AI81" s="325"/>
      <c r="AJ81" s="325"/>
      <c r="AK81" s="325"/>
      <c r="AL81" s="325"/>
      <c r="AM81" s="325"/>
      <c r="AN81" s="325"/>
      <c r="AO81" s="325"/>
      <c r="AP81" s="136"/>
      <c r="AQ81" s="136"/>
      <c r="AR81" s="136" t="str">
        <f t="shared" si="23"/>
        <v/>
      </c>
      <c r="AS81" s="136" t="str">
        <f t="shared" si="23"/>
        <v/>
      </c>
      <c r="AT81" s="5" t="str">
        <f t="shared" si="24"/>
        <v/>
      </c>
      <c r="AV81" s="27" t="str">
        <f>IF(G81="","",+"          ["&amp;TRIM(G81)&amp;"] ["&amp;TRIM(I81)&amp;"]"&amp;IF(H81="","","("&amp;H81&amp;")")&amp;" "&amp;TRIM(J81)&amp;IF(G82="","",","))</f>
        <v/>
      </c>
      <c r="AW81" s="27"/>
      <c r="AY81" s="122" t="str">
        <f t="shared" si="25"/>
        <v/>
      </c>
    </row>
    <row r="82" spans="2:51" ht="12.75">
      <c r="B82" s="20" t="str">
        <f t="shared" ref="B82:B115" si="27">IF(C82=0,"",+B81+1)</f>
        <v/>
      </c>
      <c r="C82" s="5"/>
      <c r="D82" s="5"/>
      <c r="E82" s="5"/>
      <c r="G82" s="5" t="str">
        <f t="shared" si="16"/>
        <v/>
      </c>
      <c r="H82" s="117" t="str">
        <f t="shared" si="12"/>
        <v/>
      </c>
      <c r="I82" s="5" t="str">
        <f t="shared" si="17"/>
        <v/>
      </c>
      <c r="J82" s="5" t="str">
        <f t="shared" si="18"/>
        <v/>
      </c>
      <c r="K82" s="5"/>
      <c r="L82" s="5"/>
      <c r="M82" s="75"/>
      <c r="N82" s="77"/>
      <c r="O82" s="26"/>
      <c r="P82" s="26"/>
      <c r="Q82" s="118" t="str">
        <f t="shared" si="19"/>
        <v/>
      </c>
      <c r="R82" s="153"/>
      <c r="S82" s="138" t="str">
        <f t="shared" si="21"/>
        <v/>
      </c>
      <c r="T82" s="148"/>
      <c r="U82" s="146"/>
      <c r="V82" s="146"/>
      <c r="W82" s="139"/>
      <c r="X82" s="139"/>
      <c r="Y82" s="148"/>
      <c r="Z82" s="138" t="str">
        <f t="shared" si="26"/>
        <v/>
      </c>
      <c r="AA82" s="138" t="str">
        <f t="shared" ref="AA82:AA115" si="28">IF($C$120=B82,"asc","")</f>
        <v/>
      </c>
      <c r="AB82" s="239"/>
      <c r="AC82" s="325"/>
      <c r="AD82" s="325"/>
      <c r="AE82" s="325"/>
      <c r="AF82" s="325"/>
      <c r="AG82" s="325"/>
      <c r="AH82" s="325"/>
      <c r="AI82" s="325"/>
      <c r="AJ82" s="325"/>
      <c r="AK82" s="325"/>
      <c r="AL82" s="325"/>
      <c r="AM82" s="325"/>
      <c r="AN82" s="325"/>
      <c r="AO82" s="325"/>
      <c r="AP82" s="136"/>
      <c r="AQ82" s="136"/>
      <c r="AR82" s="136" t="str">
        <f t="shared" si="23"/>
        <v/>
      </c>
      <c r="AS82" s="136" t="str">
        <f t="shared" si="23"/>
        <v/>
      </c>
      <c r="AT82" s="5" t="str">
        <f t="shared" si="24"/>
        <v/>
      </c>
      <c r="AV82" s="27" t="str">
        <f>IF(G82="","",+"          ["&amp;TRIM(G82)&amp;"] ["&amp;TRIM(I82)&amp;"]"&amp;IF(H82="","","("&amp;H82&amp;")")&amp;" "&amp;TRIM(J82)&amp;IF(G83="","",","))</f>
        <v/>
      </c>
      <c r="AW82" s="27"/>
      <c r="AY82" s="122" t="str">
        <f t="shared" si="25"/>
        <v/>
      </c>
    </row>
    <row r="83" spans="2:51" ht="12.75">
      <c r="B83" s="20" t="str">
        <f t="shared" si="27"/>
        <v/>
      </c>
      <c r="C83" s="5"/>
      <c r="D83" s="5"/>
      <c r="E83" s="5"/>
      <c r="G83" s="5" t="str">
        <f t="shared" si="16"/>
        <v/>
      </c>
      <c r="H83" s="117" t="str">
        <f t="shared" si="12"/>
        <v/>
      </c>
      <c r="I83" s="5" t="str">
        <f t="shared" si="17"/>
        <v/>
      </c>
      <c r="J83" s="5" t="str">
        <f t="shared" si="18"/>
        <v/>
      </c>
      <c r="K83" s="5"/>
      <c r="L83" s="5"/>
      <c r="M83" s="75"/>
      <c r="N83" s="77"/>
      <c r="O83" s="26"/>
      <c r="P83" s="26"/>
      <c r="Q83" s="118" t="str">
        <f t="shared" si="19"/>
        <v/>
      </c>
      <c r="R83" s="153"/>
      <c r="S83" s="138" t="str">
        <f t="shared" si="21"/>
        <v/>
      </c>
      <c r="T83" s="148"/>
      <c r="U83" s="146"/>
      <c r="V83" s="146"/>
      <c r="W83" s="139"/>
      <c r="X83" s="139"/>
      <c r="Y83" s="148"/>
      <c r="Z83" s="138" t="str">
        <f t="shared" si="26"/>
        <v/>
      </c>
      <c r="AA83" s="138" t="str">
        <f t="shared" si="28"/>
        <v/>
      </c>
      <c r="AB83" s="239"/>
      <c r="AC83" s="325"/>
      <c r="AD83" s="325"/>
      <c r="AE83" s="325"/>
      <c r="AF83" s="325"/>
      <c r="AG83" s="325"/>
      <c r="AH83" s="325"/>
      <c r="AI83" s="325"/>
      <c r="AJ83" s="325"/>
      <c r="AK83" s="325"/>
      <c r="AL83" s="325"/>
      <c r="AM83" s="325"/>
      <c r="AN83" s="325"/>
      <c r="AO83" s="325"/>
      <c r="AP83" s="136"/>
      <c r="AQ83" s="136"/>
      <c r="AR83" s="136" t="str">
        <f t="shared" si="23"/>
        <v/>
      </c>
      <c r="AS83" s="136" t="str">
        <f t="shared" si="23"/>
        <v/>
      </c>
      <c r="AT83" s="5" t="str">
        <f t="shared" si="24"/>
        <v/>
      </c>
      <c r="AV83" s="27" t="str">
        <f>IF(G83="","",+"          ["&amp;TRIM(G83)&amp;"] ["&amp;TRIM(I83)&amp;"]"&amp;IF(H83="","","("&amp;H83&amp;")")&amp;" "&amp;TRIM(J83)&amp;IF(G93="","",","))</f>
        <v/>
      </c>
      <c r="AW83" s="27"/>
      <c r="AY83" s="122" t="str">
        <f t="shared" si="25"/>
        <v/>
      </c>
    </row>
    <row r="84" spans="2:51" ht="12.75">
      <c r="B84" s="20" t="str">
        <f t="shared" si="27"/>
        <v/>
      </c>
      <c r="C84" s="5"/>
      <c r="D84" s="5"/>
      <c r="E84" s="5"/>
      <c r="G84" s="5" t="str">
        <f t="shared" si="16"/>
        <v/>
      </c>
      <c r="H84" s="117" t="str">
        <f t="shared" si="12"/>
        <v/>
      </c>
      <c r="I84" s="5" t="str">
        <f t="shared" si="17"/>
        <v/>
      </c>
      <c r="J84" s="5" t="str">
        <f t="shared" si="18"/>
        <v/>
      </c>
      <c r="K84" s="5"/>
      <c r="L84" s="5"/>
      <c r="M84" s="75"/>
      <c r="N84" s="77"/>
      <c r="O84" s="26"/>
      <c r="P84" s="26"/>
      <c r="Q84" s="118" t="str">
        <f t="shared" si="19"/>
        <v/>
      </c>
      <c r="R84" s="153"/>
      <c r="S84" s="138" t="str">
        <f t="shared" si="21"/>
        <v/>
      </c>
      <c r="T84" s="148"/>
      <c r="U84" s="146"/>
      <c r="V84" s="146"/>
      <c r="W84" s="139"/>
      <c r="X84" s="139"/>
      <c r="Y84" s="148"/>
      <c r="Z84" s="138" t="str">
        <f t="shared" si="26"/>
        <v/>
      </c>
      <c r="AA84" s="138" t="str">
        <f t="shared" si="28"/>
        <v/>
      </c>
      <c r="AB84" s="239"/>
      <c r="AC84" s="325"/>
      <c r="AD84" s="325"/>
      <c r="AE84" s="325"/>
      <c r="AF84" s="325"/>
      <c r="AG84" s="325"/>
      <c r="AH84" s="325"/>
      <c r="AI84" s="325"/>
      <c r="AJ84" s="325"/>
      <c r="AK84" s="325"/>
      <c r="AL84" s="325"/>
      <c r="AM84" s="325"/>
      <c r="AN84" s="325"/>
      <c r="AO84" s="325"/>
      <c r="AP84" s="136"/>
      <c r="AQ84" s="136"/>
      <c r="AR84" s="136" t="str">
        <f t="shared" si="23"/>
        <v/>
      </c>
      <c r="AS84" s="136" t="str">
        <f t="shared" si="23"/>
        <v/>
      </c>
      <c r="AT84" s="5" t="str">
        <f t="shared" si="24"/>
        <v/>
      </c>
      <c r="AV84" s="27" t="str">
        <f>IF(G84="","",+"          ["&amp;TRIM(G84)&amp;"] ["&amp;TRIM(I84)&amp;"]"&amp;IF(H84="","","("&amp;H84&amp;")")&amp;" "&amp;TRIM(J84)&amp;IF(G85="","",","))</f>
        <v/>
      </c>
      <c r="AW84" s="27"/>
      <c r="AY84" s="122" t="str">
        <f t="shared" si="25"/>
        <v/>
      </c>
    </row>
    <row r="85" spans="2:51" ht="12.75">
      <c r="B85" s="20" t="str">
        <f t="shared" si="27"/>
        <v/>
      </c>
      <c r="C85" s="5"/>
      <c r="D85" s="5"/>
      <c r="E85" s="5"/>
      <c r="G85" s="5" t="str">
        <f t="shared" si="16"/>
        <v/>
      </c>
      <c r="H85" s="117" t="str">
        <f t="shared" si="12"/>
        <v/>
      </c>
      <c r="I85" s="5" t="str">
        <f t="shared" si="17"/>
        <v/>
      </c>
      <c r="J85" s="5" t="str">
        <f t="shared" si="18"/>
        <v/>
      </c>
      <c r="K85" s="5"/>
      <c r="L85" s="5"/>
      <c r="M85" s="75"/>
      <c r="N85" s="77"/>
      <c r="O85" s="26"/>
      <c r="P85" s="26"/>
      <c r="Q85" s="118" t="str">
        <f t="shared" si="19"/>
        <v/>
      </c>
      <c r="R85" s="153"/>
      <c r="S85" s="138" t="str">
        <f t="shared" si="21"/>
        <v/>
      </c>
      <c r="T85" s="148"/>
      <c r="U85" s="146"/>
      <c r="V85" s="146"/>
      <c r="W85" s="139"/>
      <c r="X85" s="139"/>
      <c r="Y85" s="148"/>
      <c r="Z85" s="138" t="str">
        <f t="shared" si="26"/>
        <v/>
      </c>
      <c r="AA85" s="138" t="str">
        <f t="shared" si="28"/>
        <v/>
      </c>
      <c r="AB85" s="239"/>
      <c r="AC85" s="325"/>
      <c r="AD85" s="325"/>
      <c r="AE85" s="325"/>
      <c r="AF85" s="325"/>
      <c r="AG85" s="325"/>
      <c r="AH85" s="325"/>
      <c r="AI85" s="325"/>
      <c r="AJ85" s="325"/>
      <c r="AK85" s="325"/>
      <c r="AL85" s="325"/>
      <c r="AM85" s="325"/>
      <c r="AN85" s="325"/>
      <c r="AO85" s="325"/>
      <c r="AP85" s="136"/>
      <c r="AQ85" s="136"/>
      <c r="AR85" s="136" t="str">
        <f t="shared" si="23"/>
        <v/>
      </c>
      <c r="AS85" s="136" t="str">
        <f t="shared" si="23"/>
        <v/>
      </c>
      <c r="AT85" s="5" t="str">
        <f t="shared" si="24"/>
        <v/>
      </c>
      <c r="AV85" s="27" t="str">
        <f>IF(G85="","",+"          ["&amp;TRIM(G85)&amp;"] ["&amp;TRIM(I85)&amp;"]"&amp;IF(H85="","","("&amp;H85&amp;")")&amp;" "&amp;TRIM(J85)&amp;IF(G86="","",","))</f>
        <v/>
      </c>
      <c r="AW85" s="27"/>
      <c r="AY85" s="122" t="str">
        <f t="shared" si="25"/>
        <v/>
      </c>
    </row>
    <row r="86" spans="2:51" ht="12.75">
      <c r="B86" s="20" t="str">
        <f t="shared" si="27"/>
        <v/>
      </c>
      <c r="C86" s="5"/>
      <c r="D86" s="5"/>
      <c r="E86" s="5"/>
      <c r="G86" s="5" t="str">
        <f t="shared" si="16"/>
        <v/>
      </c>
      <c r="H86" s="117" t="str">
        <f t="shared" si="12"/>
        <v/>
      </c>
      <c r="I86" s="5" t="str">
        <f t="shared" si="17"/>
        <v/>
      </c>
      <c r="J86" s="5" t="str">
        <f t="shared" si="18"/>
        <v/>
      </c>
      <c r="K86" s="5"/>
      <c r="L86" s="5"/>
      <c r="M86" s="75"/>
      <c r="N86" s="77"/>
      <c r="O86" s="26"/>
      <c r="P86" s="26"/>
      <c r="Q86" s="118" t="str">
        <f t="shared" si="19"/>
        <v/>
      </c>
      <c r="R86" s="153"/>
      <c r="S86" s="138" t="str">
        <f t="shared" si="21"/>
        <v/>
      </c>
      <c r="T86" s="148"/>
      <c r="U86" s="146"/>
      <c r="V86" s="146"/>
      <c r="W86" s="139"/>
      <c r="X86" s="139"/>
      <c r="Y86" s="148"/>
      <c r="Z86" s="138" t="str">
        <f t="shared" si="26"/>
        <v/>
      </c>
      <c r="AA86" s="138" t="str">
        <f t="shared" si="28"/>
        <v/>
      </c>
      <c r="AB86" s="239"/>
      <c r="AC86" s="325"/>
      <c r="AD86" s="325"/>
      <c r="AE86" s="325"/>
      <c r="AF86" s="325"/>
      <c r="AG86" s="325"/>
      <c r="AH86" s="325"/>
      <c r="AI86" s="325"/>
      <c r="AJ86" s="325"/>
      <c r="AK86" s="325"/>
      <c r="AL86" s="325"/>
      <c r="AM86" s="325"/>
      <c r="AN86" s="325"/>
      <c r="AO86" s="325"/>
      <c r="AP86" s="136"/>
      <c r="AQ86" s="136"/>
      <c r="AR86" s="136" t="str">
        <f t="shared" si="23"/>
        <v/>
      </c>
      <c r="AS86" s="136" t="str">
        <f t="shared" si="23"/>
        <v/>
      </c>
      <c r="AT86" s="5" t="str">
        <f t="shared" si="24"/>
        <v/>
      </c>
      <c r="AV86" s="27" t="str">
        <f>IF(G86="","",+"          ["&amp;TRIM(G86)&amp;"] ["&amp;TRIM(I86)&amp;"]"&amp;IF(H86="","","("&amp;H86&amp;")")&amp;" "&amp;TRIM(J86)&amp;IF(G87="","",","))</f>
        <v/>
      </c>
      <c r="AW86" s="27"/>
      <c r="AY86" s="122" t="str">
        <f t="shared" si="25"/>
        <v/>
      </c>
    </row>
    <row r="87" spans="2:51" ht="12.75">
      <c r="B87" s="20" t="str">
        <f t="shared" si="27"/>
        <v/>
      </c>
      <c r="C87" s="5"/>
      <c r="D87" s="5"/>
      <c r="E87" s="5"/>
      <c r="G87" s="5" t="str">
        <f t="shared" si="16"/>
        <v/>
      </c>
      <c r="H87" s="117" t="str">
        <f t="shared" ref="H87:H115" si="29">IF(IFERROR(FIND("varchar",E87),0)&gt;0,IF(D87&gt;8000,"max",D87),"")</f>
        <v/>
      </c>
      <c r="I87" s="5" t="str">
        <f t="shared" si="17"/>
        <v/>
      </c>
      <c r="J87" s="5" t="str">
        <f t="shared" si="18"/>
        <v/>
      </c>
      <c r="K87" s="5"/>
      <c r="L87" s="5"/>
      <c r="M87" s="75"/>
      <c r="N87" s="77"/>
      <c r="O87" s="26"/>
      <c r="P87" s="26"/>
      <c r="Q87" s="118" t="str">
        <f t="shared" si="19"/>
        <v/>
      </c>
      <c r="R87" s="153"/>
      <c r="S87" s="138" t="str">
        <f t="shared" si="21"/>
        <v/>
      </c>
      <c r="T87" s="148"/>
      <c r="U87" s="146"/>
      <c r="V87" s="146"/>
      <c r="W87" s="139"/>
      <c r="X87" s="139"/>
      <c r="Y87" s="148"/>
      <c r="Z87" s="138" t="str">
        <f t="shared" si="26"/>
        <v/>
      </c>
      <c r="AA87" s="138" t="str">
        <f t="shared" si="28"/>
        <v/>
      </c>
      <c r="AB87" s="239"/>
      <c r="AC87" s="325"/>
      <c r="AD87" s="325"/>
      <c r="AE87" s="325"/>
      <c r="AF87" s="325"/>
      <c r="AG87" s="325"/>
      <c r="AH87" s="325"/>
      <c r="AI87" s="325"/>
      <c r="AJ87" s="325"/>
      <c r="AK87" s="325"/>
      <c r="AL87" s="325"/>
      <c r="AM87" s="325"/>
      <c r="AN87" s="325"/>
      <c r="AO87" s="325"/>
      <c r="AP87" s="136"/>
      <c r="AQ87" s="136"/>
      <c r="AR87" s="136" t="str">
        <f t="shared" si="23"/>
        <v/>
      </c>
      <c r="AS87" s="136" t="str">
        <f t="shared" si="23"/>
        <v/>
      </c>
      <c r="AT87" s="5" t="str">
        <f t="shared" si="24"/>
        <v/>
      </c>
      <c r="AV87" s="27" t="str">
        <f>IF(G87="","",+"          ["&amp;TRIM(G87)&amp;"] ["&amp;TRIM(I87)&amp;"]"&amp;IF(H87="","","("&amp;H87&amp;")")&amp;" "&amp;TRIM(J87)&amp;IF(G93="","",","))</f>
        <v/>
      </c>
      <c r="AW87" s="27"/>
      <c r="AY87" s="122" t="str">
        <f t="shared" si="25"/>
        <v/>
      </c>
    </row>
    <row r="88" spans="2:51" ht="12.75">
      <c r="B88" s="20" t="str">
        <f t="shared" si="27"/>
        <v/>
      </c>
      <c r="C88" s="5"/>
      <c r="D88" s="5"/>
      <c r="E88" s="5"/>
      <c r="G88" s="5" t="str">
        <f t="shared" si="16"/>
        <v/>
      </c>
      <c r="H88" s="117" t="str">
        <f t="shared" si="29"/>
        <v/>
      </c>
      <c r="I88" s="5" t="str">
        <f t="shared" si="17"/>
        <v/>
      </c>
      <c r="J88" s="5" t="str">
        <f t="shared" si="18"/>
        <v/>
      </c>
      <c r="K88" s="5"/>
      <c r="L88" s="5"/>
      <c r="M88" s="75"/>
      <c r="N88" s="77"/>
      <c r="O88" s="26"/>
      <c r="P88" s="26"/>
      <c r="Q88" s="118" t="str">
        <f t="shared" si="19"/>
        <v/>
      </c>
      <c r="R88" s="153"/>
      <c r="S88" s="138" t="str">
        <f t="shared" si="21"/>
        <v/>
      </c>
      <c r="T88" s="148"/>
      <c r="U88" s="146"/>
      <c r="V88" s="146"/>
      <c r="W88" s="139"/>
      <c r="X88" s="139"/>
      <c r="Y88" s="148"/>
      <c r="Z88" s="138" t="str">
        <f t="shared" si="26"/>
        <v/>
      </c>
      <c r="AA88" s="138" t="str">
        <f t="shared" si="28"/>
        <v/>
      </c>
      <c r="AB88" s="239"/>
      <c r="AC88" s="325"/>
      <c r="AD88" s="325"/>
      <c r="AE88" s="325"/>
      <c r="AF88" s="325"/>
      <c r="AG88" s="325"/>
      <c r="AH88" s="325"/>
      <c r="AI88" s="325"/>
      <c r="AJ88" s="325"/>
      <c r="AK88" s="325"/>
      <c r="AL88" s="325"/>
      <c r="AM88" s="325"/>
      <c r="AN88" s="325"/>
      <c r="AO88" s="325"/>
      <c r="AP88" s="136"/>
      <c r="AQ88" s="136"/>
      <c r="AR88" s="136" t="str">
        <f t="shared" si="23"/>
        <v/>
      </c>
      <c r="AS88" s="136" t="str">
        <f t="shared" si="23"/>
        <v/>
      </c>
      <c r="AT88" s="5" t="str">
        <f t="shared" si="24"/>
        <v/>
      </c>
      <c r="AV88" s="27" t="str">
        <f>IF(G88="","",+"          ["&amp;TRIM(G88)&amp;"] ["&amp;TRIM(I88)&amp;"]"&amp;IF(H88="","","("&amp;H88&amp;")")&amp;" "&amp;TRIM(J88)&amp;IF(G89="","",","))</f>
        <v/>
      </c>
      <c r="AW88" s="27"/>
      <c r="AY88" s="122" t="str">
        <f t="shared" si="25"/>
        <v/>
      </c>
    </row>
    <row r="89" spans="2:51" ht="12.75">
      <c r="B89" s="20" t="str">
        <f t="shared" si="27"/>
        <v/>
      </c>
      <c r="C89" s="5"/>
      <c r="D89" s="5"/>
      <c r="E89" s="5"/>
      <c r="G89" s="5" t="str">
        <f t="shared" si="16"/>
        <v/>
      </c>
      <c r="H89" s="117" t="str">
        <f t="shared" si="29"/>
        <v/>
      </c>
      <c r="I89" s="5" t="str">
        <f t="shared" si="17"/>
        <v/>
      </c>
      <c r="J89" s="5" t="str">
        <f t="shared" si="18"/>
        <v/>
      </c>
      <c r="K89" s="5"/>
      <c r="L89" s="5"/>
      <c r="M89" s="75"/>
      <c r="N89" s="77"/>
      <c r="O89" s="26"/>
      <c r="P89" s="26"/>
      <c r="Q89" s="118" t="str">
        <f t="shared" si="19"/>
        <v/>
      </c>
      <c r="R89" s="153"/>
      <c r="S89" s="138" t="str">
        <f t="shared" si="21"/>
        <v/>
      </c>
      <c r="T89" s="148"/>
      <c r="U89" s="146"/>
      <c r="V89" s="146"/>
      <c r="W89" s="139"/>
      <c r="X89" s="139"/>
      <c r="Y89" s="148"/>
      <c r="Z89" s="138" t="str">
        <f t="shared" si="26"/>
        <v/>
      </c>
      <c r="AA89" s="138" t="str">
        <f t="shared" si="28"/>
        <v/>
      </c>
      <c r="AB89" s="239"/>
      <c r="AC89" s="325"/>
      <c r="AD89" s="325"/>
      <c r="AE89" s="325"/>
      <c r="AF89" s="325"/>
      <c r="AG89" s="325"/>
      <c r="AH89" s="325"/>
      <c r="AI89" s="325"/>
      <c r="AJ89" s="325"/>
      <c r="AK89" s="325"/>
      <c r="AL89" s="325"/>
      <c r="AM89" s="325"/>
      <c r="AN89" s="325"/>
      <c r="AO89" s="325"/>
      <c r="AP89" s="136"/>
      <c r="AQ89" s="136"/>
      <c r="AR89" s="136" t="str">
        <f t="shared" si="23"/>
        <v/>
      </c>
      <c r="AS89" s="136" t="str">
        <f t="shared" si="23"/>
        <v/>
      </c>
      <c r="AT89" s="5" t="str">
        <f t="shared" si="24"/>
        <v/>
      </c>
      <c r="AV89" s="27" t="str">
        <f>IF(G89="","",+"          ["&amp;TRIM(G89)&amp;"] ["&amp;TRIM(I89)&amp;"]"&amp;IF(H89="","","("&amp;H89&amp;")")&amp;" "&amp;TRIM(J89)&amp;IF(G92="","",","))</f>
        <v/>
      </c>
      <c r="AW89" s="27"/>
      <c r="AY89" s="122" t="str">
        <f t="shared" si="25"/>
        <v/>
      </c>
    </row>
    <row r="90" spans="2:51" ht="12.75">
      <c r="B90" s="20" t="str">
        <f t="shared" si="27"/>
        <v/>
      </c>
      <c r="C90" s="5"/>
      <c r="D90" s="5"/>
      <c r="E90" s="5"/>
      <c r="G90" s="5" t="str">
        <f t="shared" si="16"/>
        <v/>
      </c>
      <c r="H90" s="117" t="str">
        <f t="shared" si="29"/>
        <v/>
      </c>
      <c r="I90" s="5" t="str">
        <f t="shared" si="17"/>
        <v/>
      </c>
      <c r="J90" s="5" t="str">
        <f t="shared" si="18"/>
        <v/>
      </c>
      <c r="K90" s="5"/>
      <c r="L90" s="5"/>
      <c r="M90" s="75"/>
      <c r="N90" s="77"/>
      <c r="O90" s="26"/>
      <c r="P90" s="26"/>
      <c r="Q90" s="118" t="str">
        <f t="shared" si="19"/>
        <v/>
      </c>
      <c r="R90" s="153"/>
      <c r="S90" s="138" t="str">
        <f t="shared" si="21"/>
        <v/>
      </c>
      <c r="T90" s="148"/>
      <c r="U90" s="146"/>
      <c r="V90" s="146"/>
      <c r="W90" s="139"/>
      <c r="X90" s="139"/>
      <c r="Y90" s="148"/>
      <c r="Z90" s="138" t="str">
        <f t="shared" si="26"/>
        <v/>
      </c>
      <c r="AA90" s="138" t="str">
        <f t="shared" si="28"/>
        <v/>
      </c>
      <c r="AB90" s="239"/>
      <c r="AC90" s="325"/>
      <c r="AD90" s="325"/>
      <c r="AE90" s="325"/>
      <c r="AF90" s="325"/>
      <c r="AG90" s="325"/>
      <c r="AH90" s="325"/>
      <c r="AI90" s="325"/>
      <c r="AJ90" s="325"/>
      <c r="AK90" s="325"/>
      <c r="AL90" s="325"/>
      <c r="AM90" s="325"/>
      <c r="AN90" s="325"/>
      <c r="AO90" s="325"/>
      <c r="AP90" s="136"/>
      <c r="AQ90" s="136"/>
      <c r="AR90" s="136" t="str">
        <f t="shared" si="23"/>
        <v/>
      </c>
      <c r="AS90" s="136" t="str">
        <f t="shared" si="23"/>
        <v/>
      </c>
      <c r="AT90" s="5" t="str">
        <f t="shared" si="24"/>
        <v/>
      </c>
      <c r="AV90" s="27" t="str">
        <f t="shared" ref="AV90:AV95" si="30">IF(G90="","",+"          ["&amp;TRIM(G90)&amp;"] ["&amp;TRIM(I90)&amp;"]"&amp;IF(H90="","","("&amp;H90&amp;")")&amp;" "&amp;TRIM(J90)&amp;IF(G91="","",","))</f>
        <v/>
      </c>
      <c r="AW90" s="27"/>
      <c r="AY90" s="122" t="str">
        <f t="shared" si="25"/>
        <v/>
      </c>
    </row>
    <row r="91" spans="2:51" ht="12.75">
      <c r="B91" s="20" t="str">
        <f t="shared" si="27"/>
        <v/>
      </c>
      <c r="C91" s="5"/>
      <c r="D91" s="5"/>
      <c r="E91" s="5"/>
      <c r="G91" s="5" t="str">
        <f t="shared" si="16"/>
        <v/>
      </c>
      <c r="H91" s="117" t="str">
        <f t="shared" si="29"/>
        <v/>
      </c>
      <c r="I91" s="5" t="str">
        <f t="shared" si="17"/>
        <v/>
      </c>
      <c r="J91" s="5" t="str">
        <f t="shared" si="18"/>
        <v/>
      </c>
      <c r="K91" s="5"/>
      <c r="L91" s="5"/>
      <c r="M91" s="75"/>
      <c r="N91" s="77"/>
      <c r="O91" s="26"/>
      <c r="P91" s="26"/>
      <c r="Q91" s="118" t="str">
        <f t="shared" si="19"/>
        <v/>
      </c>
      <c r="R91" s="153"/>
      <c r="S91" s="138" t="str">
        <f t="shared" si="21"/>
        <v/>
      </c>
      <c r="T91" s="148"/>
      <c r="U91" s="146"/>
      <c r="V91" s="146"/>
      <c r="W91" s="139"/>
      <c r="X91" s="139"/>
      <c r="Y91" s="148"/>
      <c r="Z91" s="138" t="str">
        <f t="shared" si="26"/>
        <v/>
      </c>
      <c r="AA91" s="138" t="str">
        <f t="shared" si="28"/>
        <v/>
      </c>
      <c r="AB91" s="239"/>
      <c r="AC91" s="325"/>
      <c r="AD91" s="325"/>
      <c r="AE91" s="325"/>
      <c r="AF91" s="325"/>
      <c r="AG91" s="325"/>
      <c r="AH91" s="325"/>
      <c r="AI91" s="325"/>
      <c r="AJ91" s="325"/>
      <c r="AK91" s="325"/>
      <c r="AL91" s="325"/>
      <c r="AM91" s="325"/>
      <c r="AN91" s="325"/>
      <c r="AO91" s="325"/>
      <c r="AP91" s="136"/>
      <c r="AQ91" s="136"/>
      <c r="AR91" s="136" t="str">
        <f t="shared" si="23"/>
        <v/>
      </c>
      <c r="AS91" s="136" t="str">
        <f t="shared" si="23"/>
        <v/>
      </c>
      <c r="AT91" s="5" t="str">
        <f t="shared" si="24"/>
        <v/>
      </c>
      <c r="AV91" s="27" t="str">
        <f t="shared" si="30"/>
        <v/>
      </c>
      <c r="AW91" s="27"/>
      <c r="AY91" s="122" t="str">
        <f t="shared" si="25"/>
        <v/>
      </c>
    </row>
    <row r="92" spans="2:51" ht="12.75">
      <c r="B92" s="20" t="str">
        <f t="shared" si="27"/>
        <v/>
      </c>
      <c r="C92" s="5"/>
      <c r="D92" s="5"/>
      <c r="E92" s="5"/>
      <c r="G92" s="5" t="str">
        <f t="shared" si="16"/>
        <v/>
      </c>
      <c r="H92" s="117" t="str">
        <f t="shared" si="29"/>
        <v/>
      </c>
      <c r="I92" s="5" t="str">
        <f t="shared" si="17"/>
        <v/>
      </c>
      <c r="J92" s="5" t="str">
        <f t="shared" si="18"/>
        <v/>
      </c>
      <c r="K92" s="5"/>
      <c r="L92" s="5"/>
      <c r="M92" s="75"/>
      <c r="N92" s="77"/>
      <c r="O92" s="26"/>
      <c r="P92" s="26"/>
      <c r="Q92" s="118" t="str">
        <f t="shared" si="19"/>
        <v/>
      </c>
      <c r="R92" s="153"/>
      <c r="S92" s="138" t="str">
        <f t="shared" si="21"/>
        <v/>
      </c>
      <c r="T92" s="148"/>
      <c r="U92" s="146"/>
      <c r="V92" s="146"/>
      <c r="W92" s="139"/>
      <c r="X92" s="139"/>
      <c r="Y92" s="148"/>
      <c r="Z92" s="138" t="str">
        <f t="shared" si="26"/>
        <v/>
      </c>
      <c r="AA92" s="138" t="str">
        <f t="shared" si="28"/>
        <v/>
      </c>
      <c r="AB92" s="239"/>
      <c r="AC92" s="325"/>
      <c r="AD92" s="325"/>
      <c r="AE92" s="325"/>
      <c r="AF92" s="325"/>
      <c r="AG92" s="325"/>
      <c r="AH92" s="325"/>
      <c r="AI92" s="325"/>
      <c r="AJ92" s="325"/>
      <c r="AK92" s="325"/>
      <c r="AL92" s="325"/>
      <c r="AM92" s="325"/>
      <c r="AN92" s="325"/>
      <c r="AO92" s="325"/>
      <c r="AP92" s="136"/>
      <c r="AQ92" s="136"/>
      <c r="AR92" s="136" t="str">
        <f t="shared" si="23"/>
        <v/>
      </c>
      <c r="AS92" s="136" t="str">
        <f t="shared" si="23"/>
        <v/>
      </c>
      <c r="AT92" s="5" t="str">
        <f t="shared" si="24"/>
        <v/>
      </c>
      <c r="AV92" s="27" t="str">
        <f t="shared" si="30"/>
        <v/>
      </c>
      <c r="AW92" s="27"/>
      <c r="AY92" s="122" t="str">
        <f t="shared" si="25"/>
        <v/>
      </c>
    </row>
    <row r="93" spans="2:51" ht="12.75">
      <c r="B93" s="20" t="str">
        <f t="shared" si="27"/>
        <v/>
      </c>
      <c r="C93" s="5"/>
      <c r="D93" s="5"/>
      <c r="E93" s="5"/>
      <c r="G93" s="5" t="str">
        <f t="shared" si="16"/>
        <v/>
      </c>
      <c r="H93" s="117" t="str">
        <f t="shared" si="29"/>
        <v/>
      </c>
      <c r="I93" s="5" t="str">
        <f t="shared" si="17"/>
        <v/>
      </c>
      <c r="J93" s="5" t="str">
        <f t="shared" si="18"/>
        <v/>
      </c>
      <c r="K93" s="5"/>
      <c r="L93" s="5"/>
      <c r="M93" s="75"/>
      <c r="N93" s="77"/>
      <c r="O93" s="26"/>
      <c r="P93" s="26"/>
      <c r="Q93" s="118" t="str">
        <f t="shared" si="19"/>
        <v/>
      </c>
      <c r="R93" s="153"/>
      <c r="S93" s="138" t="str">
        <f t="shared" si="21"/>
        <v/>
      </c>
      <c r="T93" s="148"/>
      <c r="U93" s="146"/>
      <c r="V93" s="146"/>
      <c r="W93" s="139"/>
      <c r="X93" s="139"/>
      <c r="Y93" s="148"/>
      <c r="Z93" s="138" t="str">
        <f t="shared" si="26"/>
        <v/>
      </c>
      <c r="AA93" s="138" t="str">
        <f t="shared" si="28"/>
        <v/>
      </c>
      <c r="AB93" s="239"/>
      <c r="AC93" s="325"/>
      <c r="AD93" s="325"/>
      <c r="AE93" s="325"/>
      <c r="AF93" s="325"/>
      <c r="AG93" s="325"/>
      <c r="AH93" s="325"/>
      <c r="AI93" s="325"/>
      <c r="AJ93" s="325"/>
      <c r="AK93" s="325"/>
      <c r="AL93" s="325"/>
      <c r="AM93" s="325"/>
      <c r="AN93" s="325"/>
      <c r="AO93" s="325"/>
      <c r="AP93" s="136"/>
      <c r="AQ93" s="136"/>
      <c r="AR93" s="136" t="str">
        <f t="shared" si="23"/>
        <v/>
      </c>
      <c r="AS93" s="136" t="str">
        <f t="shared" si="23"/>
        <v/>
      </c>
      <c r="AT93" s="5" t="str">
        <f t="shared" si="24"/>
        <v/>
      </c>
      <c r="AV93" s="27" t="str">
        <f t="shared" si="30"/>
        <v/>
      </c>
      <c r="AW93" s="27"/>
      <c r="AY93" s="122" t="str">
        <f t="shared" si="25"/>
        <v/>
      </c>
    </row>
    <row r="94" spans="2:51" ht="12.75">
      <c r="B94" s="20" t="str">
        <f t="shared" si="27"/>
        <v/>
      </c>
      <c r="C94" s="5"/>
      <c r="D94" s="5"/>
      <c r="E94" s="5"/>
      <c r="G94" s="5" t="str">
        <f>SUBSTITUTE(SUBSTITUTE(SUBSTITUTE(SUBSTITUTE(SUBSTITUTE(SUBSTITUTE(SUBSTITUTE(SUBSTITUTE(SUBSTITUTE(C94," ",""),".",""),"#","No"),"%",""),"(",""),"*",""),"-",""),"/",""),")","")</f>
        <v/>
      </c>
      <c r="H94" s="117" t="str">
        <f t="shared" si="29"/>
        <v/>
      </c>
      <c r="I94" s="5" t="str">
        <f>IF(E94=0,"",+E94)</f>
        <v/>
      </c>
      <c r="J94" s="5" t="str">
        <f>IF(C94=0,"",(IF(ISERROR(VLOOKUP(G94,$D$120:$D$127,1,FALSE)),""," NOT")&amp;" NULL"))</f>
        <v/>
      </c>
      <c r="K94" s="5"/>
      <c r="L94" s="5"/>
      <c r="M94" s="75"/>
      <c r="N94" s="77"/>
      <c r="O94" s="26"/>
      <c r="P94" s="26"/>
      <c r="Q94" s="118" t="str">
        <f>IF(M94=0,"",ROW())</f>
        <v/>
      </c>
      <c r="R94" s="153"/>
      <c r="S94" s="138" t="str">
        <f t="shared" si="21"/>
        <v/>
      </c>
      <c r="T94" s="148"/>
      <c r="U94" s="146"/>
      <c r="V94" s="146"/>
      <c r="W94" s="139"/>
      <c r="X94" s="139"/>
      <c r="Y94" s="148"/>
      <c r="Z94" s="138" t="str">
        <f t="shared" si="26"/>
        <v/>
      </c>
      <c r="AA94" s="138" t="str">
        <f t="shared" si="28"/>
        <v/>
      </c>
      <c r="AB94" s="239"/>
      <c r="AC94" s="325"/>
      <c r="AD94" s="325"/>
      <c r="AE94" s="325"/>
      <c r="AF94" s="325"/>
      <c r="AG94" s="325"/>
      <c r="AH94" s="325"/>
      <c r="AI94" s="325"/>
      <c r="AJ94" s="325"/>
      <c r="AK94" s="325"/>
      <c r="AL94" s="325"/>
      <c r="AM94" s="325"/>
      <c r="AN94" s="325"/>
      <c r="AO94" s="325"/>
      <c r="AP94" s="136"/>
      <c r="AQ94" s="136"/>
      <c r="AR94" s="136" t="str">
        <f t="shared" si="23"/>
        <v/>
      </c>
      <c r="AS94" s="136" t="str">
        <f t="shared" si="23"/>
        <v/>
      </c>
      <c r="AT94" s="5" t="str">
        <f t="shared" si="24"/>
        <v/>
      </c>
      <c r="AV94" s="27" t="str">
        <f t="shared" si="30"/>
        <v/>
      </c>
      <c r="AW94" s="27"/>
      <c r="AY94" s="122" t="str">
        <f t="shared" si="25"/>
        <v/>
      </c>
    </row>
    <row r="95" spans="2:51" ht="12.75">
      <c r="B95" s="20" t="str">
        <f t="shared" si="27"/>
        <v/>
      </c>
      <c r="C95" s="5"/>
      <c r="D95" s="5"/>
      <c r="E95" s="5"/>
      <c r="G95" s="5" t="str">
        <f>SUBSTITUTE(SUBSTITUTE(SUBSTITUTE(SUBSTITUTE(SUBSTITUTE(SUBSTITUTE(SUBSTITUTE(SUBSTITUTE(SUBSTITUTE(C95," ",""),".",""),"#","No"),"%",""),"(",""),"*",""),"-",""),"/",""),")","")</f>
        <v/>
      </c>
      <c r="H95" s="117" t="str">
        <f t="shared" si="29"/>
        <v/>
      </c>
      <c r="I95" s="5" t="str">
        <f>IF(E95=0,"",+E95)</f>
        <v/>
      </c>
      <c r="J95" s="5" t="str">
        <f>IF(C95=0,"",(IF(ISERROR(VLOOKUP(G95,$D$120:$D$127,1,FALSE)),""," NOT")&amp;" NULL"))</f>
        <v/>
      </c>
      <c r="K95" s="5"/>
      <c r="L95" s="5"/>
      <c r="M95" s="75"/>
      <c r="N95" s="77"/>
      <c r="O95" s="26"/>
      <c r="P95" s="26"/>
      <c r="Q95" s="118" t="str">
        <f>IF(M95=0,"",ROW())</f>
        <v/>
      </c>
      <c r="R95" s="153"/>
      <c r="S95" s="138" t="str">
        <f t="shared" si="21"/>
        <v/>
      </c>
      <c r="T95" s="148"/>
      <c r="U95" s="146"/>
      <c r="V95" s="146"/>
      <c r="W95" s="139"/>
      <c r="X95" s="139"/>
      <c r="Y95" s="148"/>
      <c r="Z95" s="138" t="str">
        <f t="shared" si="26"/>
        <v/>
      </c>
      <c r="AA95" s="138" t="str">
        <f t="shared" si="28"/>
        <v/>
      </c>
      <c r="AB95" s="239"/>
      <c r="AC95" s="325"/>
      <c r="AD95" s="325"/>
      <c r="AE95" s="325"/>
      <c r="AF95" s="325"/>
      <c r="AG95" s="325"/>
      <c r="AH95" s="325"/>
      <c r="AI95" s="325"/>
      <c r="AJ95" s="325"/>
      <c r="AK95" s="325"/>
      <c r="AL95" s="325"/>
      <c r="AM95" s="325"/>
      <c r="AN95" s="325"/>
      <c r="AO95" s="325"/>
      <c r="AP95" s="136"/>
      <c r="AQ95" s="136"/>
      <c r="AR95" s="136" t="str">
        <f t="shared" si="23"/>
        <v/>
      </c>
      <c r="AS95" s="136" t="str">
        <f t="shared" si="23"/>
        <v/>
      </c>
      <c r="AT95" s="5" t="str">
        <f t="shared" si="24"/>
        <v/>
      </c>
      <c r="AV95" s="27" t="str">
        <f t="shared" si="30"/>
        <v/>
      </c>
      <c r="AW95" s="27"/>
      <c r="AY95" s="122" t="str">
        <f t="shared" si="25"/>
        <v/>
      </c>
    </row>
    <row r="96" spans="2:51" ht="12.75">
      <c r="B96" s="20" t="str">
        <f t="shared" si="27"/>
        <v/>
      </c>
      <c r="C96" s="5"/>
      <c r="D96" s="5"/>
      <c r="E96" s="5"/>
      <c r="G96" s="5" t="str">
        <f>SUBSTITUTE(SUBSTITUTE(SUBSTITUTE(SUBSTITUTE(SUBSTITUTE(SUBSTITUTE(SUBSTITUTE(SUBSTITUTE(SUBSTITUTE(C96," ",""),".",""),"#","No"),"%",""),"(",""),"*",""),"-",""),"/",""),")","")</f>
        <v/>
      </c>
      <c r="H96" s="117" t="str">
        <f t="shared" si="29"/>
        <v/>
      </c>
      <c r="I96" s="5" t="str">
        <f>IF(E96=0,"",+E96)</f>
        <v/>
      </c>
      <c r="J96" s="5" t="str">
        <f>IF(C96=0,"",(IF(ISERROR(VLOOKUP(G96,$D$120:$D$127,1,FALSE)),""," NOT")&amp;" NULL"))</f>
        <v/>
      </c>
      <c r="K96" s="5"/>
      <c r="L96" s="5"/>
      <c r="M96" s="75"/>
      <c r="N96" s="77"/>
      <c r="O96" s="26"/>
      <c r="P96" s="26"/>
      <c r="Q96" s="118" t="str">
        <f>IF(M96=0,"",ROW())</f>
        <v/>
      </c>
      <c r="R96" s="153"/>
      <c r="S96" s="138" t="str">
        <f t="shared" si="21"/>
        <v/>
      </c>
      <c r="T96" s="148"/>
      <c r="U96" s="146"/>
      <c r="V96" s="146"/>
      <c r="W96" s="139"/>
      <c r="X96" s="139"/>
      <c r="Y96" s="148"/>
      <c r="Z96" s="138" t="str">
        <f t="shared" si="26"/>
        <v/>
      </c>
      <c r="AA96" s="138" t="str">
        <f t="shared" si="28"/>
        <v/>
      </c>
      <c r="AB96" s="239"/>
      <c r="AC96" s="325"/>
      <c r="AD96" s="325"/>
      <c r="AE96" s="325"/>
      <c r="AF96" s="325"/>
      <c r="AG96" s="325"/>
      <c r="AH96" s="325"/>
      <c r="AI96" s="325"/>
      <c r="AJ96" s="325"/>
      <c r="AK96" s="325"/>
      <c r="AL96" s="325"/>
      <c r="AM96" s="325"/>
      <c r="AN96" s="325"/>
      <c r="AO96" s="325"/>
      <c r="AP96" s="136"/>
      <c r="AQ96" s="136"/>
      <c r="AR96" s="136" t="str">
        <f t="shared" si="23"/>
        <v/>
      </c>
      <c r="AS96" s="136" t="str">
        <f t="shared" si="23"/>
        <v/>
      </c>
      <c r="AT96" s="5" t="str">
        <f t="shared" si="24"/>
        <v/>
      </c>
      <c r="AV96" s="27" t="str">
        <f>IF(G96="","",+"          ["&amp;TRIM(G96)&amp;"] ["&amp;TRIM(I96)&amp;"]"&amp;IF(H96="","","("&amp;H96&amp;")")&amp;" "&amp;TRIM(J96)&amp;IF(G108="","",","))</f>
        <v/>
      </c>
      <c r="AW96" s="27"/>
      <c r="AY96" s="122" t="str">
        <f t="shared" si="25"/>
        <v/>
      </c>
    </row>
    <row r="97" spans="2:51" ht="12.75">
      <c r="B97" s="20" t="str">
        <f t="shared" si="27"/>
        <v/>
      </c>
      <c r="C97" s="5"/>
      <c r="D97" s="5"/>
      <c r="E97" s="5"/>
      <c r="G97" s="5" t="str">
        <f t="shared" ref="G97:G115" si="31">SUBSTITUTE(SUBSTITUTE(SUBSTITUTE(SUBSTITUTE(SUBSTITUTE(SUBSTITUTE(SUBSTITUTE(SUBSTITUTE(SUBSTITUTE(C97," ",""),".",""),"#","No"),"%",""),"(",""),"*",""),"-",""),"/",""),")","")</f>
        <v/>
      </c>
      <c r="H97" s="117" t="str">
        <f t="shared" si="29"/>
        <v/>
      </c>
      <c r="I97" s="5" t="str">
        <f t="shared" ref="I97:I115" si="32">IF(E97=0,"",+E97)</f>
        <v/>
      </c>
      <c r="J97" s="5" t="str">
        <f t="shared" ref="J97:J115" si="33">IF(C97=0,"",(IF(ISERROR(VLOOKUP(G97,$D$120:$D$127,1,FALSE)),""," NOT")&amp;" NULL"))</f>
        <v/>
      </c>
      <c r="K97" s="5"/>
      <c r="L97" s="5"/>
      <c r="M97" s="75"/>
      <c r="N97" s="77"/>
      <c r="O97" s="26"/>
      <c r="P97" s="26"/>
      <c r="Q97" s="118" t="str">
        <f t="shared" ref="Q97:Q115" si="34">IF(M97=0,"",ROW())</f>
        <v/>
      </c>
      <c r="R97" s="153"/>
      <c r="S97" s="138" t="str">
        <f t="shared" si="21"/>
        <v/>
      </c>
      <c r="T97" s="148"/>
      <c r="U97" s="146"/>
      <c r="V97" s="146"/>
      <c r="W97" s="139"/>
      <c r="X97" s="139"/>
      <c r="Y97" s="148"/>
      <c r="Z97" s="138" t="str">
        <f t="shared" si="26"/>
        <v/>
      </c>
      <c r="AA97" s="138" t="str">
        <f t="shared" si="28"/>
        <v/>
      </c>
      <c r="AB97" s="239"/>
      <c r="AC97" s="325"/>
      <c r="AD97" s="325"/>
      <c r="AE97" s="325"/>
      <c r="AF97" s="325"/>
      <c r="AG97" s="325"/>
      <c r="AH97" s="325"/>
      <c r="AI97" s="325"/>
      <c r="AJ97" s="325"/>
      <c r="AK97" s="325"/>
      <c r="AL97" s="325"/>
      <c r="AM97" s="325"/>
      <c r="AN97" s="325"/>
      <c r="AO97" s="325"/>
      <c r="AP97" s="136"/>
      <c r="AQ97" s="136"/>
      <c r="AR97" s="136" t="str">
        <f t="shared" si="23"/>
        <v/>
      </c>
      <c r="AS97" s="136" t="str">
        <f t="shared" si="23"/>
        <v/>
      </c>
      <c r="AT97" s="5" t="str">
        <f t="shared" si="24"/>
        <v/>
      </c>
      <c r="AV97" s="27" t="str">
        <f>IF(G97="","",+"          ["&amp;TRIM(G97)&amp;"] ["&amp;TRIM(I97)&amp;"]"&amp;IF(H97="","","("&amp;H97&amp;")")&amp;" "&amp;TRIM(J97)&amp;IF(G98="","",","))</f>
        <v/>
      </c>
      <c r="AW97" s="27"/>
      <c r="AY97" s="122" t="str">
        <f t="shared" si="25"/>
        <v/>
      </c>
    </row>
    <row r="98" spans="2:51" ht="12.75">
      <c r="B98" s="20" t="str">
        <f t="shared" si="27"/>
        <v/>
      </c>
      <c r="C98" s="5"/>
      <c r="D98" s="5"/>
      <c r="E98" s="5"/>
      <c r="G98" s="5" t="str">
        <f t="shared" si="31"/>
        <v/>
      </c>
      <c r="H98" s="117" t="str">
        <f t="shared" si="29"/>
        <v/>
      </c>
      <c r="I98" s="5" t="str">
        <f t="shared" si="32"/>
        <v/>
      </c>
      <c r="J98" s="5" t="str">
        <f t="shared" si="33"/>
        <v/>
      </c>
      <c r="K98" s="5"/>
      <c r="L98" s="5"/>
      <c r="M98" s="75"/>
      <c r="N98" s="77"/>
      <c r="O98" s="26"/>
      <c r="P98" s="26"/>
      <c r="Q98" s="118" t="str">
        <f t="shared" si="34"/>
        <v/>
      </c>
      <c r="R98" s="153"/>
      <c r="S98" s="138" t="str">
        <f t="shared" si="21"/>
        <v/>
      </c>
      <c r="T98" s="148"/>
      <c r="U98" s="146"/>
      <c r="V98" s="146"/>
      <c r="W98" s="139"/>
      <c r="X98" s="139"/>
      <c r="Y98" s="148"/>
      <c r="Z98" s="138" t="str">
        <f t="shared" si="26"/>
        <v/>
      </c>
      <c r="AA98" s="138" t="str">
        <f t="shared" si="28"/>
        <v/>
      </c>
      <c r="AB98" s="239"/>
      <c r="AC98" s="325"/>
      <c r="AD98" s="325"/>
      <c r="AE98" s="325"/>
      <c r="AF98" s="325"/>
      <c r="AG98" s="325"/>
      <c r="AH98" s="325"/>
      <c r="AI98" s="325"/>
      <c r="AJ98" s="325"/>
      <c r="AK98" s="325"/>
      <c r="AL98" s="325"/>
      <c r="AM98" s="325"/>
      <c r="AN98" s="325"/>
      <c r="AO98" s="325"/>
      <c r="AP98" s="136"/>
      <c r="AQ98" s="136"/>
      <c r="AR98" s="136" t="str">
        <f t="shared" si="23"/>
        <v/>
      </c>
      <c r="AS98" s="136" t="str">
        <f t="shared" si="23"/>
        <v/>
      </c>
      <c r="AT98" s="5" t="str">
        <f t="shared" si="24"/>
        <v/>
      </c>
      <c r="AV98" s="27" t="str">
        <f>IF(G98="","",+"          ["&amp;TRIM(G98)&amp;"] ["&amp;TRIM(I98)&amp;"]"&amp;IF(H98="","","("&amp;H98&amp;")")&amp;" "&amp;TRIM(J98)&amp;IF(G107="","",","))</f>
        <v/>
      </c>
      <c r="AW98" s="27"/>
      <c r="AY98" s="122" t="str">
        <f t="shared" si="25"/>
        <v/>
      </c>
    </row>
    <row r="99" spans="2:51" ht="12.75">
      <c r="B99" s="20" t="str">
        <f t="shared" si="27"/>
        <v/>
      </c>
      <c r="C99" s="5"/>
      <c r="D99" s="5"/>
      <c r="E99" s="5"/>
      <c r="G99" s="5" t="str">
        <f t="shared" si="31"/>
        <v/>
      </c>
      <c r="H99" s="117" t="str">
        <f t="shared" si="29"/>
        <v/>
      </c>
      <c r="I99" s="5" t="str">
        <f t="shared" si="32"/>
        <v/>
      </c>
      <c r="J99" s="5" t="str">
        <f t="shared" si="33"/>
        <v/>
      </c>
      <c r="K99" s="5"/>
      <c r="L99" s="5"/>
      <c r="M99" s="75"/>
      <c r="N99" s="77"/>
      <c r="O99" s="26"/>
      <c r="P99" s="26"/>
      <c r="Q99" s="118" t="str">
        <f t="shared" si="34"/>
        <v/>
      </c>
      <c r="R99" s="153"/>
      <c r="S99" s="138" t="str">
        <f t="shared" si="21"/>
        <v/>
      </c>
      <c r="T99" s="148"/>
      <c r="U99" s="146"/>
      <c r="V99" s="146"/>
      <c r="W99" s="139"/>
      <c r="X99" s="139"/>
      <c r="Y99" s="148"/>
      <c r="Z99" s="138" t="str">
        <f t="shared" si="26"/>
        <v/>
      </c>
      <c r="AA99" s="138" t="str">
        <f t="shared" si="28"/>
        <v/>
      </c>
      <c r="AB99" s="239"/>
      <c r="AC99" s="325"/>
      <c r="AD99" s="325"/>
      <c r="AE99" s="325"/>
      <c r="AF99" s="325"/>
      <c r="AG99" s="325"/>
      <c r="AH99" s="325"/>
      <c r="AI99" s="325"/>
      <c r="AJ99" s="325"/>
      <c r="AK99" s="325"/>
      <c r="AL99" s="325"/>
      <c r="AM99" s="325"/>
      <c r="AN99" s="325"/>
      <c r="AO99" s="325"/>
      <c r="AP99" s="136"/>
      <c r="AQ99" s="136"/>
      <c r="AR99" s="136" t="str">
        <f t="shared" si="23"/>
        <v/>
      </c>
      <c r="AS99" s="136" t="str">
        <f t="shared" si="23"/>
        <v/>
      </c>
      <c r="AT99" s="5" t="str">
        <f t="shared" si="24"/>
        <v/>
      </c>
      <c r="AV99" s="27" t="str">
        <f>IF(G99="","",+"          ["&amp;TRIM(G99)&amp;"] ["&amp;TRIM(I99)&amp;"]"&amp;IF(H99="","","("&amp;H99&amp;")")&amp;" "&amp;TRIM(J99)&amp;IF(G106="","",","))</f>
        <v/>
      </c>
      <c r="AW99" s="27"/>
      <c r="AY99" s="122" t="str">
        <f t="shared" si="25"/>
        <v/>
      </c>
    </row>
    <row r="100" spans="2:51" ht="12.75">
      <c r="B100" s="20" t="str">
        <f t="shared" si="27"/>
        <v/>
      </c>
      <c r="C100" s="5"/>
      <c r="D100" s="5"/>
      <c r="E100" s="5"/>
      <c r="G100" s="5" t="str">
        <f t="shared" si="31"/>
        <v/>
      </c>
      <c r="H100" s="117" t="str">
        <f t="shared" si="29"/>
        <v/>
      </c>
      <c r="I100" s="5" t="str">
        <f t="shared" si="32"/>
        <v/>
      </c>
      <c r="J100" s="5" t="str">
        <f t="shared" si="33"/>
        <v/>
      </c>
      <c r="K100" s="5"/>
      <c r="L100" s="5"/>
      <c r="M100" s="75"/>
      <c r="N100" s="77"/>
      <c r="O100" s="26"/>
      <c r="P100" s="26"/>
      <c r="Q100" s="118" t="str">
        <f t="shared" si="34"/>
        <v/>
      </c>
      <c r="R100" s="153"/>
      <c r="S100" s="138" t="str">
        <f t="shared" si="21"/>
        <v/>
      </c>
      <c r="T100" s="148"/>
      <c r="U100" s="146"/>
      <c r="V100" s="146"/>
      <c r="W100" s="139"/>
      <c r="X100" s="139"/>
      <c r="Y100" s="148"/>
      <c r="Z100" s="138" t="str">
        <f t="shared" si="26"/>
        <v/>
      </c>
      <c r="AA100" s="138" t="str">
        <f t="shared" si="28"/>
        <v/>
      </c>
      <c r="AB100" s="239"/>
      <c r="AC100" s="325"/>
      <c r="AD100" s="325"/>
      <c r="AE100" s="325"/>
      <c r="AF100" s="325"/>
      <c r="AG100" s="325"/>
      <c r="AH100" s="325"/>
      <c r="AI100" s="325"/>
      <c r="AJ100" s="325"/>
      <c r="AK100" s="325"/>
      <c r="AL100" s="325"/>
      <c r="AM100" s="325"/>
      <c r="AN100" s="325"/>
      <c r="AO100" s="325"/>
      <c r="AP100" s="136"/>
      <c r="AQ100" s="136"/>
      <c r="AR100" s="136" t="str">
        <f t="shared" si="23"/>
        <v/>
      </c>
      <c r="AS100" s="136" t="str">
        <f t="shared" si="23"/>
        <v/>
      </c>
      <c r="AT100" s="5" t="str">
        <f t="shared" si="24"/>
        <v/>
      </c>
      <c r="AV100" s="27" t="str">
        <f>IF(G100="","",+"          ["&amp;TRIM(G100)&amp;"] ["&amp;TRIM(I100)&amp;"]"&amp;IF(H100="","","("&amp;H100&amp;")")&amp;" "&amp;TRIM(J100)&amp;IF(G101="","",","))</f>
        <v/>
      </c>
      <c r="AW100" s="27"/>
      <c r="AY100" s="122" t="str">
        <f t="shared" si="25"/>
        <v/>
      </c>
    </row>
    <row r="101" spans="2:51" ht="12.75">
      <c r="B101" s="20" t="str">
        <f t="shared" si="27"/>
        <v/>
      </c>
      <c r="C101" s="5"/>
      <c r="D101" s="5"/>
      <c r="E101" s="5"/>
      <c r="G101" s="5" t="str">
        <f t="shared" si="31"/>
        <v/>
      </c>
      <c r="H101" s="117" t="str">
        <f t="shared" si="29"/>
        <v/>
      </c>
      <c r="I101" s="5" t="str">
        <f t="shared" si="32"/>
        <v/>
      </c>
      <c r="J101" s="5" t="str">
        <f t="shared" si="33"/>
        <v/>
      </c>
      <c r="K101" s="5"/>
      <c r="L101" s="5"/>
      <c r="M101" s="75"/>
      <c r="N101" s="77"/>
      <c r="O101" s="26"/>
      <c r="P101" s="26"/>
      <c r="Q101" s="118" t="str">
        <f t="shared" si="34"/>
        <v/>
      </c>
      <c r="R101" s="153"/>
      <c r="S101" s="138" t="str">
        <f t="shared" si="21"/>
        <v/>
      </c>
      <c r="T101" s="148"/>
      <c r="U101" s="146"/>
      <c r="V101" s="146"/>
      <c r="W101" s="139"/>
      <c r="X101" s="139"/>
      <c r="Y101" s="148"/>
      <c r="Z101" s="138" t="str">
        <f t="shared" si="26"/>
        <v/>
      </c>
      <c r="AA101" s="138" t="str">
        <f t="shared" si="28"/>
        <v/>
      </c>
      <c r="AB101" s="239"/>
      <c r="AC101" s="325"/>
      <c r="AD101" s="325"/>
      <c r="AE101" s="325"/>
      <c r="AF101" s="325"/>
      <c r="AG101" s="325"/>
      <c r="AH101" s="325"/>
      <c r="AI101" s="325"/>
      <c r="AJ101" s="325"/>
      <c r="AK101" s="325"/>
      <c r="AL101" s="325"/>
      <c r="AM101" s="325"/>
      <c r="AN101" s="325"/>
      <c r="AO101" s="325"/>
      <c r="AP101" s="136"/>
      <c r="AQ101" s="136"/>
      <c r="AR101" s="136" t="str">
        <f t="shared" si="23"/>
        <v/>
      </c>
      <c r="AS101" s="136" t="str">
        <f t="shared" si="23"/>
        <v/>
      </c>
      <c r="AT101" s="5" t="str">
        <f t="shared" si="24"/>
        <v/>
      </c>
      <c r="AV101" s="27" t="str">
        <f>IF(G101="","",+"          ["&amp;TRIM(G101)&amp;"] ["&amp;TRIM(I101)&amp;"]"&amp;IF(H101="","","("&amp;H101&amp;")")&amp;" "&amp;TRIM(J101)&amp;IF(G102="","",","))</f>
        <v/>
      </c>
      <c r="AW101" s="27"/>
      <c r="AY101" s="122" t="str">
        <f t="shared" si="25"/>
        <v/>
      </c>
    </row>
    <row r="102" spans="2:51" ht="12.75">
      <c r="B102" s="20" t="str">
        <f t="shared" si="27"/>
        <v/>
      </c>
      <c r="C102" s="5"/>
      <c r="D102" s="5"/>
      <c r="E102" s="5"/>
      <c r="G102" s="5" t="str">
        <f t="shared" si="31"/>
        <v/>
      </c>
      <c r="H102" s="117" t="str">
        <f t="shared" si="29"/>
        <v/>
      </c>
      <c r="I102" s="5" t="str">
        <f t="shared" si="32"/>
        <v/>
      </c>
      <c r="J102" s="5" t="str">
        <f t="shared" si="33"/>
        <v/>
      </c>
      <c r="K102" s="5"/>
      <c r="L102" s="5"/>
      <c r="M102" s="75"/>
      <c r="N102" s="77"/>
      <c r="O102" s="26"/>
      <c r="P102" s="26"/>
      <c r="Q102" s="118" t="str">
        <f t="shared" si="34"/>
        <v/>
      </c>
      <c r="R102" s="153"/>
      <c r="S102" s="138" t="str">
        <f t="shared" si="21"/>
        <v/>
      </c>
      <c r="T102" s="148"/>
      <c r="U102" s="146"/>
      <c r="V102" s="146"/>
      <c r="W102" s="139"/>
      <c r="X102" s="139"/>
      <c r="Y102" s="148"/>
      <c r="Z102" s="138" t="str">
        <f t="shared" si="26"/>
        <v/>
      </c>
      <c r="AA102" s="138" t="str">
        <f t="shared" si="28"/>
        <v/>
      </c>
      <c r="AB102" s="239"/>
      <c r="AC102" s="325"/>
      <c r="AD102" s="325"/>
      <c r="AE102" s="325"/>
      <c r="AF102" s="325"/>
      <c r="AG102" s="325"/>
      <c r="AH102" s="325"/>
      <c r="AI102" s="325"/>
      <c r="AJ102" s="325"/>
      <c r="AK102" s="325"/>
      <c r="AL102" s="325"/>
      <c r="AM102" s="325"/>
      <c r="AN102" s="325"/>
      <c r="AO102" s="325"/>
      <c r="AP102" s="136"/>
      <c r="AQ102" s="136"/>
      <c r="AR102" s="136" t="str">
        <f t="shared" si="23"/>
        <v/>
      </c>
      <c r="AS102" s="136" t="str">
        <f t="shared" si="23"/>
        <v/>
      </c>
      <c r="AT102" s="5" t="str">
        <f t="shared" si="24"/>
        <v/>
      </c>
      <c r="AV102" s="27" t="str">
        <f>IF(G102="","",+"          ["&amp;TRIM(G102)&amp;"] ["&amp;TRIM(I102)&amp;"]"&amp;IF(H102="","","("&amp;H102&amp;")")&amp;" "&amp;TRIM(J102)&amp;IF(G103="","",","))</f>
        <v/>
      </c>
      <c r="AW102" s="27"/>
      <c r="AY102" s="122" t="str">
        <f t="shared" si="25"/>
        <v/>
      </c>
    </row>
    <row r="103" spans="2:51" ht="12.75">
      <c r="B103" s="20" t="str">
        <f t="shared" si="27"/>
        <v/>
      </c>
      <c r="C103" s="5"/>
      <c r="D103" s="5"/>
      <c r="E103" s="5"/>
      <c r="G103" s="5" t="str">
        <f t="shared" si="31"/>
        <v/>
      </c>
      <c r="H103" s="117" t="str">
        <f t="shared" si="29"/>
        <v/>
      </c>
      <c r="I103" s="5" t="str">
        <f t="shared" si="32"/>
        <v/>
      </c>
      <c r="J103" s="5" t="str">
        <f t="shared" si="33"/>
        <v/>
      </c>
      <c r="K103" s="5"/>
      <c r="L103" s="5"/>
      <c r="M103" s="75"/>
      <c r="N103" s="77"/>
      <c r="O103" s="26"/>
      <c r="P103" s="26"/>
      <c r="Q103" s="118" t="str">
        <f t="shared" si="34"/>
        <v/>
      </c>
      <c r="R103" s="153"/>
      <c r="S103" s="138" t="str">
        <f t="shared" si="21"/>
        <v/>
      </c>
      <c r="T103" s="148"/>
      <c r="U103" s="146"/>
      <c r="V103" s="146"/>
      <c r="W103" s="139"/>
      <c r="X103" s="139"/>
      <c r="Y103" s="148"/>
      <c r="Z103" s="138" t="str">
        <f t="shared" si="26"/>
        <v/>
      </c>
      <c r="AA103" s="138" t="str">
        <f t="shared" si="28"/>
        <v/>
      </c>
      <c r="AB103" s="239"/>
      <c r="AC103" s="325"/>
      <c r="AD103" s="325"/>
      <c r="AE103" s="325"/>
      <c r="AF103" s="325"/>
      <c r="AG103" s="325"/>
      <c r="AH103" s="325"/>
      <c r="AI103" s="325"/>
      <c r="AJ103" s="325"/>
      <c r="AK103" s="325"/>
      <c r="AL103" s="325"/>
      <c r="AM103" s="325"/>
      <c r="AN103" s="325"/>
      <c r="AO103" s="325"/>
      <c r="AP103" s="136"/>
      <c r="AQ103" s="136"/>
      <c r="AR103" s="136" t="str">
        <f t="shared" si="23"/>
        <v/>
      </c>
      <c r="AS103" s="136" t="str">
        <f t="shared" si="23"/>
        <v/>
      </c>
      <c r="AT103" s="5" t="str">
        <f t="shared" si="24"/>
        <v/>
      </c>
      <c r="AV103" s="27" t="str">
        <f>IF(G103="","",+"          ["&amp;TRIM(G103)&amp;"] ["&amp;TRIM(I103)&amp;"]"&amp;IF(H103="","","("&amp;H103&amp;")")&amp;" "&amp;TRIM(J103)&amp;IF(G106="","",","))</f>
        <v/>
      </c>
      <c r="AW103" s="27"/>
      <c r="AY103" s="122" t="str">
        <f t="shared" si="25"/>
        <v/>
      </c>
    </row>
    <row r="104" spans="2:51" ht="12.75">
      <c r="B104" s="20" t="str">
        <f t="shared" si="27"/>
        <v/>
      </c>
      <c r="C104" s="5"/>
      <c r="D104" s="5"/>
      <c r="E104" s="5"/>
      <c r="G104" s="5" t="str">
        <f t="shared" si="31"/>
        <v/>
      </c>
      <c r="H104" s="117" t="str">
        <f t="shared" si="29"/>
        <v/>
      </c>
      <c r="I104" s="5" t="str">
        <f t="shared" si="32"/>
        <v/>
      </c>
      <c r="J104" s="5" t="str">
        <f t="shared" si="33"/>
        <v/>
      </c>
      <c r="K104" s="5"/>
      <c r="L104" s="5"/>
      <c r="M104" s="75"/>
      <c r="N104" s="77"/>
      <c r="O104" s="26"/>
      <c r="P104" s="26"/>
      <c r="Q104" s="118" t="str">
        <f t="shared" si="34"/>
        <v/>
      </c>
      <c r="R104" s="153"/>
      <c r="S104" s="138" t="str">
        <f t="shared" si="21"/>
        <v/>
      </c>
      <c r="T104" s="148"/>
      <c r="U104" s="146"/>
      <c r="V104" s="146"/>
      <c r="W104" s="139"/>
      <c r="X104" s="139"/>
      <c r="Y104" s="148"/>
      <c r="Z104" s="138" t="str">
        <f t="shared" si="26"/>
        <v/>
      </c>
      <c r="AA104" s="138" t="str">
        <f t="shared" si="28"/>
        <v/>
      </c>
      <c r="AB104" s="239"/>
      <c r="AC104" s="325"/>
      <c r="AD104" s="325"/>
      <c r="AE104" s="325"/>
      <c r="AF104" s="325"/>
      <c r="AG104" s="325"/>
      <c r="AH104" s="325"/>
      <c r="AI104" s="325"/>
      <c r="AJ104" s="325"/>
      <c r="AK104" s="325"/>
      <c r="AL104" s="325"/>
      <c r="AM104" s="325"/>
      <c r="AN104" s="325"/>
      <c r="AO104" s="325"/>
      <c r="AP104" s="136"/>
      <c r="AQ104" s="136"/>
      <c r="AR104" s="136" t="str">
        <f t="shared" si="23"/>
        <v/>
      </c>
      <c r="AS104" s="136" t="str">
        <f t="shared" si="23"/>
        <v/>
      </c>
      <c r="AT104" s="5" t="str">
        <f t="shared" si="24"/>
        <v/>
      </c>
      <c r="AV104" s="27" t="str">
        <f t="shared" ref="AV104:AV115" si="35">IF(G104="","",+"          ["&amp;TRIM(G104)&amp;"] ["&amp;TRIM(I104)&amp;"]"&amp;IF(H104="","","("&amp;H104&amp;")")&amp;" "&amp;TRIM(J104)&amp;IF(G105="","",","))</f>
        <v/>
      </c>
      <c r="AW104" s="27"/>
      <c r="AY104" s="122" t="str">
        <f t="shared" si="25"/>
        <v/>
      </c>
    </row>
    <row r="105" spans="2:51" ht="12.75">
      <c r="B105" s="20" t="str">
        <f t="shared" si="27"/>
        <v/>
      </c>
      <c r="C105" s="5"/>
      <c r="D105" s="5"/>
      <c r="E105" s="5"/>
      <c r="G105" s="5" t="str">
        <f t="shared" si="31"/>
        <v/>
      </c>
      <c r="H105" s="117" t="str">
        <f t="shared" si="29"/>
        <v/>
      </c>
      <c r="I105" s="5" t="str">
        <f t="shared" si="32"/>
        <v/>
      </c>
      <c r="J105" s="5" t="str">
        <f t="shared" si="33"/>
        <v/>
      </c>
      <c r="K105" s="5"/>
      <c r="L105" s="5"/>
      <c r="M105" s="75"/>
      <c r="N105" s="77"/>
      <c r="O105" s="26"/>
      <c r="P105" s="26"/>
      <c r="Q105" s="118" t="str">
        <f t="shared" si="34"/>
        <v/>
      </c>
      <c r="R105" s="153"/>
      <c r="S105" s="138" t="str">
        <f t="shared" si="21"/>
        <v/>
      </c>
      <c r="T105" s="148"/>
      <c r="U105" s="146"/>
      <c r="V105" s="146"/>
      <c r="W105" s="139"/>
      <c r="X105" s="139"/>
      <c r="Y105" s="148"/>
      <c r="Z105" s="138" t="str">
        <f t="shared" si="26"/>
        <v/>
      </c>
      <c r="AA105" s="138" t="str">
        <f t="shared" si="28"/>
        <v/>
      </c>
      <c r="AB105" s="239"/>
      <c r="AC105" s="325"/>
      <c r="AD105" s="325"/>
      <c r="AE105" s="325"/>
      <c r="AF105" s="325"/>
      <c r="AG105" s="325"/>
      <c r="AH105" s="325"/>
      <c r="AI105" s="325"/>
      <c r="AJ105" s="325"/>
      <c r="AK105" s="325"/>
      <c r="AL105" s="325"/>
      <c r="AM105" s="325"/>
      <c r="AN105" s="325"/>
      <c r="AO105" s="325"/>
      <c r="AP105" s="136"/>
      <c r="AQ105" s="136"/>
      <c r="AR105" s="136" t="str">
        <f t="shared" si="23"/>
        <v/>
      </c>
      <c r="AS105" s="136" t="str">
        <f t="shared" si="23"/>
        <v/>
      </c>
      <c r="AT105" s="5" t="str">
        <f t="shared" si="24"/>
        <v/>
      </c>
      <c r="AV105" s="27" t="str">
        <f t="shared" si="35"/>
        <v/>
      </c>
      <c r="AW105" s="27"/>
      <c r="AY105" s="122" t="str">
        <f t="shared" si="25"/>
        <v/>
      </c>
    </row>
    <row r="106" spans="2:51" ht="12.75">
      <c r="B106" s="20" t="str">
        <f t="shared" si="27"/>
        <v/>
      </c>
      <c r="C106" s="5"/>
      <c r="D106" s="5"/>
      <c r="E106" s="5"/>
      <c r="G106" s="5" t="str">
        <f t="shared" si="31"/>
        <v/>
      </c>
      <c r="H106" s="117" t="str">
        <f t="shared" si="29"/>
        <v/>
      </c>
      <c r="I106" s="5" t="str">
        <f t="shared" si="32"/>
        <v/>
      </c>
      <c r="J106" s="5" t="str">
        <f t="shared" si="33"/>
        <v/>
      </c>
      <c r="K106" s="5"/>
      <c r="L106" s="5"/>
      <c r="M106" s="75"/>
      <c r="N106" s="77"/>
      <c r="O106" s="26"/>
      <c r="P106" s="26"/>
      <c r="Q106" s="118" t="str">
        <f t="shared" si="34"/>
        <v/>
      </c>
      <c r="R106" s="153"/>
      <c r="S106" s="138" t="str">
        <f t="shared" si="21"/>
        <v/>
      </c>
      <c r="T106" s="148"/>
      <c r="U106" s="146"/>
      <c r="V106" s="146"/>
      <c r="W106" s="139"/>
      <c r="X106" s="139"/>
      <c r="Y106" s="148"/>
      <c r="Z106" s="138" t="str">
        <f t="shared" si="26"/>
        <v/>
      </c>
      <c r="AA106" s="138" t="str">
        <f t="shared" si="28"/>
        <v/>
      </c>
      <c r="AB106" s="239"/>
      <c r="AC106" s="325"/>
      <c r="AD106" s="325"/>
      <c r="AE106" s="325"/>
      <c r="AF106" s="325"/>
      <c r="AG106" s="325"/>
      <c r="AH106" s="325"/>
      <c r="AI106" s="325"/>
      <c r="AJ106" s="325"/>
      <c r="AK106" s="325"/>
      <c r="AL106" s="325"/>
      <c r="AM106" s="325"/>
      <c r="AN106" s="325"/>
      <c r="AO106" s="325"/>
      <c r="AP106" s="136"/>
      <c r="AQ106" s="136"/>
      <c r="AR106" s="136" t="str">
        <f t="shared" si="23"/>
        <v/>
      </c>
      <c r="AS106" s="136" t="str">
        <f t="shared" si="23"/>
        <v/>
      </c>
      <c r="AT106" s="5" t="str">
        <f t="shared" si="24"/>
        <v/>
      </c>
      <c r="AV106" s="27" t="str">
        <f t="shared" si="35"/>
        <v/>
      </c>
      <c r="AW106" s="27"/>
      <c r="AY106" s="122" t="str">
        <f t="shared" si="25"/>
        <v/>
      </c>
    </row>
    <row r="107" spans="2:51" ht="12.75">
      <c r="B107" s="20" t="str">
        <f t="shared" si="27"/>
        <v/>
      </c>
      <c r="C107" s="5"/>
      <c r="D107" s="5"/>
      <c r="E107" s="5"/>
      <c r="G107" s="5" t="str">
        <f t="shared" si="31"/>
        <v/>
      </c>
      <c r="H107" s="117" t="str">
        <f t="shared" si="29"/>
        <v/>
      </c>
      <c r="I107" s="5" t="str">
        <f t="shared" si="32"/>
        <v/>
      </c>
      <c r="J107" s="5" t="str">
        <f t="shared" si="33"/>
        <v/>
      </c>
      <c r="K107" s="5"/>
      <c r="L107" s="5"/>
      <c r="M107" s="75"/>
      <c r="N107" s="77"/>
      <c r="O107" s="26"/>
      <c r="P107" s="26"/>
      <c r="Q107" s="118" t="str">
        <f t="shared" si="34"/>
        <v/>
      </c>
      <c r="R107" s="153"/>
      <c r="S107" s="138" t="str">
        <f t="shared" si="21"/>
        <v/>
      </c>
      <c r="T107" s="148"/>
      <c r="U107" s="146"/>
      <c r="V107" s="146"/>
      <c r="W107" s="139"/>
      <c r="X107" s="139"/>
      <c r="Y107" s="148"/>
      <c r="Z107" s="138" t="str">
        <f t="shared" si="26"/>
        <v/>
      </c>
      <c r="AA107" s="138" t="str">
        <f t="shared" si="28"/>
        <v/>
      </c>
      <c r="AB107" s="239"/>
      <c r="AC107" s="325"/>
      <c r="AD107" s="325"/>
      <c r="AE107" s="325"/>
      <c r="AF107" s="325"/>
      <c r="AG107" s="325"/>
      <c r="AH107" s="325"/>
      <c r="AI107" s="325"/>
      <c r="AJ107" s="325"/>
      <c r="AK107" s="325"/>
      <c r="AL107" s="325"/>
      <c r="AM107" s="325"/>
      <c r="AN107" s="325"/>
      <c r="AO107" s="325"/>
      <c r="AP107" s="136"/>
      <c r="AQ107" s="136"/>
      <c r="AR107" s="136" t="str">
        <f t="shared" si="23"/>
        <v/>
      </c>
      <c r="AS107" s="136" t="str">
        <f t="shared" si="23"/>
        <v/>
      </c>
      <c r="AT107" s="5" t="str">
        <f t="shared" si="24"/>
        <v/>
      </c>
      <c r="AV107" s="27" t="str">
        <f t="shared" si="35"/>
        <v/>
      </c>
      <c r="AW107" s="27"/>
      <c r="AY107" s="122" t="str">
        <f t="shared" si="25"/>
        <v/>
      </c>
    </row>
    <row r="108" spans="2:51" ht="12.75">
      <c r="B108" s="20" t="str">
        <f t="shared" si="27"/>
        <v/>
      </c>
      <c r="C108" s="5"/>
      <c r="D108" s="5"/>
      <c r="E108" s="5"/>
      <c r="G108" s="5" t="str">
        <f t="shared" si="31"/>
        <v/>
      </c>
      <c r="H108" s="117" t="str">
        <f t="shared" si="29"/>
        <v/>
      </c>
      <c r="I108" s="5" t="str">
        <f t="shared" si="32"/>
        <v/>
      </c>
      <c r="J108" s="5" t="str">
        <f t="shared" si="33"/>
        <v/>
      </c>
      <c r="K108" s="5"/>
      <c r="L108" s="5"/>
      <c r="M108" s="75"/>
      <c r="N108" s="77"/>
      <c r="O108" s="26"/>
      <c r="P108" s="26"/>
      <c r="Q108" s="118" t="str">
        <f t="shared" si="34"/>
        <v/>
      </c>
      <c r="R108" s="153"/>
      <c r="S108" s="138" t="str">
        <f t="shared" si="21"/>
        <v/>
      </c>
      <c r="T108" s="148"/>
      <c r="U108" s="146"/>
      <c r="V108" s="146"/>
      <c r="W108" s="139"/>
      <c r="X108" s="139"/>
      <c r="Y108" s="148"/>
      <c r="Z108" s="138" t="str">
        <f t="shared" si="26"/>
        <v/>
      </c>
      <c r="AA108" s="138" t="str">
        <f t="shared" si="28"/>
        <v/>
      </c>
      <c r="AB108" s="239"/>
      <c r="AC108" s="325"/>
      <c r="AD108" s="325"/>
      <c r="AE108" s="325"/>
      <c r="AF108" s="325"/>
      <c r="AG108" s="325"/>
      <c r="AH108" s="325"/>
      <c r="AI108" s="325"/>
      <c r="AJ108" s="325"/>
      <c r="AK108" s="325"/>
      <c r="AL108" s="325"/>
      <c r="AM108" s="325"/>
      <c r="AN108" s="325"/>
      <c r="AO108" s="325"/>
      <c r="AP108" s="136"/>
      <c r="AQ108" s="136"/>
      <c r="AR108" s="136" t="str">
        <f t="shared" si="23"/>
        <v/>
      </c>
      <c r="AS108" s="136" t="str">
        <f t="shared" si="23"/>
        <v/>
      </c>
      <c r="AT108" s="5" t="str">
        <f t="shared" si="24"/>
        <v/>
      </c>
      <c r="AV108" s="27" t="str">
        <f t="shared" si="35"/>
        <v/>
      </c>
      <c r="AW108" s="27"/>
      <c r="AY108" s="122" t="str">
        <f t="shared" si="25"/>
        <v/>
      </c>
    </row>
    <row r="109" spans="2:51" ht="12.75">
      <c r="B109" s="20" t="str">
        <f t="shared" si="27"/>
        <v/>
      </c>
      <c r="C109" s="5"/>
      <c r="D109" s="5"/>
      <c r="E109" s="5"/>
      <c r="G109" s="5" t="str">
        <f t="shared" si="31"/>
        <v/>
      </c>
      <c r="H109" s="117" t="str">
        <f t="shared" si="29"/>
        <v/>
      </c>
      <c r="I109" s="5" t="str">
        <f t="shared" si="32"/>
        <v/>
      </c>
      <c r="J109" s="5" t="str">
        <f t="shared" si="33"/>
        <v/>
      </c>
      <c r="K109" s="5"/>
      <c r="L109" s="5"/>
      <c r="M109" s="75"/>
      <c r="N109" s="77"/>
      <c r="O109" s="26"/>
      <c r="P109" s="26"/>
      <c r="Q109" s="118" t="str">
        <f t="shared" si="34"/>
        <v/>
      </c>
      <c r="R109" s="153"/>
      <c r="S109" s="138" t="str">
        <f t="shared" si="21"/>
        <v/>
      </c>
      <c r="T109" s="148"/>
      <c r="U109" s="146"/>
      <c r="V109" s="146"/>
      <c r="W109" s="139"/>
      <c r="X109" s="139"/>
      <c r="Y109" s="148"/>
      <c r="Z109" s="138" t="str">
        <f t="shared" si="26"/>
        <v/>
      </c>
      <c r="AA109" s="138" t="str">
        <f t="shared" si="28"/>
        <v/>
      </c>
      <c r="AB109" s="239"/>
      <c r="AC109" s="325"/>
      <c r="AD109" s="325"/>
      <c r="AE109" s="325"/>
      <c r="AF109" s="325"/>
      <c r="AG109" s="325"/>
      <c r="AH109" s="325"/>
      <c r="AI109" s="325"/>
      <c r="AJ109" s="325"/>
      <c r="AK109" s="325"/>
      <c r="AL109" s="325"/>
      <c r="AM109" s="325"/>
      <c r="AN109" s="325"/>
      <c r="AO109" s="325"/>
      <c r="AP109" s="136"/>
      <c r="AQ109" s="136"/>
      <c r="AR109" s="136" t="str">
        <f t="shared" si="23"/>
        <v/>
      </c>
      <c r="AS109" s="136" t="str">
        <f t="shared" si="23"/>
        <v/>
      </c>
      <c r="AT109" s="5" t="str">
        <f t="shared" si="24"/>
        <v/>
      </c>
      <c r="AV109" s="27" t="str">
        <f t="shared" si="35"/>
        <v/>
      </c>
      <c r="AW109" s="27"/>
      <c r="AY109" s="122" t="str">
        <f t="shared" si="25"/>
        <v/>
      </c>
    </row>
    <row r="110" spans="2:51" ht="12.75">
      <c r="B110" s="20" t="str">
        <f t="shared" si="27"/>
        <v/>
      </c>
      <c r="C110" s="5"/>
      <c r="D110" s="5"/>
      <c r="E110" s="5"/>
      <c r="G110" s="5" t="str">
        <f t="shared" si="31"/>
        <v/>
      </c>
      <c r="H110" s="117" t="str">
        <f t="shared" si="29"/>
        <v/>
      </c>
      <c r="I110" s="5" t="str">
        <f t="shared" si="32"/>
        <v/>
      </c>
      <c r="J110" s="5" t="str">
        <f t="shared" si="33"/>
        <v/>
      </c>
      <c r="K110" s="5"/>
      <c r="L110" s="5"/>
      <c r="M110" s="75"/>
      <c r="N110" s="77"/>
      <c r="O110" s="26"/>
      <c r="P110" s="26"/>
      <c r="Q110" s="118" t="str">
        <f t="shared" si="34"/>
        <v/>
      </c>
      <c r="R110" s="153"/>
      <c r="S110" s="138" t="str">
        <f t="shared" si="21"/>
        <v/>
      </c>
      <c r="T110" s="148"/>
      <c r="U110" s="146"/>
      <c r="V110" s="146"/>
      <c r="W110" s="139"/>
      <c r="X110" s="139"/>
      <c r="Y110" s="148"/>
      <c r="Z110" s="138" t="str">
        <f t="shared" si="26"/>
        <v/>
      </c>
      <c r="AA110" s="138" t="str">
        <f t="shared" si="28"/>
        <v/>
      </c>
      <c r="AB110" s="239"/>
      <c r="AC110" s="325"/>
      <c r="AD110" s="325"/>
      <c r="AE110" s="325"/>
      <c r="AF110" s="325"/>
      <c r="AG110" s="325"/>
      <c r="AH110" s="325"/>
      <c r="AI110" s="325"/>
      <c r="AJ110" s="325"/>
      <c r="AK110" s="325"/>
      <c r="AL110" s="325"/>
      <c r="AM110" s="325"/>
      <c r="AN110" s="325"/>
      <c r="AO110" s="325"/>
      <c r="AP110" s="136"/>
      <c r="AQ110" s="136"/>
      <c r="AR110" s="136" t="str">
        <f t="shared" si="23"/>
        <v/>
      </c>
      <c r="AS110" s="136" t="str">
        <f t="shared" si="23"/>
        <v/>
      </c>
      <c r="AT110" s="5" t="str">
        <f t="shared" si="24"/>
        <v/>
      </c>
      <c r="AV110" s="27" t="str">
        <f t="shared" si="35"/>
        <v/>
      </c>
      <c r="AW110" s="27"/>
      <c r="AY110" s="122" t="str">
        <f t="shared" si="25"/>
        <v/>
      </c>
    </row>
    <row r="111" spans="2:51" ht="12.75">
      <c r="B111" s="20" t="str">
        <f t="shared" si="27"/>
        <v/>
      </c>
      <c r="C111" s="5"/>
      <c r="D111" s="5"/>
      <c r="E111" s="5"/>
      <c r="G111" s="5" t="str">
        <f t="shared" si="31"/>
        <v/>
      </c>
      <c r="H111" s="117" t="str">
        <f t="shared" si="29"/>
        <v/>
      </c>
      <c r="I111" s="5" t="str">
        <f t="shared" si="32"/>
        <v/>
      </c>
      <c r="J111" s="5" t="str">
        <f t="shared" si="33"/>
        <v/>
      </c>
      <c r="K111" s="5"/>
      <c r="L111" s="5"/>
      <c r="M111" s="75"/>
      <c r="N111" s="77"/>
      <c r="O111" s="26"/>
      <c r="P111" s="26"/>
      <c r="Q111" s="118" t="str">
        <f t="shared" si="34"/>
        <v/>
      </c>
      <c r="R111" s="153"/>
      <c r="S111" s="138" t="str">
        <f t="shared" si="21"/>
        <v/>
      </c>
      <c r="T111" s="148"/>
      <c r="U111" s="146"/>
      <c r="V111" s="146"/>
      <c r="W111" s="139"/>
      <c r="X111" s="139"/>
      <c r="Y111" s="148"/>
      <c r="Z111" s="138" t="str">
        <f t="shared" si="26"/>
        <v/>
      </c>
      <c r="AA111" s="138" t="str">
        <f t="shared" si="28"/>
        <v/>
      </c>
      <c r="AB111" s="239"/>
      <c r="AC111" s="325"/>
      <c r="AD111" s="325"/>
      <c r="AE111" s="325"/>
      <c r="AF111" s="325"/>
      <c r="AG111" s="325"/>
      <c r="AH111" s="325"/>
      <c r="AI111" s="325"/>
      <c r="AJ111" s="325"/>
      <c r="AK111" s="325"/>
      <c r="AL111" s="325"/>
      <c r="AM111" s="325"/>
      <c r="AN111" s="325"/>
      <c r="AO111" s="325"/>
      <c r="AP111" s="136"/>
      <c r="AQ111" s="136"/>
      <c r="AR111" s="136" t="str">
        <f t="shared" si="23"/>
        <v/>
      </c>
      <c r="AS111" s="136" t="str">
        <f t="shared" si="23"/>
        <v/>
      </c>
      <c r="AT111" s="5" t="str">
        <f t="shared" si="24"/>
        <v/>
      </c>
      <c r="AV111" s="27" t="str">
        <f t="shared" si="35"/>
        <v/>
      </c>
      <c r="AW111" s="27"/>
      <c r="AY111" s="122" t="str">
        <f t="shared" si="25"/>
        <v/>
      </c>
    </row>
    <row r="112" spans="2:51" ht="12.75">
      <c r="B112" s="20" t="str">
        <f t="shared" si="27"/>
        <v/>
      </c>
      <c r="C112" s="5"/>
      <c r="D112" s="5"/>
      <c r="E112" s="5"/>
      <c r="G112" s="5" t="str">
        <f t="shared" si="31"/>
        <v/>
      </c>
      <c r="H112" s="117" t="str">
        <f t="shared" si="29"/>
        <v/>
      </c>
      <c r="I112" s="5" t="str">
        <f t="shared" si="32"/>
        <v/>
      </c>
      <c r="J112" s="5" t="str">
        <f t="shared" si="33"/>
        <v/>
      </c>
      <c r="K112" s="5"/>
      <c r="L112" s="5"/>
      <c r="M112" s="75"/>
      <c r="N112" s="77"/>
      <c r="O112" s="26"/>
      <c r="P112" s="26"/>
      <c r="Q112" s="118" t="str">
        <f t="shared" si="34"/>
        <v/>
      </c>
      <c r="R112" s="153"/>
      <c r="S112" s="138" t="str">
        <f t="shared" si="21"/>
        <v/>
      </c>
      <c r="T112" s="148"/>
      <c r="U112" s="146"/>
      <c r="V112" s="146"/>
      <c r="W112" s="139"/>
      <c r="X112" s="139"/>
      <c r="Y112" s="148"/>
      <c r="Z112" s="138" t="str">
        <f t="shared" si="26"/>
        <v/>
      </c>
      <c r="AA112" s="138" t="str">
        <f t="shared" si="28"/>
        <v/>
      </c>
      <c r="AB112" s="239"/>
      <c r="AC112" s="325"/>
      <c r="AD112" s="325"/>
      <c r="AE112" s="325"/>
      <c r="AF112" s="325"/>
      <c r="AG112" s="325"/>
      <c r="AH112" s="325"/>
      <c r="AI112" s="325"/>
      <c r="AJ112" s="325"/>
      <c r="AK112" s="325"/>
      <c r="AL112" s="325"/>
      <c r="AM112" s="325"/>
      <c r="AN112" s="325"/>
      <c r="AO112" s="325"/>
      <c r="AP112" s="136"/>
      <c r="AQ112" s="136"/>
      <c r="AR112" s="136" t="str">
        <f t="shared" si="23"/>
        <v/>
      </c>
      <c r="AS112" s="136" t="str">
        <f t="shared" si="23"/>
        <v/>
      </c>
      <c r="AT112" s="5" t="str">
        <f t="shared" si="24"/>
        <v/>
      </c>
      <c r="AV112" s="27" t="str">
        <f t="shared" si="35"/>
        <v/>
      </c>
      <c r="AW112" s="27"/>
      <c r="AY112" s="122" t="str">
        <f t="shared" si="25"/>
        <v/>
      </c>
    </row>
    <row r="113" spans="2:51" ht="12.75">
      <c r="B113" s="20" t="str">
        <f t="shared" si="27"/>
        <v/>
      </c>
      <c r="C113" s="5"/>
      <c r="D113" s="5"/>
      <c r="E113" s="5"/>
      <c r="G113" s="5" t="str">
        <f t="shared" si="31"/>
        <v/>
      </c>
      <c r="H113" s="117" t="str">
        <f t="shared" si="29"/>
        <v/>
      </c>
      <c r="I113" s="5" t="str">
        <f t="shared" si="32"/>
        <v/>
      </c>
      <c r="J113" s="5" t="str">
        <f t="shared" si="33"/>
        <v/>
      </c>
      <c r="K113" s="5"/>
      <c r="L113" s="5"/>
      <c r="M113" s="75"/>
      <c r="N113" s="77"/>
      <c r="O113" s="26"/>
      <c r="P113" s="26"/>
      <c r="Q113" s="118" t="str">
        <f t="shared" si="34"/>
        <v/>
      </c>
      <c r="R113" s="153"/>
      <c r="S113" s="138" t="str">
        <f t="shared" si="21"/>
        <v/>
      </c>
      <c r="T113" s="148"/>
      <c r="U113" s="146"/>
      <c r="V113" s="146"/>
      <c r="W113" s="139"/>
      <c r="X113" s="139"/>
      <c r="Y113" s="148"/>
      <c r="Z113" s="138" t="str">
        <f t="shared" si="26"/>
        <v/>
      </c>
      <c r="AA113" s="138" t="str">
        <f t="shared" si="28"/>
        <v/>
      </c>
      <c r="AB113" s="239"/>
      <c r="AC113" s="325"/>
      <c r="AD113" s="325"/>
      <c r="AE113" s="325"/>
      <c r="AF113" s="325"/>
      <c r="AG113" s="325"/>
      <c r="AH113" s="325"/>
      <c r="AI113" s="325"/>
      <c r="AJ113" s="325"/>
      <c r="AK113" s="325"/>
      <c r="AL113" s="325"/>
      <c r="AM113" s="325"/>
      <c r="AN113" s="325"/>
      <c r="AO113" s="325"/>
      <c r="AP113" s="136"/>
      <c r="AQ113" s="136"/>
      <c r="AR113" s="136" t="str">
        <f t="shared" si="23"/>
        <v/>
      </c>
      <c r="AS113" s="136" t="str">
        <f t="shared" si="23"/>
        <v/>
      </c>
      <c r="AT113" s="5" t="str">
        <f t="shared" si="24"/>
        <v/>
      </c>
      <c r="AV113" s="27" t="str">
        <f t="shared" si="35"/>
        <v/>
      </c>
      <c r="AW113" s="27"/>
      <c r="AY113" s="122" t="str">
        <f t="shared" si="25"/>
        <v/>
      </c>
    </row>
    <row r="114" spans="2:51" ht="12.75">
      <c r="B114" s="20" t="str">
        <f t="shared" si="27"/>
        <v/>
      </c>
      <c r="C114" s="5"/>
      <c r="D114" s="5"/>
      <c r="E114" s="5"/>
      <c r="G114" s="5" t="str">
        <f t="shared" si="31"/>
        <v/>
      </c>
      <c r="H114" s="117" t="str">
        <f t="shared" si="29"/>
        <v/>
      </c>
      <c r="I114" s="5" t="str">
        <f t="shared" si="32"/>
        <v/>
      </c>
      <c r="J114" s="5" t="str">
        <f t="shared" si="33"/>
        <v/>
      </c>
      <c r="K114" s="5"/>
      <c r="L114" s="5"/>
      <c r="M114" s="75"/>
      <c r="N114" s="77"/>
      <c r="O114" s="26"/>
      <c r="P114" s="26"/>
      <c r="Q114" s="118" t="str">
        <f t="shared" si="34"/>
        <v/>
      </c>
      <c r="R114" s="153"/>
      <c r="S114" s="138" t="str">
        <f t="shared" si="21"/>
        <v/>
      </c>
      <c r="T114" s="148"/>
      <c r="U114" s="146"/>
      <c r="V114" s="146"/>
      <c r="W114" s="139"/>
      <c r="X114" s="139"/>
      <c r="Y114" s="148"/>
      <c r="Z114" s="138" t="str">
        <f t="shared" si="26"/>
        <v/>
      </c>
      <c r="AA114" s="138" t="str">
        <f t="shared" si="28"/>
        <v/>
      </c>
      <c r="AB114" s="239"/>
      <c r="AC114" s="325"/>
      <c r="AD114" s="325"/>
      <c r="AE114" s="325"/>
      <c r="AF114" s="325"/>
      <c r="AG114" s="325"/>
      <c r="AH114" s="325"/>
      <c r="AI114" s="325"/>
      <c r="AJ114" s="325"/>
      <c r="AK114" s="325"/>
      <c r="AL114" s="325"/>
      <c r="AM114" s="325"/>
      <c r="AN114" s="325"/>
      <c r="AO114" s="325"/>
      <c r="AP114" s="136"/>
      <c r="AQ114" s="136"/>
      <c r="AR114" s="136" t="str">
        <f t="shared" si="23"/>
        <v/>
      </c>
      <c r="AS114" s="136" t="str">
        <f t="shared" si="23"/>
        <v/>
      </c>
      <c r="AT114" s="5" t="str">
        <f t="shared" si="24"/>
        <v/>
      </c>
      <c r="AV114" s="27" t="str">
        <f t="shared" si="35"/>
        <v/>
      </c>
      <c r="AW114" s="27"/>
      <c r="AY114" s="122" t="str">
        <f t="shared" si="25"/>
        <v/>
      </c>
    </row>
    <row r="115" spans="2:51" ht="12.75">
      <c r="B115" s="20" t="str">
        <f t="shared" si="27"/>
        <v/>
      </c>
      <c r="C115" s="5"/>
      <c r="D115" s="5"/>
      <c r="E115" s="5"/>
      <c r="G115" s="5" t="str">
        <f t="shared" si="31"/>
        <v/>
      </c>
      <c r="H115" s="117" t="str">
        <f t="shared" si="29"/>
        <v/>
      </c>
      <c r="I115" s="5" t="str">
        <f t="shared" si="32"/>
        <v/>
      </c>
      <c r="J115" s="5" t="str">
        <f t="shared" si="33"/>
        <v/>
      </c>
      <c r="K115" s="5"/>
      <c r="L115" s="5"/>
      <c r="M115" s="75"/>
      <c r="N115" s="77"/>
      <c r="O115" s="26"/>
      <c r="P115" s="26"/>
      <c r="Q115" s="118" t="str">
        <f t="shared" si="34"/>
        <v/>
      </c>
      <c r="R115" s="153"/>
      <c r="S115" s="138" t="str">
        <f t="shared" si="21"/>
        <v/>
      </c>
      <c r="T115" s="148"/>
      <c r="U115" s="146"/>
      <c r="V115" s="146"/>
      <c r="W115" s="139"/>
      <c r="X115" s="139"/>
      <c r="Y115" s="148"/>
      <c r="Z115" s="138" t="str">
        <f t="shared" si="26"/>
        <v/>
      </c>
      <c r="AA115" s="138" t="str">
        <f t="shared" si="28"/>
        <v/>
      </c>
      <c r="AB115" s="239"/>
      <c r="AC115" s="325"/>
      <c r="AD115" s="325"/>
      <c r="AE115" s="325"/>
      <c r="AF115" s="325"/>
      <c r="AG115" s="325"/>
      <c r="AH115" s="325"/>
      <c r="AI115" s="325"/>
      <c r="AJ115" s="325"/>
      <c r="AK115" s="325"/>
      <c r="AL115" s="325"/>
      <c r="AM115" s="325"/>
      <c r="AN115" s="325"/>
      <c r="AO115" s="325"/>
      <c r="AP115" s="136"/>
      <c r="AQ115" s="136"/>
      <c r="AR115" s="136" t="str">
        <f t="shared" si="23"/>
        <v/>
      </c>
      <c r="AS115" s="136" t="str">
        <f t="shared" si="23"/>
        <v/>
      </c>
      <c r="AT115" s="5" t="str">
        <f t="shared" si="24"/>
        <v/>
      </c>
      <c r="AV115" s="27" t="str">
        <f t="shared" si="35"/>
        <v/>
      </c>
      <c r="AW115" s="27"/>
      <c r="AY115" s="122" t="str">
        <f t="shared" si="25"/>
        <v/>
      </c>
    </row>
    <row r="116" spans="2:51">
      <c r="AT116" s="3" t="str">
        <f t="shared" si="24"/>
        <v/>
      </c>
      <c r="AV116" s="28"/>
      <c r="AW116" s="27"/>
      <c r="AY116" s="122" t="str">
        <f t="shared" si="25"/>
        <v/>
      </c>
    </row>
    <row r="117" spans="2:51">
      <c r="B117" s="11" t="s">
        <v>23</v>
      </c>
      <c r="AV117" s="28"/>
      <c r="AW117" s="27"/>
    </row>
    <row r="118" spans="2:51">
      <c r="B118" s="18" t="s">
        <v>17</v>
      </c>
      <c r="C118" s="22" t="str">
        <f>+"By"&amp;D120</f>
        <v>ByID</v>
      </c>
      <c r="D118" s="23" t="str">
        <f>SUBSTITUTE(SUBSTITUTE(SUBSTITUTE(SUBSTITUTE(SUBSTITUTE(SUBSTITUTE(SUBSTITUTE(C118," ",""),".",""),"&amp;",""),"(",""),")",""),",",""),"/","")&amp;"_"&amp;TRIM(TEXT(C7,"###"))</f>
        <v>ByID_9001</v>
      </c>
      <c r="E118" s="8"/>
      <c r="S118" s="283" t="s">
        <v>906</v>
      </c>
      <c r="AV118" s="27" t="str">
        <f>+" CONSTRAINT ["&amp;D118&amp;"] PRIMARY KEY NONCLUSTERED "</f>
        <v xml:space="preserve"> CONSTRAINT [ByID_9001]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6">IFERROR(INDEX($G$16:$G$115,C120),"")</f>
        <v>ID</v>
      </c>
      <c r="E120" s="10" t="s">
        <v>5</v>
      </c>
      <c r="G120" s="5" t="str">
        <f>CHAR(34)&amp;D120&amp;" LIKE "&amp;H120&amp;"%{0}%"&amp;H120&amp;CHAR(34)&amp;","</f>
        <v>"ID LIKE '%{0}%'",</v>
      </c>
      <c r="H120" s="3" t="str">
        <f>IF(IFERROR(INDEX($I$16:$I$115,C120),"")="varchar","'","")</f>
        <v>'</v>
      </c>
      <c r="S120" s="282" t="str">
        <f>RIGHT(T2,1)&amp;V3&amp;MID(T2,2,1)&amp;V3&amp;MID(T2,5,1)&amp;LEFT(T2,1)&amp;C7</f>
        <v>UEM9001</v>
      </c>
      <c r="T120" s="282" t="str">
        <f>+C8</f>
        <v>MenuTable</v>
      </c>
      <c r="U120" s="282" t="str">
        <f>+D120</f>
        <v>ID</v>
      </c>
      <c r="V120" s="239" t="str">
        <f>+C10</f>
        <v>d1a42aa7-349e-477c-8f26-75781206caeb</v>
      </c>
      <c r="W120" s="272"/>
      <c r="X120" s="272"/>
      <c r="AV120" s="27" t="str">
        <f t="shared" ref="AV120:AV126" si="37">+IF(D120="","","          ["&amp;D120&amp;"] "&amp;IF(TRIM(E120)="Ascending","ASC","DES")&amp;IF(D121="","",","))</f>
        <v xml:space="preserve">          [ID]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87" t="s">
        <v>574</v>
      </c>
      <c r="AV122" s="27" t="str">
        <f t="shared" si="37"/>
        <v/>
      </c>
      <c r="AW122" s="28"/>
    </row>
    <row r="123" spans="2:51">
      <c r="B123" s="20" t="str">
        <f t="shared" si="38"/>
        <v/>
      </c>
      <c r="C123" s="10"/>
      <c r="D123" s="21" t="str">
        <f t="shared" si="36"/>
        <v/>
      </c>
      <c r="E123" s="10"/>
      <c r="G123" s="5"/>
      <c r="S123" s="288" t="s">
        <v>312</v>
      </c>
      <c r="T123" s="288" t="s">
        <v>393</v>
      </c>
      <c r="U123" s="288" t="s">
        <v>394</v>
      </c>
      <c r="V123" s="288" t="s">
        <v>390</v>
      </c>
      <c r="W123" s="288" t="s">
        <v>391</v>
      </c>
      <c r="X123" s="288" t="s">
        <v>392</v>
      </c>
      <c r="Y123" s="288" t="s">
        <v>400</v>
      </c>
      <c r="Z123" s="288" t="s">
        <v>436</v>
      </c>
      <c r="AV123" s="27" t="str">
        <f t="shared" si="37"/>
        <v/>
      </c>
      <c r="AW123" s="28"/>
    </row>
    <row r="124" spans="2:51">
      <c r="B124" s="20" t="str">
        <f t="shared" si="38"/>
        <v/>
      </c>
      <c r="C124" s="10"/>
      <c r="D124" s="21" t="str">
        <f t="shared" si="36"/>
        <v/>
      </c>
      <c r="E124" s="10"/>
      <c r="G124" s="5"/>
      <c r="S124" s="239" t="s">
        <v>922</v>
      </c>
      <c r="T124" s="239" t="s">
        <v>920</v>
      </c>
      <c r="U124" s="239" t="str">
        <f>+E8</f>
        <v>Menu Table</v>
      </c>
      <c r="V124" s="239"/>
      <c r="W124" s="239"/>
      <c r="X124" s="239" t="str">
        <f>"./"&amp;V2</f>
        <v>./UEM9001.html</v>
      </c>
      <c r="Y124" s="239"/>
      <c r="Z124" s="282" t="str">
        <f>+S120</f>
        <v>UEM9001</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"d1a42aa7-349e-477c-8f26-75781206caeb",</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"MenuTable",</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"Menu Table",</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"ID,categoryid,name,icon,alabel,url,rightsgroup,PageID",</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["ID"],</v>
      </c>
      <c r="C137" s="122"/>
      <c r="D137" s="122"/>
      <c r="E137" s="122"/>
      <c r="F137" s="122"/>
      <c r="G137" s="122"/>
      <c r="H137" s="122"/>
      <c r="I137" s="122"/>
      <c r="J137" s="122"/>
      <c r="K137" s="122"/>
      <c r="L137" s="122"/>
      <c r="M137" s="122"/>
    </row>
    <row r="138" spans="2:49">
      <c r="B138" s="273" t="str">
        <f>REPT(" ",6)&amp;CHAR(34)&amp;"QueryStr"&amp;CHAR(34)&amp;": "&amp;G120</f>
        <v xml:space="preserve">      "QueryStr": "ID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"cbb91dcb-9e28-438f-91ad-ed5ffe143802",</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1:16">
      <c r="B145" s="273" t="str">
        <f>REPT(" ",6)&amp;CHAR(34)&amp;"KeyRights"&amp;CHAR(34)&amp;": "&amp;CHAR(34)&amp;CHAR(34)&amp;","</f>
        <v xml:space="preserve">      "KeyRights": "",</v>
      </c>
      <c r="C145" s="122"/>
      <c r="D145" s="122"/>
      <c r="E145" s="122"/>
      <c r="F145" s="122"/>
      <c r="G145" s="122"/>
      <c r="H145" s="122"/>
      <c r="I145" s="122"/>
      <c r="J145" s="122"/>
      <c r="K145" s="122"/>
      <c r="L145" s="122"/>
      <c r="M145" s="122"/>
    </row>
    <row r="146" spans="1: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1: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1:16">
      <c r="B148" s="273" t="str">
        <f>"     }"</f>
        <v xml:space="preserve">     }</v>
      </c>
      <c r="C148" s="122"/>
      <c r="D148" s="122"/>
      <c r="E148" s="122"/>
      <c r="F148" s="122"/>
      <c r="G148" s="122"/>
      <c r="H148" s="122"/>
      <c r="I148" s="122"/>
      <c r="J148" s="122"/>
      <c r="K148" s="122"/>
      <c r="L148" s="122"/>
      <c r="M148" s="122"/>
    </row>
    <row r="149" spans="1:16">
      <c r="B149" s="273" t="s">
        <v>898</v>
      </c>
      <c r="C149" s="122"/>
      <c r="D149" s="122"/>
      <c r="E149" s="122"/>
      <c r="F149" s="122"/>
      <c r="G149" s="122"/>
      <c r="H149" s="122"/>
      <c r="I149" s="122"/>
      <c r="J149" s="122"/>
      <c r="K149" s="122"/>
      <c r="L149" s="122"/>
      <c r="M149" s="122"/>
    </row>
    <row r="150" spans="1:16">
      <c r="A150" s="14"/>
      <c r="B150" s="14"/>
      <c r="C150" s="14"/>
      <c r="D150" s="14"/>
      <c r="E150" s="14"/>
      <c r="F150" s="14"/>
      <c r="G150" s="14"/>
      <c r="H150" s="14"/>
      <c r="I150" s="14"/>
      <c r="J150" s="14"/>
      <c r="K150" s="14"/>
      <c r="L150" s="14"/>
      <c r="M150" s="14"/>
      <c r="N150" s="14"/>
      <c r="O150" s="14"/>
    </row>
    <row r="151" spans="1:16">
      <c r="A151" s="14"/>
      <c r="B151" s="274"/>
      <c r="C151" s="14"/>
      <c r="D151" s="232"/>
      <c r="E151" s="14"/>
      <c r="F151" s="14"/>
      <c r="G151" s="14"/>
      <c r="H151" s="14"/>
      <c r="I151" s="14"/>
      <c r="J151" s="14"/>
      <c r="K151" s="14"/>
      <c r="L151" s="14"/>
      <c r="M151" s="14"/>
      <c r="N151" s="14"/>
      <c r="O151" s="14"/>
    </row>
    <row r="152" spans="1:16">
      <c r="A152" s="14"/>
      <c r="B152" s="275"/>
      <c r="C152" s="275"/>
      <c r="D152" s="275"/>
      <c r="E152" s="275"/>
      <c r="F152" s="14"/>
      <c r="G152" s="276"/>
      <c r="H152" s="14"/>
      <c r="I152" s="14"/>
      <c r="J152" s="14"/>
      <c r="K152" s="14"/>
      <c r="L152" s="14"/>
      <c r="M152" s="14"/>
      <c r="N152" s="14"/>
      <c r="O152" s="14"/>
      <c r="P152" s="4"/>
    </row>
    <row r="153" spans="1:16">
      <c r="A153" s="14"/>
      <c r="B153" s="277"/>
      <c r="C153" s="277"/>
      <c r="D153" s="278"/>
      <c r="E153" s="14"/>
      <c r="F153" s="14"/>
      <c r="G153" s="14"/>
      <c r="H153" s="14"/>
      <c r="I153" s="14"/>
      <c r="J153" s="14"/>
      <c r="K153" s="14"/>
      <c r="L153" s="14"/>
      <c r="M153" s="14"/>
      <c r="N153" s="14"/>
      <c r="O153" s="14"/>
    </row>
    <row r="154" spans="1:16">
      <c r="A154" s="14"/>
      <c r="B154" s="277"/>
      <c r="C154" s="277"/>
      <c r="D154" s="278"/>
      <c r="E154" s="14"/>
      <c r="F154" s="14"/>
      <c r="G154" s="14"/>
      <c r="H154" s="14"/>
      <c r="I154" s="14"/>
      <c r="J154" s="14"/>
      <c r="K154" s="14"/>
      <c r="L154" s="14"/>
      <c r="M154" s="14"/>
      <c r="N154" s="14"/>
      <c r="O154" s="14"/>
    </row>
    <row r="155" spans="1:16">
      <c r="A155" s="14"/>
      <c r="B155" s="14"/>
      <c r="C155" s="14"/>
      <c r="D155" s="14"/>
      <c r="E155" s="14"/>
      <c r="F155" s="14"/>
      <c r="G155" s="14"/>
      <c r="H155" s="14"/>
      <c r="I155" s="14"/>
      <c r="J155" s="14"/>
      <c r="K155" s="14"/>
      <c r="L155" s="14"/>
      <c r="M155" s="14"/>
      <c r="N155" s="14"/>
      <c r="O155" s="14"/>
    </row>
    <row r="156" spans="1:16">
      <c r="A156" s="14"/>
      <c r="B156" s="14"/>
      <c r="C156" s="14"/>
      <c r="D156" s="14"/>
      <c r="E156" s="14"/>
      <c r="F156" s="14"/>
      <c r="G156" s="14"/>
      <c r="H156" s="14"/>
      <c r="I156" s="14"/>
      <c r="J156" s="14"/>
      <c r="K156" s="14"/>
      <c r="L156" s="14"/>
      <c r="M156" s="14"/>
      <c r="N156" s="14"/>
      <c r="O156" s="14"/>
    </row>
    <row r="157" spans="1:16">
      <c r="A157" s="14"/>
      <c r="B157" s="14"/>
      <c r="C157" s="14"/>
      <c r="D157" s="14"/>
      <c r="E157" s="14"/>
      <c r="F157" s="14"/>
      <c r="G157" s="14"/>
      <c r="H157" s="14"/>
      <c r="I157" s="14"/>
      <c r="J157" s="14"/>
      <c r="K157" s="14"/>
      <c r="L157" s="14"/>
      <c r="M157" s="14"/>
      <c r="N157" s="14"/>
      <c r="O157" s="14"/>
    </row>
    <row r="158" spans="1:16">
      <c r="A158" s="14"/>
      <c r="B158" s="14"/>
      <c r="C158" s="14"/>
      <c r="D158" s="14"/>
      <c r="E158" s="14"/>
      <c r="F158" s="14"/>
      <c r="G158" s="14"/>
      <c r="H158" s="14"/>
      <c r="I158" s="14"/>
      <c r="J158" s="14"/>
      <c r="K158" s="14"/>
      <c r="L158" s="14"/>
      <c r="M158" s="14"/>
      <c r="N158" s="14"/>
      <c r="O158" s="14"/>
    </row>
    <row r="159" spans="1:16">
      <c r="A159" s="14"/>
      <c r="B159" s="14"/>
      <c r="C159" s="14"/>
      <c r="D159" s="14"/>
      <c r="E159" s="14"/>
      <c r="F159" s="14"/>
      <c r="G159" s="14"/>
      <c r="H159" s="14"/>
      <c r="I159" s="14"/>
      <c r="J159" s="14"/>
      <c r="K159" s="14"/>
      <c r="L159" s="14"/>
      <c r="M159" s="14"/>
      <c r="N159" s="14"/>
      <c r="O159" s="14"/>
    </row>
    <row r="160" spans="1:16">
      <c r="A160" s="14"/>
      <c r="B160" s="14"/>
      <c r="C160" s="14"/>
      <c r="D160" s="14"/>
      <c r="E160" s="14"/>
      <c r="F160" s="14"/>
      <c r="G160" s="14"/>
      <c r="H160" s="14"/>
      <c r="I160" s="14"/>
      <c r="J160" s="14"/>
      <c r="K160" s="14"/>
      <c r="L160" s="14"/>
      <c r="M160" s="14"/>
      <c r="N160" s="14"/>
      <c r="O160" s="14"/>
    </row>
    <row r="161" spans="1:16">
      <c r="A161" s="14"/>
      <c r="B161" s="14"/>
      <c r="C161" s="14"/>
      <c r="D161" s="14"/>
      <c r="E161" s="14"/>
      <c r="F161" s="14"/>
      <c r="G161" s="14"/>
      <c r="H161" s="14"/>
      <c r="I161" s="14"/>
      <c r="J161" s="14"/>
      <c r="K161" s="279"/>
      <c r="L161" s="14"/>
      <c r="M161" s="14"/>
      <c r="N161" s="14"/>
      <c r="O161" s="14"/>
    </row>
    <row r="162" spans="1:16">
      <c r="A162" s="14"/>
      <c r="B162" s="14"/>
      <c r="C162" s="14"/>
      <c r="D162" s="14"/>
      <c r="E162" s="14"/>
      <c r="F162" s="14"/>
      <c r="G162" s="14"/>
      <c r="H162" s="14"/>
      <c r="I162" s="14"/>
      <c r="J162" s="14"/>
      <c r="K162" s="280"/>
      <c r="L162" s="14"/>
      <c r="M162" s="14"/>
      <c r="N162" s="14"/>
      <c r="O162" s="14"/>
    </row>
    <row r="163" spans="1:16">
      <c r="A163" s="14"/>
      <c r="B163" s="14"/>
      <c r="C163" s="14"/>
      <c r="D163" s="14"/>
      <c r="E163" s="14"/>
      <c r="F163" s="14"/>
      <c r="G163" s="14"/>
      <c r="H163" s="14"/>
      <c r="I163" s="14"/>
      <c r="J163" s="14"/>
      <c r="K163" s="279"/>
      <c r="L163" s="279"/>
      <c r="M163" s="14"/>
      <c r="N163" s="14"/>
      <c r="O163" s="14"/>
    </row>
    <row r="164" spans="1:16">
      <c r="K164" s="107"/>
      <c r="L164" s="107"/>
      <c r="P164" s="107"/>
    </row>
    <row r="165" spans="1:16">
      <c r="K165" s="107"/>
      <c r="L165" s="107"/>
    </row>
    <row r="166" spans="1:16">
      <c r="K166" s="107"/>
      <c r="L166" s="107"/>
      <c r="O166" s="107"/>
    </row>
    <row r="167" spans="1:16">
      <c r="K167" s="107"/>
    </row>
    <row r="168" spans="1:16">
      <c r="K168" s="107"/>
    </row>
    <row r="169" spans="1:16">
      <c r="K169" s="107"/>
    </row>
    <row r="170" spans="1:16">
      <c r="K170" s="107"/>
      <c r="L170" s="107"/>
    </row>
    <row r="171" spans="1:16">
      <c r="K171" s="107"/>
      <c r="L171" s="107"/>
    </row>
    <row r="172" spans="1:16">
      <c r="K172" s="107"/>
      <c r="L172" s="107"/>
    </row>
    <row r="173" spans="1:16">
      <c r="K173" s="107"/>
      <c r="L173" s="107"/>
      <c r="O173" s="107"/>
    </row>
    <row r="174" spans="1:16">
      <c r="K174" s="107"/>
    </row>
  </sheetData>
  <mergeCells count="1">
    <mergeCell ref="N14:P14"/>
  </mergeCells>
  <dataValidations count="3">
    <dataValidation type="list" showInputMessage="1" showErrorMessage="1" sqref="V16:V115" xr:uid="{6C29D1EC-5D90-42A8-A64F-1B2F43EDA43B}">
      <formula1>aFormat</formula1>
    </dataValidation>
    <dataValidation type="list" showInputMessage="1" showErrorMessage="1" sqref="U16:U115" xr:uid="{EBB98B3B-E96F-4895-9F52-D204778AA280}">
      <formula1>aDataType</formula1>
    </dataValidation>
    <dataValidation type="list" showInputMessage="1" showErrorMessage="1" sqref="W16:X115 X2 V6:V7 AL11:AL12 T7" xr:uid="{BA073471-9C24-4FC1-8CDE-7F61759CD024}">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3412F019-3BDA-4234-9A4D-3D67719A611F}">
          <x14:formula1>
            <xm:f>Variables!$B$22:$B$25</xm:f>
          </x14:formula1>
          <xm:sqref>E6</xm:sqref>
        </x14:dataValidation>
        <x14:dataValidation type="list" allowBlank="1" showInputMessage="1" showErrorMessage="1" xr:uid="{6BF92E80-C647-4C46-9468-CD701AD77584}">
          <x14:formula1>
            <xm:f>Variables!$E$17:$E$22</xm:f>
          </x14:formula1>
          <xm:sqref>C6</xm:sqref>
        </x14:dataValidation>
        <x14:dataValidation type="list" allowBlank="1" showInputMessage="1" showErrorMessage="1" xr:uid="{78A5F89A-DFB0-4813-8B37-47DBD9C0A260}">
          <x14:formula1>
            <xm:f>Variables!$I$28:$I$35</xm:f>
          </x14:formula1>
          <xm:sqref>T6</xm:sqref>
        </x14:dataValidation>
        <x14:dataValidation type="list" allowBlank="1" showInputMessage="1" showErrorMessage="1" xr:uid="{8504ECF7-C02D-40AD-AC72-2E84D5B04075}">
          <x14:formula1>
            <xm:f>Variables!$G$6:$G$8</xm:f>
          </x14:formula1>
          <xm:sqref>T5</xm:sqref>
        </x14:dataValidation>
        <x14:dataValidation type="list" allowBlank="1" showInputMessage="1" showErrorMessage="1" xr:uid="{B25D832E-238B-489A-94F8-FA9F4542E99E}">
          <x14:formula1>
            <xm:f>Variables!$G$12:$G$14</xm:f>
          </x14:formula1>
          <xm:sqref>AA16:AA115</xm:sqref>
        </x14:dataValidation>
        <x14:dataValidation type="list" showInputMessage="1" showErrorMessage="1" xr:uid="{E9594A17-1BA7-4B37-896D-F0F003DE5215}">
          <x14:formula1>
            <xm:f>Variables!$G$17:$G$22</xm:f>
          </x14:formula1>
          <xm:sqref>T8:T10</xm:sqref>
        </x14:dataValidation>
        <x14:dataValidation type="list" allowBlank="1" showInputMessage="1" showErrorMessage="1" xr:uid="{F716FE28-7F5A-4D9C-821E-C85246DC7C05}">
          <x14:formula1>
            <xm:f>Variables!E$28:E$34</xm:f>
          </x14:formula1>
          <xm:sqref>AJ16:AJ115</xm:sqref>
        </x14:dataValidation>
        <x14:dataValidation type="list" allowBlank="1" showInputMessage="1" showErrorMessage="1" xr:uid="{F0782B6F-874F-494E-B8DB-71D29D1E9249}">
          <x14:formula1>
            <xm:f>Variables!E$28:E$34</xm:f>
          </x14:formula1>
          <xm:sqref>AM16:AM115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4F905-D301-4987-9CB2-CC3EE163D72C}">
  <sheetPr codeName="Sheet35">
    <tabColor theme="4" tint="0.79998168889431442"/>
  </sheetPr>
  <dimension ref="B1:AY174"/>
  <sheetViews>
    <sheetView showGridLines="0" workbookViewId="0">
      <pane xSplit="6" ySplit="15" topLeftCell="G16" activePane="bottomRight" state="frozen"/>
      <selection activeCell="B6" sqref="B6:E6"/>
      <selection pane="topRight" activeCell="B6" sqref="B6:E6"/>
      <selection pane="bottomLeft" activeCell="B6" sqref="B6:E6"/>
      <selection pane="bottomRight" activeCell="E14" sqref="E1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9.28515625" style="134" customWidth="1"/>
    <col min="21" max="21" width="16.140625" style="134" customWidth="1"/>
    <col min="22" max="22" width="22.85546875" style="134" customWidth="1"/>
    <col min="23" max="23" width="13.5703125" style="134" bestFit="1" customWidth="1"/>
    <col min="24" max="24" width="14.5703125" style="134" bestFit="1" customWidth="1"/>
    <col min="25" max="25" width="14" style="134" customWidth="1"/>
    <col min="26" max="26" width="8.7109375"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5"/>
      <c r="AV1" s="13" t="s">
        <v>430</v>
      </c>
    </row>
    <row r="2" spans="2:51">
      <c r="S2" s="255" t="s">
        <v>875</v>
      </c>
      <c r="T2" s="240" t="str" cm="1">
        <f t="array" ref="T2">MID(CELL("filename",A1),FIND("]",CELL("filename",A1))+1,255)</f>
        <v>MASTERPAGE</v>
      </c>
      <c r="U2" s="255" t="s">
        <v>874</v>
      </c>
      <c r="V2" s="253" t="str">
        <f>RIGHT(T2,1)&amp;V3&amp;MID(T2,2,1)&amp;V3&amp;MID(T2,5,1)&amp;LEFT(T2,1)&amp;C7&amp;".html"</f>
        <v>EAEM7311.html</v>
      </c>
      <c r="W2" s="255" t="s">
        <v>1071</v>
      </c>
      <c r="X2" s="245" t="s">
        <v>379</v>
      </c>
      <c r="AV2" s="27" t="str">
        <f>+"USE "&amp;TRIM(C5)</f>
        <v>USE SIBISDB</v>
      </c>
      <c r="AW2" s="27"/>
    </row>
    <row r="3" spans="2:51">
      <c r="B3" s="221" t="s">
        <v>577</v>
      </c>
      <c r="C3" s="5" t="str">
        <f>+DBTableList!G5</f>
        <v>http://wikran-w10:8081</v>
      </c>
      <c r="D3" s="222" t="s">
        <v>775</v>
      </c>
      <c r="E3" s="5" t="s">
        <v>776</v>
      </c>
      <c r="U3" s="254" t="s">
        <v>876</v>
      </c>
      <c r="V3" s="240" t="str">
        <f>IF(ISERROR(FIND("Entryby",C11)),"","X")</f>
        <v/>
      </c>
      <c r="AV3" s="27" t="s">
        <v>0</v>
      </c>
      <c r="AW3" s="27"/>
    </row>
    <row r="4" spans="2:51">
      <c r="B4" s="222" t="s">
        <v>854</v>
      </c>
      <c r="C4" s="218" t="str">
        <f>+DBTableList!G6</f>
        <v>pythonLT</v>
      </c>
      <c r="D4" s="223" t="s">
        <v>412</v>
      </c>
      <c r="E4" s="120" t="s">
        <v>407</v>
      </c>
      <c r="S4" s="256" t="s">
        <v>872</v>
      </c>
      <c r="AV4" s="28" t="s">
        <v>1</v>
      </c>
      <c r="AW4" s="27"/>
    </row>
    <row r="5" spans="2:51">
      <c r="B5" s="100" t="s">
        <v>19</v>
      </c>
      <c r="C5" s="101" t="s">
        <v>20</v>
      </c>
      <c r="D5" s="248" t="s">
        <v>408</v>
      </c>
      <c r="E5" s="5" t="str">
        <f>+DBTableList!$G$4</f>
        <v>CBS</v>
      </c>
      <c r="S5" s="241" t="s">
        <v>873</v>
      </c>
      <c r="T5" s="244" t="s">
        <v>569</v>
      </c>
      <c r="U5" s="243" t="s">
        <v>377</v>
      </c>
      <c r="V5" s="240" t="str">
        <f>CHAR(34)&amp;E8&amp;" Info"&amp;CHAR(34)</f>
        <v>"Master Page SetUp Info"</v>
      </c>
      <c r="W5" s="242"/>
      <c r="X5" s="240"/>
      <c r="AV5" s="28" t="s">
        <v>1</v>
      </c>
      <c r="AW5" s="27"/>
    </row>
    <row r="6" spans="2:51">
      <c r="B6" s="250" t="s">
        <v>10</v>
      </c>
      <c r="C6" s="5" t="s">
        <v>849</v>
      </c>
      <c r="D6" s="249" t="s">
        <v>429</v>
      </c>
      <c r="E6" s="5" t="s">
        <v>423</v>
      </c>
      <c r="S6" s="242" t="s">
        <v>514</v>
      </c>
      <c r="T6" s="245" t="s">
        <v>506</v>
      </c>
      <c r="U6" s="242" t="s">
        <v>507</v>
      </c>
      <c r="V6" s="245" t="s">
        <v>367</v>
      </c>
      <c r="W6" s="242"/>
      <c r="X6" s="240"/>
      <c r="AV6" s="27" t="s">
        <v>2</v>
      </c>
      <c r="AW6" s="27"/>
    </row>
    <row r="7" spans="2:51">
      <c r="B7" s="100" t="s">
        <v>315</v>
      </c>
      <c r="C7" s="17">
        <v>7311</v>
      </c>
      <c r="D7" s="100" t="str">
        <f>"LIMIT "&amp;IF(E7=0,"(MAX)","")</f>
        <v>LIMIT (MAX)</v>
      </c>
      <c r="E7" s="17">
        <v>0</v>
      </c>
      <c r="F7" s="225"/>
      <c r="G7" s="225"/>
      <c r="S7" s="242" t="s">
        <v>508</v>
      </c>
      <c r="T7" s="245" t="s">
        <v>379</v>
      </c>
      <c r="U7" s="242" t="s">
        <v>385</v>
      </c>
      <c r="V7" s="245" t="s">
        <v>379</v>
      </c>
      <c r="W7" s="242"/>
      <c r="X7" s="240"/>
      <c r="AV7" s="27" t="s">
        <v>0</v>
      </c>
      <c r="AW7" s="27"/>
    </row>
    <row r="8" spans="2:51">
      <c r="B8" s="224" t="s">
        <v>16</v>
      </c>
      <c r="C8" s="17" t="s">
        <v>439</v>
      </c>
      <c r="D8" s="215" t="s">
        <v>847</v>
      </c>
      <c r="E8" s="17" t="s">
        <v>771</v>
      </c>
      <c r="F8" s="14"/>
      <c r="G8" s="14"/>
      <c r="S8" s="242" t="s">
        <v>509</v>
      </c>
      <c r="T8" s="245" t="s">
        <v>379</v>
      </c>
      <c r="U8" s="242" t="s">
        <v>380</v>
      </c>
      <c r="V8" s="246">
        <v>1000</v>
      </c>
      <c r="W8" s="242"/>
      <c r="X8" s="240"/>
      <c r="AV8" s="28" t="s">
        <v>1</v>
      </c>
      <c r="AW8" s="27"/>
    </row>
    <row r="9" spans="2:51">
      <c r="B9" s="250" t="s">
        <v>409</v>
      </c>
      <c r="C9" s="102" t="str">
        <f>VLOOKUP(E6,Variables!$B$22:$C$25,2,FALSE)</f>
        <v>cbb91dcb-9e28-438f-91ad-ed5ffe143802</v>
      </c>
      <c r="D9" s="104"/>
      <c r="E9" s="103"/>
      <c r="S9" s="242" t="s">
        <v>510</v>
      </c>
      <c r="T9" s="245" t="s">
        <v>1244</v>
      </c>
      <c r="U9" s="242" t="s">
        <v>378</v>
      </c>
      <c r="V9" s="246">
        <v>525</v>
      </c>
      <c r="W9" s="242"/>
      <c r="X9" s="240"/>
      <c r="AV9" s="27" t="s">
        <v>3</v>
      </c>
      <c r="AW9" s="27"/>
    </row>
    <row r="10" spans="2:51">
      <c r="B10" s="217" t="str">
        <f>HYPERLINK("[http://wikran-w10:8080/Gentoken.html]","TBTOKEN")</f>
        <v>TBTOKEN</v>
      </c>
      <c r="C10" s="102" t="s">
        <v>438</v>
      </c>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pageID,TableName,PrimaryKey,TBKey</v>
      </c>
      <c r="D11" s="104"/>
      <c r="E11" s="104"/>
      <c r="F11" s="104"/>
      <c r="G11" s="104"/>
      <c r="H11" s="104"/>
      <c r="I11" s="104"/>
      <c r="J11" s="104"/>
      <c r="K11" s="104"/>
      <c r="L11" s="103"/>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http://wikran-w10:8081/pythonLT/A75FCC75-8FB6-4460-B3F6-7070B4437930/326459ff-7ea6-4465-a946-9326b783d492/all</v>
      </c>
      <c r="D12" s="104"/>
      <c r="E12" s="104"/>
      <c r="F12" s="104"/>
      <c r="G12" s="104"/>
      <c r="H12" s="104"/>
      <c r="I12" s="104"/>
      <c r="J12" s="104"/>
      <c r="K12" s="104"/>
      <c r="L12" s="103"/>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4</v>
      </c>
      <c r="D14" s="3" t="s">
        <v>496</v>
      </c>
      <c r="E14" s="3">
        <f>+C14+15</f>
        <v>19</v>
      </c>
      <c r="G14" s="16" t="s">
        <v>22</v>
      </c>
      <c r="H14" s="131" t="str">
        <f>IF(IFERROR(FIND("varchar",E22),0)&gt;0,IF(D22&gt;8000,"max",D22),"")</f>
        <v/>
      </c>
      <c r="M14" s="107" t="s">
        <v>369</v>
      </c>
      <c r="N14" s="489" t="s">
        <v>305</v>
      </c>
      <c r="O14" s="490"/>
      <c r="P14" s="491"/>
      <c r="S14" s="257" t="s">
        <v>871</v>
      </c>
      <c r="T14" s="149" t="s">
        <v>893</v>
      </c>
      <c r="AJ14" s="347">
        <f>COUNTBLANK(AJ16:AJ115)</f>
        <v>100</v>
      </c>
      <c r="AK14" s="30" t="s">
        <v>1044</v>
      </c>
      <c r="AM14" s="347">
        <f>COUNTBLANK(AM16:AM115)</f>
        <v>100</v>
      </c>
      <c r="AN14" s="30" t="s">
        <v>1036</v>
      </c>
      <c r="AO14" s="347">
        <f>+AM14+AJ14</f>
        <v>200</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[dbo].[MasterPageSetUp](</v>
      </c>
      <c r="AW15" s="27"/>
      <c r="AY15" s="122" t="str">
        <f>+"CREATE TABLE "&amp;TRIM(C8)&amp;" ("</f>
        <v>CREATE TABLE MasterPageSetUp (</v>
      </c>
    </row>
    <row r="16" spans="2:51" ht="12.75">
      <c r="B16" s="20">
        <f>IF(C16=0,"",1)</f>
        <v>1</v>
      </c>
      <c r="C16" s="5" t="s">
        <v>436</v>
      </c>
      <c r="D16" s="5">
        <v>100</v>
      </c>
      <c r="E16" s="5" t="s">
        <v>11</v>
      </c>
      <c r="G16" s="5" t="str">
        <f t="shared" ref="G16:G32" si="0">SUBSTITUTE(SUBSTITUTE(SUBSTITUTE(SUBSTITUTE(SUBSTITUTE(SUBSTITUTE(SUBSTITUTE(SUBSTITUTE(SUBSTITUTE(C16," ",""),".",""),"#","No"),"%",""),"(",""),"*",""),"-",""),"/",""),")","")</f>
        <v>pageID</v>
      </c>
      <c r="H16" s="117">
        <f t="shared" ref="H16:H21" si="1">IF(IFERROR(FIND("varchar",E16),0)&gt;0,IF(D16&gt;8000,"max",D16),"")</f>
        <v>100</v>
      </c>
      <c r="I16" s="5" t="str">
        <f t="shared" ref="I16:I45" si="2">IF(E16=0,"",+E16)</f>
        <v>varchar</v>
      </c>
      <c r="J16" s="5" t="str">
        <f t="shared" ref="J16:J45" si="3">IF(C16=0,"",(IF(ISERROR(VLOOKUP(G16,$D$120:$D$127,1,FALSE)),""," NOT")&amp;" NULL"))</f>
        <v xml:space="preserve"> NOT NULL</v>
      </c>
      <c r="K16" s="5" t="s">
        <v>437</v>
      </c>
      <c r="L16" s="5"/>
      <c r="M16" s="75">
        <v>1</v>
      </c>
      <c r="N16" s="77"/>
      <c r="O16" s="26"/>
      <c r="P16" s="26"/>
      <c r="Q16" s="118">
        <f t="shared" ref="Q16:Q45" si="4">IF(M16=0,"",ROW())</f>
        <v>16</v>
      </c>
      <c r="R16" s="153"/>
      <c r="S16" s="5" t="s">
        <v>437</v>
      </c>
      <c r="T16" s="148"/>
      <c r="U16" s="146"/>
      <c r="V16" s="146"/>
      <c r="W16" s="139" t="s">
        <v>379</v>
      </c>
      <c r="X16" s="139" t="s">
        <v>367</v>
      </c>
      <c r="Y16" s="148">
        <v>100</v>
      </c>
      <c r="Z16" s="138" t="str">
        <f>IF(M16&lt;9000,"","false")</f>
        <v/>
      </c>
      <c r="AA16" s="138" t="str">
        <f>IF($C$120=B16,"asc","")</f>
        <v>asc</v>
      </c>
      <c r="AB16" s="239"/>
      <c r="AC16" s="325"/>
      <c r="AD16" s="325"/>
      <c r="AE16" s="325"/>
      <c r="AF16" s="325"/>
      <c r="AG16" s="325"/>
      <c r="AH16" s="325"/>
      <c r="AI16" s="325"/>
      <c r="AJ16" s="325"/>
      <c r="AK16" s="325"/>
      <c r="AL16" s="325"/>
      <c r="AM16" s="325"/>
      <c r="AN16" s="325"/>
      <c r="AO16" s="325"/>
      <c r="AP16" s="136"/>
      <c r="AQ16" s="136"/>
      <c r="AR16" s="136" t="str">
        <f t="shared" ref="AR16:AS47" si="5">IF(O16=0,"",ROW())</f>
        <v/>
      </c>
      <c r="AS16" s="136" t="str">
        <f t="shared" si="5"/>
        <v/>
      </c>
      <c r="AT16" s="5" t="str">
        <f t="shared" ref="AT16:AT47" si="6">IF(C16="","",C16&amp;IF(B17="","",","))</f>
        <v>pageID,</v>
      </c>
      <c r="AV16" s="27" t="str">
        <f t="shared" ref="AV16:AV35" si="7">IF(G16="","",+"          ["&amp;TRIM(G16)&amp;"] ["&amp;TRIM(I16)&amp;"]"&amp;IF(H16="","","("&amp;H16&amp;")")&amp;" "&amp;TRIM(J16)&amp;IF(G17="","",","))</f>
        <v xml:space="preserve">          [pageID] [varchar](100) NOT NULL,</v>
      </c>
      <c r="AW16" s="27"/>
      <c r="AY16" s="122" t="str">
        <f t="shared" ref="AY16:AY79" si="8">IF(G16="",IF(OR(AY15=");",AY15=""),"",");"),+"          "&amp;TRIM(G16)&amp;" "&amp;UPPER(TRIM(I16))&amp;IF(H16="",""," ("&amp;H16&amp;")")&amp;" "&amp;IF(TRIM(J16)="NOT NULL","PRIMARY KEY UNIQUE NOT NULL",TRIM(J16))&amp;IF(G17="","",","))</f>
        <v xml:space="preserve">          pageID VARCHAR (100) PRIMARY KEY UNIQUE NOT NULL,</v>
      </c>
    </row>
    <row r="17" spans="2:51" ht="12.75">
      <c r="B17" s="20">
        <f>IF(C17=0,"",+B16+1)</f>
        <v>2</v>
      </c>
      <c r="C17" s="5" t="s">
        <v>420</v>
      </c>
      <c r="D17" s="5">
        <v>200</v>
      </c>
      <c r="E17" s="5" t="s">
        <v>11</v>
      </c>
      <c r="G17" s="5" t="str">
        <f t="shared" si="0"/>
        <v>TableName</v>
      </c>
      <c r="H17" s="117">
        <f t="shared" si="1"/>
        <v>200</v>
      </c>
      <c r="I17" s="5" t="str">
        <f t="shared" si="2"/>
        <v>varchar</v>
      </c>
      <c r="J17" s="5" t="str">
        <f t="shared" si="3"/>
        <v xml:space="preserve"> NULL</v>
      </c>
      <c r="K17" s="5" t="s">
        <v>772</v>
      </c>
      <c r="L17" s="5"/>
      <c r="M17" s="75">
        <v>2</v>
      </c>
      <c r="N17" s="77"/>
      <c r="O17" s="26"/>
      <c r="P17" s="26"/>
      <c r="Q17" s="118">
        <f t="shared" si="4"/>
        <v>17</v>
      </c>
      <c r="R17" s="153"/>
      <c r="S17" s="5" t="s">
        <v>772</v>
      </c>
      <c r="T17" s="148"/>
      <c r="U17" s="146"/>
      <c r="V17" s="146"/>
      <c r="W17" s="139" t="s">
        <v>379</v>
      </c>
      <c r="X17" s="139"/>
      <c r="Y17" s="148"/>
      <c r="Z17" s="138" t="str">
        <f t="shared" ref="Z17:Z80" si="9">IF(M17&lt;9000,"","false")</f>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5"/>
        <v/>
      </c>
      <c r="AS17" s="136" t="str">
        <f t="shared" si="5"/>
        <v/>
      </c>
      <c r="AT17" s="5" t="str">
        <f t="shared" si="6"/>
        <v>TableName,</v>
      </c>
      <c r="AV17" s="27" t="str">
        <f t="shared" si="7"/>
        <v xml:space="preserve">          [TableName] [varchar](200) NULL,</v>
      </c>
      <c r="AW17" s="27"/>
      <c r="AY17" s="122" t="str">
        <f t="shared" si="8"/>
        <v xml:space="preserve">          TableName VARCHAR (200) NULL,</v>
      </c>
    </row>
    <row r="18" spans="2:51" ht="12.75">
      <c r="B18" s="20">
        <f t="shared" ref="B18:B81" si="10">IF(C18=0,"",+B17+1)</f>
        <v>3</v>
      </c>
      <c r="C18" s="5" t="s">
        <v>435</v>
      </c>
      <c r="D18" s="5">
        <v>200</v>
      </c>
      <c r="E18" s="5" t="s">
        <v>11</v>
      </c>
      <c r="G18" s="5" t="str">
        <f t="shared" si="0"/>
        <v>PrimaryKey</v>
      </c>
      <c r="H18" s="117">
        <f t="shared" si="1"/>
        <v>200</v>
      </c>
      <c r="I18" s="5" t="str">
        <f t="shared" si="2"/>
        <v>varchar</v>
      </c>
      <c r="J18" s="5" t="str">
        <f t="shared" si="3"/>
        <v xml:space="preserve"> NULL</v>
      </c>
      <c r="K18" s="5" t="s">
        <v>773</v>
      </c>
      <c r="L18" s="5"/>
      <c r="M18" s="75">
        <v>3</v>
      </c>
      <c r="N18" s="77"/>
      <c r="O18" s="26"/>
      <c r="P18" s="26"/>
      <c r="Q18" s="118">
        <f t="shared" si="4"/>
        <v>18</v>
      </c>
      <c r="R18" s="153"/>
      <c r="S18" s="5" t="s">
        <v>773</v>
      </c>
      <c r="T18" s="148"/>
      <c r="U18" s="146"/>
      <c r="V18" s="146"/>
      <c r="W18" s="139" t="s">
        <v>379</v>
      </c>
      <c r="X18" s="139"/>
      <c r="Y18" s="148"/>
      <c r="Z18" s="138" t="str">
        <f t="shared" si="9"/>
        <v/>
      </c>
      <c r="AA18" s="138" t="str">
        <f t="shared" ref="AA18:AA81" si="11">IF($C$120=B18,"asc","")</f>
        <v/>
      </c>
      <c r="AB18" s="239"/>
      <c r="AC18" s="325"/>
      <c r="AD18" s="325"/>
      <c r="AE18" s="325"/>
      <c r="AF18" s="325"/>
      <c r="AG18" s="325"/>
      <c r="AH18" s="325"/>
      <c r="AI18" s="325"/>
      <c r="AJ18" s="325"/>
      <c r="AK18" s="325"/>
      <c r="AL18" s="325"/>
      <c r="AM18" s="325"/>
      <c r="AN18" s="325"/>
      <c r="AO18" s="325"/>
      <c r="AP18" s="136"/>
      <c r="AQ18" s="136"/>
      <c r="AR18" s="136" t="str">
        <f t="shared" si="5"/>
        <v/>
      </c>
      <c r="AS18" s="136" t="str">
        <f t="shared" si="5"/>
        <v/>
      </c>
      <c r="AT18" s="5" t="str">
        <f t="shared" si="6"/>
        <v>PrimaryKey,</v>
      </c>
      <c r="AV18" s="27" t="str">
        <f t="shared" si="7"/>
        <v xml:space="preserve">          [PrimaryKey] [varchar](200) NULL,</v>
      </c>
      <c r="AW18" s="27"/>
      <c r="AY18" s="122" t="str">
        <f t="shared" si="8"/>
        <v xml:space="preserve">          PrimaryKey VARCHAR (200) NULL,</v>
      </c>
    </row>
    <row r="19" spans="2:51" ht="12.75">
      <c r="B19" s="20">
        <f t="shared" si="10"/>
        <v>4</v>
      </c>
      <c r="C19" s="5" t="s">
        <v>441</v>
      </c>
      <c r="D19" s="5">
        <v>100</v>
      </c>
      <c r="E19" s="5" t="s">
        <v>11</v>
      </c>
      <c r="G19" s="5" t="str">
        <f t="shared" si="0"/>
        <v>TBKey</v>
      </c>
      <c r="H19" s="117">
        <f t="shared" si="1"/>
        <v>100</v>
      </c>
      <c r="I19" s="5" t="str">
        <f t="shared" si="2"/>
        <v>varchar</v>
      </c>
      <c r="J19" s="5" t="str">
        <f t="shared" si="3"/>
        <v xml:space="preserve"> NULL</v>
      </c>
      <c r="K19" s="5" t="s">
        <v>774</v>
      </c>
      <c r="L19" s="5"/>
      <c r="M19" s="75">
        <v>9001</v>
      </c>
      <c r="N19" s="77"/>
      <c r="O19" s="26"/>
      <c r="P19" s="26"/>
      <c r="Q19" s="118">
        <f t="shared" si="4"/>
        <v>19</v>
      </c>
      <c r="R19" s="153"/>
      <c r="S19" s="5" t="s">
        <v>774</v>
      </c>
      <c r="T19" s="148"/>
      <c r="U19" s="146"/>
      <c r="V19" s="146"/>
      <c r="W19" s="139" t="s">
        <v>379</v>
      </c>
      <c r="X19" s="139"/>
      <c r="Y19" s="148"/>
      <c r="Z19" s="138" t="str">
        <f t="shared" si="9"/>
        <v>false</v>
      </c>
      <c r="AA19" s="138" t="str">
        <f t="shared" si="11"/>
        <v/>
      </c>
      <c r="AB19" s="239"/>
      <c r="AC19" s="325"/>
      <c r="AD19" s="325"/>
      <c r="AE19" s="325"/>
      <c r="AF19" s="325"/>
      <c r="AG19" s="325"/>
      <c r="AH19" s="325"/>
      <c r="AI19" s="325"/>
      <c r="AJ19" s="325"/>
      <c r="AK19" s="325"/>
      <c r="AL19" s="325"/>
      <c r="AM19" s="325"/>
      <c r="AN19" s="325"/>
      <c r="AO19" s="325"/>
      <c r="AP19" s="136"/>
      <c r="AQ19" s="136"/>
      <c r="AR19" s="136" t="str">
        <f t="shared" si="5"/>
        <v/>
      </c>
      <c r="AS19" s="136" t="str">
        <f t="shared" si="5"/>
        <v/>
      </c>
      <c r="AT19" s="5" t="str">
        <f t="shared" si="6"/>
        <v>TBKey</v>
      </c>
      <c r="AV19" s="27" t="str">
        <f t="shared" si="7"/>
        <v xml:space="preserve">          [TBKey] [varchar](100) NULL</v>
      </c>
      <c r="AW19" s="27"/>
      <c r="AY19" s="122" t="str">
        <f t="shared" si="8"/>
        <v xml:space="preserve">          TBKey VARCHAR (100) NULL</v>
      </c>
    </row>
    <row r="20" spans="2:51" ht="12.75">
      <c r="B20" s="20" t="str">
        <f t="shared" si="10"/>
        <v/>
      </c>
      <c r="C20" s="5"/>
      <c r="D20" s="5"/>
      <c r="E20" s="5"/>
      <c r="G20" s="5" t="str">
        <f t="shared" si="0"/>
        <v/>
      </c>
      <c r="H20" s="117" t="str">
        <f t="shared" si="1"/>
        <v/>
      </c>
      <c r="I20" s="5" t="str">
        <f t="shared" si="2"/>
        <v/>
      </c>
      <c r="J20" s="5" t="str">
        <f t="shared" si="3"/>
        <v/>
      </c>
      <c r="K20" s="5"/>
      <c r="L20" s="5"/>
      <c r="M20" s="75"/>
      <c r="N20" s="77"/>
      <c r="O20" s="26"/>
      <c r="P20" s="26"/>
      <c r="Q20" s="118" t="str">
        <f t="shared" si="4"/>
        <v/>
      </c>
      <c r="R20" s="153"/>
      <c r="S20" s="5"/>
      <c r="T20" s="148"/>
      <c r="U20" s="146"/>
      <c r="V20" s="146"/>
      <c r="W20" s="139"/>
      <c r="X20" s="139"/>
      <c r="Y20" s="148"/>
      <c r="Z20" s="138" t="str">
        <f t="shared" si="9"/>
        <v/>
      </c>
      <c r="AA20" s="138" t="str">
        <f t="shared" si="11"/>
        <v/>
      </c>
      <c r="AB20" s="239"/>
      <c r="AC20" s="325"/>
      <c r="AD20" s="325"/>
      <c r="AE20" s="325"/>
      <c r="AF20" s="325"/>
      <c r="AG20" s="325"/>
      <c r="AH20" s="325"/>
      <c r="AI20" s="325"/>
      <c r="AJ20" s="325"/>
      <c r="AK20" s="325"/>
      <c r="AL20" s="325"/>
      <c r="AM20" s="325"/>
      <c r="AN20" s="325"/>
      <c r="AO20" s="325"/>
      <c r="AP20" s="136"/>
      <c r="AQ20" s="136"/>
      <c r="AR20" s="136" t="str">
        <f t="shared" si="5"/>
        <v/>
      </c>
      <c r="AS20" s="136" t="str">
        <f t="shared" si="5"/>
        <v/>
      </c>
      <c r="AT20" s="5" t="str">
        <f t="shared" si="6"/>
        <v/>
      </c>
      <c r="AV20" s="27" t="str">
        <f t="shared" si="7"/>
        <v/>
      </c>
      <c r="AW20" s="27"/>
      <c r="AY20" s="122" t="str">
        <f t="shared" si="8"/>
        <v>);</v>
      </c>
    </row>
    <row r="21" spans="2:51" ht="12.75">
      <c r="B21" s="20" t="str">
        <f t="shared" si="10"/>
        <v/>
      </c>
      <c r="C21" s="5"/>
      <c r="D21" s="5"/>
      <c r="E21" s="5"/>
      <c r="G21" s="5" t="str">
        <f t="shared" si="0"/>
        <v/>
      </c>
      <c r="H21" s="117" t="str">
        <f t="shared" si="1"/>
        <v/>
      </c>
      <c r="I21" s="5" t="str">
        <f t="shared" si="2"/>
        <v/>
      </c>
      <c r="J21" s="5" t="str">
        <f t="shared" si="3"/>
        <v/>
      </c>
      <c r="K21" s="5"/>
      <c r="L21" s="5"/>
      <c r="M21" s="75"/>
      <c r="N21" s="77"/>
      <c r="O21" s="26"/>
      <c r="P21" s="26"/>
      <c r="Q21" s="118" t="str">
        <f t="shared" si="4"/>
        <v/>
      </c>
      <c r="R21" s="153"/>
      <c r="S21" s="5"/>
      <c r="T21" s="148"/>
      <c r="U21" s="146"/>
      <c r="V21" s="146"/>
      <c r="W21" s="139"/>
      <c r="X21" s="139"/>
      <c r="Y21" s="148"/>
      <c r="Z21" s="138" t="str">
        <f t="shared" si="9"/>
        <v/>
      </c>
      <c r="AA21" s="138" t="str">
        <f t="shared" si="11"/>
        <v/>
      </c>
      <c r="AB21" s="239"/>
      <c r="AC21" s="325"/>
      <c r="AD21" s="325"/>
      <c r="AE21" s="325"/>
      <c r="AF21" s="325"/>
      <c r="AG21" s="325"/>
      <c r="AH21" s="325"/>
      <c r="AI21" s="325"/>
      <c r="AJ21" s="325"/>
      <c r="AK21" s="325"/>
      <c r="AL21" s="325"/>
      <c r="AM21" s="325"/>
      <c r="AN21" s="325"/>
      <c r="AO21" s="325"/>
      <c r="AP21" s="136"/>
      <c r="AQ21" s="136"/>
      <c r="AR21" s="136" t="str">
        <f t="shared" si="5"/>
        <v/>
      </c>
      <c r="AS21" s="136" t="str">
        <f t="shared" si="5"/>
        <v/>
      </c>
      <c r="AT21" s="5" t="str">
        <f t="shared" si="6"/>
        <v/>
      </c>
      <c r="AV21" s="27" t="str">
        <f t="shared" si="7"/>
        <v/>
      </c>
      <c r="AW21" s="27"/>
      <c r="AY21" s="122" t="str">
        <f t="shared" si="8"/>
        <v/>
      </c>
    </row>
    <row r="22" spans="2:51" ht="12.75">
      <c r="B22" s="20" t="str">
        <f t="shared" si="10"/>
        <v/>
      </c>
      <c r="C22" s="5"/>
      <c r="D22" s="5"/>
      <c r="E22" s="5"/>
      <c r="G22" s="5" t="str">
        <f t="shared" si="0"/>
        <v/>
      </c>
      <c r="H22" s="117" t="str">
        <f>IF(IFERROR(FIND("varchar",E22),0)&gt;0,IF(D22&gt;8000,"max",D22),"")</f>
        <v/>
      </c>
      <c r="I22" s="5" t="str">
        <f t="shared" si="2"/>
        <v/>
      </c>
      <c r="J22" s="5" t="str">
        <f t="shared" si="3"/>
        <v/>
      </c>
      <c r="K22" s="5"/>
      <c r="L22" s="5"/>
      <c r="M22" s="75"/>
      <c r="N22" s="77"/>
      <c r="O22" s="26"/>
      <c r="P22" s="26"/>
      <c r="Q22" s="118" t="str">
        <f t="shared" si="4"/>
        <v/>
      </c>
      <c r="R22" s="153"/>
      <c r="S22" s="5"/>
      <c r="T22" s="148"/>
      <c r="U22" s="146"/>
      <c r="V22" s="146"/>
      <c r="W22" s="139"/>
      <c r="X22" s="139"/>
      <c r="Y22" s="148"/>
      <c r="Z22" s="138" t="str">
        <f t="shared" si="9"/>
        <v/>
      </c>
      <c r="AA22" s="138" t="str">
        <f t="shared" si="11"/>
        <v/>
      </c>
      <c r="AB22" s="239"/>
      <c r="AC22" s="325"/>
      <c r="AD22" s="325"/>
      <c r="AE22" s="325"/>
      <c r="AF22" s="325"/>
      <c r="AG22" s="325"/>
      <c r="AH22" s="325"/>
      <c r="AI22" s="325"/>
      <c r="AJ22" s="325"/>
      <c r="AK22" s="325"/>
      <c r="AL22" s="325"/>
      <c r="AM22" s="325"/>
      <c r="AN22" s="325"/>
      <c r="AO22" s="325"/>
      <c r="AP22" s="136"/>
      <c r="AQ22" s="136"/>
      <c r="AR22" s="136" t="str">
        <f t="shared" si="5"/>
        <v/>
      </c>
      <c r="AS22" s="136" t="str">
        <f t="shared" si="5"/>
        <v/>
      </c>
      <c r="AT22" s="5" t="str">
        <f t="shared" si="6"/>
        <v/>
      </c>
      <c r="AV22" s="27" t="str">
        <f t="shared" si="7"/>
        <v/>
      </c>
      <c r="AW22" s="27"/>
      <c r="AY22" s="122" t="str">
        <f t="shared" si="8"/>
        <v/>
      </c>
    </row>
    <row r="23" spans="2:51" ht="12.75">
      <c r="B23" s="20" t="str">
        <f t="shared" si="10"/>
        <v/>
      </c>
      <c r="C23" s="5"/>
      <c r="D23" s="5"/>
      <c r="E23" s="5"/>
      <c r="G23" s="5" t="str">
        <f t="shared" si="0"/>
        <v/>
      </c>
      <c r="H23" s="117" t="str">
        <f t="shared" ref="H23:H86" si="12">IF(IFERROR(FIND("varchar",E23),0)&gt;0,IF(D23&gt;8000,"max",D23),"")</f>
        <v/>
      </c>
      <c r="I23" s="5" t="str">
        <f t="shared" si="2"/>
        <v/>
      </c>
      <c r="J23" s="5" t="str">
        <f t="shared" si="3"/>
        <v/>
      </c>
      <c r="K23" s="138"/>
      <c r="L23" s="5"/>
      <c r="M23" s="75"/>
      <c r="N23" s="77"/>
      <c r="O23" s="26"/>
      <c r="P23" s="26"/>
      <c r="Q23" s="118" t="str">
        <f t="shared" si="4"/>
        <v/>
      </c>
      <c r="R23" s="153"/>
      <c r="S23" s="138"/>
      <c r="T23" s="148"/>
      <c r="U23" s="146"/>
      <c r="V23" s="146"/>
      <c r="W23" s="139"/>
      <c r="X23" s="139"/>
      <c r="Y23" s="148"/>
      <c r="Z23" s="138" t="str">
        <f t="shared" si="9"/>
        <v/>
      </c>
      <c r="AA23" s="138" t="str">
        <f t="shared" si="11"/>
        <v/>
      </c>
      <c r="AB23" s="239"/>
      <c r="AC23" s="325"/>
      <c r="AD23" s="325"/>
      <c r="AE23" s="325"/>
      <c r="AF23" s="325"/>
      <c r="AG23" s="325"/>
      <c r="AH23" s="325"/>
      <c r="AI23" s="325"/>
      <c r="AJ23" s="325"/>
      <c r="AK23" s="325"/>
      <c r="AL23" s="325"/>
      <c r="AM23" s="325"/>
      <c r="AN23" s="325"/>
      <c r="AO23" s="325"/>
      <c r="AP23" s="136"/>
      <c r="AQ23" s="136"/>
      <c r="AR23" s="136" t="str">
        <f t="shared" si="5"/>
        <v/>
      </c>
      <c r="AS23" s="136" t="str">
        <f t="shared" si="5"/>
        <v/>
      </c>
      <c r="AT23" s="5" t="str">
        <f t="shared" si="6"/>
        <v/>
      </c>
      <c r="AV23" s="27" t="str">
        <f t="shared" si="7"/>
        <v/>
      </c>
      <c r="AW23" s="27"/>
      <c r="AY23" s="122" t="str">
        <f t="shared" si="8"/>
        <v/>
      </c>
    </row>
    <row r="24" spans="2:51" ht="12.75">
      <c r="B24" s="20" t="str">
        <f t="shared" si="10"/>
        <v/>
      </c>
      <c r="C24" s="5"/>
      <c r="D24" s="5"/>
      <c r="E24" s="5"/>
      <c r="G24" s="5" t="str">
        <f t="shared" si="0"/>
        <v/>
      </c>
      <c r="H24" s="117" t="str">
        <f t="shared" si="12"/>
        <v/>
      </c>
      <c r="I24" s="5" t="str">
        <f t="shared" si="2"/>
        <v/>
      </c>
      <c r="J24" s="5" t="str">
        <f t="shared" si="3"/>
        <v/>
      </c>
      <c r="K24" s="138"/>
      <c r="L24" s="5"/>
      <c r="M24" s="75"/>
      <c r="N24" s="77"/>
      <c r="O24" s="26"/>
      <c r="P24" s="26"/>
      <c r="Q24" s="118" t="str">
        <f t="shared" si="4"/>
        <v/>
      </c>
      <c r="R24" s="153"/>
      <c r="S24" s="138"/>
      <c r="T24" s="148"/>
      <c r="U24" s="146"/>
      <c r="V24" s="146"/>
      <c r="W24" s="139"/>
      <c r="X24" s="139"/>
      <c r="Y24" s="148"/>
      <c r="Z24" s="138" t="str">
        <f t="shared" si="9"/>
        <v/>
      </c>
      <c r="AA24" s="138" t="str">
        <f t="shared" si="11"/>
        <v/>
      </c>
      <c r="AB24" s="239"/>
      <c r="AC24" s="325"/>
      <c r="AD24" s="325"/>
      <c r="AE24" s="325"/>
      <c r="AF24" s="325"/>
      <c r="AG24" s="325"/>
      <c r="AH24" s="325"/>
      <c r="AI24" s="325"/>
      <c r="AJ24" s="325"/>
      <c r="AK24" s="325"/>
      <c r="AL24" s="325"/>
      <c r="AM24" s="325"/>
      <c r="AN24" s="325"/>
      <c r="AO24" s="325"/>
      <c r="AP24" s="136"/>
      <c r="AQ24" s="136"/>
      <c r="AR24" s="136" t="str">
        <f t="shared" si="5"/>
        <v/>
      </c>
      <c r="AS24" s="136" t="str">
        <f t="shared" si="5"/>
        <v/>
      </c>
      <c r="AT24" s="5" t="str">
        <f t="shared" si="6"/>
        <v/>
      </c>
      <c r="AV24" s="27" t="str">
        <f t="shared" si="7"/>
        <v/>
      </c>
      <c r="AW24" s="27"/>
      <c r="AY24" s="122" t="str">
        <f t="shared" si="8"/>
        <v/>
      </c>
    </row>
    <row r="25" spans="2:51" ht="12.75">
      <c r="B25" s="20" t="str">
        <f t="shared" si="10"/>
        <v/>
      </c>
      <c r="C25" s="5"/>
      <c r="D25" s="5"/>
      <c r="E25" s="5"/>
      <c r="G25" s="5" t="str">
        <f t="shared" si="0"/>
        <v/>
      </c>
      <c r="H25" s="117" t="str">
        <f t="shared" si="12"/>
        <v/>
      </c>
      <c r="I25" s="5" t="str">
        <f t="shared" si="2"/>
        <v/>
      </c>
      <c r="J25" s="5" t="str">
        <f t="shared" si="3"/>
        <v/>
      </c>
      <c r="K25" s="138"/>
      <c r="L25" s="5"/>
      <c r="M25" s="75"/>
      <c r="N25" s="77"/>
      <c r="O25" s="26"/>
      <c r="P25" s="26"/>
      <c r="Q25" s="118" t="str">
        <f t="shared" si="4"/>
        <v/>
      </c>
      <c r="R25" s="153"/>
      <c r="S25" s="138"/>
      <c r="T25" s="148"/>
      <c r="U25" s="146"/>
      <c r="V25" s="146"/>
      <c r="W25" s="139"/>
      <c r="X25" s="139"/>
      <c r="Y25" s="148"/>
      <c r="Z25" s="138" t="str">
        <f t="shared" si="9"/>
        <v/>
      </c>
      <c r="AA25" s="138" t="str">
        <f t="shared" si="11"/>
        <v/>
      </c>
      <c r="AB25" s="239"/>
      <c r="AC25" s="325"/>
      <c r="AD25" s="325"/>
      <c r="AE25" s="325"/>
      <c r="AF25" s="325"/>
      <c r="AG25" s="325"/>
      <c r="AH25" s="325"/>
      <c r="AI25" s="325"/>
      <c r="AJ25" s="325"/>
      <c r="AK25" s="325"/>
      <c r="AL25" s="325"/>
      <c r="AM25" s="325"/>
      <c r="AN25" s="325"/>
      <c r="AO25" s="325"/>
      <c r="AP25" s="136"/>
      <c r="AQ25" s="136"/>
      <c r="AR25" s="136" t="str">
        <f t="shared" si="5"/>
        <v/>
      </c>
      <c r="AS25" s="136" t="str">
        <f t="shared" si="5"/>
        <v/>
      </c>
      <c r="AT25" s="5" t="str">
        <f t="shared" si="6"/>
        <v/>
      </c>
      <c r="AV25" s="27" t="str">
        <f t="shared" si="7"/>
        <v/>
      </c>
      <c r="AW25" s="27"/>
      <c r="AY25" s="122" t="str">
        <f t="shared" si="8"/>
        <v/>
      </c>
    </row>
    <row r="26" spans="2:51" ht="12.75">
      <c r="B26" s="20" t="str">
        <f t="shared" si="10"/>
        <v/>
      </c>
      <c r="C26" s="5"/>
      <c r="D26" s="5"/>
      <c r="E26" s="5"/>
      <c r="G26" s="5" t="str">
        <f t="shared" si="0"/>
        <v/>
      </c>
      <c r="H26" s="117" t="str">
        <f t="shared" si="12"/>
        <v/>
      </c>
      <c r="I26" s="5" t="str">
        <f t="shared" si="2"/>
        <v/>
      </c>
      <c r="J26" s="5" t="str">
        <f t="shared" si="3"/>
        <v/>
      </c>
      <c r="K26" s="138"/>
      <c r="L26" s="5"/>
      <c r="M26" s="75"/>
      <c r="N26" s="77"/>
      <c r="O26" s="26"/>
      <c r="P26" s="26"/>
      <c r="Q26" s="118" t="str">
        <f t="shared" si="4"/>
        <v/>
      </c>
      <c r="R26" s="153"/>
      <c r="S26" s="138"/>
      <c r="T26" s="148"/>
      <c r="U26" s="146"/>
      <c r="V26" s="146"/>
      <c r="W26" s="139"/>
      <c r="X26" s="139"/>
      <c r="Y26" s="148"/>
      <c r="Z26" s="138" t="str">
        <f t="shared" si="9"/>
        <v/>
      </c>
      <c r="AA26" s="138" t="str">
        <f t="shared" si="11"/>
        <v/>
      </c>
      <c r="AB26" s="239"/>
      <c r="AC26" s="325"/>
      <c r="AD26" s="325"/>
      <c r="AE26" s="325"/>
      <c r="AF26" s="325"/>
      <c r="AG26" s="325"/>
      <c r="AH26" s="325"/>
      <c r="AI26" s="325"/>
      <c r="AJ26" s="325"/>
      <c r="AK26" s="325"/>
      <c r="AL26" s="325"/>
      <c r="AM26" s="325"/>
      <c r="AN26" s="325"/>
      <c r="AO26" s="325"/>
      <c r="AP26" s="136"/>
      <c r="AQ26" s="136"/>
      <c r="AR26" s="136" t="str">
        <f t="shared" si="5"/>
        <v/>
      </c>
      <c r="AS26" s="136" t="str">
        <f t="shared" si="5"/>
        <v/>
      </c>
      <c r="AT26" s="5" t="str">
        <f t="shared" si="6"/>
        <v/>
      </c>
      <c r="AV26" s="27" t="str">
        <f t="shared" si="7"/>
        <v/>
      </c>
      <c r="AW26" s="27"/>
      <c r="AY26" s="122" t="str">
        <f t="shared" si="8"/>
        <v/>
      </c>
    </row>
    <row r="27" spans="2:51" ht="12.75">
      <c r="B27" s="20" t="str">
        <f t="shared" si="10"/>
        <v/>
      </c>
      <c r="C27" s="5"/>
      <c r="D27" s="5"/>
      <c r="E27" s="5"/>
      <c r="G27" s="5" t="str">
        <f t="shared" si="0"/>
        <v/>
      </c>
      <c r="H27" s="117" t="str">
        <f t="shared" si="12"/>
        <v/>
      </c>
      <c r="I27" s="5" t="str">
        <f t="shared" si="2"/>
        <v/>
      </c>
      <c r="J27" s="5" t="str">
        <f t="shared" si="3"/>
        <v/>
      </c>
      <c r="K27" s="138"/>
      <c r="L27" s="5"/>
      <c r="M27" s="75"/>
      <c r="N27" s="77"/>
      <c r="O27" s="26"/>
      <c r="P27" s="26"/>
      <c r="Q27" s="118" t="str">
        <f t="shared" si="4"/>
        <v/>
      </c>
      <c r="R27" s="153"/>
      <c r="S27" s="138"/>
      <c r="T27" s="148"/>
      <c r="U27" s="146"/>
      <c r="V27" s="146"/>
      <c r="W27" s="139"/>
      <c r="X27" s="139"/>
      <c r="Y27" s="148"/>
      <c r="Z27" s="138" t="str">
        <f t="shared" si="9"/>
        <v/>
      </c>
      <c r="AA27" s="138" t="str">
        <f t="shared" si="11"/>
        <v/>
      </c>
      <c r="AB27" s="239"/>
      <c r="AC27" s="325"/>
      <c r="AD27" s="325"/>
      <c r="AE27" s="325"/>
      <c r="AF27" s="325"/>
      <c r="AG27" s="325"/>
      <c r="AH27" s="325"/>
      <c r="AI27" s="325"/>
      <c r="AJ27" s="325"/>
      <c r="AK27" s="325"/>
      <c r="AL27" s="325"/>
      <c r="AM27" s="325"/>
      <c r="AN27" s="325"/>
      <c r="AO27" s="325"/>
      <c r="AP27" s="136"/>
      <c r="AQ27" s="136"/>
      <c r="AR27" s="136" t="str">
        <f t="shared" si="5"/>
        <v/>
      </c>
      <c r="AS27" s="136" t="str">
        <f t="shared" si="5"/>
        <v/>
      </c>
      <c r="AT27" s="5" t="str">
        <f t="shared" si="6"/>
        <v/>
      </c>
      <c r="AV27" s="27" t="str">
        <f t="shared" si="7"/>
        <v/>
      </c>
      <c r="AW27" s="27"/>
      <c r="AY27" s="122" t="str">
        <f t="shared" si="8"/>
        <v/>
      </c>
    </row>
    <row r="28" spans="2:51" ht="12.75">
      <c r="B28" s="20" t="str">
        <f t="shared" si="10"/>
        <v/>
      </c>
      <c r="C28" s="5"/>
      <c r="D28" s="5"/>
      <c r="E28" s="5"/>
      <c r="G28" s="5" t="str">
        <f t="shared" si="0"/>
        <v/>
      </c>
      <c r="H28" s="117" t="str">
        <f t="shared" si="12"/>
        <v/>
      </c>
      <c r="I28" s="5" t="str">
        <f t="shared" si="2"/>
        <v/>
      </c>
      <c r="J28" s="5" t="str">
        <f t="shared" si="3"/>
        <v/>
      </c>
      <c r="K28" s="138"/>
      <c r="L28" s="5"/>
      <c r="M28" s="75"/>
      <c r="N28" s="77"/>
      <c r="O28" s="26"/>
      <c r="P28" s="26"/>
      <c r="Q28" s="118" t="str">
        <f t="shared" si="4"/>
        <v/>
      </c>
      <c r="R28" s="153"/>
      <c r="S28" s="138"/>
      <c r="T28" s="148"/>
      <c r="U28" s="146"/>
      <c r="V28" s="146"/>
      <c r="W28" s="139"/>
      <c r="X28" s="139"/>
      <c r="Y28" s="148"/>
      <c r="Z28" s="138" t="str">
        <f t="shared" si="9"/>
        <v/>
      </c>
      <c r="AA28" s="138" t="str">
        <f t="shared" si="11"/>
        <v/>
      </c>
      <c r="AB28" s="239"/>
      <c r="AC28" s="325"/>
      <c r="AD28" s="325"/>
      <c r="AE28" s="325"/>
      <c r="AF28" s="325"/>
      <c r="AG28" s="325"/>
      <c r="AH28" s="325"/>
      <c r="AI28" s="325"/>
      <c r="AJ28" s="325"/>
      <c r="AK28" s="325"/>
      <c r="AL28" s="325"/>
      <c r="AM28" s="325"/>
      <c r="AN28" s="325"/>
      <c r="AO28" s="325"/>
      <c r="AP28" s="136"/>
      <c r="AQ28" s="136"/>
      <c r="AR28" s="136" t="str">
        <f t="shared" si="5"/>
        <v/>
      </c>
      <c r="AS28" s="136" t="str">
        <f t="shared" si="5"/>
        <v/>
      </c>
      <c r="AT28" s="5" t="str">
        <f t="shared" si="6"/>
        <v/>
      </c>
      <c r="AV28" s="27" t="str">
        <f t="shared" si="7"/>
        <v/>
      </c>
      <c r="AW28" s="27"/>
      <c r="AY28" s="122" t="str">
        <f t="shared" si="8"/>
        <v/>
      </c>
    </row>
    <row r="29" spans="2:51" ht="12.75">
      <c r="B29" s="20" t="str">
        <f t="shared" si="10"/>
        <v/>
      </c>
      <c r="C29" s="5"/>
      <c r="D29" s="5"/>
      <c r="E29" s="5"/>
      <c r="G29" s="5" t="str">
        <f t="shared" si="0"/>
        <v/>
      </c>
      <c r="H29" s="117" t="str">
        <f t="shared" si="12"/>
        <v/>
      </c>
      <c r="I29" s="5" t="str">
        <f t="shared" si="2"/>
        <v/>
      </c>
      <c r="J29" s="5" t="str">
        <f t="shared" si="3"/>
        <v/>
      </c>
      <c r="K29" s="138"/>
      <c r="L29" s="5"/>
      <c r="M29" s="75"/>
      <c r="N29" s="77"/>
      <c r="O29" s="26"/>
      <c r="P29" s="26"/>
      <c r="Q29" s="118" t="str">
        <f t="shared" si="4"/>
        <v/>
      </c>
      <c r="R29" s="153"/>
      <c r="S29" s="138"/>
      <c r="T29" s="148"/>
      <c r="U29" s="146"/>
      <c r="V29" s="146"/>
      <c r="W29" s="139"/>
      <c r="X29" s="139"/>
      <c r="Y29" s="148"/>
      <c r="Z29" s="138" t="str">
        <f t="shared" si="9"/>
        <v/>
      </c>
      <c r="AA29" s="138" t="str">
        <f t="shared" si="11"/>
        <v/>
      </c>
      <c r="AB29" s="239"/>
      <c r="AC29" s="325"/>
      <c r="AD29" s="325"/>
      <c r="AE29" s="325"/>
      <c r="AF29" s="325"/>
      <c r="AG29" s="325"/>
      <c r="AH29" s="325"/>
      <c r="AI29" s="325"/>
      <c r="AJ29" s="325"/>
      <c r="AK29" s="325"/>
      <c r="AL29" s="325"/>
      <c r="AM29" s="325"/>
      <c r="AN29" s="325"/>
      <c r="AO29" s="325"/>
      <c r="AP29" s="136"/>
      <c r="AQ29" s="136"/>
      <c r="AR29" s="136" t="str">
        <f t="shared" si="5"/>
        <v/>
      </c>
      <c r="AS29" s="136" t="str">
        <f t="shared" si="5"/>
        <v/>
      </c>
      <c r="AT29" s="5" t="str">
        <f t="shared" si="6"/>
        <v/>
      </c>
      <c r="AV29" s="27" t="str">
        <f t="shared" si="7"/>
        <v/>
      </c>
      <c r="AW29" s="27"/>
      <c r="AY29" s="122" t="str">
        <f t="shared" si="8"/>
        <v/>
      </c>
    </row>
    <row r="30" spans="2:51" ht="12.75">
      <c r="B30" s="20" t="str">
        <f t="shared" si="10"/>
        <v/>
      </c>
      <c r="C30" s="5"/>
      <c r="D30" s="5"/>
      <c r="E30" s="5"/>
      <c r="G30" s="5" t="str">
        <f t="shared" si="0"/>
        <v/>
      </c>
      <c r="H30" s="117" t="str">
        <f t="shared" si="12"/>
        <v/>
      </c>
      <c r="I30" s="5" t="str">
        <f t="shared" si="2"/>
        <v/>
      </c>
      <c r="J30" s="5" t="str">
        <f t="shared" si="3"/>
        <v/>
      </c>
      <c r="K30" s="138"/>
      <c r="L30" s="5"/>
      <c r="M30" s="75"/>
      <c r="N30" s="77"/>
      <c r="O30" s="26"/>
      <c r="P30" s="26"/>
      <c r="Q30" s="118" t="str">
        <f t="shared" si="4"/>
        <v/>
      </c>
      <c r="R30" s="153"/>
      <c r="S30" s="138"/>
      <c r="T30" s="148"/>
      <c r="U30" s="146"/>
      <c r="V30" s="146"/>
      <c r="W30" s="139"/>
      <c r="X30" s="139"/>
      <c r="Y30" s="148"/>
      <c r="Z30" s="138" t="str">
        <f t="shared" si="9"/>
        <v/>
      </c>
      <c r="AA30" s="138" t="str">
        <f t="shared" si="11"/>
        <v/>
      </c>
      <c r="AB30" s="239"/>
      <c r="AC30" s="325"/>
      <c r="AD30" s="325"/>
      <c r="AE30" s="325"/>
      <c r="AF30" s="325"/>
      <c r="AG30" s="325"/>
      <c r="AH30" s="325"/>
      <c r="AI30" s="325"/>
      <c r="AJ30" s="325"/>
      <c r="AK30" s="325"/>
      <c r="AL30" s="325"/>
      <c r="AM30" s="325"/>
      <c r="AN30" s="325"/>
      <c r="AO30" s="325"/>
      <c r="AP30" s="136"/>
      <c r="AQ30" s="136"/>
      <c r="AR30" s="136" t="str">
        <f t="shared" si="5"/>
        <v/>
      </c>
      <c r="AS30" s="136" t="str">
        <f t="shared" si="5"/>
        <v/>
      </c>
      <c r="AT30" s="5" t="str">
        <f t="shared" si="6"/>
        <v/>
      </c>
      <c r="AV30" s="27" t="str">
        <f t="shared" si="7"/>
        <v/>
      </c>
      <c r="AW30" s="27"/>
      <c r="AY30" s="122" t="str">
        <f t="shared" si="8"/>
        <v/>
      </c>
    </row>
    <row r="31" spans="2:51" ht="12.75">
      <c r="B31" s="20" t="str">
        <f t="shared" si="10"/>
        <v/>
      </c>
      <c r="C31" s="5"/>
      <c r="D31" s="5"/>
      <c r="E31" s="5"/>
      <c r="G31" s="5" t="str">
        <f t="shared" si="0"/>
        <v/>
      </c>
      <c r="H31" s="117" t="str">
        <f t="shared" si="12"/>
        <v/>
      </c>
      <c r="I31" s="5" t="str">
        <f t="shared" si="2"/>
        <v/>
      </c>
      <c r="J31" s="5" t="str">
        <f t="shared" si="3"/>
        <v/>
      </c>
      <c r="K31" s="138"/>
      <c r="L31" s="5"/>
      <c r="M31" s="75"/>
      <c r="N31" s="77"/>
      <c r="O31" s="26"/>
      <c r="P31" s="26"/>
      <c r="Q31" s="118" t="str">
        <f t="shared" si="4"/>
        <v/>
      </c>
      <c r="R31" s="153"/>
      <c r="S31" s="138"/>
      <c r="T31" s="148"/>
      <c r="U31" s="146"/>
      <c r="V31" s="146"/>
      <c r="W31" s="139"/>
      <c r="X31" s="139"/>
      <c r="Y31" s="148"/>
      <c r="Z31" s="138" t="str">
        <f t="shared" si="9"/>
        <v/>
      </c>
      <c r="AA31" s="138" t="str">
        <f t="shared" si="11"/>
        <v/>
      </c>
      <c r="AB31" s="239"/>
      <c r="AC31" s="325"/>
      <c r="AD31" s="325"/>
      <c r="AE31" s="325"/>
      <c r="AF31" s="325"/>
      <c r="AG31" s="325"/>
      <c r="AH31" s="325"/>
      <c r="AI31" s="325"/>
      <c r="AJ31" s="325"/>
      <c r="AK31" s="325"/>
      <c r="AL31" s="325"/>
      <c r="AM31" s="325"/>
      <c r="AN31" s="325"/>
      <c r="AO31" s="325"/>
      <c r="AP31" s="136"/>
      <c r="AQ31" s="136"/>
      <c r="AR31" s="136" t="str">
        <f t="shared" si="5"/>
        <v/>
      </c>
      <c r="AS31" s="136" t="str">
        <f t="shared" si="5"/>
        <v/>
      </c>
      <c r="AT31" s="5" t="str">
        <f t="shared" si="6"/>
        <v/>
      </c>
      <c r="AV31" s="27" t="str">
        <f t="shared" si="7"/>
        <v/>
      </c>
      <c r="AW31" s="27"/>
      <c r="AY31" s="122" t="str">
        <f t="shared" si="8"/>
        <v/>
      </c>
    </row>
    <row r="32" spans="2:51" ht="12.75">
      <c r="B32" s="20" t="str">
        <f t="shared" si="10"/>
        <v/>
      </c>
      <c r="C32" s="5"/>
      <c r="D32" s="5"/>
      <c r="E32" s="5"/>
      <c r="G32" s="5" t="str">
        <f t="shared" si="0"/>
        <v/>
      </c>
      <c r="H32" s="117" t="str">
        <f t="shared" si="12"/>
        <v/>
      </c>
      <c r="I32" s="5" t="str">
        <f t="shared" si="2"/>
        <v/>
      </c>
      <c r="J32" s="5" t="str">
        <f t="shared" si="3"/>
        <v/>
      </c>
      <c r="K32" s="138"/>
      <c r="L32" s="5"/>
      <c r="M32" s="75"/>
      <c r="N32" s="77"/>
      <c r="O32" s="26"/>
      <c r="P32" s="26"/>
      <c r="Q32" s="118" t="str">
        <f t="shared" si="4"/>
        <v/>
      </c>
      <c r="R32" s="153"/>
      <c r="S32" s="138"/>
      <c r="T32" s="148"/>
      <c r="U32" s="146"/>
      <c r="V32" s="146"/>
      <c r="W32" s="139"/>
      <c r="X32" s="139"/>
      <c r="Y32" s="148"/>
      <c r="Z32" s="138" t="str">
        <f t="shared" si="9"/>
        <v/>
      </c>
      <c r="AA32" s="138" t="str">
        <f t="shared" si="11"/>
        <v/>
      </c>
      <c r="AB32" s="239"/>
      <c r="AC32" s="325"/>
      <c r="AD32" s="325"/>
      <c r="AE32" s="325"/>
      <c r="AF32" s="325"/>
      <c r="AG32" s="325"/>
      <c r="AH32" s="325"/>
      <c r="AI32" s="325"/>
      <c r="AJ32" s="325"/>
      <c r="AK32" s="325"/>
      <c r="AL32" s="325"/>
      <c r="AM32" s="325"/>
      <c r="AN32" s="325"/>
      <c r="AO32" s="325"/>
      <c r="AP32" s="136"/>
      <c r="AQ32" s="136"/>
      <c r="AR32" s="136" t="str">
        <f t="shared" si="5"/>
        <v/>
      </c>
      <c r="AS32" s="136" t="str">
        <f t="shared" si="5"/>
        <v/>
      </c>
      <c r="AT32" s="5" t="str">
        <f t="shared" si="6"/>
        <v/>
      </c>
      <c r="AV32" s="27" t="str">
        <f t="shared" si="7"/>
        <v/>
      </c>
      <c r="AW32" s="27"/>
      <c r="AY32" s="122" t="str">
        <f t="shared" si="8"/>
        <v/>
      </c>
    </row>
    <row r="33" spans="2:51" ht="12.75">
      <c r="B33" s="20" t="str">
        <f t="shared" si="10"/>
        <v/>
      </c>
      <c r="C33" s="5"/>
      <c r="D33" s="5"/>
      <c r="E33" s="5"/>
      <c r="G33" s="5" t="str">
        <f>SUBSTITUTE(SUBSTITUTE(SUBSTITUTE(SUBSTITUTE(SUBSTITUTE(SUBSTITUTE(SUBSTITUTE(SUBSTITUTE(SUBSTITUTE(C33," ",""),".",""),"#","No"),"%",""),"(",""),"*",""),"-",""),"/",""),")","")</f>
        <v/>
      </c>
      <c r="H33" s="117" t="str">
        <f t="shared" si="12"/>
        <v/>
      </c>
      <c r="I33" s="5" t="str">
        <f t="shared" si="2"/>
        <v/>
      </c>
      <c r="J33" s="5" t="str">
        <f t="shared" si="3"/>
        <v/>
      </c>
      <c r="K33" s="138"/>
      <c r="L33" s="5"/>
      <c r="M33" s="75"/>
      <c r="N33" s="77"/>
      <c r="O33" s="26"/>
      <c r="P33" s="26"/>
      <c r="Q33" s="118" t="str">
        <f t="shared" si="4"/>
        <v/>
      </c>
      <c r="R33" s="153"/>
      <c r="S33" s="138"/>
      <c r="T33" s="148"/>
      <c r="U33" s="146"/>
      <c r="V33" s="146"/>
      <c r="W33" s="139"/>
      <c r="X33" s="139"/>
      <c r="Y33" s="148"/>
      <c r="Z33" s="138" t="str">
        <f t="shared" si="9"/>
        <v/>
      </c>
      <c r="AA33" s="138" t="str">
        <f t="shared" si="11"/>
        <v/>
      </c>
      <c r="AB33" s="239"/>
      <c r="AC33" s="325"/>
      <c r="AD33" s="325"/>
      <c r="AE33" s="325"/>
      <c r="AF33" s="325"/>
      <c r="AG33" s="325"/>
      <c r="AH33" s="325"/>
      <c r="AI33" s="325"/>
      <c r="AJ33" s="325"/>
      <c r="AK33" s="325"/>
      <c r="AL33" s="325"/>
      <c r="AM33" s="325"/>
      <c r="AN33" s="325"/>
      <c r="AO33" s="325"/>
      <c r="AP33" s="136"/>
      <c r="AQ33" s="136"/>
      <c r="AR33" s="136" t="str">
        <f t="shared" si="5"/>
        <v/>
      </c>
      <c r="AS33" s="136" t="str">
        <f t="shared" si="5"/>
        <v/>
      </c>
      <c r="AT33" s="5" t="str">
        <f t="shared" si="6"/>
        <v/>
      </c>
      <c r="AV33" s="27" t="str">
        <f t="shared" si="7"/>
        <v/>
      </c>
      <c r="AW33" s="27"/>
      <c r="AY33" s="122" t="str">
        <f t="shared" si="8"/>
        <v/>
      </c>
    </row>
    <row r="34" spans="2:51" ht="12.75">
      <c r="B34" s="20" t="str">
        <f t="shared" si="10"/>
        <v/>
      </c>
      <c r="C34" s="5"/>
      <c r="D34" s="5"/>
      <c r="E34" s="5"/>
      <c r="G34" s="5" t="str">
        <f>SUBSTITUTE(SUBSTITUTE(SUBSTITUTE(SUBSTITUTE(SUBSTITUTE(SUBSTITUTE(SUBSTITUTE(SUBSTITUTE(SUBSTITUTE(C34," ",""),".",""),"#","No"),"%",""),"(",""),"*",""),"-",""),"/",""),")","")</f>
        <v/>
      </c>
      <c r="H34" s="117" t="str">
        <f t="shared" si="12"/>
        <v/>
      </c>
      <c r="I34" s="5" t="str">
        <f t="shared" si="2"/>
        <v/>
      </c>
      <c r="J34" s="5" t="str">
        <f t="shared" si="3"/>
        <v/>
      </c>
      <c r="K34" s="138"/>
      <c r="L34" s="5"/>
      <c r="M34" s="75"/>
      <c r="N34" s="77"/>
      <c r="O34" s="26"/>
      <c r="P34" s="26"/>
      <c r="Q34" s="118" t="str">
        <f t="shared" si="4"/>
        <v/>
      </c>
      <c r="R34" s="153"/>
      <c r="S34" s="138"/>
      <c r="T34" s="148"/>
      <c r="U34" s="146"/>
      <c r="V34" s="146"/>
      <c r="W34" s="139"/>
      <c r="X34" s="139"/>
      <c r="Y34" s="148"/>
      <c r="Z34" s="138" t="str">
        <f t="shared" si="9"/>
        <v/>
      </c>
      <c r="AA34" s="138" t="str">
        <f t="shared" si="11"/>
        <v/>
      </c>
      <c r="AB34" s="239"/>
      <c r="AC34" s="325"/>
      <c r="AD34" s="325"/>
      <c r="AE34" s="325"/>
      <c r="AF34" s="325"/>
      <c r="AG34" s="325"/>
      <c r="AH34" s="325"/>
      <c r="AI34" s="325"/>
      <c r="AJ34" s="325"/>
      <c r="AK34" s="325"/>
      <c r="AL34" s="325"/>
      <c r="AM34" s="325"/>
      <c r="AN34" s="325"/>
      <c r="AO34" s="325"/>
      <c r="AP34" s="136"/>
      <c r="AQ34" s="136"/>
      <c r="AR34" s="136" t="str">
        <f t="shared" si="5"/>
        <v/>
      </c>
      <c r="AS34" s="136" t="str">
        <f t="shared" si="5"/>
        <v/>
      </c>
      <c r="AT34" s="5" t="str">
        <f t="shared" si="6"/>
        <v/>
      </c>
      <c r="AV34" s="27" t="str">
        <f t="shared" si="7"/>
        <v/>
      </c>
      <c r="AW34" s="27"/>
      <c r="AY34" s="122" t="str">
        <f t="shared" si="8"/>
        <v/>
      </c>
    </row>
    <row r="35" spans="2:51" ht="12.75">
      <c r="B35" s="20" t="str">
        <f t="shared" si="10"/>
        <v/>
      </c>
      <c r="C35" s="5"/>
      <c r="D35" s="5"/>
      <c r="E35" s="5"/>
      <c r="G35" s="5" t="str">
        <f>SUBSTITUTE(SUBSTITUTE(SUBSTITUTE(SUBSTITUTE(SUBSTITUTE(SUBSTITUTE(SUBSTITUTE(SUBSTITUTE(SUBSTITUTE(C35," ",""),".",""),"#","No"),"%",""),"(",""),"*",""),"-",""),"/",""),")","")</f>
        <v/>
      </c>
      <c r="H35" s="117" t="str">
        <f t="shared" si="12"/>
        <v/>
      </c>
      <c r="I35" s="5" t="str">
        <f t="shared" si="2"/>
        <v/>
      </c>
      <c r="J35" s="5" t="str">
        <f t="shared" si="3"/>
        <v/>
      </c>
      <c r="K35" s="138"/>
      <c r="L35" s="5"/>
      <c r="M35" s="75"/>
      <c r="N35" s="77"/>
      <c r="O35" s="26"/>
      <c r="P35" s="26"/>
      <c r="Q35" s="118" t="str">
        <f t="shared" si="4"/>
        <v/>
      </c>
      <c r="R35" s="153"/>
      <c r="S35" s="138"/>
      <c r="T35" s="148"/>
      <c r="U35" s="146"/>
      <c r="V35" s="146"/>
      <c r="W35" s="139"/>
      <c r="X35" s="139"/>
      <c r="Y35" s="148"/>
      <c r="Z35" s="138" t="str">
        <f t="shared" si="9"/>
        <v/>
      </c>
      <c r="AA35" s="138" t="str">
        <f t="shared" si="11"/>
        <v/>
      </c>
      <c r="AB35" s="239"/>
      <c r="AC35" s="325"/>
      <c r="AD35" s="325"/>
      <c r="AE35" s="325"/>
      <c r="AF35" s="325"/>
      <c r="AG35" s="325"/>
      <c r="AH35" s="325"/>
      <c r="AI35" s="325"/>
      <c r="AJ35" s="325"/>
      <c r="AK35" s="325"/>
      <c r="AL35" s="325"/>
      <c r="AM35" s="325"/>
      <c r="AN35" s="325"/>
      <c r="AO35" s="325"/>
      <c r="AP35" s="136"/>
      <c r="AQ35" s="136"/>
      <c r="AR35" s="136" t="str">
        <f t="shared" si="5"/>
        <v/>
      </c>
      <c r="AS35" s="136" t="str">
        <f t="shared" si="5"/>
        <v/>
      </c>
      <c r="AT35" s="5" t="str">
        <f t="shared" si="6"/>
        <v/>
      </c>
      <c r="AV35" s="27" t="str">
        <f t="shared" si="7"/>
        <v/>
      </c>
      <c r="AW35" s="27"/>
      <c r="AY35" s="122" t="str">
        <f t="shared" si="8"/>
        <v/>
      </c>
    </row>
    <row r="36" spans="2:51" ht="12.75">
      <c r="B36" s="20" t="str">
        <f t="shared" si="10"/>
        <v/>
      </c>
      <c r="C36" s="5"/>
      <c r="D36" s="5"/>
      <c r="E36" s="5"/>
      <c r="G36" s="5" t="str">
        <f>SUBSTITUTE(SUBSTITUTE(SUBSTITUTE(SUBSTITUTE(SUBSTITUTE(SUBSTITUTE(SUBSTITUTE(SUBSTITUTE(SUBSTITUTE(C36," ",""),".",""),"#","No"),"%",""),"(",""),"*",""),"-",""),"/",""),")","")</f>
        <v/>
      </c>
      <c r="H36" s="117" t="str">
        <f t="shared" si="12"/>
        <v/>
      </c>
      <c r="I36" s="5" t="str">
        <f t="shared" si="2"/>
        <v/>
      </c>
      <c r="J36" s="5" t="str">
        <f t="shared" si="3"/>
        <v/>
      </c>
      <c r="K36" s="138"/>
      <c r="L36" s="5"/>
      <c r="M36" s="75"/>
      <c r="N36" s="77"/>
      <c r="O36" s="26"/>
      <c r="P36" s="26"/>
      <c r="Q36" s="118" t="str">
        <f t="shared" si="4"/>
        <v/>
      </c>
      <c r="R36" s="153"/>
      <c r="S36" s="138"/>
      <c r="T36" s="148"/>
      <c r="U36" s="146"/>
      <c r="V36" s="146"/>
      <c r="W36" s="139"/>
      <c r="X36" s="139"/>
      <c r="Y36" s="148"/>
      <c r="Z36" s="138" t="str">
        <f t="shared" si="9"/>
        <v/>
      </c>
      <c r="AA36" s="138" t="str">
        <f t="shared" si="11"/>
        <v/>
      </c>
      <c r="AB36" s="239"/>
      <c r="AC36" s="325"/>
      <c r="AD36" s="325"/>
      <c r="AE36" s="325"/>
      <c r="AF36" s="325"/>
      <c r="AG36" s="325"/>
      <c r="AH36" s="325"/>
      <c r="AI36" s="325"/>
      <c r="AJ36" s="325"/>
      <c r="AK36" s="325"/>
      <c r="AL36" s="325"/>
      <c r="AM36" s="325"/>
      <c r="AN36" s="325"/>
      <c r="AO36" s="325"/>
      <c r="AP36" s="136"/>
      <c r="AQ36" s="136"/>
      <c r="AR36" s="136" t="str">
        <f t="shared" si="5"/>
        <v/>
      </c>
      <c r="AS36" s="136" t="str">
        <f t="shared" si="5"/>
        <v/>
      </c>
      <c r="AT36" s="5" t="str">
        <f t="shared" si="6"/>
        <v/>
      </c>
      <c r="AV36" s="27" t="str">
        <f>IF(G36="","",+"          ["&amp;TRIM(G36)&amp;"] ["&amp;TRIM(I36)&amp;"]"&amp;IF(H36="","","("&amp;H36&amp;")")&amp;" "&amp;TRIM(J36)&amp;IF(G46="","",","))</f>
        <v/>
      </c>
      <c r="AW36" s="27"/>
      <c r="AY36" s="122" t="str">
        <f t="shared" si="8"/>
        <v/>
      </c>
    </row>
    <row r="37" spans="2:51" ht="12.75">
      <c r="B37" s="20" t="str">
        <f t="shared" si="10"/>
        <v/>
      </c>
      <c r="C37" s="5"/>
      <c r="D37" s="5"/>
      <c r="E37" s="5"/>
      <c r="G37" s="5" t="str">
        <f t="shared" ref="G37:G45" si="13">SUBSTITUTE(SUBSTITUTE(SUBSTITUTE(SUBSTITUTE(SUBSTITUTE(SUBSTITUTE(SUBSTITUTE(SUBSTITUTE(SUBSTITUTE(C37," ",""),".",""),"#","No"),"%",""),"(",""),"*",""),"-",""),"/",""),")","")</f>
        <v/>
      </c>
      <c r="H37" s="117" t="str">
        <f t="shared" si="12"/>
        <v/>
      </c>
      <c r="I37" s="5" t="str">
        <f t="shared" si="2"/>
        <v/>
      </c>
      <c r="J37" s="5" t="str">
        <f t="shared" si="3"/>
        <v/>
      </c>
      <c r="K37" s="138"/>
      <c r="L37" s="5"/>
      <c r="M37" s="75"/>
      <c r="N37" s="77"/>
      <c r="O37" s="26"/>
      <c r="P37" s="26"/>
      <c r="Q37" s="118" t="str">
        <f t="shared" si="4"/>
        <v/>
      </c>
      <c r="R37" s="153"/>
      <c r="S37" s="138"/>
      <c r="T37" s="148"/>
      <c r="U37" s="146"/>
      <c r="V37" s="146"/>
      <c r="W37" s="139"/>
      <c r="X37" s="139"/>
      <c r="Y37" s="148"/>
      <c r="Z37" s="138" t="str">
        <f t="shared" si="9"/>
        <v/>
      </c>
      <c r="AA37" s="138" t="str">
        <f t="shared" si="11"/>
        <v/>
      </c>
      <c r="AB37" s="239"/>
      <c r="AC37" s="325"/>
      <c r="AD37" s="325"/>
      <c r="AE37" s="325"/>
      <c r="AF37" s="325"/>
      <c r="AG37" s="325"/>
      <c r="AH37" s="325"/>
      <c r="AI37" s="325"/>
      <c r="AJ37" s="325"/>
      <c r="AK37" s="325"/>
      <c r="AL37" s="325"/>
      <c r="AM37" s="325"/>
      <c r="AN37" s="325"/>
      <c r="AO37" s="325"/>
      <c r="AP37" s="136"/>
      <c r="AQ37" s="136"/>
      <c r="AR37" s="136" t="str">
        <f t="shared" si="5"/>
        <v/>
      </c>
      <c r="AS37" s="136" t="str">
        <f t="shared" si="5"/>
        <v/>
      </c>
      <c r="AT37" s="5" t="str">
        <f t="shared" si="6"/>
        <v/>
      </c>
      <c r="AV37" s="27" t="str">
        <f>IF(G37="","",+"          ["&amp;TRIM(G37)&amp;"] ["&amp;TRIM(I37)&amp;"]"&amp;IF(H37="","","("&amp;H37&amp;")")&amp;" "&amp;TRIM(J37)&amp;IF(G38="","",","))</f>
        <v/>
      </c>
      <c r="AW37" s="27"/>
      <c r="AY37" s="122" t="str">
        <f t="shared" si="8"/>
        <v/>
      </c>
    </row>
    <row r="38" spans="2:51" ht="12.75">
      <c r="B38" s="20" t="str">
        <f t="shared" si="10"/>
        <v/>
      </c>
      <c r="C38" s="5"/>
      <c r="D38" s="5"/>
      <c r="E38" s="5"/>
      <c r="G38" s="5" t="str">
        <f t="shared" si="13"/>
        <v/>
      </c>
      <c r="H38" s="117" t="str">
        <f t="shared" si="12"/>
        <v/>
      </c>
      <c r="I38" s="5" t="str">
        <f t="shared" si="2"/>
        <v/>
      </c>
      <c r="J38" s="5" t="str">
        <f t="shared" si="3"/>
        <v/>
      </c>
      <c r="K38" s="138"/>
      <c r="L38" s="5"/>
      <c r="M38" s="75"/>
      <c r="N38" s="77"/>
      <c r="O38" s="26"/>
      <c r="P38" s="26"/>
      <c r="Q38" s="118" t="str">
        <f t="shared" si="4"/>
        <v/>
      </c>
      <c r="R38" s="153"/>
      <c r="S38" s="138"/>
      <c r="T38" s="148"/>
      <c r="U38" s="146"/>
      <c r="V38" s="146"/>
      <c r="W38" s="139"/>
      <c r="X38" s="139"/>
      <c r="Y38" s="148"/>
      <c r="Z38" s="138" t="str">
        <f t="shared" si="9"/>
        <v/>
      </c>
      <c r="AA38" s="138" t="str">
        <f t="shared" si="11"/>
        <v/>
      </c>
      <c r="AB38" s="239"/>
      <c r="AC38" s="325"/>
      <c r="AD38" s="325"/>
      <c r="AE38" s="325"/>
      <c r="AF38" s="325"/>
      <c r="AG38" s="325"/>
      <c r="AH38" s="325"/>
      <c r="AI38" s="325"/>
      <c r="AJ38" s="325"/>
      <c r="AK38" s="325"/>
      <c r="AL38" s="325"/>
      <c r="AM38" s="325"/>
      <c r="AN38" s="325"/>
      <c r="AO38" s="325"/>
      <c r="AP38" s="136"/>
      <c r="AQ38" s="136"/>
      <c r="AR38" s="136" t="str">
        <f t="shared" si="5"/>
        <v/>
      </c>
      <c r="AS38" s="136" t="str">
        <f t="shared" si="5"/>
        <v/>
      </c>
      <c r="AT38" s="5" t="str">
        <f t="shared" si="6"/>
        <v/>
      </c>
      <c r="AV38" s="27" t="str">
        <f>IF(G38="","",+"          ["&amp;TRIM(G38)&amp;"] ["&amp;TRIM(I38)&amp;"]"&amp;IF(H38="","","("&amp;H38&amp;")")&amp;" "&amp;TRIM(J38)&amp;IF(G39="","",","))</f>
        <v/>
      </c>
      <c r="AW38" s="27"/>
      <c r="AY38" s="122" t="str">
        <f t="shared" si="8"/>
        <v/>
      </c>
    </row>
    <row r="39" spans="2:51" ht="12.75">
      <c r="B39" s="20" t="str">
        <f t="shared" si="10"/>
        <v/>
      </c>
      <c r="C39" s="5"/>
      <c r="D39" s="5"/>
      <c r="E39" s="5"/>
      <c r="G39" s="5" t="str">
        <f t="shared" si="13"/>
        <v/>
      </c>
      <c r="H39" s="117" t="str">
        <f t="shared" si="12"/>
        <v/>
      </c>
      <c r="I39" s="5" t="str">
        <f t="shared" si="2"/>
        <v/>
      </c>
      <c r="J39" s="5" t="str">
        <f t="shared" si="3"/>
        <v/>
      </c>
      <c r="K39" s="138"/>
      <c r="L39" s="5"/>
      <c r="M39" s="75"/>
      <c r="N39" s="77"/>
      <c r="O39" s="26"/>
      <c r="P39" s="26"/>
      <c r="Q39" s="118" t="str">
        <f t="shared" si="4"/>
        <v/>
      </c>
      <c r="R39" s="153"/>
      <c r="S39" s="138"/>
      <c r="T39" s="148"/>
      <c r="U39" s="146"/>
      <c r="V39" s="146"/>
      <c r="W39" s="139"/>
      <c r="X39" s="139"/>
      <c r="Y39" s="148"/>
      <c r="Z39" s="138" t="str">
        <f t="shared" si="9"/>
        <v/>
      </c>
      <c r="AA39" s="138" t="str">
        <f t="shared" si="11"/>
        <v/>
      </c>
      <c r="AB39" s="239"/>
      <c r="AC39" s="325"/>
      <c r="AD39" s="325"/>
      <c r="AE39" s="325"/>
      <c r="AF39" s="325"/>
      <c r="AG39" s="325"/>
      <c r="AH39" s="325"/>
      <c r="AI39" s="325"/>
      <c r="AJ39" s="325"/>
      <c r="AK39" s="325"/>
      <c r="AL39" s="325"/>
      <c r="AM39" s="325"/>
      <c r="AN39" s="325"/>
      <c r="AO39" s="325"/>
      <c r="AP39" s="136"/>
      <c r="AQ39" s="136"/>
      <c r="AR39" s="136" t="str">
        <f t="shared" si="5"/>
        <v/>
      </c>
      <c r="AS39" s="136" t="str">
        <f t="shared" si="5"/>
        <v/>
      </c>
      <c r="AT39" s="5" t="str">
        <f t="shared" si="6"/>
        <v/>
      </c>
      <c r="AV39" s="27" t="str">
        <f>IF(G39="","",+"          ["&amp;TRIM(G39)&amp;"] ["&amp;TRIM(I39)&amp;"]"&amp;IF(H39="","","("&amp;H39&amp;")")&amp;" "&amp;TRIM(J39)&amp;IF(G69="","",","))</f>
        <v/>
      </c>
      <c r="AW39" s="27"/>
      <c r="AY39" s="122" t="str">
        <f t="shared" si="8"/>
        <v/>
      </c>
    </row>
    <row r="40" spans="2:51" ht="12.75">
      <c r="B40" s="20" t="str">
        <f t="shared" si="10"/>
        <v/>
      </c>
      <c r="C40" s="5"/>
      <c r="D40" s="5"/>
      <c r="E40" s="5"/>
      <c r="G40" s="5" t="str">
        <f t="shared" si="13"/>
        <v/>
      </c>
      <c r="H40" s="117" t="str">
        <f t="shared" si="12"/>
        <v/>
      </c>
      <c r="I40" s="5" t="str">
        <f t="shared" si="2"/>
        <v/>
      </c>
      <c r="J40" s="5" t="str">
        <f t="shared" si="3"/>
        <v/>
      </c>
      <c r="K40" s="138"/>
      <c r="L40" s="5"/>
      <c r="M40" s="75"/>
      <c r="N40" s="77"/>
      <c r="O40" s="26"/>
      <c r="P40" s="26"/>
      <c r="Q40" s="118" t="str">
        <f t="shared" si="4"/>
        <v/>
      </c>
      <c r="R40" s="153"/>
      <c r="S40" s="138"/>
      <c r="T40" s="148"/>
      <c r="U40" s="146"/>
      <c r="V40" s="146"/>
      <c r="W40" s="139"/>
      <c r="X40" s="139"/>
      <c r="Y40" s="148"/>
      <c r="Z40" s="138" t="str">
        <f t="shared" si="9"/>
        <v/>
      </c>
      <c r="AA40" s="138" t="str">
        <f t="shared" si="11"/>
        <v/>
      </c>
      <c r="AB40" s="239"/>
      <c r="AC40" s="325"/>
      <c r="AD40" s="325"/>
      <c r="AE40" s="325"/>
      <c r="AF40" s="325"/>
      <c r="AG40" s="325"/>
      <c r="AH40" s="325"/>
      <c r="AI40" s="325"/>
      <c r="AJ40" s="325"/>
      <c r="AK40" s="325"/>
      <c r="AL40" s="325"/>
      <c r="AM40" s="325"/>
      <c r="AN40" s="325"/>
      <c r="AO40" s="325"/>
      <c r="AP40" s="136"/>
      <c r="AQ40" s="136"/>
      <c r="AR40" s="136" t="str">
        <f t="shared" si="5"/>
        <v/>
      </c>
      <c r="AS40" s="136" t="str">
        <f t="shared" si="5"/>
        <v/>
      </c>
      <c r="AT40" s="5" t="str">
        <f t="shared" si="6"/>
        <v/>
      </c>
      <c r="AV40" s="27" t="str">
        <f>IF(G40="","",+"          ["&amp;TRIM(G40)&amp;"] ["&amp;TRIM(I40)&amp;"]"&amp;IF(H40="","","("&amp;H40&amp;")")&amp;" "&amp;TRIM(J40)&amp;IF(G68="","",","))</f>
        <v/>
      </c>
      <c r="AW40" s="27"/>
      <c r="AY40" s="122" t="str">
        <f t="shared" si="8"/>
        <v/>
      </c>
    </row>
    <row r="41" spans="2:51" ht="12.75">
      <c r="B41" s="20" t="str">
        <f t="shared" si="10"/>
        <v/>
      </c>
      <c r="C41" s="5"/>
      <c r="D41" s="5"/>
      <c r="E41" s="5"/>
      <c r="G41" s="5" t="str">
        <f t="shared" si="13"/>
        <v/>
      </c>
      <c r="H41" s="117" t="str">
        <f t="shared" si="12"/>
        <v/>
      </c>
      <c r="I41" s="5" t="str">
        <f t="shared" si="2"/>
        <v/>
      </c>
      <c r="J41" s="5" t="str">
        <f t="shared" si="3"/>
        <v/>
      </c>
      <c r="K41" s="138"/>
      <c r="L41" s="5"/>
      <c r="M41" s="75"/>
      <c r="N41" s="77"/>
      <c r="O41" s="26"/>
      <c r="P41" s="26"/>
      <c r="Q41" s="118" t="str">
        <f t="shared" si="4"/>
        <v/>
      </c>
      <c r="R41" s="153"/>
      <c r="S41" s="138"/>
      <c r="T41" s="148"/>
      <c r="U41" s="146"/>
      <c r="V41" s="146"/>
      <c r="W41" s="139"/>
      <c r="X41" s="139"/>
      <c r="Y41" s="148"/>
      <c r="Z41" s="138" t="str">
        <f t="shared" si="9"/>
        <v/>
      </c>
      <c r="AA41" s="138" t="str">
        <f t="shared" si="11"/>
        <v/>
      </c>
      <c r="AB41" s="239"/>
      <c r="AC41" s="325"/>
      <c r="AD41" s="325"/>
      <c r="AE41" s="325"/>
      <c r="AF41" s="325"/>
      <c r="AG41" s="325"/>
      <c r="AH41" s="325"/>
      <c r="AI41" s="325"/>
      <c r="AJ41" s="325"/>
      <c r="AK41" s="325"/>
      <c r="AL41" s="325"/>
      <c r="AM41" s="325"/>
      <c r="AN41" s="325"/>
      <c r="AO41" s="325"/>
      <c r="AP41" s="136"/>
      <c r="AQ41" s="136"/>
      <c r="AR41" s="136" t="str">
        <f t="shared" si="5"/>
        <v/>
      </c>
      <c r="AS41" s="136" t="str">
        <f t="shared" si="5"/>
        <v/>
      </c>
      <c r="AT41" s="5" t="str">
        <f t="shared" si="6"/>
        <v/>
      </c>
      <c r="AV41" s="27" t="str">
        <f>IF(G41="","",+"          ["&amp;TRIM(G41)&amp;"] ["&amp;TRIM(I41)&amp;"]"&amp;IF(H41="","","("&amp;H41&amp;")")&amp;" "&amp;TRIM(J41)&amp;IF(G42="","",","))</f>
        <v/>
      </c>
      <c r="AW41" s="27"/>
      <c r="AY41" s="122" t="str">
        <f t="shared" si="8"/>
        <v/>
      </c>
    </row>
    <row r="42" spans="2:51" ht="12.75">
      <c r="B42" s="20" t="str">
        <f t="shared" si="10"/>
        <v/>
      </c>
      <c r="C42" s="5"/>
      <c r="D42" s="5"/>
      <c r="E42" s="5"/>
      <c r="G42" s="5" t="str">
        <f t="shared" si="13"/>
        <v/>
      </c>
      <c r="H42" s="117" t="str">
        <f t="shared" si="12"/>
        <v/>
      </c>
      <c r="I42" s="5" t="str">
        <f t="shared" si="2"/>
        <v/>
      </c>
      <c r="J42" s="5" t="str">
        <f>IF(C42=0,"",(IF(ISERROR(VLOOKUP(G42,$D$120:$D$127,1,FALSE)),""," NOT")&amp;" NULL"))</f>
        <v/>
      </c>
      <c r="K42" s="138"/>
      <c r="L42" s="5"/>
      <c r="M42" s="75"/>
      <c r="N42" s="77"/>
      <c r="O42" s="26"/>
      <c r="P42" s="26"/>
      <c r="Q42" s="118" t="str">
        <f t="shared" si="4"/>
        <v/>
      </c>
      <c r="R42" s="153"/>
      <c r="S42" s="138"/>
      <c r="T42" s="148"/>
      <c r="U42" s="146"/>
      <c r="V42" s="146"/>
      <c r="W42" s="139"/>
      <c r="X42" s="139"/>
      <c r="Y42" s="148"/>
      <c r="Z42" s="138" t="str">
        <f t="shared" si="9"/>
        <v/>
      </c>
      <c r="AA42" s="138" t="str">
        <f t="shared" si="11"/>
        <v/>
      </c>
      <c r="AB42" s="239"/>
      <c r="AC42" s="325"/>
      <c r="AD42" s="325"/>
      <c r="AE42" s="325"/>
      <c r="AF42" s="325"/>
      <c r="AG42" s="325"/>
      <c r="AH42" s="325"/>
      <c r="AI42" s="325"/>
      <c r="AJ42" s="325"/>
      <c r="AK42" s="325"/>
      <c r="AL42" s="325"/>
      <c r="AM42" s="325"/>
      <c r="AN42" s="325"/>
      <c r="AO42" s="325"/>
      <c r="AP42" s="136"/>
      <c r="AQ42" s="136"/>
      <c r="AR42" s="136" t="str">
        <f t="shared" si="5"/>
        <v/>
      </c>
      <c r="AS42" s="136" t="str">
        <f t="shared" si="5"/>
        <v/>
      </c>
      <c r="AT42" s="5" t="str">
        <f t="shared" si="6"/>
        <v/>
      </c>
      <c r="AV42" s="27" t="str">
        <f>IF(G42="","",+"          ["&amp;TRIM(G42)&amp;"] ["&amp;TRIM(I42)&amp;"]"&amp;IF(H42="","","("&amp;H42&amp;")")&amp;" "&amp;TRIM(J42)&amp;IF(G45="","",","))</f>
        <v/>
      </c>
      <c r="AW42" s="27"/>
      <c r="AY42" s="122" t="str">
        <f t="shared" si="8"/>
        <v/>
      </c>
    </row>
    <row r="43" spans="2:51" ht="12.75">
      <c r="B43" s="20" t="str">
        <f t="shared" si="10"/>
        <v/>
      </c>
      <c r="C43" s="5"/>
      <c r="D43" s="5"/>
      <c r="E43" s="5"/>
      <c r="G43" s="5" t="str">
        <f t="shared" si="13"/>
        <v/>
      </c>
      <c r="H43" s="117" t="str">
        <f t="shared" si="12"/>
        <v/>
      </c>
      <c r="I43" s="5" t="str">
        <f t="shared" si="2"/>
        <v/>
      </c>
      <c r="J43" s="5" t="str">
        <f t="shared" si="3"/>
        <v/>
      </c>
      <c r="K43" s="138"/>
      <c r="L43" s="5"/>
      <c r="M43" s="75"/>
      <c r="N43" s="77"/>
      <c r="O43" s="26"/>
      <c r="P43" s="26"/>
      <c r="Q43" s="118" t="str">
        <f t="shared" si="4"/>
        <v/>
      </c>
      <c r="R43" s="153"/>
      <c r="S43" s="138"/>
      <c r="T43" s="148"/>
      <c r="U43" s="146"/>
      <c r="V43" s="146"/>
      <c r="W43" s="139"/>
      <c r="X43" s="139"/>
      <c r="Y43" s="148"/>
      <c r="Z43" s="138" t="str">
        <f t="shared" si="9"/>
        <v/>
      </c>
      <c r="AA43" s="138" t="str">
        <f t="shared" si="11"/>
        <v/>
      </c>
      <c r="AB43" s="239"/>
      <c r="AC43" s="325"/>
      <c r="AD43" s="325"/>
      <c r="AE43" s="325"/>
      <c r="AF43" s="325"/>
      <c r="AG43" s="325"/>
      <c r="AH43" s="325"/>
      <c r="AI43" s="325"/>
      <c r="AJ43" s="325"/>
      <c r="AK43" s="325"/>
      <c r="AL43" s="325"/>
      <c r="AM43" s="325"/>
      <c r="AN43" s="325"/>
      <c r="AO43" s="325"/>
      <c r="AP43" s="136"/>
      <c r="AQ43" s="136"/>
      <c r="AR43" s="136" t="str">
        <f t="shared" si="5"/>
        <v/>
      </c>
      <c r="AS43" s="136" t="str">
        <f t="shared" si="5"/>
        <v/>
      </c>
      <c r="AT43" s="5" t="str">
        <f t="shared" si="6"/>
        <v/>
      </c>
      <c r="AV43" s="27" t="str">
        <f>IF(G43="","",+"          ["&amp;TRIM(G43)&amp;"] ["&amp;TRIM(I43)&amp;"]"&amp;IF(H43="","","("&amp;H43&amp;")")&amp;" "&amp;TRIM(J43)&amp;IF(G44="","",","))</f>
        <v/>
      </c>
      <c r="AW43" s="27"/>
      <c r="AY43" s="122" t="str">
        <f t="shared" si="8"/>
        <v/>
      </c>
    </row>
    <row r="44" spans="2:51" ht="12.75">
      <c r="B44" s="20" t="str">
        <f t="shared" si="10"/>
        <v/>
      </c>
      <c r="C44" s="5"/>
      <c r="D44" s="5"/>
      <c r="E44" s="5"/>
      <c r="G44" s="5" t="str">
        <f t="shared" si="13"/>
        <v/>
      </c>
      <c r="H44" s="117" t="str">
        <f t="shared" si="12"/>
        <v/>
      </c>
      <c r="I44" s="5" t="str">
        <f t="shared" si="2"/>
        <v/>
      </c>
      <c r="J44" s="5" t="str">
        <f t="shared" si="3"/>
        <v/>
      </c>
      <c r="K44" s="138"/>
      <c r="L44" s="5"/>
      <c r="M44" s="75"/>
      <c r="N44" s="77"/>
      <c r="O44" s="26"/>
      <c r="P44" s="26"/>
      <c r="Q44" s="118" t="str">
        <f t="shared" si="4"/>
        <v/>
      </c>
      <c r="R44" s="153"/>
      <c r="S44" s="138"/>
      <c r="T44" s="148"/>
      <c r="U44" s="146"/>
      <c r="V44" s="146"/>
      <c r="W44" s="139"/>
      <c r="X44" s="139"/>
      <c r="Y44" s="148"/>
      <c r="Z44" s="138" t="str">
        <f t="shared" si="9"/>
        <v/>
      </c>
      <c r="AA44" s="138" t="str">
        <f t="shared" si="11"/>
        <v/>
      </c>
      <c r="AB44" s="239"/>
      <c r="AC44" s="325"/>
      <c r="AD44" s="325"/>
      <c r="AE44" s="325"/>
      <c r="AF44" s="325"/>
      <c r="AG44" s="325"/>
      <c r="AH44" s="325"/>
      <c r="AI44" s="325"/>
      <c r="AJ44" s="325"/>
      <c r="AK44" s="325"/>
      <c r="AL44" s="325"/>
      <c r="AM44" s="325"/>
      <c r="AN44" s="325"/>
      <c r="AO44" s="325"/>
      <c r="AP44" s="136"/>
      <c r="AQ44" s="136"/>
      <c r="AR44" s="136" t="str">
        <f t="shared" si="5"/>
        <v/>
      </c>
      <c r="AS44" s="136" t="str">
        <f t="shared" si="5"/>
        <v/>
      </c>
      <c r="AT44" s="5" t="str">
        <f t="shared" si="6"/>
        <v/>
      </c>
      <c r="AV44" s="27" t="str">
        <f>IF(G44="","",+"          ["&amp;TRIM(G44)&amp;"] ["&amp;TRIM(I44)&amp;"]"&amp;IF(H44="","","("&amp;H44&amp;")")&amp;" "&amp;TRIM(J44)&amp;IF(G45="","",","))</f>
        <v/>
      </c>
      <c r="AW44" s="27"/>
      <c r="AY44" s="122" t="str">
        <f t="shared" si="8"/>
        <v/>
      </c>
    </row>
    <row r="45" spans="2:51" ht="12.75">
      <c r="B45" s="20" t="str">
        <f t="shared" si="10"/>
        <v/>
      </c>
      <c r="C45" s="5"/>
      <c r="D45" s="5"/>
      <c r="E45" s="5"/>
      <c r="G45" s="5" t="str">
        <f t="shared" si="13"/>
        <v/>
      </c>
      <c r="H45" s="117" t="str">
        <f t="shared" si="12"/>
        <v/>
      </c>
      <c r="I45" s="5" t="str">
        <f t="shared" si="2"/>
        <v/>
      </c>
      <c r="J45" s="5" t="str">
        <f t="shared" si="3"/>
        <v/>
      </c>
      <c r="K45" s="138"/>
      <c r="L45" s="5"/>
      <c r="M45" s="75"/>
      <c r="N45" s="77"/>
      <c r="O45" s="26"/>
      <c r="P45" s="26"/>
      <c r="Q45" s="118" t="str">
        <f t="shared" si="4"/>
        <v/>
      </c>
      <c r="R45" s="153"/>
      <c r="S45" s="138"/>
      <c r="T45" s="148"/>
      <c r="U45" s="146"/>
      <c r="V45" s="146"/>
      <c r="W45" s="139"/>
      <c r="X45" s="139"/>
      <c r="Y45" s="148"/>
      <c r="Z45" s="138" t="str">
        <f t="shared" si="9"/>
        <v/>
      </c>
      <c r="AA45" s="138" t="str">
        <f t="shared" si="11"/>
        <v/>
      </c>
      <c r="AB45" s="239"/>
      <c r="AC45" s="325"/>
      <c r="AD45" s="325"/>
      <c r="AE45" s="325"/>
      <c r="AF45" s="325"/>
      <c r="AG45" s="325"/>
      <c r="AH45" s="325"/>
      <c r="AI45" s="325"/>
      <c r="AJ45" s="325"/>
      <c r="AK45" s="325"/>
      <c r="AL45" s="325"/>
      <c r="AM45" s="325"/>
      <c r="AN45" s="325"/>
      <c r="AO45" s="325"/>
      <c r="AP45" s="136"/>
      <c r="AQ45" s="136"/>
      <c r="AR45" s="136" t="str">
        <f t="shared" si="5"/>
        <v/>
      </c>
      <c r="AS45" s="136" t="str">
        <f t="shared" si="5"/>
        <v/>
      </c>
      <c r="AT45" s="5" t="str">
        <f t="shared" si="6"/>
        <v/>
      </c>
      <c r="AV45" s="27" t="str">
        <f>IF(G45="","",+"          ["&amp;TRIM(G45)&amp;"] ["&amp;TRIM(I45)&amp;"]"&amp;IF(H45="","","("&amp;H45&amp;")")&amp;" "&amp;TRIM(J45)&amp;IF(G54="","",","))</f>
        <v/>
      </c>
      <c r="AW45" s="27"/>
      <c r="AY45" s="122" t="str">
        <f t="shared" si="8"/>
        <v/>
      </c>
    </row>
    <row r="46" spans="2:51" ht="12.75">
      <c r="B46" s="20" t="str">
        <f t="shared" si="10"/>
        <v/>
      </c>
      <c r="C46" s="5"/>
      <c r="D46" s="5"/>
      <c r="E46" s="5"/>
      <c r="G46" s="5" t="str">
        <f>SUBSTITUTE(SUBSTITUTE(SUBSTITUTE(SUBSTITUTE(SUBSTITUTE(SUBSTITUTE(SUBSTITUTE(SUBSTITUTE(SUBSTITUTE(C46," ",""),".",""),"#","No"),"%",""),"(",""),"*",""),"-",""),"/",""),")","")</f>
        <v/>
      </c>
      <c r="H46" s="117" t="str">
        <f t="shared" si="12"/>
        <v/>
      </c>
      <c r="I46" s="5" t="str">
        <f>IF(E46=0,"",+E46)</f>
        <v/>
      </c>
      <c r="J46" s="5" t="str">
        <f>IF(C46=0,"",(IF(ISERROR(VLOOKUP(G46,$D$120:$D$127,1,FALSE)),""," NOT")&amp;" NULL"))</f>
        <v/>
      </c>
      <c r="K46" s="138"/>
      <c r="L46" s="5"/>
      <c r="M46" s="75"/>
      <c r="N46" s="77"/>
      <c r="O46" s="26"/>
      <c r="P46" s="26"/>
      <c r="Q46" s="118" t="str">
        <f>IF(M46=0,"",ROW())</f>
        <v/>
      </c>
      <c r="R46" s="153"/>
      <c r="S46" s="138"/>
      <c r="T46" s="148"/>
      <c r="U46" s="146"/>
      <c r="V46" s="146"/>
      <c r="W46" s="139"/>
      <c r="X46" s="139"/>
      <c r="Y46" s="148"/>
      <c r="Z46" s="138" t="str">
        <f t="shared" si="9"/>
        <v/>
      </c>
      <c r="AA46" s="138" t="str">
        <f t="shared" si="11"/>
        <v/>
      </c>
      <c r="AB46" s="239"/>
      <c r="AC46" s="325"/>
      <c r="AD46" s="325"/>
      <c r="AE46" s="325"/>
      <c r="AF46" s="325"/>
      <c r="AG46" s="325"/>
      <c r="AH46" s="325"/>
      <c r="AI46" s="325"/>
      <c r="AJ46" s="325"/>
      <c r="AK46" s="325"/>
      <c r="AL46" s="325"/>
      <c r="AM46" s="325"/>
      <c r="AN46" s="325"/>
      <c r="AO46" s="325"/>
      <c r="AP46" s="136"/>
      <c r="AQ46" s="136"/>
      <c r="AR46" s="136" t="str">
        <f t="shared" si="5"/>
        <v/>
      </c>
      <c r="AS46" s="136" t="str">
        <f t="shared" si="5"/>
        <v/>
      </c>
      <c r="AT46" s="5" t="str">
        <f t="shared" si="6"/>
        <v/>
      </c>
      <c r="AV46" s="27" t="str">
        <f>IF(G46="","",+"          ["&amp;TRIM(G46)&amp;"] ["&amp;TRIM(I46)&amp;"]"&amp;IF(H46="","","("&amp;H46&amp;")")&amp;" "&amp;TRIM(J46)&amp;IF(G47="","",","))</f>
        <v/>
      </c>
      <c r="AW46" s="27"/>
      <c r="AY46" s="122" t="str">
        <f t="shared" si="8"/>
        <v/>
      </c>
    </row>
    <row r="47" spans="2:51" ht="12.75">
      <c r="B47" s="20" t="str">
        <f t="shared" si="10"/>
        <v/>
      </c>
      <c r="C47" s="5"/>
      <c r="D47" s="5"/>
      <c r="E47" s="5"/>
      <c r="G47" s="5" t="str">
        <f>SUBSTITUTE(SUBSTITUTE(SUBSTITUTE(SUBSTITUTE(SUBSTITUTE(SUBSTITUTE(SUBSTITUTE(SUBSTITUTE(SUBSTITUTE(C47," ",""),".",""),"#","No"),"%",""),"(",""),"*",""),"-",""),"/",""),")","")</f>
        <v/>
      </c>
      <c r="H47" s="117" t="str">
        <f t="shared" si="12"/>
        <v/>
      </c>
      <c r="I47" s="5" t="str">
        <f>IF(E47=0,"",+E47)</f>
        <v/>
      </c>
      <c r="J47" s="5" t="str">
        <f>IF(C47=0,"",(IF(ISERROR(VLOOKUP(G47,$D$120:$D$127,1,FALSE)),""," NOT")&amp;" NULL"))</f>
        <v/>
      </c>
      <c r="K47" s="138"/>
      <c r="L47" s="5"/>
      <c r="M47" s="75"/>
      <c r="N47" s="77"/>
      <c r="O47" s="26"/>
      <c r="P47" s="26"/>
      <c r="Q47" s="118" t="str">
        <f>IF(M47=0,"",ROW())</f>
        <v/>
      </c>
      <c r="R47" s="153"/>
      <c r="S47" s="138"/>
      <c r="T47" s="148"/>
      <c r="U47" s="146"/>
      <c r="V47" s="146"/>
      <c r="W47" s="139"/>
      <c r="X47" s="139"/>
      <c r="Y47" s="148"/>
      <c r="Z47" s="138" t="str">
        <f t="shared" si="9"/>
        <v/>
      </c>
      <c r="AA47" s="138" t="str">
        <f t="shared" si="11"/>
        <v/>
      </c>
      <c r="AB47" s="239"/>
      <c r="AC47" s="325"/>
      <c r="AD47" s="325"/>
      <c r="AE47" s="325"/>
      <c r="AF47" s="325"/>
      <c r="AG47" s="325"/>
      <c r="AH47" s="325"/>
      <c r="AI47" s="325"/>
      <c r="AJ47" s="325"/>
      <c r="AK47" s="325"/>
      <c r="AL47" s="325"/>
      <c r="AM47" s="325"/>
      <c r="AN47" s="325"/>
      <c r="AO47" s="325"/>
      <c r="AP47" s="136"/>
      <c r="AQ47" s="136"/>
      <c r="AR47" s="136" t="str">
        <f t="shared" si="5"/>
        <v/>
      </c>
      <c r="AS47" s="136" t="str">
        <f t="shared" si="5"/>
        <v/>
      </c>
      <c r="AT47" s="5" t="str">
        <f t="shared" si="6"/>
        <v/>
      </c>
      <c r="AV47" s="27" t="str">
        <f>IF(G47="","",+"          ["&amp;TRIM(G47)&amp;"] ["&amp;TRIM(I47)&amp;"]"&amp;IF(H47="","","("&amp;H47&amp;")")&amp;" "&amp;TRIM(J47)&amp;IF(G48="","",","))</f>
        <v/>
      </c>
      <c r="AW47" s="27"/>
      <c r="AY47" s="122" t="str">
        <f t="shared" si="8"/>
        <v/>
      </c>
    </row>
    <row r="48" spans="2:51" ht="12.75">
      <c r="B48" s="20" t="str">
        <f t="shared" si="10"/>
        <v/>
      </c>
      <c r="C48" s="5"/>
      <c r="D48" s="5"/>
      <c r="E48" s="5"/>
      <c r="G48" s="5" t="str">
        <f>SUBSTITUTE(SUBSTITUTE(SUBSTITUTE(SUBSTITUTE(SUBSTITUTE(SUBSTITUTE(SUBSTITUTE(SUBSTITUTE(SUBSTITUTE(C48," ",""),".",""),"#","No"),"%",""),"(",""),"*",""),"-",""),"/",""),")","")</f>
        <v/>
      </c>
      <c r="H48" s="117" t="str">
        <f t="shared" si="12"/>
        <v/>
      </c>
      <c r="I48" s="5" t="str">
        <f>IF(E48=0,"",+E48)</f>
        <v/>
      </c>
      <c r="J48" s="5" t="str">
        <f>IF(C48=0,"",(IF(ISERROR(VLOOKUP(G48,$D$120:$D$127,1,FALSE)),""," NOT")&amp;" NULL"))</f>
        <v/>
      </c>
      <c r="K48" s="138"/>
      <c r="L48" s="5"/>
      <c r="M48" s="75"/>
      <c r="N48" s="77"/>
      <c r="O48" s="26"/>
      <c r="P48" s="26"/>
      <c r="Q48" s="118" t="str">
        <f>IF(M48=0,"",ROW())</f>
        <v/>
      </c>
      <c r="R48" s="153"/>
      <c r="S48" s="138"/>
      <c r="T48" s="148"/>
      <c r="U48" s="146"/>
      <c r="V48" s="146"/>
      <c r="W48" s="139"/>
      <c r="X48" s="139"/>
      <c r="Y48" s="148"/>
      <c r="Z48" s="138" t="str">
        <f t="shared" si="9"/>
        <v/>
      </c>
      <c r="AA48" s="138" t="str">
        <f t="shared" si="11"/>
        <v/>
      </c>
      <c r="AB48" s="239"/>
      <c r="AC48" s="325"/>
      <c r="AD48" s="325"/>
      <c r="AE48" s="325"/>
      <c r="AF48" s="325"/>
      <c r="AG48" s="325"/>
      <c r="AH48" s="325"/>
      <c r="AI48" s="325"/>
      <c r="AJ48" s="325"/>
      <c r="AK48" s="325"/>
      <c r="AL48" s="325"/>
      <c r="AM48" s="325"/>
      <c r="AN48" s="325"/>
      <c r="AO48" s="325"/>
      <c r="AP48" s="136"/>
      <c r="AQ48" s="136"/>
      <c r="AR48" s="136" t="str">
        <f t="shared" ref="AR48:AS79" si="14">IF(O48=0,"",ROW())</f>
        <v/>
      </c>
      <c r="AS48" s="136" t="str">
        <f t="shared" si="14"/>
        <v/>
      </c>
      <c r="AT48" s="5" t="str">
        <f t="shared" ref="AT48:AT79" si="15">IF(C48="","",C48&amp;IF(B49="","",","))</f>
        <v/>
      </c>
      <c r="AV48" s="27" t="str">
        <f>IF(G48="","",+"          ["&amp;TRIM(G48)&amp;"] ["&amp;TRIM(I48)&amp;"]"&amp;IF(H48="","","("&amp;H48&amp;")")&amp;" "&amp;TRIM(J48)&amp;IF(G96="","",","))</f>
        <v/>
      </c>
      <c r="AW48" s="27"/>
      <c r="AY48" s="122" t="str">
        <f t="shared" si="8"/>
        <v/>
      </c>
    </row>
    <row r="49" spans="2:51" ht="12.75">
      <c r="B49" s="20" t="str">
        <f t="shared" si="10"/>
        <v/>
      </c>
      <c r="C49" s="5"/>
      <c r="D49" s="5"/>
      <c r="E49" s="5"/>
      <c r="G49" s="5" t="str">
        <f>SUBSTITUTE(SUBSTITUTE(SUBSTITUTE(SUBSTITUTE(SUBSTITUTE(SUBSTITUTE(SUBSTITUTE(SUBSTITUTE(SUBSTITUTE(C49," ",""),".",""),"#","No"),"%",""),"(",""),"*",""),"-",""),"/",""),")","")</f>
        <v/>
      </c>
      <c r="H49" s="117" t="str">
        <f t="shared" si="12"/>
        <v/>
      </c>
      <c r="I49" s="5" t="str">
        <f>IF(E49=0,"",+E49)</f>
        <v/>
      </c>
      <c r="J49" s="5" t="str">
        <f>IF(C49=0,"",(IF(ISERROR(VLOOKUP(G49,$D$120:$D$127,1,FALSE)),""," NOT")&amp;" NULL"))</f>
        <v/>
      </c>
      <c r="K49" s="138"/>
      <c r="L49" s="5"/>
      <c r="M49" s="75"/>
      <c r="N49" s="77"/>
      <c r="O49" s="26"/>
      <c r="P49" s="26"/>
      <c r="Q49" s="118" t="str">
        <f>IF(M49=0,"",ROW())</f>
        <v/>
      </c>
      <c r="R49" s="153"/>
      <c r="S49" s="138"/>
      <c r="T49" s="148"/>
      <c r="U49" s="146"/>
      <c r="V49" s="146"/>
      <c r="W49" s="139"/>
      <c r="X49" s="139"/>
      <c r="Y49" s="148"/>
      <c r="Z49" s="138" t="str">
        <f t="shared" si="9"/>
        <v/>
      </c>
      <c r="AA49" s="138" t="str">
        <f t="shared" si="11"/>
        <v/>
      </c>
      <c r="AB49" s="239"/>
      <c r="AC49" s="325"/>
      <c r="AD49" s="325"/>
      <c r="AE49" s="325"/>
      <c r="AF49" s="325"/>
      <c r="AG49" s="325"/>
      <c r="AH49" s="325"/>
      <c r="AI49" s="325"/>
      <c r="AJ49" s="325"/>
      <c r="AK49" s="325"/>
      <c r="AL49" s="325"/>
      <c r="AM49" s="325"/>
      <c r="AN49" s="325"/>
      <c r="AO49" s="325"/>
      <c r="AP49" s="136"/>
      <c r="AQ49" s="136"/>
      <c r="AR49" s="136" t="str">
        <f t="shared" si="14"/>
        <v/>
      </c>
      <c r="AS49" s="136" t="str">
        <f t="shared" si="14"/>
        <v/>
      </c>
      <c r="AT49" s="5" t="str">
        <f t="shared" si="15"/>
        <v/>
      </c>
      <c r="AV49" s="27" t="str">
        <f>IF(G49="","",+"          ["&amp;TRIM(G49)&amp;"] ["&amp;TRIM(I49)&amp;"]"&amp;IF(H49="","","("&amp;H49&amp;")")&amp;" "&amp;TRIM(J49)&amp;IF(G95="","",","))</f>
        <v/>
      </c>
      <c r="AW49" s="27"/>
      <c r="AY49" s="122" t="str">
        <f t="shared" si="8"/>
        <v/>
      </c>
    </row>
    <row r="50" spans="2:51" ht="12.75">
      <c r="B50" s="20" t="str">
        <f t="shared" si="10"/>
        <v/>
      </c>
      <c r="C50" s="5"/>
      <c r="D50" s="5"/>
      <c r="E50" s="5"/>
      <c r="G50" s="5" t="str">
        <f t="shared" ref="G50:G93" si="16">SUBSTITUTE(SUBSTITUTE(SUBSTITUTE(SUBSTITUTE(SUBSTITUTE(SUBSTITUTE(SUBSTITUTE(SUBSTITUTE(SUBSTITUTE(C50," ",""),".",""),"#","No"),"%",""),"(",""),"*",""),"-",""),"/",""),")","")</f>
        <v/>
      </c>
      <c r="H50" s="117" t="str">
        <f t="shared" si="12"/>
        <v/>
      </c>
      <c r="I50" s="5" t="str">
        <f t="shared" ref="I50:I93" si="17">IF(E50=0,"",+E50)</f>
        <v/>
      </c>
      <c r="J50" s="5" t="str">
        <f t="shared" ref="J50:J93" si="18">IF(C50=0,"",(IF(ISERROR(VLOOKUP(G50,$D$120:$D$127,1,FALSE)),""," NOT")&amp;" NULL"))</f>
        <v/>
      </c>
      <c r="K50" s="138"/>
      <c r="L50" s="5"/>
      <c r="M50" s="75"/>
      <c r="N50" s="77"/>
      <c r="O50" s="26"/>
      <c r="P50" s="26"/>
      <c r="Q50" s="118" t="str">
        <f t="shared" ref="Q50:Q93" si="19">IF(M50=0,"",ROW())</f>
        <v/>
      </c>
      <c r="R50" s="153"/>
      <c r="S50" s="138"/>
      <c r="T50" s="148"/>
      <c r="U50" s="146"/>
      <c r="V50" s="146"/>
      <c r="W50" s="139"/>
      <c r="X50" s="139"/>
      <c r="Y50" s="148"/>
      <c r="Z50" s="138" t="str">
        <f t="shared" si="9"/>
        <v/>
      </c>
      <c r="AA50" s="138" t="str">
        <f t="shared" si="11"/>
        <v/>
      </c>
      <c r="AB50" s="239"/>
      <c r="AC50" s="325"/>
      <c r="AD50" s="325"/>
      <c r="AE50" s="325"/>
      <c r="AF50" s="325"/>
      <c r="AG50" s="325"/>
      <c r="AH50" s="325"/>
      <c r="AI50" s="325"/>
      <c r="AJ50" s="325"/>
      <c r="AK50" s="325"/>
      <c r="AL50" s="325"/>
      <c r="AM50" s="325"/>
      <c r="AN50" s="325"/>
      <c r="AO50" s="325"/>
      <c r="AP50" s="136"/>
      <c r="AQ50" s="136"/>
      <c r="AR50" s="136" t="str">
        <f t="shared" si="14"/>
        <v/>
      </c>
      <c r="AS50" s="136" t="str">
        <f t="shared" si="14"/>
        <v/>
      </c>
      <c r="AT50" s="5" t="str">
        <f t="shared" si="15"/>
        <v/>
      </c>
      <c r="AV50" s="27" t="str">
        <f>IF(G50="","",+"          ["&amp;TRIM(G50)&amp;"] ["&amp;TRIM(I50)&amp;"]"&amp;IF(H50="","","("&amp;H50&amp;")")&amp;" "&amp;TRIM(J50)&amp;IF(G51="","",","))</f>
        <v/>
      </c>
      <c r="AW50" s="27"/>
      <c r="AY50" s="122" t="str">
        <f t="shared" si="8"/>
        <v/>
      </c>
    </row>
    <row r="51" spans="2:51" ht="12.75">
      <c r="B51" s="20" t="str">
        <f t="shared" si="10"/>
        <v/>
      </c>
      <c r="C51" s="5"/>
      <c r="D51" s="5"/>
      <c r="E51" s="5"/>
      <c r="G51" s="5" t="str">
        <f t="shared" si="16"/>
        <v/>
      </c>
      <c r="H51" s="117" t="str">
        <f t="shared" si="12"/>
        <v/>
      </c>
      <c r="I51" s="5" t="str">
        <f t="shared" si="17"/>
        <v/>
      </c>
      <c r="J51" s="5" t="str">
        <f t="shared" si="18"/>
        <v/>
      </c>
      <c r="K51" s="138"/>
      <c r="L51" s="5"/>
      <c r="M51" s="75"/>
      <c r="N51" s="77"/>
      <c r="O51" s="26"/>
      <c r="P51" s="26"/>
      <c r="Q51" s="118" t="str">
        <f t="shared" si="19"/>
        <v/>
      </c>
      <c r="R51" s="153"/>
      <c r="S51" s="138"/>
      <c r="T51" s="148"/>
      <c r="U51" s="146"/>
      <c r="V51" s="146"/>
      <c r="W51" s="139"/>
      <c r="X51" s="139"/>
      <c r="Y51" s="148"/>
      <c r="Z51" s="138" t="str">
        <f t="shared" si="9"/>
        <v/>
      </c>
      <c r="AA51" s="138" t="str">
        <f t="shared" si="11"/>
        <v/>
      </c>
      <c r="AB51" s="239"/>
      <c r="AC51" s="325"/>
      <c r="AD51" s="325"/>
      <c r="AE51" s="325"/>
      <c r="AF51" s="325"/>
      <c r="AG51" s="325"/>
      <c r="AH51" s="325"/>
      <c r="AI51" s="325"/>
      <c r="AJ51" s="325"/>
      <c r="AK51" s="325"/>
      <c r="AL51" s="325"/>
      <c r="AM51" s="325"/>
      <c r="AN51" s="325"/>
      <c r="AO51" s="325"/>
      <c r="AP51" s="136"/>
      <c r="AQ51" s="136"/>
      <c r="AR51" s="136" t="str">
        <f t="shared" si="14"/>
        <v/>
      </c>
      <c r="AS51" s="136" t="str">
        <f t="shared" si="14"/>
        <v/>
      </c>
      <c r="AT51" s="5" t="str">
        <f t="shared" si="15"/>
        <v/>
      </c>
      <c r="AV51" s="27" t="str">
        <f>IF(G51="","",+"          ["&amp;TRIM(G51)&amp;"] ["&amp;TRIM(I51)&amp;"]"&amp;IF(H51="","","("&amp;H51&amp;")")&amp;" "&amp;TRIM(J51)&amp;IF(G54="","",","))</f>
        <v/>
      </c>
      <c r="AW51" s="27"/>
      <c r="AY51" s="122" t="str">
        <f t="shared" si="8"/>
        <v/>
      </c>
    </row>
    <row r="52" spans="2:51" ht="12.75">
      <c r="B52" s="20" t="str">
        <f t="shared" si="10"/>
        <v/>
      </c>
      <c r="C52" s="5"/>
      <c r="D52" s="5"/>
      <c r="E52" s="5"/>
      <c r="G52" s="5" t="str">
        <f t="shared" si="16"/>
        <v/>
      </c>
      <c r="H52" s="117" t="str">
        <f t="shared" si="12"/>
        <v/>
      </c>
      <c r="I52" s="5" t="str">
        <f t="shared" si="17"/>
        <v/>
      </c>
      <c r="J52" s="5" t="str">
        <f t="shared" si="18"/>
        <v/>
      </c>
      <c r="K52" s="138"/>
      <c r="L52" s="5"/>
      <c r="M52" s="75"/>
      <c r="N52" s="77"/>
      <c r="O52" s="26"/>
      <c r="P52" s="26"/>
      <c r="Q52" s="118" t="str">
        <f t="shared" si="19"/>
        <v/>
      </c>
      <c r="R52" s="153"/>
      <c r="S52" s="138"/>
      <c r="T52" s="148"/>
      <c r="U52" s="146"/>
      <c r="V52" s="146"/>
      <c r="W52" s="139"/>
      <c r="X52" s="139"/>
      <c r="Y52" s="148"/>
      <c r="Z52" s="138" t="str">
        <f t="shared" si="9"/>
        <v/>
      </c>
      <c r="AA52" s="138" t="str">
        <f t="shared" si="11"/>
        <v/>
      </c>
      <c r="AB52" s="239"/>
      <c r="AC52" s="325"/>
      <c r="AD52" s="325"/>
      <c r="AE52" s="325"/>
      <c r="AF52" s="325"/>
      <c r="AG52" s="325"/>
      <c r="AH52" s="325"/>
      <c r="AI52" s="325"/>
      <c r="AJ52" s="325"/>
      <c r="AK52" s="325"/>
      <c r="AL52" s="325"/>
      <c r="AM52" s="325"/>
      <c r="AN52" s="325"/>
      <c r="AO52" s="325"/>
      <c r="AP52" s="136"/>
      <c r="AQ52" s="136"/>
      <c r="AR52" s="136" t="str">
        <f t="shared" si="14"/>
        <v/>
      </c>
      <c r="AS52" s="136" t="str">
        <f t="shared" si="14"/>
        <v/>
      </c>
      <c r="AT52" s="5" t="str">
        <f t="shared" si="15"/>
        <v/>
      </c>
      <c r="AV52" s="27" t="str">
        <f>IF(G52="","",+"          ["&amp;TRIM(G52)&amp;"] ["&amp;TRIM(I52)&amp;"]"&amp;IF(H52="","","("&amp;H52&amp;")")&amp;" "&amp;TRIM(J52)&amp;IF(G53="","",","))</f>
        <v/>
      </c>
      <c r="AW52" s="27"/>
      <c r="AY52" s="122" t="str">
        <f t="shared" si="8"/>
        <v/>
      </c>
    </row>
    <row r="53" spans="2:51" ht="12.75">
      <c r="B53" s="20" t="str">
        <f t="shared" si="10"/>
        <v/>
      </c>
      <c r="C53" s="5"/>
      <c r="D53" s="5"/>
      <c r="E53" s="5"/>
      <c r="G53" s="5" t="str">
        <f t="shared" si="16"/>
        <v/>
      </c>
      <c r="H53" s="117" t="str">
        <f t="shared" si="12"/>
        <v/>
      </c>
      <c r="I53" s="5" t="str">
        <f t="shared" si="17"/>
        <v/>
      </c>
      <c r="J53" s="5" t="str">
        <f t="shared" si="18"/>
        <v/>
      </c>
      <c r="K53" s="138"/>
      <c r="L53" s="5"/>
      <c r="M53" s="75"/>
      <c r="N53" s="77"/>
      <c r="O53" s="26"/>
      <c r="P53" s="26"/>
      <c r="Q53" s="118" t="str">
        <f t="shared" si="19"/>
        <v/>
      </c>
      <c r="R53" s="153"/>
      <c r="S53" s="138"/>
      <c r="T53" s="148"/>
      <c r="U53" s="146"/>
      <c r="V53" s="146"/>
      <c r="W53" s="139"/>
      <c r="X53" s="139"/>
      <c r="Y53" s="148"/>
      <c r="Z53" s="138" t="str">
        <f t="shared" si="9"/>
        <v/>
      </c>
      <c r="AA53" s="138" t="str">
        <f t="shared" si="11"/>
        <v/>
      </c>
      <c r="AB53" s="239"/>
      <c r="AC53" s="325"/>
      <c r="AD53" s="325"/>
      <c r="AE53" s="325"/>
      <c r="AF53" s="325"/>
      <c r="AG53" s="325"/>
      <c r="AH53" s="325"/>
      <c r="AI53" s="325"/>
      <c r="AJ53" s="325"/>
      <c r="AK53" s="325"/>
      <c r="AL53" s="325"/>
      <c r="AM53" s="325"/>
      <c r="AN53" s="325"/>
      <c r="AO53" s="325"/>
      <c r="AP53" s="136"/>
      <c r="AQ53" s="136"/>
      <c r="AR53" s="136" t="str">
        <f t="shared" si="14"/>
        <v/>
      </c>
      <c r="AS53" s="136" t="str">
        <f t="shared" si="14"/>
        <v/>
      </c>
      <c r="AT53" s="5" t="str">
        <f t="shared" si="15"/>
        <v/>
      </c>
      <c r="AV53" s="27" t="str">
        <f>IF(G53="","",+"          ["&amp;TRIM(G53)&amp;"] ["&amp;TRIM(I53)&amp;"]"&amp;IF(H53="","","("&amp;H53&amp;")")&amp;" "&amp;TRIM(J53)&amp;IF(G54="","",","))</f>
        <v/>
      </c>
      <c r="AW53" s="27"/>
      <c r="AY53" s="122" t="str">
        <f t="shared" si="8"/>
        <v/>
      </c>
    </row>
    <row r="54" spans="2:51" ht="12.75">
      <c r="B54" s="20" t="str">
        <f t="shared" si="10"/>
        <v/>
      </c>
      <c r="C54" s="5"/>
      <c r="D54" s="5"/>
      <c r="E54" s="5"/>
      <c r="G54" s="5" t="str">
        <f t="shared" si="16"/>
        <v/>
      </c>
      <c r="H54" s="117" t="str">
        <f t="shared" si="12"/>
        <v/>
      </c>
      <c r="I54" s="5" t="str">
        <f t="shared" si="17"/>
        <v/>
      </c>
      <c r="J54" s="5" t="str">
        <f t="shared" si="18"/>
        <v/>
      </c>
      <c r="K54" s="138"/>
      <c r="L54" s="5"/>
      <c r="M54" s="75"/>
      <c r="N54" s="77"/>
      <c r="O54" s="26"/>
      <c r="P54" s="26"/>
      <c r="Q54" s="118" t="str">
        <f t="shared" si="19"/>
        <v/>
      </c>
      <c r="R54" s="153"/>
      <c r="S54" s="138"/>
      <c r="T54" s="148"/>
      <c r="U54" s="146"/>
      <c r="V54" s="146"/>
      <c r="W54" s="139"/>
      <c r="X54" s="139"/>
      <c r="Y54" s="148"/>
      <c r="Z54" s="138" t="str">
        <f t="shared" si="9"/>
        <v/>
      </c>
      <c r="AA54" s="138" t="str">
        <f t="shared" si="11"/>
        <v/>
      </c>
      <c r="AB54" s="239"/>
      <c r="AC54" s="325"/>
      <c r="AD54" s="325"/>
      <c r="AE54" s="325"/>
      <c r="AF54" s="325"/>
      <c r="AG54" s="325"/>
      <c r="AH54" s="325"/>
      <c r="AI54" s="325"/>
      <c r="AJ54" s="325"/>
      <c r="AK54" s="325"/>
      <c r="AL54" s="325"/>
      <c r="AM54" s="325"/>
      <c r="AN54" s="325"/>
      <c r="AO54" s="325"/>
      <c r="AP54" s="136"/>
      <c r="AQ54" s="136"/>
      <c r="AR54" s="136" t="str">
        <f t="shared" si="14"/>
        <v/>
      </c>
      <c r="AS54" s="136" t="str">
        <f t="shared" si="14"/>
        <v/>
      </c>
      <c r="AT54" s="5" t="str">
        <f t="shared" si="15"/>
        <v/>
      </c>
      <c r="AV54" s="27" t="str">
        <f>IF(G54="","",+"          ["&amp;TRIM(G54)&amp;"] ["&amp;TRIM(I54)&amp;"]"&amp;IF(H54="","","("&amp;H54&amp;")")&amp;" "&amp;TRIM(J54)&amp;IF(G63="","",","))</f>
        <v/>
      </c>
      <c r="AW54" s="27"/>
      <c r="AY54" s="122" t="str">
        <f t="shared" si="8"/>
        <v/>
      </c>
    </row>
    <row r="55" spans="2:51" ht="12.75">
      <c r="B55" s="20" t="str">
        <f t="shared" si="10"/>
        <v/>
      </c>
      <c r="C55" s="5"/>
      <c r="D55" s="5"/>
      <c r="E55" s="5"/>
      <c r="G55" s="5" t="str">
        <f t="shared" si="16"/>
        <v/>
      </c>
      <c r="H55" s="117" t="str">
        <f t="shared" si="12"/>
        <v/>
      </c>
      <c r="I55" s="5" t="str">
        <f t="shared" si="17"/>
        <v/>
      </c>
      <c r="J55" s="5" t="str">
        <f t="shared" si="18"/>
        <v/>
      </c>
      <c r="K55" s="138"/>
      <c r="L55" s="5"/>
      <c r="M55" s="75"/>
      <c r="N55" s="77"/>
      <c r="O55" s="26"/>
      <c r="P55" s="26"/>
      <c r="Q55" s="118" t="str">
        <f t="shared" si="19"/>
        <v/>
      </c>
      <c r="R55" s="153"/>
      <c r="S55" s="138"/>
      <c r="T55" s="148"/>
      <c r="U55" s="146"/>
      <c r="V55" s="146"/>
      <c r="W55" s="139"/>
      <c r="X55" s="139"/>
      <c r="Y55" s="148"/>
      <c r="Z55" s="138" t="str">
        <f t="shared" si="9"/>
        <v/>
      </c>
      <c r="AA55" s="138" t="str">
        <f t="shared" si="11"/>
        <v/>
      </c>
      <c r="AB55" s="239"/>
      <c r="AC55" s="325"/>
      <c r="AD55" s="325"/>
      <c r="AE55" s="325"/>
      <c r="AF55" s="325"/>
      <c r="AG55" s="325"/>
      <c r="AH55" s="325"/>
      <c r="AI55" s="325"/>
      <c r="AJ55" s="325"/>
      <c r="AK55" s="325"/>
      <c r="AL55" s="325"/>
      <c r="AM55" s="325"/>
      <c r="AN55" s="325"/>
      <c r="AO55" s="325"/>
      <c r="AP55" s="136"/>
      <c r="AQ55" s="136"/>
      <c r="AR55" s="136" t="str">
        <f t="shared" si="14"/>
        <v/>
      </c>
      <c r="AS55" s="136" t="str">
        <f t="shared" si="14"/>
        <v/>
      </c>
      <c r="AT55" s="5" t="str">
        <f t="shared" si="15"/>
        <v/>
      </c>
      <c r="AV55" s="27" t="str">
        <f>IF(G55="","",+"          ["&amp;TRIM(G55)&amp;"] ["&amp;TRIM(I55)&amp;"]"&amp;IF(H55="","","("&amp;H55&amp;")")&amp;" "&amp;TRIM(J55)&amp;IF(G56="","",","))</f>
        <v/>
      </c>
      <c r="AW55" s="27"/>
      <c r="AY55" s="122" t="str">
        <f t="shared" si="8"/>
        <v/>
      </c>
    </row>
    <row r="56" spans="2:51" ht="12.75">
      <c r="B56" s="20" t="str">
        <f t="shared" si="10"/>
        <v/>
      </c>
      <c r="C56" s="5"/>
      <c r="D56" s="5"/>
      <c r="E56" s="5"/>
      <c r="G56" s="5" t="str">
        <f t="shared" si="16"/>
        <v/>
      </c>
      <c r="H56" s="117" t="str">
        <f t="shared" si="12"/>
        <v/>
      </c>
      <c r="I56" s="5" t="str">
        <f t="shared" si="17"/>
        <v/>
      </c>
      <c r="J56" s="5" t="str">
        <f t="shared" si="18"/>
        <v/>
      </c>
      <c r="K56" s="138"/>
      <c r="L56" s="5"/>
      <c r="M56" s="75"/>
      <c r="N56" s="77"/>
      <c r="O56" s="26"/>
      <c r="P56" s="26"/>
      <c r="Q56" s="118" t="str">
        <f t="shared" si="19"/>
        <v/>
      </c>
      <c r="R56" s="153"/>
      <c r="S56" s="138"/>
      <c r="T56" s="148"/>
      <c r="U56" s="146"/>
      <c r="V56" s="146"/>
      <c r="W56" s="139"/>
      <c r="X56" s="139"/>
      <c r="Y56" s="148"/>
      <c r="Z56" s="138" t="str">
        <f t="shared" si="9"/>
        <v/>
      </c>
      <c r="AA56" s="138" t="str">
        <f t="shared" si="11"/>
        <v/>
      </c>
      <c r="AB56" s="239"/>
      <c r="AC56" s="325"/>
      <c r="AD56" s="325"/>
      <c r="AE56" s="325"/>
      <c r="AF56" s="325"/>
      <c r="AG56" s="325"/>
      <c r="AH56" s="325"/>
      <c r="AI56" s="325"/>
      <c r="AJ56" s="325"/>
      <c r="AK56" s="325"/>
      <c r="AL56" s="325"/>
      <c r="AM56" s="325"/>
      <c r="AN56" s="325"/>
      <c r="AO56" s="325"/>
      <c r="AP56" s="136"/>
      <c r="AQ56" s="136"/>
      <c r="AR56" s="136" t="str">
        <f t="shared" si="14"/>
        <v/>
      </c>
      <c r="AS56" s="136" t="str">
        <f t="shared" si="14"/>
        <v/>
      </c>
      <c r="AT56" s="5" t="str">
        <f t="shared" si="15"/>
        <v/>
      </c>
      <c r="AV56" s="27" t="str">
        <f>IF(G56="","",+"          ["&amp;TRIM(G56)&amp;"] ["&amp;TRIM(I56)&amp;"]"&amp;IF(H56="","","("&amp;H56&amp;")")&amp;" "&amp;TRIM(J56)&amp;IF(G62="","",","))</f>
        <v/>
      </c>
      <c r="AW56" s="27"/>
      <c r="AY56" s="122" t="str">
        <f t="shared" si="8"/>
        <v/>
      </c>
    </row>
    <row r="57" spans="2:51" ht="12.75">
      <c r="B57" s="20" t="str">
        <f t="shared" si="10"/>
        <v/>
      </c>
      <c r="C57" s="5"/>
      <c r="D57" s="5"/>
      <c r="E57" s="5"/>
      <c r="G57" s="5" t="str">
        <f t="shared" si="16"/>
        <v/>
      </c>
      <c r="H57" s="117" t="str">
        <f t="shared" si="12"/>
        <v/>
      </c>
      <c r="I57" s="5" t="str">
        <f t="shared" si="17"/>
        <v/>
      </c>
      <c r="J57" s="5" t="str">
        <f t="shared" si="18"/>
        <v/>
      </c>
      <c r="K57" s="138"/>
      <c r="L57" s="5"/>
      <c r="M57" s="75"/>
      <c r="N57" s="77"/>
      <c r="O57" s="26"/>
      <c r="P57" s="26"/>
      <c r="Q57" s="118" t="str">
        <f t="shared" si="19"/>
        <v/>
      </c>
      <c r="R57" s="153"/>
      <c r="S57" s="138"/>
      <c r="T57" s="148"/>
      <c r="U57" s="146"/>
      <c r="V57" s="146"/>
      <c r="W57" s="139"/>
      <c r="X57" s="139"/>
      <c r="Y57" s="148"/>
      <c r="Z57" s="138" t="str">
        <f t="shared" si="9"/>
        <v/>
      </c>
      <c r="AA57" s="138" t="str">
        <f t="shared" si="11"/>
        <v/>
      </c>
      <c r="AB57" s="239"/>
      <c r="AC57" s="325"/>
      <c r="AD57" s="325"/>
      <c r="AE57" s="325"/>
      <c r="AF57" s="325"/>
      <c r="AG57" s="325"/>
      <c r="AH57" s="325"/>
      <c r="AI57" s="325"/>
      <c r="AJ57" s="325"/>
      <c r="AK57" s="325"/>
      <c r="AL57" s="325"/>
      <c r="AM57" s="325"/>
      <c r="AN57" s="325"/>
      <c r="AO57" s="325"/>
      <c r="AP57" s="136"/>
      <c r="AQ57" s="136"/>
      <c r="AR57" s="136" t="str">
        <f t="shared" si="14"/>
        <v/>
      </c>
      <c r="AS57" s="136" t="str">
        <f t="shared" si="14"/>
        <v/>
      </c>
      <c r="AT57" s="5" t="str">
        <f t="shared" si="15"/>
        <v/>
      </c>
      <c r="AV57" s="27" t="str">
        <f>IF(G57="","",+"          ["&amp;TRIM(G57)&amp;"] ["&amp;TRIM(I57)&amp;"]"&amp;IF(H57="","","("&amp;H57&amp;")")&amp;" "&amp;TRIM(J57)&amp;IF(G58="","",","))</f>
        <v/>
      </c>
      <c r="AW57" s="27"/>
      <c r="AY57" s="122" t="str">
        <f t="shared" si="8"/>
        <v/>
      </c>
    </row>
    <row r="58" spans="2:51" ht="12.75">
      <c r="B58" s="20" t="str">
        <f t="shared" si="10"/>
        <v/>
      </c>
      <c r="C58" s="5"/>
      <c r="D58" s="5"/>
      <c r="E58" s="5"/>
      <c r="G58" s="5" t="str">
        <f t="shared" si="16"/>
        <v/>
      </c>
      <c r="H58" s="117" t="str">
        <f t="shared" si="12"/>
        <v/>
      </c>
      <c r="I58" s="5" t="str">
        <f t="shared" si="17"/>
        <v/>
      </c>
      <c r="J58" s="5" t="str">
        <f t="shared" si="18"/>
        <v/>
      </c>
      <c r="K58" s="138"/>
      <c r="L58" s="5"/>
      <c r="M58" s="75"/>
      <c r="N58" s="77"/>
      <c r="O58" s="26"/>
      <c r="P58" s="26"/>
      <c r="Q58" s="118" t="str">
        <f t="shared" si="19"/>
        <v/>
      </c>
      <c r="R58" s="153"/>
      <c r="S58" s="138"/>
      <c r="T58" s="148"/>
      <c r="U58" s="146"/>
      <c r="V58" s="146"/>
      <c r="W58" s="139"/>
      <c r="X58" s="139"/>
      <c r="Y58" s="148"/>
      <c r="Z58" s="138" t="str">
        <f t="shared" si="9"/>
        <v/>
      </c>
      <c r="AA58" s="138" t="str">
        <f t="shared" si="11"/>
        <v/>
      </c>
      <c r="AB58" s="239"/>
      <c r="AC58" s="325"/>
      <c r="AD58" s="325"/>
      <c r="AE58" s="325"/>
      <c r="AF58" s="325"/>
      <c r="AG58" s="325"/>
      <c r="AH58" s="325"/>
      <c r="AI58" s="325"/>
      <c r="AJ58" s="325"/>
      <c r="AK58" s="325"/>
      <c r="AL58" s="325"/>
      <c r="AM58" s="325"/>
      <c r="AN58" s="325"/>
      <c r="AO58" s="325"/>
      <c r="AP58" s="136"/>
      <c r="AQ58" s="136"/>
      <c r="AR58" s="136" t="str">
        <f t="shared" si="14"/>
        <v/>
      </c>
      <c r="AS58" s="136" t="str">
        <f t="shared" si="14"/>
        <v/>
      </c>
      <c r="AT58" s="5" t="str">
        <f t="shared" si="15"/>
        <v/>
      </c>
      <c r="AV58" s="27" t="str">
        <f>IF(G58="","",+"          ["&amp;TRIM(G58)&amp;"] ["&amp;TRIM(I58)&amp;"]"&amp;IF(H58="","","("&amp;H58&amp;")")&amp;" "&amp;TRIM(J58)&amp;IF(G61="","",","))</f>
        <v/>
      </c>
      <c r="AW58" s="27"/>
      <c r="AY58" s="122" t="str">
        <f t="shared" si="8"/>
        <v/>
      </c>
    </row>
    <row r="59" spans="2:51" ht="12.75">
      <c r="B59" s="20" t="str">
        <f t="shared" si="10"/>
        <v/>
      </c>
      <c r="C59" s="5"/>
      <c r="D59" s="5"/>
      <c r="E59" s="5"/>
      <c r="G59" s="5" t="str">
        <f t="shared" si="16"/>
        <v/>
      </c>
      <c r="H59" s="117" t="str">
        <f t="shared" si="12"/>
        <v/>
      </c>
      <c r="I59" s="5" t="str">
        <f t="shared" si="17"/>
        <v/>
      </c>
      <c r="J59" s="5" t="str">
        <f t="shared" si="18"/>
        <v/>
      </c>
      <c r="K59" s="5"/>
      <c r="L59" s="5"/>
      <c r="M59" s="75"/>
      <c r="N59" s="77"/>
      <c r="O59" s="26"/>
      <c r="P59" s="26"/>
      <c r="Q59" s="118" t="str">
        <f t="shared" si="19"/>
        <v/>
      </c>
      <c r="R59" s="153"/>
      <c r="S59" s="138"/>
      <c r="T59" s="148"/>
      <c r="U59" s="146"/>
      <c r="V59" s="146"/>
      <c r="W59" s="139"/>
      <c r="X59" s="139"/>
      <c r="Y59" s="148"/>
      <c r="Z59" s="138" t="str">
        <f t="shared" si="9"/>
        <v/>
      </c>
      <c r="AA59" s="138" t="str">
        <f t="shared" si="11"/>
        <v/>
      </c>
      <c r="AB59" s="239"/>
      <c r="AC59" s="325"/>
      <c r="AD59" s="325"/>
      <c r="AE59" s="325"/>
      <c r="AF59" s="325"/>
      <c r="AG59" s="325"/>
      <c r="AH59" s="325"/>
      <c r="AI59" s="325"/>
      <c r="AJ59" s="325"/>
      <c r="AK59" s="325"/>
      <c r="AL59" s="325"/>
      <c r="AM59" s="325"/>
      <c r="AN59" s="325"/>
      <c r="AO59" s="325"/>
      <c r="AP59" s="136"/>
      <c r="AQ59" s="136"/>
      <c r="AR59" s="136" t="str">
        <f t="shared" si="14"/>
        <v/>
      </c>
      <c r="AS59" s="136" t="str">
        <f t="shared" si="14"/>
        <v/>
      </c>
      <c r="AT59" s="5" t="str">
        <f t="shared" si="15"/>
        <v/>
      </c>
      <c r="AV59" s="27" t="str">
        <f t="shared" ref="AV59:AV64" si="20">IF(G59="","",+"          ["&amp;TRIM(G59)&amp;"] ["&amp;TRIM(I59)&amp;"]"&amp;IF(H59="","","("&amp;H59&amp;")")&amp;" "&amp;TRIM(J59)&amp;IF(G60="","",","))</f>
        <v/>
      </c>
      <c r="AW59" s="27"/>
      <c r="AY59" s="122" t="str">
        <f t="shared" si="8"/>
        <v/>
      </c>
    </row>
    <row r="60" spans="2:51" ht="12.75">
      <c r="B60" s="20" t="str">
        <f t="shared" si="10"/>
        <v/>
      </c>
      <c r="C60" s="5"/>
      <c r="D60" s="5"/>
      <c r="E60" s="5"/>
      <c r="G60" s="5" t="str">
        <f t="shared" si="16"/>
        <v/>
      </c>
      <c r="H60" s="117" t="str">
        <f t="shared" si="12"/>
        <v/>
      </c>
      <c r="I60" s="5" t="str">
        <f t="shared" si="17"/>
        <v/>
      </c>
      <c r="J60" s="5" t="str">
        <f t="shared" si="18"/>
        <v/>
      </c>
      <c r="K60" s="5"/>
      <c r="L60" s="5"/>
      <c r="M60" s="75"/>
      <c r="N60" s="77"/>
      <c r="O60" s="26"/>
      <c r="P60" s="26"/>
      <c r="Q60" s="118" t="str">
        <f t="shared" si="19"/>
        <v/>
      </c>
      <c r="R60" s="153"/>
      <c r="S60" s="138"/>
      <c r="T60" s="148"/>
      <c r="U60" s="146"/>
      <c r="V60" s="146"/>
      <c r="W60" s="139"/>
      <c r="X60" s="139"/>
      <c r="Y60" s="148"/>
      <c r="Z60" s="138" t="str">
        <f t="shared" si="9"/>
        <v/>
      </c>
      <c r="AA60" s="138" t="str">
        <f t="shared" si="11"/>
        <v/>
      </c>
      <c r="AB60" s="239"/>
      <c r="AC60" s="325"/>
      <c r="AD60" s="325"/>
      <c r="AE60" s="325"/>
      <c r="AF60" s="325"/>
      <c r="AG60" s="325"/>
      <c r="AH60" s="325"/>
      <c r="AI60" s="325"/>
      <c r="AJ60" s="325"/>
      <c r="AK60" s="325"/>
      <c r="AL60" s="325"/>
      <c r="AM60" s="325"/>
      <c r="AN60" s="325"/>
      <c r="AO60" s="325"/>
      <c r="AP60" s="136"/>
      <c r="AQ60" s="136"/>
      <c r="AR60" s="136" t="str">
        <f t="shared" si="14"/>
        <v/>
      </c>
      <c r="AS60" s="136" t="str">
        <f t="shared" si="14"/>
        <v/>
      </c>
      <c r="AT60" s="5" t="str">
        <f t="shared" si="15"/>
        <v/>
      </c>
      <c r="AV60" s="27" t="str">
        <f t="shared" si="20"/>
        <v/>
      </c>
      <c r="AW60" s="27"/>
      <c r="AY60" s="122" t="str">
        <f t="shared" si="8"/>
        <v/>
      </c>
    </row>
    <row r="61" spans="2:51" ht="12.75">
      <c r="B61" s="20" t="str">
        <f t="shared" si="10"/>
        <v/>
      </c>
      <c r="C61" s="5"/>
      <c r="D61" s="5"/>
      <c r="E61" s="5"/>
      <c r="G61" s="5" t="str">
        <f t="shared" si="16"/>
        <v/>
      </c>
      <c r="H61" s="117" t="str">
        <f t="shared" si="12"/>
        <v/>
      </c>
      <c r="I61" s="5" t="str">
        <f t="shared" si="17"/>
        <v/>
      </c>
      <c r="J61" s="5" t="str">
        <f t="shared" si="18"/>
        <v/>
      </c>
      <c r="K61" s="5"/>
      <c r="L61" s="5"/>
      <c r="M61" s="75"/>
      <c r="N61" s="77"/>
      <c r="O61" s="26"/>
      <c r="P61" s="26"/>
      <c r="Q61" s="118" t="str">
        <f t="shared" si="19"/>
        <v/>
      </c>
      <c r="R61" s="153"/>
      <c r="S61" s="138"/>
      <c r="T61" s="148"/>
      <c r="U61" s="146"/>
      <c r="V61" s="146"/>
      <c r="W61" s="139"/>
      <c r="X61" s="139"/>
      <c r="Y61" s="148"/>
      <c r="Z61" s="138" t="str">
        <f t="shared" si="9"/>
        <v/>
      </c>
      <c r="AA61" s="138" t="str">
        <f t="shared" si="11"/>
        <v/>
      </c>
      <c r="AB61" s="239"/>
      <c r="AC61" s="325"/>
      <c r="AD61" s="325"/>
      <c r="AE61" s="325"/>
      <c r="AF61" s="325"/>
      <c r="AG61" s="325"/>
      <c r="AH61" s="325"/>
      <c r="AI61" s="325"/>
      <c r="AJ61" s="325"/>
      <c r="AK61" s="325"/>
      <c r="AL61" s="325"/>
      <c r="AM61" s="325"/>
      <c r="AN61" s="325"/>
      <c r="AO61" s="325"/>
      <c r="AP61" s="136"/>
      <c r="AQ61" s="136"/>
      <c r="AR61" s="136" t="str">
        <f t="shared" si="14"/>
        <v/>
      </c>
      <c r="AS61" s="136" t="str">
        <f t="shared" si="14"/>
        <v/>
      </c>
      <c r="AT61" s="5" t="str">
        <f t="shared" si="15"/>
        <v/>
      </c>
      <c r="AV61" s="27" t="str">
        <f t="shared" si="20"/>
        <v/>
      </c>
      <c r="AW61" s="27"/>
      <c r="AY61" s="122" t="str">
        <f t="shared" si="8"/>
        <v/>
      </c>
    </row>
    <row r="62" spans="2:51" ht="12.75">
      <c r="B62" s="20" t="str">
        <f t="shared" si="10"/>
        <v/>
      </c>
      <c r="C62" s="5"/>
      <c r="D62" s="5"/>
      <c r="E62" s="5"/>
      <c r="G62" s="5" t="str">
        <f t="shared" si="16"/>
        <v/>
      </c>
      <c r="H62" s="117" t="str">
        <f t="shared" si="12"/>
        <v/>
      </c>
      <c r="I62" s="5" t="str">
        <f t="shared" si="17"/>
        <v/>
      </c>
      <c r="J62" s="5" t="str">
        <f t="shared" si="18"/>
        <v/>
      </c>
      <c r="K62" s="5"/>
      <c r="L62" s="5"/>
      <c r="M62" s="75"/>
      <c r="N62" s="77"/>
      <c r="O62" s="26"/>
      <c r="P62" s="26"/>
      <c r="Q62" s="118" t="str">
        <f t="shared" si="19"/>
        <v/>
      </c>
      <c r="R62" s="153"/>
      <c r="S62" s="138"/>
      <c r="T62" s="148"/>
      <c r="U62" s="146"/>
      <c r="V62" s="146"/>
      <c r="W62" s="139"/>
      <c r="X62" s="139"/>
      <c r="Y62" s="148"/>
      <c r="Z62" s="138" t="str">
        <f t="shared" si="9"/>
        <v/>
      </c>
      <c r="AA62" s="138" t="str">
        <f t="shared" si="11"/>
        <v/>
      </c>
      <c r="AB62" s="239"/>
      <c r="AC62" s="325"/>
      <c r="AD62" s="325"/>
      <c r="AE62" s="325"/>
      <c r="AF62" s="325"/>
      <c r="AG62" s="325"/>
      <c r="AH62" s="325"/>
      <c r="AI62" s="325"/>
      <c r="AJ62" s="325"/>
      <c r="AK62" s="325"/>
      <c r="AL62" s="325"/>
      <c r="AM62" s="325"/>
      <c r="AN62" s="325"/>
      <c r="AO62" s="325"/>
      <c r="AP62" s="136"/>
      <c r="AQ62" s="136"/>
      <c r="AR62" s="136" t="str">
        <f t="shared" si="14"/>
        <v/>
      </c>
      <c r="AS62" s="136" t="str">
        <f t="shared" si="14"/>
        <v/>
      </c>
      <c r="AT62" s="5" t="str">
        <f t="shared" si="15"/>
        <v/>
      </c>
      <c r="AV62" s="27" t="str">
        <f t="shared" si="20"/>
        <v/>
      </c>
      <c r="AW62" s="27"/>
      <c r="AY62" s="122" t="str">
        <f t="shared" si="8"/>
        <v/>
      </c>
    </row>
    <row r="63" spans="2:51" ht="12.75">
      <c r="B63" s="20" t="str">
        <f t="shared" si="10"/>
        <v/>
      </c>
      <c r="C63" s="5"/>
      <c r="D63" s="5"/>
      <c r="E63" s="5"/>
      <c r="G63" s="5" t="str">
        <f t="shared" si="16"/>
        <v/>
      </c>
      <c r="H63" s="117" t="str">
        <f t="shared" si="12"/>
        <v/>
      </c>
      <c r="I63" s="5" t="str">
        <f t="shared" si="17"/>
        <v/>
      </c>
      <c r="J63" s="5" t="str">
        <f t="shared" si="18"/>
        <v/>
      </c>
      <c r="K63" s="5"/>
      <c r="L63" s="5"/>
      <c r="M63" s="75"/>
      <c r="N63" s="77"/>
      <c r="O63" s="26"/>
      <c r="P63" s="26"/>
      <c r="Q63" s="118" t="str">
        <f t="shared" si="19"/>
        <v/>
      </c>
      <c r="R63" s="153"/>
      <c r="S63" s="138"/>
      <c r="T63" s="148"/>
      <c r="U63" s="146"/>
      <c r="V63" s="146"/>
      <c r="W63" s="139"/>
      <c r="X63" s="139"/>
      <c r="Y63" s="148"/>
      <c r="Z63" s="138" t="str">
        <f t="shared" si="9"/>
        <v/>
      </c>
      <c r="AA63" s="138" t="str">
        <f t="shared" si="11"/>
        <v/>
      </c>
      <c r="AB63" s="239"/>
      <c r="AC63" s="325"/>
      <c r="AD63" s="325"/>
      <c r="AE63" s="325"/>
      <c r="AF63" s="325"/>
      <c r="AG63" s="325"/>
      <c r="AH63" s="325"/>
      <c r="AI63" s="325"/>
      <c r="AJ63" s="325"/>
      <c r="AK63" s="325"/>
      <c r="AL63" s="325"/>
      <c r="AM63" s="325"/>
      <c r="AN63" s="325"/>
      <c r="AO63" s="325"/>
      <c r="AP63" s="136"/>
      <c r="AQ63" s="136"/>
      <c r="AR63" s="136" t="str">
        <f t="shared" si="14"/>
        <v/>
      </c>
      <c r="AS63" s="136" t="str">
        <f t="shared" si="14"/>
        <v/>
      </c>
      <c r="AT63" s="5" t="str">
        <f t="shared" si="15"/>
        <v/>
      </c>
      <c r="AV63" s="27" t="str">
        <f t="shared" si="20"/>
        <v/>
      </c>
      <c r="AW63" s="27"/>
      <c r="AY63" s="122" t="str">
        <f t="shared" si="8"/>
        <v/>
      </c>
    </row>
    <row r="64" spans="2:51" ht="12.75">
      <c r="B64" s="20" t="str">
        <f t="shared" si="10"/>
        <v/>
      </c>
      <c r="C64" s="5"/>
      <c r="D64" s="5"/>
      <c r="E64" s="5"/>
      <c r="G64" s="5" t="str">
        <f t="shared" si="16"/>
        <v/>
      </c>
      <c r="H64" s="117" t="str">
        <f t="shared" si="12"/>
        <v/>
      </c>
      <c r="I64" s="5" t="str">
        <f t="shared" si="17"/>
        <v/>
      </c>
      <c r="J64" s="5" t="str">
        <f t="shared" si="18"/>
        <v/>
      </c>
      <c r="K64" s="5"/>
      <c r="L64" s="5"/>
      <c r="M64" s="75"/>
      <c r="N64" s="77"/>
      <c r="O64" s="26"/>
      <c r="P64" s="26"/>
      <c r="Q64" s="118" t="str">
        <f t="shared" si="19"/>
        <v/>
      </c>
      <c r="R64" s="153"/>
      <c r="S64" s="138"/>
      <c r="T64" s="148"/>
      <c r="U64" s="146"/>
      <c r="V64" s="146"/>
      <c r="W64" s="139"/>
      <c r="X64" s="139"/>
      <c r="Y64" s="148"/>
      <c r="Z64" s="138" t="str">
        <f t="shared" si="9"/>
        <v/>
      </c>
      <c r="AA64" s="138" t="str">
        <f t="shared" si="11"/>
        <v/>
      </c>
      <c r="AB64" s="239"/>
      <c r="AC64" s="325"/>
      <c r="AD64" s="325"/>
      <c r="AE64" s="325"/>
      <c r="AF64" s="325"/>
      <c r="AG64" s="325"/>
      <c r="AH64" s="325"/>
      <c r="AI64" s="325"/>
      <c r="AJ64" s="325"/>
      <c r="AK64" s="325"/>
      <c r="AL64" s="325"/>
      <c r="AM64" s="325"/>
      <c r="AN64" s="325"/>
      <c r="AO64" s="325"/>
      <c r="AP64" s="136"/>
      <c r="AQ64" s="136"/>
      <c r="AR64" s="136" t="str">
        <f t="shared" si="14"/>
        <v/>
      </c>
      <c r="AS64" s="136" t="str">
        <f t="shared" si="14"/>
        <v/>
      </c>
      <c r="AT64" s="5" t="str">
        <f t="shared" si="15"/>
        <v/>
      </c>
      <c r="AV64" s="27" t="str">
        <f t="shared" si="20"/>
        <v/>
      </c>
      <c r="AW64" s="27"/>
      <c r="AY64" s="122" t="str">
        <f t="shared" si="8"/>
        <v/>
      </c>
    </row>
    <row r="65" spans="2:51" ht="12.75">
      <c r="B65" s="20" t="str">
        <f t="shared" si="10"/>
        <v/>
      </c>
      <c r="C65" s="5"/>
      <c r="D65" s="5"/>
      <c r="E65" s="5"/>
      <c r="G65" s="5" t="str">
        <f t="shared" si="16"/>
        <v/>
      </c>
      <c r="H65" s="117" t="str">
        <f t="shared" si="12"/>
        <v/>
      </c>
      <c r="I65" s="5" t="str">
        <f t="shared" si="17"/>
        <v/>
      </c>
      <c r="J65" s="5" t="str">
        <f t="shared" si="18"/>
        <v/>
      </c>
      <c r="K65" s="5"/>
      <c r="L65" s="5"/>
      <c r="M65" s="75"/>
      <c r="N65" s="77"/>
      <c r="O65" s="26"/>
      <c r="P65" s="26"/>
      <c r="Q65" s="118" t="str">
        <f t="shared" si="19"/>
        <v/>
      </c>
      <c r="R65" s="153"/>
      <c r="S65" s="138"/>
      <c r="T65" s="148"/>
      <c r="U65" s="146"/>
      <c r="V65" s="146"/>
      <c r="W65" s="139"/>
      <c r="X65" s="139"/>
      <c r="Y65" s="148"/>
      <c r="Z65" s="138" t="str">
        <f t="shared" si="9"/>
        <v/>
      </c>
      <c r="AA65" s="138" t="str">
        <f t="shared" si="11"/>
        <v/>
      </c>
      <c r="AB65" s="239"/>
      <c r="AC65" s="325"/>
      <c r="AD65" s="325"/>
      <c r="AE65" s="325"/>
      <c r="AF65" s="325"/>
      <c r="AG65" s="325"/>
      <c r="AH65" s="325"/>
      <c r="AI65" s="325"/>
      <c r="AJ65" s="325"/>
      <c r="AK65" s="325"/>
      <c r="AL65" s="325"/>
      <c r="AM65" s="325"/>
      <c r="AN65" s="325"/>
      <c r="AO65" s="325"/>
      <c r="AP65" s="136"/>
      <c r="AQ65" s="136"/>
      <c r="AR65" s="136" t="str">
        <f t="shared" si="14"/>
        <v/>
      </c>
      <c r="AS65" s="136" t="str">
        <f t="shared" si="14"/>
        <v/>
      </c>
      <c r="AT65" s="5" t="str">
        <f t="shared" si="15"/>
        <v/>
      </c>
      <c r="AV65" s="27" t="str">
        <f>IF(G65="","",+"          ["&amp;TRIM(G65)&amp;"] ["&amp;TRIM(I65)&amp;"]"&amp;IF(H65="","","("&amp;H65&amp;")")&amp;" "&amp;TRIM(J65)&amp;IF(G68="","",","))</f>
        <v/>
      </c>
      <c r="AW65" s="27"/>
      <c r="AY65" s="122" t="str">
        <f t="shared" si="8"/>
        <v/>
      </c>
    </row>
    <row r="66" spans="2:51" ht="12.75">
      <c r="B66" s="20" t="str">
        <f t="shared" si="10"/>
        <v/>
      </c>
      <c r="C66" s="5"/>
      <c r="D66" s="5"/>
      <c r="E66" s="5"/>
      <c r="G66" s="5" t="str">
        <f t="shared" si="16"/>
        <v/>
      </c>
      <c r="H66" s="117" t="str">
        <f t="shared" si="12"/>
        <v/>
      </c>
      <c r="I66" s="5" t="str">
        <f t="shared" si="17"/>
        <v/>
      </c>
      <c r="J66" s="5" t="str">
        <f t="shared" si="18"/>
        <v/>
      </c>
      <c r="K66" s="5"/>
      <c r="L66" s="5"/>
      <c r="M66" s="75"/>
      <c r="N66" s="77"/>
      <c r="O66" s="26"/>
      <c r="P66" s="26"/>
      <c r="Q66" s="118" t="str">
        <f t="shared" si="19"/>
        <v/>
      </c>
      <c r="R66" s="153"/>
      <c r="S66" s="138"/>
      <c r="T66" s="148"/>
      <c r="U66" s="146"/>
      <c r="V66" s="146"/>
      <c r="W66" s="139"/>
      <c r="X66" s="139"/>
      <c r="Y66" s="148"/>
      <c r="Z66" s="138" t="str">
        <f t="shared" si="9"/>
        <v/>
      </c>
      <c r="AA66" s="138" t="str">
        <f t="shared" si="11"/>
        <v/>
      </c>
      <c r="AB66" s="239"/>
      <c r="AC66" s="325"/>
      <c r="AD66" s="325"/>
      <c r="AE66" s="325"/>
      <c r="AF66" s="325"/>
      <c r="AG66" s="325"/>
      <c r="AH66" s="325"/>
      <c r="AI66" s="325"/>
      <c r="AJ66" s="325"/>
      <c r="AK66" s="325"/>
      <c r="AL66" s="325"/>
      <c r="AM66" s="325"/>
      <c r="AN66" s="325"/>
      <c r="AO66" s="325"/>
      <c r="AP66" s="136"/>
      <c r="AQ66" s="136"/>
      <c r="AR66" s="136" t="str">
        <f t="shared" si="14"/>
        <v/>
      </c>
      <c r="AS66" s="136" t="str">
        <f t="shared" si="14"/>
        <v/>
      </c>
      <c r="AT66" s="5" t="str">
        <f t="shared" si="15"/>
        <v/>
      </c>
      <c r="AV66" s="27" t="str">
        <f>IF(G66="","",+"          ["&amp;TRIM(G66)&amp;"] ["&amp;TRIM(I66)&amp;"]"&amp;IF(H66="","","("&amp;H66&amp;")")&amp;" "&amp;TRIM(J66)&amp;IF(G67="","",","))</f>
        <v/>
      </c>
      <c r="AW66" s="27"/>
      <c r="AY66" s="122" t="str">
        <f t="shared" si="8"/>
        <v/>
      </c>
    </row>
    <row r="67" spans="2:51" ht="12.75">
      <c r="B67" s="20" t="str">
        <f t="shared" si="10"/>
        <v/>
      </c>
      <c r="C67" s="5"/>
      <c r="D67" s="5"/>
      <c r="E67" s="5"/>
      <c r="G67" s="5" t="str">
        <f t="shared" si="16"/>
        <v/>
      </c>
      <c r="H67" s="117" t="str">
        <f t="shared" si="12"/>
        <v/>
      </c>
      <c r="I67" s="5" t="str">
        <f t="shared" si="17"/>
        <v/>
      </c>
      <c r="J67" s="5" t="str">
        <f t="shared" si="18"/>
        <v/>
      </c>
      <c r="K67" s="5"/>
      <c r="L67" s="5"/>
      <c r="M67" s="75"/>
      <c r="N67" s="77"/>
      <c r="O67" s="26"/>
      <c r="P67" s="26"/>
      <c r="Q67" s="118" t="str">
        <f t="shared" si="19"/>
        <v/>
      </c>
      <c r="R67" s="153"/>
      <c r="S67" s="138"/>
      <c r="T67" s="148"/>
      <c r="U67" s="146"/>
      <c r="V67" s="146"/>
      <c r="W67" s="139"/>
      <c r="X67" s="139"/>
      <c r="Y67" s="148"/>
      <c r="Z67" s="138" t="str">
        <f t="shared" si="9"/>
        <v/>
      </c>
      <c r="AA67" s="138" t="str">
        <f t="shared" si="11"/>
        <v/>
      </c>
      <c r="AB67" s="239"/>
      <c r="AC67" s="325"/>
      <c r="AD67" s="325"/>
      <c r="AE67" s="325"/>
      <c r="AF67" s="325"/>
      <c r="AG67" s="325"/>
      <c r="AH67" s="325"/>
      <c r="AI67" s="325"/>
      <c r="AJ67" s="325"/>
      <c r="AK67" s="325"/>
      <c r="AL67" s="325"/>
      <c r="AM67" s="325"/>
      <c r="AN67" s="325"/>
      <c r="AO67" s="325"/>
      <c r="AP67" s="136"/>
      <c r="AQ67" s="136"/>
      <c r="AR67" s="136" t="str">
        <f t="shared" si="14"/>
        <v/>
      </c>
      <c r="AS67" s="136" t="str">
        <f t="shared" si="14"/>
        <v/>
      </c>
      <c r="AT67" s="5" t="str">
        <f t="shared" si="15"/>
        <v/>
      </c>
      <c r="AV67" s="27" t="str">
        <f>IF(G67="","",+"          ["&amp;TRIM(G67)&amp;"] ["&amp;TRIM(I67)&amp;"]"&amp;IF(H67="","","("&amp;H67&amp;")")&amp;" "&amp;TRIM(J67)&amp;IF(G68="","",","))</f>
        <v/>
      </c>
      <c r="AW67" s="27"/>
      <c r="AY67" s="122" t="str">
        <f t="shared" si="8"/>
        <v/>
      </c>
    </row>
    <row r="68" spans="2:51" ht="12.75">
      <c r="B68" s="20" t="str">
        <f t="shared" si="10"/>
        <v/>
      </c>
      <c r="C68" s="5"/>
      <c r="D68" s="5"/>
      <c r="E68" s="5"/>
      <c r="G68" s="5" t="str">
        <f t="shared" si="16"/>
        <v/>
      </c>
      <c r="H68" s="117" t="str">
        <f t="shared" si="12"/>
        <v/>
      </c>
      <c r="I68" s="5" t="str">
        <f t="shared" si="17"/>
        <v/>
      </c>
      <c r="J68" s="5" t="str">
        <f t="shared" si="18"/>
        <v/>
      </c>
      <c r="K68" s="5"/>
      <c r="L68" s="5"/>
      <c r="M68" s="75"/>
      <c r="N68" s="77"/>
      <c r="O68" s="26"/>
      <c r="P68" s="26"/>
      <c r="Q68" s="118" t="str">
        <f t="shared" si="19"/>
        <v/>
      </c>
      <c r="R68" s="153"/>
      <c r="S68" s="138"/>
      <c r="T68" s="148"/>
      <c r="U68" s="146"/>
      <c r="V68" s="146"/>
      <c r="W68" s="139"/>
      <c r="X68" s="139"/>
      <c r="Y68" s="148"/>
      <c r="Z68" s="138" t="str">
        <f t="shared" si="9"/>
        <v/>
      </c>
      <c r="AA68" s="138" t="str">
        <f t="shared" si="11"/>
        <v/>
      </c>
      <c r="AB68" s="239"/>
      <c r="AC68" s="325"/>
      <c r="AD68" s="325"/>
      <c r="AE68" s="325"/>
      <c r="AF68" s="325"/>
      <c r="AG68" s="325"/>
      <c r="AH68" s="325"/>
      <c r="AI68" s="325"/>
      <c r="AJ68" s="325"/>
      <c r="AK68" s="325"/>
      <c r="AL68" s="325"/>
      <c r="AM68" s="325"/>
      <c r="AN68" s="325"/>
      <c r="AO68" s="325"/>
      <c r="AP68" s="136"/>
      <c r="AQ68" s="136"/>
      <c r="AR68" s="136" t="str">
        <f t="shared" si="14"/>
        <v/>
      </c>
      <c r="AS68" s="136" t="str">
        <f t="shared" si="14"/>
        <v/>
      </c>
      <c r="AT68" s="5" t="str">
        <f t="shared" si="15"/>
        <v/>
      </c>
      <c r="AV68" s="27" t="str">
        <f>IF(G68="","",+"          ["&amp;TRIM(G68)&amp;"] ["&amp;TRIM(I68)&amp;"]"&amp;IF(H68="","","("&amp;H68&amp;")")&amp;" "&amp;TRIM(J68)&amp;IF(G95="","",","))</f>
        <v/>
      </c>
      <c r="AW68" s="27"/>
      <c r="AY68" s="122" t="str">
        <f t="shared" si="8"/>
        <v/>
      </c>
    </row>
    <row r="69" spans="2:51" ht="12.75">
      <c r="B69" s="20" t="str">
        <f t="shared" si="10"/>
        <v/>
      </c>
      <c r="C69" s="5"/>
      <c r="D69" s="5"/>
      <c r="E69" s="5"/>
      <c r="G69" s="5" t="str">
        <f t="shared" si="16"/>
        <v/>
      </c>
      <c r="H69" s="117" t="str">
        <f t="shared" si="12"/>
        <v/>
      </c>
      <c r="I69" s="5" t="str">
        <f t="shared" si="17"/>
        <v/>
      </c>
      <c r="J69" s="5" t="str">
        <f t="shared" si="18"/>
        <v/>
      </c>
      <c r="K69" s="5"/>
      <c r="L69" s="5"/>
      <c r="M69" s="75"/>
      <c r="N69" s="77"/>
      <c r="O69" s="26"/>
      <c r="P69" s="26"/>
      <c r="Q69" s="118" t="str">
        <f t="shared" si="19"/>
        <v/>
      </c>
      <c r="R69" s="153"/>
      <c r="S69" s="138"/>
      <c r="T69" s="148"/>
      <c r="U69" s="146"/>
      <c r="V69" s="146"/>
      <c r="W69" s="139"/>
      <c r="X69" s="139"/>
      <c r="Y69" s="148"/>
      <c r="Z69" s="138" t="str">
        <f t="shared" si="9"/>
        <v/>
      </c>
      <c r="AA69" s="138" t="str">
        <f t="shared" si="11"/>
        <v/>
      </c>
      <c r="AB69" s="239"/>
      <c r="AC69" s="325"/>
      <c r="AD69" s="325"/>
      <c r="AE69" s="325"/>
      <c r="AF69" s="325"/>
      <c r="AG69" s="325"/>
      <c r="AH69" s="325"/>
      <c r="AI69" s="325"/>
      <c r="AJ69" s="325"/>
      <c r="AK69" s="325"/>
      <c r="AL69" s="325"/>
      <c r="AM69" s="325"/>
      <c r="AN69" s="325"/>
      <c r="AO69" s="325"/>
      <c r="AP69" s="136"/>
      <c r="AQ69" s="136"/>
      <c r="AR69" s="136" t="str">
        <f t="shared" si="14"/>
        <v/>
      </c>
      <c r="AS69" s="136" t="str">
        <f t="shared" si="14"/>
        <v/>
      </c>
      <c r="AT69" s="5" t="str">
        <f t="shared" si="15"/>
        <v/>
      </c>
      <c r="AV69" s="27" t="str">
        <f>IF(G69="","",+"          ["&amp;TRIM(G69)&amp;"] ["&amp;TRIM(I69)&amp;"]"&amp;IF(H69="","","("&amp;H69&amp;")")&amp;" "&amp;TRIM(J69)&amp;IF(G70="","",","))</f>
        <v/>
      </c>
      <c r="AW69" s="27"/>
      <c r="AY69" s="122" t="str">
        <f t="shared" si="8"/>
        <v/>
      </c>
    </row>
    <row r="70" spans="2:51" ht="12.75">
      <c r="B70" s="20" t="str">
        <f t="shared" si="10"/>
        <v/>
      </c>
      <c r="C70" s="5"/>
      <c r="D70" s="5"/>
      <c r="E70" s="5"/>
      <c r="G70" s="5" t="str">
        <f t="shared" si="16"/>
        <v/>
      </c>
      <c r="H70" s="117" t="str">
        <f t="shared" si="12"/>
        <v/>
      </c>
      <c r="I70" s="5" t="str">
        <f t="shared" si="17"/>
        <v/>
      </c>
      <c r="J70" s="5" t="str">
        <f t="shared" si="18"/>
        <v/>
      </c>
      <c r="K70" s="5"/>
      <c r="L70" s="5"/>
      <c r="M70" s="75"/>
      <c r="N70" s="77"/>
      <c r="O70" s="26"/>
      <c r="P70" s="26"/>
      <c r="Q70" s="118" t="str">
        <f t="shared" si="19"/>
        <v/>
      </c>
      <c r="R70" s="153"/>
      <c r="S70" s="138"/>
      <c r="T70" s="148"/>
      <c r="U70" s="146"/>
      <c r="V70" s="146"/>
      <c r="W70" s="139"/>
      <c r="X70" s="139"/>
      <c r="Y70" s="148"/>
      <c r="Z70" s="138" t="str">
        <f t="shared" si="9"/>
        <v/>
      </c>
      <c r="AA70" s="138" t="str">
        <f t="shared" si="11"/>
        <v/>
      </c>
      <c r="AB70" s="239"/>
      <c r="AC70" s="325"/>
      <c r="AD70" s="325"/>
      <c r="AE70" s="325"/>
      <c r="AF70" s="325"/>
      <c r="AG70" s="325"/>
      <c r="AH70" s="325"/>
      <c r="AI70" s="325"/>
      <c r="AJ70" s="325"/>
      <c r="AK70" s="325"/>
      <c r="AL70" s="325"/>
      <c r="AM70" s="325"/>
      <c r="AN70" s="325"/>
      <c r="AO70" s="325"/>
      <c r="AP70" s="136"/>
      <c r="AQ70" s="136"/>
      <c r="AR70" s="136" t="str">
        <f t="shared" si="14"/>
        <v/>
      </c>
      <c r="AS70" s="136" t="str">
        <f t="shared" si="14"/>
        <v/>
      </c>
      <c r="AT70" s="5" t="str">
        <f t="shared" si="15"/>
        <v/>
      </c>
      <c r="AV70" s="27" t="str">
        <f>IF(G70="","",+"          ["&amp;TRIM(G70)&amp;"] ["&amp;TRIM(I70)&amp;"]"&amp;IF(H70="","","("&amp;H70&amp;")")&amp;" "&amp;TRIM(J70)&amp;IF(G94="","",","))</f>
        <v/>
      </c>
      <c r="AW70" s="27"/>
      <c r="AY70" s="122" t="str">
        <f t="shared" si="8"/>
        <v/>
      </c>
    </row>
    <row r="71" spans="2:51" ht="12.75">
      <c r="B71" s="20" t="str">
        <f t="shared" si="10"/>
        <v/>
      </c>
      <c r="C71" s="5"/>
      <c r="D71" s="5"/>
      <c r="E71" s="5"/>
      <c r="G71" s="5" t="str">
        <f t="shared" si="16"/>
        <v/>
      </c>
      <c r="H71" s="117" t="str">
        <f t="shared" si="12"/>
        <v/>
      </c>
      <c r="I71" s="5" t="str">
        <f t="shared" si="17"/>
        <v/>
      </c>
      <c r="J71" s="5" t="str">
        <f t="shared" si="18"/>
        <v/>
      </c>
      <c r="K71" s="5"/>
      <c r="L71" s="5"/>
      <c r="M71" s="75"/>
      <c r="N71" s="77"/>
      <c r="O71" s="26"/>
      <c r="P71" s="26"/>
      <c r="Q71" s="118" t="str">
        <f t="shared" si="19"/>
        <v/>
      </c>
      <c r="R71" s="153"/>
      <c r="S71" s="138"/>
      <c r="T71" s="148"/>
      <c r="U71" s="146"/>
      <c r="V71" s="146"/>
      <c r="W71" s="139"/>
      <c r="X71" s="139"/>
      <c r="Y71" s="148"/>
      <c r="Z71" s="138" t="str">
        <f t="shared" si="9"/>
        <v/>
      </c>
      <c r="AA71" s="138" t="str">
        <f t="shared" si="11"/>
        <v/>
      </c>
      <c r="AB71" s="239"/>
      <c r="AC71" s="325"/>
      <c r="AD71" s="325"/>
      <c r="AE71" s="325"/>
      <c r="AF71" s="325"/>
      <c r="AG71" s="325"/>
      <c r="AH71" s="325"/>
      <c r="AI71" s="325"/>
      <c r="AJ71" s="325"/>
      <c r="AK71" s="325"/>
      <c r="AL71" s="325"/>
      <c r="AM71" s="325"/>
      <c r="AN71" s="325"/>
      <c r="AO71" s="325"/>
      <c r="AP71" s="136"/>
      <c r="AQ71" s="136"/>
      <c r="AR71" s="136" t="str">
        <f t="shared" si="14"/>
        <v/>
      </c>
      <c r="AS71" s="136" t="str">
        <f t="shared" si="14"/>
        <v/>
      </c>
      <c r="AT71" s="5" t="str">
        <f t="shared" si="15"/>
        <v/>
      </c>
      <c r="AV71" s="27" t="str">
        <f>IF(G71="","",+"          ["&amp;TRIM(G71)&amp;"] ["&amp;TRIM(I71)&amp;"]"&amp;IF(H71="","","("&amp;H71&amp;")")&amp;" "&amp;TRIM(J71)&amp;IF(G72="","",","))</f>
        <v/>
      </c>
      <c r="AW71" s="27"/>
      <c r="AY71" s="122" t="str">
        <f t="shared" si="8"/>
        <v/>
      </c>
    </row>
    <row r="72" spans="2:51" ht="12.75">
      <c r="B72" s="20" t="str">
        <f t="shared" si="10"/>
        <v/>
      </c>
      <c r="C72" s="5"/>
      <c r="D72" s="5"/>
      <c r="E72" s="5"/>
      <c r="G72" s="5" t="str">
        <f t="shared" si="16"/>
        <v/>
      </c>
      <c r="H72" s="117" t="str">
        <f t="shared" si="12"/>
        <v/>
      </c>
      <c r="I72" s="5" t="str">
        <f t="shared" si="17"/>
        <v/>
      </c>
      <c r="J72" s="5" t="str">
        <f t="shared" si="18"/>
        <v/>
      </c>
      <c r="K72" s="5"/>
      <c r="L72" s="5"/>
      <c r="M72" s="75"/>
      <c r="N72" s="77"/>
      <c r="O72" s="26"/>
      <c r="P72" s="26"/>
      <c r="Q72" s="118" t="str">
        <f t="shared" si="19"/>
        <v/>
      </c>
      <c r="R72" s="153"/>
      <c r="S72" s="138"/>
      <c r="T72" s="148"/>
      <c r="U72" s="146"/>
      <c r="V72" s="146"/>
      <c r="W72" s="139"/>
      <c r="X72" s="139"/>
      <c r="Y72" s="148"/>
      <c r="Z72" s="138" t="str">
        <f t="shared" si="9"/>
        <v/>
      </c>
      <c r="AA72" s="138" t="str">
        <f t="shared" si="11"/>
        <v/>
      </c>
      <c r="AB72" s="239"/>
      <c r="AC72" s="325"/>
      <c r="AD72" s="325"/>
      <c r="AE72" s="325"/>
      <c r="AF72" s="325"/>
      <c r="AG72" s="325"/>
      <c r="AH72" s="325"/>
      <c r="AI72" s="325"/>
      <c r="AJ72" s="325"/>
      <c r="AK72" s="325"/>
      <c r="AL72" s="325"/>
      <c r="AM72" s="325"/>
      <c r="AN72" s="325"/>
      <c r="AO72" s="325"/>
      <c r="AP72" s="136"/>
      <c r="AQ72" s="136"/>
      <c r="AR72" s="136" t="str">
        <f t="shared" si="14"/>
        <v/>
      </c>
      <c r="AS72" s="136" t="str">
        <f t="shared" si="14"/>
        <v/>
      </c>
      <c r="AT72" s="5" t="str">
        <f t="shared" si="15"/>
        <v/>
      </c>
      <c r="AV72" s="27" t="str">
        <f>IF(G72="","",+"          ["&amp;TRIM(G72)&amp;"] ["&amp;TRIM(I72)&amp;"]"&amp;IF(H72="","","("&amp;H72&amp;")")&amp;" "&amp;TRIM(J72)&amp;IF(G75="","",","))</f>
        <v/>
      </c>
      <c r="AW72" s="27"/>
      <c r="AY72" s="122" t="str">
        <f t="shared" si="8"/>
        <v/>
      </c>
    </row>
    <row r="73" spans="2:51" ht="12.75">
      <c r="B73" s="20" t="str">
        <f t="shared" si="10"/>
        <v/>
      </c>
      <c r="C73" s="5"/>
      <c r="D73" s="5"/>
      <c r="E73" s="5"/>
      <c r="G73" s="5" t="str">
        <f t="shared" si="16"/>
        <v/>
      </c>
      <c r="H73" s="117" t="str">
        <f t="shared" si="12"/>
        <v/>
      </c>
      <c r="I73" s="5" t="str">
        <f t="shared" si="17"/>
        <v/>
      </c>
      <c r="J73" s="5" t="str">
        <f t="shared" si="18"/>
        <v/>
      </c>
      <c r="K73" s="5"/>
      <c r="L73" s="5"/>
      <c r="M73" s="75"/>
      <c r="N73" s="77"/>
      <c r="O73" s="26"/>
      <c r="P73" s="26"/>
      <c r="Q73" s="118" t="str">
        <f t="shared" si="19"/>
        <v/>
      </c>
      <c r="R73" s="153"/>
      <c r="S73" s="138"/>
      <c r="T73" s="148"/>
      <c r="U73" s="146"/>
      <c r="V73" s="146"/>
      <c r="W73" s="139"/>
      <c r="X73" s="139"/>
      <c r="Y73" s="148"/>
      <c r="Z73" s="138" t="str">
        <f t="shared" si="9"/>
        <v/>
      </c>
      <c r="AA73" s="138" t="str">
        <f t="shared" si="11"/>
        <v/>
      </c>
      <c r="AB73" s="239"/>
      <c r="AC73" s="325"/>
      <c r="AD73" s="325"/>
      <c r="AE73" s="325"/>
      <c r="AF73" s="325"/>
      <c r="AG73" s="325"/>
      <c r="AH73" s="325"/>
      <c r="AI73" s="325"/>
      <c r="AJ73" s="325"/>
      <c r="AK73" s="325"/>
      <c r="AL73" s="325"/>
      <c r="AM73" s="325"/>
      <c r="AN73" s="325"/>
      <c r="AO73" s="325"/>
      <c r="AP73" s="136"/>
      <c r="AQ73" s="136"/>
      <c r="AR73" s="136" t="str">
        <f t="shared" si="14"/>
        <v/>
      </c>
      <c r="AS73" s="136" t="str">
        <f t="shared" si="14"/>
        <v/>
      </c>
      <c r="AT73" s="5" t="str">
        <f t="shared" si="15"/>
        <v/>
      </c>
      <c r="AV73" s="27" t="str">
        <f>IF(G73="","",+"          ["&amp;TRIM(G73)&amp;"] ["&amp;TRIM(I73)&amp;"]"&amp;IF(H73="","","("&amp;H73&amp;")")&amp;" "&amp;TRIM(J73)&amp;IF(G74="","",","))</f>
        <v/>
      </c>
      <c r="AW73" s="27"/>
      <c r="AY73" s="122" t="str">
        <f t="shared" si="8"/>
        <v/>
      </c>
    </row>
    <row r="74" spans="2:51" ht="12.75">
      <c r="B74" s="20" t="str">
        <f t="shared" si="10"/>
        <v/>
      </c>
      <c r="C74" s="5"/>
      <c r="D74" s="5"/>
      <c r="E74" s="5"/>
      <c r="G74" s="5" t="str">
        <f t="shared" si="16"/>
        <v/>
      </c>
      <c r="H74" s="117" t="str">
        <f t="shared" si="12"/>
        <v/>
      </c>
      <c r="I74" s="5" t="str">
        <f t="shared" si="17"/>
        <v/>
      </c>
      <c r="J74" s="5" t="str">
        <f t="shared" si="18"/>
        <v/>
      </c>
      <c r="K74" s="5"/>
      <c r="L74" s="5"/>
      <c r="M74" s="75"/>
      <c r="N74" s="77"/>
      <c r="O74" s="26"/>
      <c r="P74" s="26"/>
      <c r="Q74" s="118" t="str">
        <f t="shared" si="19"/>
        <v/>
      </c>
      <c r="R74" s="153"/>
      <c r="S74" s="138"/>
      <c r="T74" s="148"/>
      <c r="U74" s="146"/>
      <c r="V74" s="146"/>
      <c r="W74" s="139"/>
      <c r="X74" s="139"/>
      <c r="Y74" s="148"/>
      <c r="Z74" s="138" t="str">
        <f t="shared" si="9"/>
        <v/>
      </c>
      <c r="AA74" s="138" t="str">
        <f t="shared" si="11"/>
        <v/>
      </c>
      <c r="AB74" s="239"/>
      <c r="AC74" s="325"/>
      <c r="AD74" s="325"/>
      <c r="AE74" s="325"/>
      <c r="AF74" s="325"/>
      <c r="AG74" s="325"/>
      <c r="AH74" s="325"/>
      <c r="AI74" s="325"/>
      <c r="AJ74" s="325"/>
      <c r="AK74" s="325"/>
      <c r="AL74" s="325"/>
      <c r="AM74" s="325"/>
      <c r="AN74" s="325"/>
      <c r="AO74" s="325"/>
      <c r="AP74" s="136"/>
      <c r="AQ74" s="136"/>
      <c r="AR74" s="136" t="str">
        <f t="shared" si="14"/>
        <v/>
      </c>
      <c r="AS74" s="136" t="str">
        <f t="shared" si="14"/>
        <v/>
      </c>
      <c r="AT74" s="5" t="str">
        <f t="shared" si="15"/>
        <v/>
      </c>
      <c r="AV74" s="27" t="str">
        <f>IF(G74="","",+"          ["&amp;TRIM(G74)&amp;"] ["&amp;TRIM(I74)&amp;"]"&amp;IF(H74="","","("&amp;H74&amp;")")&amp;" "&amp;TRIM(J74)&amp;IF(G75="","",","))</f>
        <v/>
      </c>
      <c r="AW74" s="27"/>
      <c r="AY74" s="122" t="str">
        <f t="shared" si="8"/>
        <v/>
      </c>
    </row>
    <row r="75" spans="2:51" ht="12.75">
      <c r="B75" s="20" t="str">
        <f t="shared" si="10"/>
        <v/>
      </c>
      <c r="C75" s="5"/>
      <c r="D75" s="5"/>
      <c r="E75" s="5"/>
      <c r="G75" s="5" t="str">
        <f t="shared" si="16"/>
        <v/>
      </c>
      <c r="H75" s="117" t="str">
        <f t="shared" si="12"/>
        <v/>
      </c>
      <c r="I75" s="5" t="str">
        <f t="shared" si="17"/>
        <v/>
      </c>
      <c r="J75" s="5" t="str">
        <f t="shared" si="18"/>
        <v/>
      </c>
      <c r="K75" s="5"/>
      <c r="L75" s="5"/>
      <c r="M75" s="75"/>
      <c r="N75" s="77"/>
      <c r="O75" s="26"/>
      <c r="P75" s="26"/>
      <c r="Q75" s="118" t="str">
        <f t="shared" si="19"/>
        <v/>
      </c>
      <c r="R75" s="153"/>
      <c r="S75" s="138"/>
      <c r="T75" s="148"/>
      <c r="U75" s="146"/>
      <c r="V75" s="146"/>
      <c r="W75" s="139"/>
      <c r="X75" s="139"/>
      <c r="Y75" s="148"/>
      <c r="Z75" s="138" t="str">
        <f t="shared" si="9"/>
        <v/>
      </c>
      <c r="AA75" s="138" t="str">
        <f t="shared" si="11"/>
        <v/>
      </c>
      <c r="AB75" s="239"/>
      <c r="AC75" s="325"/>
      <c r="AD75" s="325"/>
      <c r="AE75" s="325"/>
      <c r="AF75" s="325"/>
      <c r="AG75" s="325"/>
      <c r="AH75" s="325"/>
      <c r="AI75" s="325"/>
      <c r="AJ75" s="325"/>
      <c r="AK75" s="325"/>
      <c r="AL75" s="325"/>
      <c r="AM75" s="325"/>
      <c r="AN75" s="325"/>
      <c r="AO75" s="325"/>
      <c r="AP75" s="136"/>
      <c r="AQ75" s="136"/>
      <c r="AR75" s="136" t="str">
        <f t="shared" si="14"/>
        <v/>
      </c>
      <c r="AS75" s="136" t="str">
        <f t="shared" si="14"/>
        <v/>
      </c>
      <c r="AT75" s="5" t="str">
        <f t="shared" si="15"/>
        <v/>
      </c>
      <c r="AV75" s="27" t="str">
        <f>IF(G75="","",+"          ["&amp;TRIM(G75)&amp;"] ["&amp;TRIM(I75)&amp;"]"&amp;IF(H75="","","("&amp;H75&amp;")")&amp;" "&amp;TRIM(J75)&amp;IF(G94="","",","))</f>
        <v/>
      </c>
      <c r="AW75" s="27"/>
      <c r="AY75" s="122" t="str">
        <f t="shared" si="8"/>
        <v/>
      </c>
    </row>
    <row r="76" spans="2:51" ht="12.75">
      <c r="B76" s="20" t="str">
        <f t="shared" si="10"/>
        <v/>
      </c>
      <c r="C76" s="5"/>
      <c r="D76" s="5"/>
      <c r="E76" s="5"/>
      <c r="G76" s="5" t="str">
        <f t="shared" si="16"/>
        <v/>
      </c>
      <c r="H76" s="117" t="str">
        <f t="shared" si="12"/>
        <v/>
      </c>
      <c r="I76" s="5" t="str">
        <f t="shared" si="17"/>
        <v/>
      </c>
      <c r="J76" s="5" t="str">
        <f t="shared" si="18"/>
        <v/>
      </c>
      <c r="K76" s="5"/>
      <c r="L76" s="5"/>
      <c r="M76" s="75"/>
      <c r="N76" s="77"/>
      <c r="O76" s="26"/>
      <c r="P76" s="26"/>
      <c r="Q76" s="118" t="str">
        <f t="shared" si="19"/>
        <v/>
      </c>
      <c r="R76" s="153"/>
      <c r="S76" s="138"/>
      <c r="T76" s="148"/>
      <c r="U76" s="146"/>
      <c r="V76" s="146"/>
      <c r="W76" s="139"/>
      <c r="X76" s="139"/>
      <c r="Y76" s="148"/>
      <c r="Z76" s="138" t="str">
        <f t="shared" si="9"/>
        <v/>
      </c>
      <c r="AA76" s="138" t="str">
        <f t="shared" si="11"/>
        <v/>
      </c>
      <c r="AB76" s="239"/>
      <c r="AC76" s="325"/>
      <c r="AD76" s="325"/>
      <c r="AE76" s="325"/>
      <c r="AF76" s="325"/>
      <c r="AG76" s="325"/>
      <c r="AH76" s="325"/>
      <c r="AI76" s="325"/>
      <c r="AJ76" s="325"/>
      <c r="AK76" s="325"/>
      <c r="AL76" s="325"/>
      <c r="AM76" s="325"/>
      <c r="AN76" s="325"/>
      <c r="AO76" s="325"/>
      <c r="AP76" s="136"/>
      <c r="AQ76" s="136"/>
      <c r="AR76" s="136" t="str">
        <f t="shared" si="14"/>
        <v/>
      </c>
      <c r="AS76" s="136" t="str">
        <f t="shared" si="14"/>
        <v/>
      </c>
      <c r="AT76" s="5" t="str">
        <f t="shared" si="15"/>
        <v/>
      </c>
      <c r="AV76" s="27" t="str">
        <f>IF(G76="","",+"          ["&amp;TRIM(G76)&amp;"] ["&amp;TRIM(I76)&amp;"]"&amp;IF(H76="","","("&amp;H76&amp;")")&amp;" "&amp;TRIM(J76)&amp;IF(G77="","",","))</f>
        <v/>
      </c>
      <c r="AW76" s="27"/>
      <c r="AY76" s="122" t="str">
        <f t="shared" si="8"/>
        <v/>
      </c>
    </row>
    <row r="77" spans="2:51" ht="12.75">
      <c r="B77" s="20" t="str">
        <f t="shared" si="10"/>
        <v/>
      </c>
      <c r="C77" s="5"/>
      <c r="D77" s="5"/>
      <c r="E77" s="5"/>
      <c r="G77" s="5" t="str">
        <f t="shared" si="16"/>
        <v/>
      </c>
      <c r="H77" s="117" t="str">
        <f t="shared" si="12"/>
        <v/>
      </c>
      <c r="I77" s="5" t="str">
        <f t="shared" si="17"/>
        <v/>
      </c>
      <c r="J77" s="5" t="str">
        <f t="shared" si="18"/>
        <v/>
      </c>
      <c r="K77" s="5"/>
      <c r="L77" s="5"/>
      <c r="M77" s="75"/>
      <c r="N77" s="77"/>
      <c r="O77" s="26"/>
      <c r="P77" s="26"/>
      <c r="Q77" s="118" t="str">
        <f t="shared" si="19"/>
        <v/>
      </c>
      <c r="R77" s="153"/>
      <c r="S77" s="138"/>
      <c r="T77" s="148"/>
      <c r="U77" s="146"/>
      <c r="V77" s="146"/>
      <c r="W77" s="139"/>
      <c r="X77" s="139"/>
      <c r="Y77" s="148"/>
      <c r="Z77" s="138" t="str">
        <f t="shared" si="9"/>
        <v/>
      </c>
      <c r="AA77" s="138" t="str">
        <f t="shared" si="11"/>
        <v/>
      </c>
      <c r="AB77" s="239"/>
      <c r="AC77" s="325"/>
      <c r="AD77" s="325"/>
      <c r="AE77" s="325"/>
      <c r="AF77" s="325"/>
      <c r="AG77" s="325"/>
      <c r="AH77" s="325"/>
      <c r="AI77" s="325"/>
      <c r="AJ77" s="325"/>
      <c r="AK77" s="325"/>
      <c r="AL77" s="325"/>
      <c r="AM77" s="325"/>
      <c r="AN77" s="325"/>
      <c r="AO77" s="325"/>
      <c r="AP77" s="136"/>
      <c r="AQ77" s="136"/>
      <c r="AR77" s="136" t="str">
        <f t="shared" si="14"/>
        <v/>
      </c>
      <c r="AS77" s="136" t="str">
        <f t="shared" si="14"/>
        <v/>
      </c>
      <c r="AT77" s="5" t="str">
        <f t="shared" si="15"/>
        <v/>
      </c>
      <c r="AV77" s="27" t="str">
        <f>IF(G77="","",+"          ["&amp;TRIM(G77)&amp;"] ["&amp;TRIM(I77)&amp;"]"&amp;IF(H77="","","("&amp;H77&amp;")")&amp;" "&amp;TRIM(J77)&amp;IF(G78="","",","))</f>
        <v/>
      </c>
      <c r="AW77" s="27"/>
      <c r="AY77" s="122" t="str">
        <f t="shared" si="8"/>
        <v/>
      </c>
    </row>
    <row r="78" spans="2:51" ht="12.75">
      <c r="B78" s="20" t="str">
        <f t="shared" si="10"/>
        <v/>
      </c>
      <c r="C78" s="5"/>
      <c r="D78" s="5"/>
      <c r="E78" s="5"/>
      <c r="G78" s="5" t="str">
        <f t="shared" si="16"/>
        <v/>
      </c>
      <c r="H78" s="117" t="str">
        <f t="shared" si="12"/>
        <v/>
      </c>
      <c r="I78" s="5" t="str">
        <f t="shared" si="17"/>
        <v/>
      </c>
      <c r="J78" s="5" t="str">
        <f t="shared" si="18"/>
        <v/>
      </c>
      <c r="K78" s="5"/>
      <c r="L78" s="5"/>
      <c r="M78" s="75"/>
      <c r="N78" s="77"/>
      <c r="O78" s="26"/>
      <c r="P78" s="26"/>
      <c r="Q78" s="118" t="str">
        <f t="shared" si="19"/>
        <v/>
      </c>
      <c r="R78" s="153"/>
      <c r="S78" s="138"/>
      <c r="T78" s="148"/>
      <c r="U78" s="146"/>
      <c r="V78" s="146"/>
      <c r="W78" s="139"/>
      <c r="X78" s="139"/>
      <c r="Y78" s="148"/>
      <c r="Z78" s="138" t="str">
        <f t="shared" si="9"/>
        <v/>
      </c>
      <c r="AA78" s="138" t="str">
        <f t="shared" si="11"/>
        <v/>
      </c>
      <c r="AB78" s="239"/>
      <c r="AC78" s="325"/>
      <c r="AD78" s="325"/>
      <c r="AE78" s="325"/>
      <c r="AF78" s="325"/>
      <c r="AG78" s="325"/>
      <c r="AH78" s="325"/>
      <c r="AI78" s="325"/>
      <c r="AJ78" s="325"/>
      <c r="AK78" s="325"/>
      <c r="AL78" s="325"/>
      <c r="AM78" s="325"/>
      <c r="AN78" s="325"/>
      <c r="AO78" s="325"/>
      <c r="AP78" s="136"/>
      <c r="AQ78" s="136"/>
      <c r="AR78" s="136" t="str">
        <f t="shared" si="14"/>
        <v/>
      </c>
      <c r="AS78" s="136" t="str">
        <f t="shared" si="14"/>
        <v/>
      </c>
      <c r="AT78" s="5" t="str">
        <f t="shared" si="15"/>
        <v/>
      </c>
      <c r="AV78" s="27" t="str">
        <f>IF(G78="","",+"          ["&amp;TRIM(G78)&amp;"] ["&amp;TRIM(I78)&amp;"]"&amp;IF(H78="","","("&amp;H78&amp;")")&amp;" "&amp;TRIM(J78)&amp;IF(G93="","",","))</f>
        <v/>
      </c>
      <c r="AW78" s="27"/>
      <c r="AY78" s="122" t="str">
        <f t="shared" si="8"/>
        <v/>
      </c>
    </row>
    <row r="79" spans="2:51" ht="12.75">
      <c r="B79" s="20" t="str">
        <f t="shared" si="10"/>
        <v/>
      </c>
      <c r="C79" s="5"/>
      <c r="D79" s="5"/>
      <c r="E79" s="5"/>
      <c r="G79" s="5" t="str">
        <f t="shared" si="16"/>
        <v/>
      </c>
      <c r="H79" s="117" t="str">
        <f t="shared" si="12"/>
        <v/>
      </c>
      <c r="I79" s="5" t="str">
        <f t="shared" si="17"/>
        <v/>
      </c>
      <c r="J79" s="5" t="str">
        <f t="shared" si="18"/>
        <v/>
      </c>
      <c r="K79" s="5"/>
      <c r="L79" s="5"/>
      <c r="M79" s="75"/>
      <c r="N79" s="77"/>
      <c r="O79" s="26"/>
      <c r="P79" s="26"/>
      <c r="Q79" s="118" t="str">
        <f t="shared" si="19"/>
        <v/>
      </c>
      <c r="R79" s="153"/>
      <c r="S79" s="138"/>
      <c r="T79" s="148"/>
      <c r="U79" s="146"/>
      <c r="V79" s="146"/>
      <c r="W79" s="139"/>
      <c r="X79" s="139"/>
      <c r="Y79" s="148"/>
      <c r="Z79" s="138" t="str">
        <f t="shared" si="9"/>
        <v/>
      </c>
      <c r="AA79" s="138" t="str">
        <f t="shared" si="11"/>
        <v/>
      </c>
      <c r="AB79" s="239"/>
      <c r="AC79" s="325"/>
      <c r="AD79" s="325"/>
      <c r="AE79" s="325"/>
      <c r="AF79" s="325"/>
      <c r="AG79" s="325"/>
      <c r="AH79" s="325"/>
      <c r="AI79" s="325"/>
      <c r="AJ79" s="325"/>
      <c r="AK79" s="325"/>
      <c r="AL79" s="325"/>
      <c r="AM79" s="325"/>
      <c r="AN79" s="325"/>
      <c r="AO79" s="325"/>
      <c r="AP79" s="136"/>
      <c r="AQ79" s="136"/>
      <c r="AR79" s="136" t="str">
        <f t="shared" si="14"/>
        <v/>
      </c>
      <c r="AS79" s="136" t="str">
        <f t="shared" si="14"/>
        <v/>
      </c>
      <c r="AT79" s="5" t="str">
        <f t="shared" si="15"/>
        <v/>
      </c>
      <c r="AV79" s="27" t="str">
        <f>IF(G79="","",+"          ["&amp;TRIM(G79)&amp;"] ["&amp;TRIM(I79)&amp;"]"&amp;IF(H79="","","("&amp;H79&amp;")")&amp;" "&amp;TRIM(J79)&amp;IF(G80="","",","))</f>
        <v/>
      </c>
      <c r="AW79" s="27"/>
      <c r="AY79" s="122" t="str">
        <f t="shared" si="8"/>
        <v/>
      </c>
    </row>
    <row r="80" spans="2:51" ht="12.75">
      <c r="B80" s="20" t="str">
        <f t="shared" si="10"/>
        <v/>
      </c>
      <c r="C80" s="5"/>
      <c r="D80" s="5"/>
      <c r="E80" s="5"/>
      <c r="G80" s="5" t="str">
        <f t="shared" si="16"/>
        <v/>
      </c>
      <c r="H80" s="117" t="str">
        <f t="shared" si="12"/>
        <v/>
      </c>
      <c r="I80" s="5" t="str">
        <f t="shared" si="17"/>
        <v/>
      </c>
      <c r="J80" s="5" t="str">
        <f t="shared" si="18"/>
        <v/>
      </c>
      <c r="K80" s="5"/>
      <c r="L80" s="5"/>
      <c r="M80" s="75"/>
      <c r="N80" s="77"/>
      <c r="O80" s="26"/>
      <c r="P80" s="26"/>
      <c r="Q80" s="118" t="str">
        <f t="shared" si="19"/>
        <v/>
      </c>
      <c r="R80" s="153"/>
      <c r="S80" s="138"/>
      <c r="T80" s="148"/>
      <c r="U80" s="146"/>
      <c r="V80" s="146"/>
      <c r="W80" s="139"/>
      <c r="X80" s="139"/>
      <c r="Y80" s="148"/>
      <c r="Z80" s="138" t="str">
        <f t="shared" si="9"/>
        <v/>
      </c>
      <c r="AA80" s="138" t="str">
        <f t="shared" si="11"/>
        <v/>
      </c>
      <c r="AB80" s="239"/>
      <c r="AC80" s="325"/>
      <c r="AD80" s="325"/>
      <c r="AE80" s="325"/>
      <c r="AF80" s="325"/>
      <c r="AG80" s="325"/>
      <c r="AH80" s="325"/>
      <c r="AI80" s="325"/>
      <c r="AJ80" s="325"/>
      <c r="AK80" s="325"/>
      <c r="AL80" s="325"/>
      <c r="AM80" s="325"/>
      <c r="AN80" s="325"/>
      <c r="AO80" s="325"/>
      <c r="AP80" s="136"/>
      <c r="AQ80" s="136"/>
      <c r="AR80" s="136" t="str">
        <f t="shared" ref="AR80:AS115" si="21">IF(O80=0,"",ROW())</f>
        <v/>
      </c>
      <c r="AS80" s="136" t="str">
        <f t="shared" si="21"/>
        <v/>
      </c>
      <c r="AT80" s="5" t="str">
        <f t="shared" ref="AT80:AT116" si="22">IF(C80="","",C80&amp;IF(B81="","",","))</f>
        <v/>
      </c>
      <c r="AV80" s="27" t="str">
        <f>IF(G80="","",+"          ["&amp;TRIM(G80)&amp;"] ["&amp;TRIM(I80)&amp;"]"&amp;IF(H80="","","("&amp;H80&amp;")")&amp;" "&amp;TRIM(J80)&amp;IF(G83="","",","))</f>
        <v/>
      </c>
      <c r="AW80" s="27"/>
      <c r="AY80" s="122" t="str">
        <f t="shared" ref="AY80:AY116" si="23">IF(G80="",IF(OR(AY79=");",AY79=""),"",");"),+"          "&amp;TRIM(G80)&amp;" "&amp;UPPER(TRIM(I80))&amp;IF(H80="",""," ("&amp;H80&amp;")")&amp;" "&amp;IF(TRIM(J80)="NOT NULL","PRIMARY KEY UNIQUE NOT NULL",TRIM(J80))&amp;IF(G81="","",","))</f>
        <v/>
      </c>
    </row>
    <row r="81" spans="2:51" ht="12.75">
      <c r="B81" s="20" t="str">
        <f t="shared" si="10"/>
        <v/>
      </c>
      <c r="C81" s="5"/>
      <c r="D81" s="5"/>
      <c r="E81" s="5"/>
      <c r="G81" s="5" t="str">
        <f t="shared" si="16"/>
        <v/>
      </c>
      <c r="H81" s="117" t="str">
        <f t="shared" si="12"/>
        <v/>
      </c>
      <c r="I81" s="5" t="str">
        <f t="shared" si="17"/>
        <v/>
      </c>
      <c r="J81" s="5" t="str">
        <f t="shared" si="18"/>
        <v/>
      </c>
      <c r="K81" s="5"/>
      <c r="L81" s="5"/>
      <c r="M81" s="75"/>
      <c r="N81" s="77"/>
      <c r="O81" s="26"/>
      <c r="P81" s="26"/>
      <c r="Q81" s="118" t="str">
        <f t="shared" si="19"/>
        <v/>
      </c>
      <c r="R81" s="153"/>
      <c r="S81" s="138"/>
      <c r="T81" s="148"/>
      <c r="U81" s="146"/>
      <c r="V81" s="146"/>
      <c r="W81" s="139"/>
      <c r="X81" s="139"/>
      <c r="Y81" s="148"/>
      <c r="Z81" s="138" t="str">
        <f t="shared" ref="Z81:Z115" si="24">IF(M81&lt;9000,"","false")</f>
        <v/>
      </c>
      <c r="AA81" s="138" t="str">
        <f t="shared" si="11"/>
        <v/>
      </c>
      <c r="AB81" s="239"/>
      <c r="AC81" s="325"/>
      <c r="AD81" s="325"/>
      <c r="AE81" s="325"/>
      <c r="AF81" s="325"/>
      <c r="AG81" s="325"/>
      <c r="AH81" s="325"/>
      <c r="AI81" s="325"/>
      <c r="AJ81" s="325"/>
      <c r="AK81" s="325"/>
      <c r="AL81" s="325"/>
      <c r="AM81" s="325"/>
      <c r="AN81" s="325"/>
      <c r="AO81" s="325"/>
      <c r="AP81" s="136"/>
      <c r="AQ81" s="136"/>
      <c r="AR81" s="136" t="str">
        <f t="shared" si="21"/>
        <v/>
      </c>
      <c r="AS81" s="136" t="str">
        <f t="shared" si="21"/>
        <v/>
      </c>
      <c r="AT81" s="5" t="str">
        <f t="shared" si="22"/>
        <v/>
      </c>
      <c r="AV81" s="27" t="str">
        <f>IF(G81="","",+"          ["&amp;TRIM(G81)&amp;"] ["&amp;TRIM(I81)&amp;"]"&amp;IF(H81="","","("&amp;H81&amp;")")&amp;" "&amp;TRIM(J81)&amp;IF(G82="","",","))</f>
        <v/>
      </c>
      <c r="AW81" s="27"/>
      <c r="AY81" s="122" t="str">
        <f t="shared" si="23"/>
        <v/>
      </c>
    </row>
    <row r="82" spans="2:51" ht="12.75">
      <c r="B82" s="20" t="str">
        <f t="shared" ref="B82:B115" si="25">IF(C82=0,"",+B81+1)</f>
        <v/>
      </c>
      <c r="C82" s="5"/>
      <c r="D82" s="5"/>
      <c r="E82" s="5"/>
      <c r="G82" s="5" t="str">
        <f t="shared" si="16"/>
        <v/>
      </c>
      <c r="H82" s="117" t="str">
        <f t="shared" si="12"/>
        <v/>
      </c>
      <c r="I82" s="5" t="str">
        <f t="shared" si="17"/>
        <v/>
      </c>
      <c r="J82" s="5" t="str">
        <f t="shared" si="18"/>
        <v/>
      </c>
      <c r="K82" s="5"/>
      <c r="L82" s="5"/>
      <c r="M82" s="75"/>
      <c r="N82" s="77"/>
      <c r="O82" s="26"/>
      <c r="P82" s="26"/>
      <c r="Q82" s="118" t="str">
        <f t="shared" si="19"/>
        <v/>
      </c>
      <c r="R82" s="153"/>
      <c r="S82" s="138"/>
      <c r="T82" s="148"/>
      <c r="U82" s="146"/>
      <c r="V82" s="146"/>
      <c r="W82" s="139"/>
      <c r="X82" s="139"/>
      <c r="Y82" s="148"/>
      <c r="Z82" s="138" t="str">
        <f t="shared" si="24"/>
        <v/>
      </c>
      <c r="AA82" s="138" t="str">
        <f t="shared" ref="AA82:AA115" si="26">IF($C$120=B82,"asc","")</f>
        <v/>
      </c>
      <c r="AB82" s="239"/>
      <c r="AC82" s="325"/>
      <c r="AD82" s="325"/>
      <c r="AE82" s="325"/>
      <c r="AF82" s="325"/>
      <c r="AG82" s="325"/>
      <c r="AH82" s="325"/>
      <c r="AI82" s="325"/>
      <c r="AJ82" s="325"/>
      <c r="AK82" s="325"/>
      <c r="AL82" s="325"/>
      <c r="AM82" s="325"/>
      <c r="AN82" s="325"/>
      <c r="AO82" s="325"/>
      <c r="AP82" s="136"/>
      <c r="AQ82" s="136"/>
      <c r="AR82" s="136" t="str">
        <f t="shared" si="21"/>
        <v/>
      </c>
      <c r="AS82" s="136" t="str">
        <f t="shared" si="21"/>
        <v/>
      </c>
      <c r="AT82" s="5" t="str">
        <f t="shared" si="22"/>
        <v/>
      </c>
      <c r="AV82" s="27" t="str">
        <f>IF(G82="","",+"          ["&amp;TRIM(G82)&amp;"] ["&amp;TRIM(I82)&amp;"]"&amp;IF(H82="","","("&amp;H82&amp;")")&amp;" "&amp;TRIM(J82)&amp;IF(G83="","",","))</f>
        <v/>
      </c>
      <c r="AW82" s="27"/>
      <c r="AY82" s="122" t="str">
        <f t="shared" si="23"/>
        <v/>
      </c>
    </row>
    <row r="83" spans="2:51" ht="12.75">
      <c r="B83" s="20" t="str">
        <f t="shared" si="25"/>
        <v/>
      </c>
      <c r="C83" s="5"/>
      <c r="D83" s="5"/>
      <c r="E83" s="5"/>
      <c r="G83" s="5" t="str">
        <f t="shared" si="16"/>
        <v/>
      </c>
      <c r="H83" s="117" t="str">
        <f t="shared" si="12"/>
        <v/>
      </c>
      <c r="I83" s="5" t="str">
        <f t="shared" si="17"/>
        <v/>
      </c>
      <c r="J83" s="5" t="str">
        <f t="shared" si="18"/>
        <v/>
      </c>
      <c r="K83" s="5"/>
      <c r="L83" s="5"/>
      <c r="M83" s="75"/>
      <c r="N83" s="77"/>
      <c r="O83" s="26"/>
      <c r="P83" s="26"/>
      <c r="Q83" s="118" t="str">
        <f t="shared" si="19"/>
        <v/>
      </c>
      <c r="R83" s="153"/>
      <c r="S83" s="138"/>
      <c r="T83" s="148"/>
      <c r="U83" s="146"/>
      <c r="V83" s="146"/>
      <c r="W83" s="139"/>
      <c r="X83" s="139"/>
      <c r="Y83" s="148"/>
      <c r="Z83" s="138" t="str">
        <f t="shared" si="24"/>
        <v/>
      </c>
      <c r="AA83" s="138" t="str">
        <f t="shared" si="26"/>
        <v/>
      </c>
      <c r="AB83" s="239"/>
      <c r="AC83" s="325"/>
      <c r="AD83" s="325"/>
      <c r="AE83" s="325"/>
      <c r="AF83" s="325"/>
      <c r="AG83" s="325"/>
      <c r="AH83" s="325"/>
      <c r="AI83" s="325"/>
      <c r="AJ83" s="325"/>
      <c r="AK83" s="325"/>
      <c r="AL83" s="325"/>
      <c r="AM83" s="325"/>
      <c r="AN83" s="325"/>
      <c r="AO83" s="325"/>
      <c r="AP83" s="136"/>
      <c r="AQ83" s="136"/>
      <c r="AR83" s="136" t="str">
        <f t="shared" si="21"/>
        <v/>
      </c>
      <c r="AS83" s="136" t="str">
        <f t="shared" si="21"/>
        <v/>
      </c>
      <c r="AT83" s="5" t="str">
        <f t="shared" si="22"/>
        <v/>
      </c>
      <c r="AV83" s="27" t="str">
        <f>IF(G83="","",+"          ["&amp;TRIM(G83)&amp;"] ["&amp;TRIM(I83)&amp;"]"&amp;IF(H83="","","("&amp;H83&amp;")")&amp;" "&amp;TRIM(J83)&amp;IF(G93="","",","))</f>
        <v/>
      </c>
      <c r="AW83" s="27"/>
      <c r="AY83" s="122" t="str">
        <f t="shared" si="23"/>
        <v/>
      </c>
    </row>
    <row r="84" spans="2:51" ht="12.75">
      <c r="B84" s="20" t="str">
        <f t="shared" si="25"/>
        <v/>
      </c>
      <c r="C84" s="5"/>
      <c r="D84" s="5"/>
      <c r="E84" s="5"/>
      <c r="G84" s="5" t="str">
        <f t="shared" si="16"/>
        <v/>
      </c>
      <c r="H84" s="117" t="str">
        <f t="shared" si="12"/>
        <v/>
      </c>
      <c r="I84" s="5" t="str">
        <f t="shared" si="17"/>
        <v/>
      </c>
      <c r="J84" s="5" t="str">
        <f t="shared" si="18"/>
        <v/>
      </c>
      <c r="K84" s="5"/>
      <c r="L84" s="5"/>
      <c r="M84" s="75"/>
      <c r="N84" s="77"/>
      <c r="O84" s="26"/>
      <c r="P84" s="26"/>
      <c r="Q84" s="118" t="str">
        <f t="shared" si="19"/>
        <v/>
      </c>
      <c r="R84" s="153"/>
      <c r="S84" s="138"/>
      <c r="T84" s="148"/>
      <c r="U84" s="146"/>
      <c r="V84" s="146"/>
      <c r="W84" s="139"/>
      <c r="X84" s="139"/>
      <c r="Y84" s="148"/>
      <c r="Z84" s="138" t="str">
        <f t="shared" si="24"/>
        <v/>
      </c>
      <c r="AA84" s="138" t="str">
        <f t="shared" si="26"/>
        <v/>
      </c>
      <c r="AB84" s="239"/>
      <c r="AC84" s="325"/>
      <c r="AD84" s="325"/>
      <c r="AE84" s="325"/>
      <c r="AF84" s="325"/>
      <c r="AG84" s="325"/>
      <c r="AH84" s="325"/>
      <c r="AI84" s="325"/>
      <c r="AJ84" s="325"/>
      <c r="AK84" s="325"/>
      <c r="AL84" s="325"/>
      <c r="AM84" s="325"/>
      <c r="AN84" s="325"/>
      <c r="AO84" s="325"/>
      <c r="AP84" s="136"/>
      <c r="AQ84" s="136"/>
      <c r="AR84" s="136" t="str">
        <f t="shared" si="21"/>
        <v/>
      </c>
      <c r="AS84" s="136" t="str">
        <f t="shared" si="21"/>
        <v/>
      </c>
      <c r="AT84" s="5" t="str">
        <f t="shared" si="22"/>
        <v/>
      </c>
      <c r="AV84" s="27" t="str">
        <f>IF(G84="","",+"          ["&amp;TRIM(G84)&amp;"] ["&amp;TRIM(I84)&amp;"]"&amp;IF(H84="","","("&amp;H84&amp;")")&amp;" "&amp;TRIM(J84)&amp;IF(G85="","",","))</f>
        <v/>
      </c>
      <c r="AW84" s="27"/>
      <c r="AY84" s="122" t="str">
        <f t="shared" si="23"/>
        <v/>
      </c>
    </row>
    <row r="85" spans="2:51" ht="12.75">
      <c r="B85" s="20" t="str">
        <f t="shared" si="25"/>
        <v/>
      </c>
      <c r="C85" s="5"/>
      <c r="D85" s="5"/>
      <c r="E85" s="5"/>
      <c r="G85" s="5" t="str">
        <f t="shared" si="16"/>
        <v/>
      </c>
      <c r="H85" s="117" t="str">
        <f t="shared" si="12"/>
        <v/>
      </c>
      <c r="I85" s="5" t="str">
        <f t="shared" si="17"/>
        <v/>
      </c>
      <c r="J85" s="5" t="str">
        <f t="shared" si="18"/>
        <v/>
      </c>
      <c r="K85" s="5"/>
      <c r="L85" s="5"/>
      <c r="M85" s="75"/>
      <c r="N85" s="77"/>
      <c r="O85" s="26"/>
      <c r="P85" s="26"/>
      <c r="Q85" s="118" t="str">
        <f t="shared" si="19"/>
        <v/>
      </c>
      <c r="R85" s="153"/>
      <c r="S85" s="138"/>
      <c r="T85" s="148"/>
      <c r="U85" s="146"/>
      <c r="V85" s="146"/>
      <c r="W85" s="139"/>
      <c r="X85" s="139"/>
      <c r="Y85" s="148"/>
      <c r="Z85" s="138" t="str">
        <f t="shared" si="24"/>
        <v/>
      </c>
      <c r="AA85" s="138" t="str">
        <f t="shared" si="26"/>
        <v/>
      </c>
      <c r="AB85" s="239"/>
      <c r="AC85" s="325"/>
      <c r="AD85" s="325"/>
      <c r="AE85" s="325"/>
      <c r="AF85" s="325"/>
      <c r="AG85" s="325"/>
      <c r="AH85" s="325"/>
      <c r="AI85" s="325"/>
      <c r="AJ85" s="325"/>
      <c r="AK85" s="325"/>
      <c r="AL85" s="325"/>
      <c r="AM85" s="325"/>
      <c r="AN85" s="325"/>
      <c r="AO85" s="325"/>
      <c r="AP85" s="136"/>
      <c r="AQ85" s="136"/>
      <c r="AR85" s="136" t="str">
        <f t="shared" si="21"/>
        <v/>
      </c>
      <c r="AS85" s="136" t="str">
        <f t="shared" si="21"/>
        <v/>
      </c>
      <c r="AT85" s="5" t="str">
        <f t="shared" si="22"/>
        <v/>
      </c>
      <c r="AV85" s="27" t="str">
        <f>IF(G85="","",+"          ["&amp;TRIM(G85)&amp;"] ["&amp;TRIM(I85)&amp;"]"&amp;IF(H85="","","("&amp;H85&amp;")")&amp;" "&amp;TRIM(J85)&amp;IF(G86="","",","))</f>
        <v/>
      </c>
      <c r="AW85" s="27"/>
      <c r="AY85" s="122" t="str">
        <f t="shared" si="23"/>
        <v/>
      </c>
    </row>
    <row r="86" spans="2:51" ht="12.75">
      <c r="B86" s="20" t="str">
        <f t="shared" si="25"/>
        <v/>
      </c>
      <c r="C86" s="5"/>
      <c r="D86" s="5"/>
      <c r="E86" s="5"/>
      <c r="G86" s="5" t="str">
        <f t="shared" si="16"/>
        <v/>
      </c>
      <c r="H86" s="117" t="str">
        <f t="shared" si="12"/>
        <v/>
      </c>
      <c r="I86" s="5" t="str">
        <f t="shared" si="17"/>
        <v/>
      </c>
      <c r="J86" s="5" t="str">
        <f t="shared" si="18"/>
        <v/>
      </c>
      <c r="K86" s="5"/>
      <c r="L86" s="5"/>
      <c r="M86" s="75"/>
      <c r="N86" s="77"/>
      <c r="O86" s="26"/>
      <c r="P86" s="26"/>
      <c r="Q86" s="118" t="str">
        <f t="shared" si="19"/>
        <v/>
      </c>
      <c r="R86" s="153"/>
      <c r="S86" s="138"/>
      <c r="T86" s="148"/>
      <c r="U86" s="146"/>
      <c r="V86" s="146"/>
      <c r="W86" s="139"/>
      <c r="X86" s="139"/>
      <c r="Y86" s="148"/>
      <c r="Z86" s="138" t="str">
        <f t="shared" si="24"/>
        <v/>
      </c>
      <c r="AA86" s="138" t="str">
        <f t="shared" si="26"/>
        <v/>
      </c>
      <c r="AB86" s="239"/>
      <c r="AC86" s="325"/>
      <c r="AD86" s="325"/>
      <c r="AE86" s="325"/>
      <c r="AF86" s="325"/>
      <c r="AG86" s="325"/>
      <c r="AH86" s="325"/>
      <c r="AI86" s="325"/>
      <c r="AJ86" s="325"/>
      <c r="AK86" s="325"/>
      <c r="AL86" s="325"/>
      <c r="AM86" s="325"/>
      <c r="AN86" s="325"/>
      <c r="AO86" s="325"/>
      <c r="AP86" s="136"/>
      <c r="AQ86" s="136"/>
      <c r="AR86" s="136" t="str">
        <f t="shared" si="21"/>
        <v/>
      </c>
      <c r="AS86" s="136" t="str">
        <f t="shared" si="21"/>
        <v/>
      </c>
      <c r="AT86" s="5" t="str">
        <f t="shared" si="22"/>
        <v/>
      </c>
      <c r="AV86" s="27" t="str">
        <f>IF(G86="","",+"          ["&amp;TRIM(G86)&amp;"] ["&amp;TRIM(I86)&amp;"]"&amp;IF(H86="","","("&amp;H86&amp;")")&amp;" "&amp;TRIM(J86)&amp;IF(G87="","",","))</f>
        <v/>
      </c>
      <c r="AW86" s="27"/>
      <c r="AY86" s="122" t="str">
        <f t="shared" si="23"/>
        <v/>
      </c>
    </row>
    <row r="87" spans="2:51" ht="12.75">
      <c r="B87" s="20" t="str">
        <f t="shared" si="25"/>
        <v/>
      </c>
      <c r="C87" s="5"/>
      <c r="D87" s="5"/>
      <c r="E87" s="5"/>
      <c r="G87" s="5" t="str">
        <f t="shared" si="16"/>
        <v/>
      </c>
      <c r="H87" s="117" t="str">
        <f t="shared" ref="H87:H115" si="27">IF(IFERROR(FIND("varchar",E87),0)&gt;0,IF(D87&gt;8000,"max",D87),"")</f>
        <v/>
      </c>
      <c r="I87" s="5" t="str">
        <f t="shared" si="17"/>
        <v/>
      </c>
      <c r="J87" s="5" t="str">
        <f t="shared" si="18"/>
        <v/>
      </c>
      <c r="K87" s="5"/>
      <c r="L87" s="5"/>
      <c r="M87" s="75"/>
      <c r="N87" s="77"/>
      <c r="O87" s="26"/>
      <c r="P87" s="26"/>
      <c r="Q87" s="118" t="str">
        <f t="shared" si="19"/>
        <v/>
      </c>
      <c r="R87" s="153"/>
      <c r="S87" s="138"/>
      <c r="T87" s="148"/>
      <c r="U87" s="146"/>
      <c r="V87" s="146"/>
      <c r="W87" s="139"/>
      <c r="X87" s="139"/>
      <c r="Y87" s="148"/>
      <c r="Z87" s="138" t="str">
        <f t="shared" si="24"/>
        <v/>
      </c>
      <c r="AA87" s="138" t="str">
        <f t="shared" si="26"/>
        <v/>
      </c>
      <c r="AB87" s="239"/>
      <c r="AC87" s="325"/>
      <c r="AD87" s="325"/>
      <c r="AE87" s="325"/>
      <c r="AF87" s="325"/>
      <c r="AG87" s="325"/>
      <c r="AH87" s="325"/>
      <c r="AI87" s="325"/>
      <c r="AJ87" s="325"/>
      <c r="AK87" s="325"/>
      <c r="AL87" s="325"/>
      <c r="AM87" s="325"/>
      <c r="AN87" s="325"/>
      <c r="AO87" s="325"/>
      <c r="AP87" s="136"/>
      <c r="AQ87" s="136"/>
      <c r="AR87" s="136" t="str">
        <f t="shared" si="21"/>
        <v/>
      </c>
      <c r="AS87" s="136" t="str">
        <f t="shared" si="21"/>
        <v/>
      </c>
      <c r="AT87" s="5" t="str">
        <f t="shared" si="22"/>
        <v/>
      </c>
      <c r="AV87" s="27" t="str">
        <f>IF(G87="","",+"          ["&amp;TRIM(G87)&amp;"] ["&amp;TRIM(I87)&amp;"]"&amp;IF(H87="","","("&amp;H87&amp;")")&amp;" "&amp;TRIM(J87)&amp;IF(G93="","",","))</f>
        <v/>
      </c>
      <c r="AW87" s="27"/>
      <c r="AY87" s="122" t="str">
        <f t="shared" si="23"/>
        <v/>
      </c>
    </row>
    <row r="88" spans="2:51" ht="12.75">
      <c r="B88" s="20" t="str">
        <f t="shared" si="25"/>
        <v/>
      </c>
      <c r="C88" s="5"/>
      <c r="D88" s="5"/>
      <c r="E88" s="5"/>
      <c r="G88" s="5" t="str">
        <f t="shared" si="16"/>
        <v/>
      </c>
      <c r="H88" s="117" t="str">
        <f t="shared" si="27"/>
        <v/>
      </c>
      <c r="I88" s="5" t="str">
        <f t="shared" si="17"/>
        <v/>
      </c>
      <c r="J88" s="5" t="str">
        <f t="shared" si="18"/>
        <v/>
      </c>
      <c r="K88" s="5"/>
      <c r="L88" s="5"/>
      <c r="M88" s="75"/>
      <c r="N88" s="77"/>
      <c r="O88" s="26"/>
      <c r="P88" s="26"/>
      <c r="Q88" s="118" t="str">
        <f t="shared" si="19"/>
        <v/>
      </c>
      <c r="R88" s="153"/>
      <c r="S88" s="138"/>
      <c r="T88" s="148"/>
      <c r="U88" s="146"/>
      <c r="V88" s="146"/>
      <c r="W88" s="139"/>
      <c r="X88" s="139"/>
      <c r="Y88" s="148"/>
      <c r="Z88" s="138" t="str">
        <f t="shared" si="24"/>
        <v/>
      </c>
      <c r="AA88" s="138" t="str">
        <f t="shared" si="26"/>
        <v/>
      </c>
      <c r="AB88" s="239"/>
      <c r="AC88" s="325"/>
      <c r="AD88" s="325"/>
      <c r="AE88" s="325"/>
      <c r="AF88" s="325"/>
      <c r="AG88" s="325"/>
      <c r="AH88" s="325"/>
      <c r="AI88" s="325"/>
      <c r="AJ88" s="325"/>
      <c r="AK88" s="325"/>
      <c r="AL88" s="325"/>
      <c r="AM88" s="325"/>
      <c r="AN88" s="325"/>
      <c r="AO88" s="325"/>
      <c r="AP88" s="136"/>
      <c r="AQ88" s="136"/>
      <c r="AR88" s="136" t="str">
        <f t="shared" si="21"/>
        <v/>
      </c>
      <c r="AS88" s="136" t="str">
        <f t="shared" si="21"/>
        <v/>
      </c>
      <c r="AT88" s="5" t="str">
        <f t="shared" si="22"/>
        <v/>
      </c>
      <c r="AV88" s="27" t="str">
        <f>IF(G88="","",+"          ["&amp;TRIM(G88)&amp;"] ["&amp;TRIM(I88)&amp;"]"&amp;IF(H88="","","("&amp;H88&amp;")")&amp;" "&amp;TRIM(J88)&amp;IF(G89="","",","))</f>
        <v/>
      </c>
      <c r="AW88" s="27"/>
      <c r="AY88" s="122" t="str">
        <f t="shared" si="23"/>
        <v/>
      </c>
    </row>
    <row r="89" spans="2:51" ht="12.75">
      <c r="B89" s="20" t="str">
        <f t="shared" si="25"/>
        <v/>
      </c>
      <c r="C89" s="5"/>
      <c r="D89" s="5"/>
      <c r="E89" s="5"/>
      <c r="G89" s="5" t="str">
        <f t="shared" si="16"/>
        <v/>
      </c>
      <c r="H89" s="117" t="str">
        <f t="shared" si="27"/>
        <v/>
      </c>
      <c r="I89" s="5" t="str">
        <f t="shared" si="17"/>
        <v/>
      </c>
      <c r="J89" s="5" t="str">
        <f t="shared" si="18"/>
        <v/>
      </c>
      <c r="K89" s="5"/>
      <c r="L89" s="5"/>
      <c r="M89" s="75"/>
      <c r="N89" s="77"/>
      <c r="O89" s="26"/>
      <c r="P89" s="26"/>
      <c r="Q89" s="118" t="str">
        <f t="shared" si="19"/>
        <v/>
      </c>
      <c r="R89" s="153"/>
      <c r="S89" s="138"/>
      <c r="T89" s="148"/>
      <c r="U89" s="146"/>
      <c r="V89" s="146"/>
      <c r="W89" s="139"/>
      <c r="X89" s="139"/>
      <c r="Y89" s="148"/>
      <c r="Z89" s="138" t="str">
        <f t="shared" si="24"/>
        <v/>
      </c>
      <c r="AA89" s="138" t="str">
        <f t="shared" si="26"/>
        <v/>
      </c>
      <c r="AB89" s="239"/>
      <c r="AC89" s="325"/>
      <c r="AD89" s="325"/>
      <c r="AE89" s="325"/>
      <c r="AF89" s="325"/>
      <c r="AG89" s="325"/>
      <c r="AH89" s="325"/>
      <c r="AI89" s="325"/>
      <c r="AJ89" s="325"/>
      <c r="AK89" s="325"/>
      <c r="AL89" s="325"/>
      <c r="AM89" s="325"/>
      <c r="AN89" s="325"/>
      <c r="AO89" s="325"/>
      <c r="AP89" s="136"/>
      <c r="AQ89" s="136"/>
      <c r="AR89" s="136" t="str">
        <f t="shared" si="21"/>
        <v/>
      </c>
      <c r="AS89" s="136" t="str">
        <f t="shared" si="21"/>
        <v/>
      </c>
      <c r="AT89" s="5" t="str">
        <f t="shared" si="22"/>
        <v/>
      </c>
      <c r="AV89" s="27" t="str">
        <f>IF(G89="","",+"          ["&amp;TRIM(G89)&amp;"] ["&amp;TRIM(I89)&amp;"]"&amp;IF(H89="","","("&amp;H89&amp;")")&amp;" "&amp;TRIM(J89)&amp;IF(G92="","",","))</f>
        <v/>
      </c>
      <c r="AW89" s="27"/>
      <c r="AY89" s="122" t="str">
        <f t="shared" si="23"/>
        <v/>
      </c>
    </row>
    <row r="90" spans="2:51" ht="12.75">
      <c r="B90" s="20" t="str">
        <f t="shared" si="25"/>
        <v/>
      </c>
      <c r="C90" s="5"/>
      <c r="D90" s="5"/>
      <c r="E90" s="5"/>
      <c r="G90" s="5" t="str">
        <f t="shared" si="16"/>
        <v/>
      </c>
      <c r="H90" s="117" t="str">
        <f t="shared" si="27"/>
        <v/>
      </c>
      <c r="I90" s="5" t="str">
        <f t="shared" si="17"/>
        <v/>
      </c>
      <c r="J90" s="5" t="str">
        <f t="shared" si="18"/>
        <v/>
      </c>
      <c r="K90" s="5"/>
      <c r="L90" s="5"/>
      <c r="M90" s="75"/>
      <c r="N90" s="77"/>
      <c r="O90" s="26"/>
      <c r="P90" s="26"/>
      <c r="Q90" s="118" t="str">
        <f t="shared" si="19"/>
        <v/>
      </c>
      <c r="R90" s="153"/>
      <c r="S90" s="138"/>
      <c r="T90" s="148"/>
      <c r="U90" s="146"/>
      <c r="V90" s="146"/>
      <c r="W90" s="139"/>
      <c r="X90" s="139"/>
      <c r="Y90" s="148"/>
      <c r="Z90" s="138" t="str">
        <f t="shared" si="24"/>
        <v/>
      </c>
      <c r="AA90" s="138" t="str">
        <f t="shared" si="26"/>
        <v/>
      </c>
      <c r="AB90" s="239"/>
      <c r="AC90" s="325"/>
      <c r="AD90" s="325"/>
      <c r="AE90" s="325"/>
      <c r="AF90" s="325"/>
      <c r="AG90" s="325"/>
      <c r="AH90" s="325"/>
      <c r="AI90" s="325"/>
      <c r="AJ90" s="325"/>
      <c r="AK90" s="325"/>
      <c r="AL90" s="325"/>
      <c r="AM90" s="325"/>
      <c r="AN90" s="325"/>
      <c r="AO90" s="325"/>
      <c r="AP90" s="136"/>
      <c r="AQ90" s="136"/>
      <c r="AR90" s="136" t="str">
        <f t="shared" si="21"/>
        <v/>
      </c>
      <c r="AS90" s="136" t="str">
        <f t="shared" si="21"/>
        <v/>
      </c>
      <c r="AT90" s="5" t="str">
        <f t="shared" si="22"/>
        <v/>
      </c>
      <c r="AV90" s="27" t="str">
        <f t="shared" ref="AV90:AV95" si="28">IF(G90="","",+"          ["&amp;TRIM(G90)&amp;"] ["&amp;TRIM(I90)&amp;"]"&amp;IF(H90="","","("&amp;H90&amp;")")&amp;" "&amp;TRIM(J90)&amp;IF(G91="","",","))</f>
        <v/>
      </c>
      <c r="AW90" s="27"/>
      <c r="AY90" s="122" t="str">
        <f t="shared" si="23"/>
        <v/>
      </c>
    </row>
    <row r="91" spans="2:51" ht="12.75">
      <c r="B91" s="20" t="str">
        <f t="shared" si="25"/>
        <v/>
      </c>
      <c r="C91" s="5"/>
      <c r="D91" s="5"/>
      <c r="E91" s="5"/>
      <c r="G91" s="5" t="str">
        <f t="shared" si="16"/>
        <v/>
      </c>
      <c r="H91" s="117" t="str">
        <f t="shared" si="27"/>
        <v/>
      </c>
      <c r="I91" s="5" t="str">
        <f t="shared" si="17"/>
        <v/>
      </c>
      <c r="J91" s="5" t="str">
        <f t="shared" si="18"/>
        <v/>
      </c>
      <c r="K91" s="5"/>
      <c r="L91" s="5"/>
      <c r="M91" s="75"/>
      <c r="N91" s="77"/>
      <c r="O91" s="26"/>
      <c r="P91" s="26"/>
      <c r="Q91" s="118" t="str">
        <f t="shared" si="19"/>
        <v/>
      </c>
      <c r="R91" s="153"/>
      <c r="S91" s="138"/>
      <c r="T91" s="148"/>
      <c r="U91" s="146"/>
      <c r="V91" s="146"/>
      <c r="W91" s="139"/>
      <c r="X91" s="139"/>
      <c r="Y91" s="148"/>
      <c r="Z91" s="138" t="str">
        <f t="shared" si="24"/>
        <v/>
      </c>
      <c r="AA91" s="138" t="str">
        <f t="shared" si="26"/>
        <v/>
      </c>
      <c r="AB91" s="239"/>
      <c r="AC91" s="325"/>
      <c r="AD91" s="325"/>
      <c r="AE91" s="325"/>
      <c r="AF91" s="325"/>
      <c r="AG91" s="325"/>
      <c r="AH91" s="325"/>
      <c r="AI91" s="325"/>
      <c r="AJ91" s="325"/>
      <c r="AK91" s="325"/>
      <c r="AL91" s="325"/>
      <c r="AM91" s="325"/>
      <c r="AN91" s="325"/>
      <c r="AO91" s="325"/>
      <c r="AP91" s="136"/>
      <c r="AQ91" s="136"/>
      <c r="AR91" s="136" t="str">
        <f t="shared" si="21"/>
        <v/>
      </c>
      <c r="AS91" s="136" t="str">
        <f t="shared" si="21"/>
        <v/>
      </c>
      <c r="AT91" s="5" t="str">
        <f t="shared" si="22"/>
        <v/>
      </c>
      <c r="AV91" s="27" t="str">
        <f t="shared" si="28"/>
        <v/>
      </c>
      <c r="AW91" s="27"/>
      <c r="AY91" s="122" t="str">
        <f t="shared" si="23"/>
        <v/>
      </c>
    </row>
    <row r="92" spans="2:51" ht="12.75">
      <c r="B92" s="20" t="str">
        <f t="shared" si="25"/>
        <v/>
      </c>
      <c r="C92" s="5"/>
      <c r="D92" s="5"/>
      <c r="E92" s="5"/>
      <c r="G92" s="5" t="str">
        <f t="shared" si="16"/>
        <v/>
      </c>
      <c r="H92" s="117" t="str">
        <f t="shared" si="27"/>
        <v/>
      </c>
      <c r="I92" s="5" t="str">
        <f t="shared" si="17"/>
        <v/>
      </c>
      <c r="J92" s="5" t="str">
        <f t="shared" si="18"/>
        <v/>
      </c>
      <c r="K92" s="5"/>
      <c r="L92" s="5"/>
      <c r="M92" s="75"/>
      <c r="N92" s="77"/>
      <c r="O92" s="26"/>
      <c r="P92" s="26"/>
      <c r="Q92" s="118" t="str">
        <f t="shared" si="19"/>
        <v/>
      </c>
      <c r="R92" s="153"/>
      <c r="S92" s="138"/>
      <c r="T92" s="148"/>
      <c r="U92" s="146"/>
      <c r="V92" s="146"/>
      <c r="W92" s="139"/>
      <c r="X92" s="139"/>
      <c r="Y92" s="148"/>
      <c r="Z92" s="138" t="str">
        <f t="shared" si="24"/>
        <v/>
      </c>
      <c r="AA92" s="138" t="str">
        <f t="shared" si="26"/>
        <v/>
      </c>
      <c r="AB92" s="239"/>
      <c r="AC92" s="325"/>
      <c r="AD92" s="325"/>
      <c r="AE92" s="325"/>
      <c r="AF92" s="325"/>
      <c r="AG92" s="325"/>
      <c r="AH92" s="325"/>
      <c r="AI92" s="325"/>
      <c r="AJ92" s="325"/>
      <c r="AK92" s="325"/>
      <c r="AL92" s="325"/>
      <c r="AM92" s="325"/>
      <c r="AN92" s="325"/>
      <c r="AO92" s="325"/>
      <c r="AP92" s="136"/>
      <c r="AQ92" s="136"/>
      <c r="AR92" s="136" t="str">
        <f t="shared" si="21"/>
        <v/>
      </c>
      <c r="AS92" s="136" t="str">
        <f t="shared" si="21"/>
        <v/>
      </c>
      <c r="AT92" s="5" t="str">
        <f t="shared" si="22"/>
        <v/>
      </c>
      <c r="AV92" s="27" t="str">
        <f t="shared" si="28"/>
        <v/>
      </c>
      <c r="AW92" s="27"/>
      <c r="AY92" s="122" t="str">
        <f t="shared" si="23"/>
        <v/>
      </c>
    </row>
    <row r="93" spans="2:51" ht="12.75">
      <c r="B93" s="20" t="str">
        <f t="shared" si="25"/>
        <v/>
      </c>
      <c r="C93" s="5"/>
      <c r="D93" s="5"/>
      <c r="E93" s="5"/>
      <c r="G93" s="5" t="str">
        <f t="shared" si="16"/>
        <v/>
      </c>
      <c r="H93" s="117" t="str">
        <f t="shared" si="27"/>
        <v/>
      </c>
      <c r="I93" s="5" t="str">
        <f t="shared" si="17"/>
        <v/>
      </c>
      <c r="J93" s="5" t="str">
        <f t="shared" si="18"/>
        <v/>
      </c>
      <c r="K93" s="5"/>
      <c r="L93" s="5"/>
      <c r="M93" s="75"/>
      <c r="N93" s="77"/>
      <c r="O93" s="26"/>
      <c r="P93" s="26"/>
      <c r="Q93" s="118" t="str">
        <f t="shared" si="19"/>
        <v/>
      </c>
      <c r="R93" s="153"/>
      <c r="S93" s="138"/>
      <c r="T93" s="148"/>
      <c r="U93" s="146"/>
      <c r="V93" s="146"/>
      <c r="W93" s="139"/>
      <c r="X93" s="139"/>
      <c r="Y93" s="148"/>
      <c r="Z93" s="138" t="str">
        <f t="shared" si="24"/>
        <v/>
      </c>
      <c r="AA93" s="138" t="str">
        <f t="shared" si="26"/>
        <v/>
      </c>
      <c r="AB93" s="239"/>
      <c r="AC93" s="325"/>
      <c r="AD93" s="325"/>
      <c r="AE93" s="325"/>
      <c r="AF93" s="325"/>
      <c r="AG93" s="325"/>
      <c r="AH93" s="325"/>
      <c r="AI93" s="325"/>
      <c r="AJ93" s="325"/>
      <c r="AK93" s="325"/>
      <c r="AL93" s="325"/>
      <c r="AM93" s="325"/>
      <c r="AN93" s="325"/>
      <c r="AO93" s="325"/>
      <c r="AP93" s="136"/>
      <c r="AQ93" s="136"/>
      <c r="AR93" s="136" t="str">
        <f t="shared" si="21"/>
        <v/>
      </c>
      <c r="AS93" s="136" t="str">
        <f t="shared" si="21"/>
        <v/>
      </c>
      <c r="AT93" s="5" t="str">
        <f t="shared" si="22"/>
        <v/>
      </c>
      <c r="AV93" s="27" t="str">
        <f t="shared" si="28"/>
        <v/>
      </c>
      <c r="AW93" s="27"/>
      <c r="AY93" s="122" t="str">
        <f t="shared" si="23"/>
        <v/>
      </c>
    </row>
    <row r="94" spans="2:51" ht="12.75">
      <c r="B94" s="20" t="str">
        <f t="shared" si="25"/>
        <v/>
      </c>
      <c r="C94" s="5"/>
      <c r="D94" s="5"/>
      <c r="E94" s="5"/>
      <c r="G94" s="5" t="str">
        <f>SUBSTITUTE(SUBSTITUTE(SUBSTITUTE(SUBSTITUTE(SUBSTITUTE(SUBSTITUTE(SUBSTITUTE(SUBSTITUTE(SUBSTITUTE(C94," ",""),".",""),"#","No"),"%",""),"(",""),"*",""),"-",""),"/",""),")","")</f>
        <v/>
      </c>
      <c r="H94" s="117" t="str">
        <f t="shared" si="27"/>
        <v/>
      </c>
      <c r="I94" s="5" t="str">
        <f>IF(E94=0,"",+E94)</f>
        <v/>
      </c>
      <c r="J94" s="5" t="str">
        <f>IF(C94=0,"",(IF(ISERROR(VLOOKUP(G94,$D$120:$D$127,1,FALSE)),""," NOT")&amp;" NULL"))</f>
        <v/>
      </c>
      <c r="K94" s="5"/>
      <c r="L94" s="5"/>
      <c r="M94" s="75"/>
      <c r="N94" s="77"/>
      <c r="O94" s="26"/>
      <c r="P94" s="26"/>
      <c r="Q94" s="118" t="str">
        <f>IF(M94=0,"",ROW())</f>
        <v/>
      </c>
      <c r="R94" s="153"/>
      <c r="S94" s="138"/>
      <c r="T94" s="148"/>
      <c r="U94" s="146"/>
      <c r="V94" s="146"/>
      <c r="W94" s="139"/>
      <c r="X94" s="139"/>
      <c r="Y94" s="148"/>
      <c r="Z94" s="138" t="str">
        <f t="shared" si="24"/>
        <v/>
      </c>
      <c r="AA94" s="138" t="str">
        <f t="shared" si="26"/>
        <v/>
      </c>
      <c r="AB94" s="239"/>
      <c r="AC94" s="325"/>
      <c r="AD94" s="325"/>
      <c r="AE94" s="325"/>
      <c r="AF94" s="325"/>
      <c r="AG94" s="325"/>
      <c r="AH94" s="325"/>
      <c r="AI94" s="325"/>
      <c r="AJ94" s="325"/>
      <c r="AK94" s="325"/>
      <c r="AL94" s="325"/>
      <c r="AM94" s="325"/>
      <c r="AN94" s="325"/>
      <c r="AO94" s="325"/>
      <c r="AP94" s="136"/>
      <c r="AQ94" s="136"/>
      <c r="AR94" s="136" t="str">
        <f t="shared" si="21"/>
        <v/>
      </c>
      <c r="AS94" s="136" t="str">
        <f t="shared" si="21"/>
        <v/>
      </c>
      <c r="AT94" s="5" t="str">
        <f t="shared" si="22"/>
        <v/>
      </c>
      <c r="AV94" s="27" t="str">
        <f t="shared" si="28"/>
        <v/>
      </c>
      <c r="AW94" s="27"/>
      <c r="AY94" s="122" t="str">
        <f t="shared" si="23"/>
        <v/>
      </c>
    </row>
    <row r="95" spans="2:51" ht="12.75">
      <c r="B95" s="20" t="str">
        <f t="shared" si="25"/>
        <v/>
      </c>
      <c r="C95" s="5"/>
      <c r="D95" s="5"/>
      <c r="E95" s="5"/>
      <c r="G95" s="5" t="str">
        <f>SUBSTITUTE(SUBSTITUTE(SUBSTITUTE(SUBSTITUTE(SUBSTITUTE(SUBSTITUTE(SUBSTITUTE(SUBSTITUTE(SUBSTITUTE(C95," ",""),".",""),"#","No"),"%",""),"(",""),"*",""),"-",""),"/",""),")","")</f>
        <v/>
      </c>
      <c r="H95" s="117" t="str">
        <f t="shared" si="27"/>
        <v/>
      </c>
      <c r="I95" s="5" t="str">
        <f>IF(E95=0,"",+E95)</f>
        <v/>
      </c>
      <c r="J95" s="5" t="str">
        <f>IF(C95=0,"",(IF(ISERROR(VLOOKUP(G95,$D$120:$D$127,1,FALSE)),""," NOT")&amp;" NULL"))</f>
        <v/>
      </c>
      <c r="K95" s="5"/>
      <c r="L95" s="5"/>
      <c r="M95" s="75"/>
      <c r="N95" s="77"/>
      <c r="O95" s="26"/>
      <c r="P95" s="26"/>
      <c r="Q95" s="118" t="str">
        <f>IF(M95=0,"",ROW())</f>
        <v/>
      </c>
      <c r="R95" s="153"/>
      <c r="S95" s="138"/>
      <c r="T95" s="148"/>
      <c r="U95" s="146"/>
      <c r="V95" s="146"/>
      <c r="W95" s="139"/>
      <c r="X95" s="139"/>
      <c r="Y95" s="148"/>
      <c r="Z95" s="138" t="str">
        <f t="shared" si="24"/>
        <v/>
      </c>
      <c r="AA95" s="138" t="str">
        <f t="shared" si="26"/>
        <v/>
      </c>
      <c r="AB95" s="239"/>
      <c r="AC95" s="325"/>
      <c r="AD95" s="325"/>
      <c r="AE95" s="325"/>
      <c r="AF95" s="325"/>
      <c r="AG95" s="325"/>
      <c r="AH95" s="325"/>
      <c r="AI95" s="325"/>
      <c r="AJ95" s="325"/>
      <c r="AK95" s="325"/>
      <c r="AL95" s="325"/>
      <c r="AM95" s="325"/>
      <c r="AN95" s="325"/>
      <c r="AO95" s="325"/>
      <c r="AP95" s="136"/>
      <c r="AQ95" s="136"/>
      <c r="AR95" s="136" t="str">
        <f t="shared" si="21"/>
        <v/>
      </c>
      <c r="AS95" s="136" t="str">
        <f t="shared" si="21"/>
        <v/>
      </c>
      <c r="AT95" s="5" t="str">
        <f t="shared" si="22"/>
        <v/>
      </c>
      <c r="AV95" s="27" t="str">
        <f t="shared" si="28"/>
        <v/>
      </c>
      <c r="AW95" s="27"/>
      <c r="AY95" s="122" t="str">
        <f t="shared" si="23"/>
        <v/>
      </c>
    </row>
    <row r="96" spans="2:51" ht="12.75">
      <c r="B96" s="20" t="str">
        <f t="shared" si="25"/>
        <v/>
      </c>
      <c r="C96" s="5"/>
      <c r="D96" s="5"/>
      <c r="E96" s="5"/>
      <c r="G96" s="5" t="str">
        <f>SUBSTITUTE(SUBSTITUTE(SUBSTITUTE(SUBSTITUTE(SUBSTITUTE(SUBSTITUTE(SUBSTITUTE(SUBSTITUTE(SUBSTITUTE(C96," ",""),".",""),"#","No"),"%",""),"(",""),"*",""),"-",""),"/",""),")","")</f>
        <v/>
      </c>
      <c r="H96" s="117" t="str">
        <f t="shared" si="27"/>
        <v/>
      </c>
      <c r="I96" s="5" t="str">
        <f>IF(E96=0,"",+E96)</f>
        <v/>
      </c>
      <c r="J96" s="5" t="str">
        <f>IF(C96=0,"",(IF(ISERROR(VLOOKUP(G96,$D$120:$D$127,1,FALSE)),""," NOT")&amp;" NULL"))</f>
        <v/>
      </c>
      <c r="K96" s="5"/>
      <c r="L96" s="5"/>
      <c r="M96" s="75"/>
      <c r="N96" s="77"/>
      <c r="O96" s="26"/>
      <c r="P96" s="26"/>
      <c r="Q96" s="118" t="str">
        <f>IF(M96=0,"",ROW())</f>
        <v/>
      </c>
      <c r="R96" s="153"/>
      <c r="S96" s="138"/>
      <c r="T96" s="148"/>
      <c r="U96" s="146"/>
      <c r="V96" s="146"/>
      <c r="W96" s="139"/>
      <c r="X96" s="139"/>
      <c r="Y96" s="148"/>
      <c r="Z96" s="138" t="str">
        <f t="shared" si="24"/>
        <v/>
      </c>
      <c r="AA96" s="138" t="str">
        <f t="shared" si="26"/>
        <v/>
      </c>
      <c r="AB96" s="239"/>
      <c r="AC96" s="325"/>
      <c r="AD96" s="325"/>
      <c r="AE96" s="325"/>
      <c r="AF96" s="325"/>
      <c r="AG96" s="325"/>
      <c r="AH96" s="325"/>
      <c r="AI96" s="325"/>
      <c r="AJ96" s="325"/>
      <c r="AK96" s="325"/>
      <c r="AL96" s="325"/>
      <c r="AM96" s="325"/>
      <c r="AN96" s="325"/>
      <c r="AO96" s="325"/>
      <c r="AP96" s="136"/>
      <c r="AQ96" s="136"/>
      <c r="AR96" s="136" t="str">
        <f t="shared" si="21"/>
        <v/>
      </c>
      <c r="AS96" s="136" t="str">
        <f t="shared" si="21"/>
        <v/>
      </c>
      <c r="AT96" s="5" t="str">
        <f t="shared" si="22"/>
        <v/>
      </c>
      <c r="AV96" s="27" t="str">
        <f>IF(G96="","",+"          ["&amp;TRIM(G96)&amp;"] ["&amp;TRIM(I96)&amp;"]"&amp;IF(H96="","","("&amp;H96&amp;")")&amp;" "&amp;TRIM(J96)&amp;IF(G108="","",","))</f>
        <v/>
      </c>
      <c r="AW96" s="27"/>
      <c r="AY96" s="122" t="str">
        <f t="shared" si="23"/>
        <v/>
      </c>
    </row>
    <row r="97" spans="2:51" ht="12.75">
      <c r="B97" s="20" t="str">
        <f t="shared" si="25"/>
        <v/>
      </c>
      <c r="C97" s="5"/>
      <c r="D97" s="5"/>
      <c r="E97" s="5"/>
      <c r="G97" s="5" t="str">
        <f t="shared" ref="G97:G115" si="29">SUBSTITUTE(SUBSTITUTE(SUBSTITUTE(SUBSTITUTE(SUBSTITUTE(SUBSTITUTE(SUBSTITUTE(SUBSTITUTE(SUBSTITUTE(C97," ",""),".",""),"#","No"),"%",""),"(",""),"*",""),"-",""),"/",""),")","")</f>
        <v/>
      </c>
      <c r="H97" s="117" t="str">
        <f t="shared" si="27"/>
        <v/>
      </c>
      <c r="I97" s="5" t="str">
        <f t="shared" ref="I97:I115" si="30">IF(E97=0,"",+E97)</f>
        <v/>
      </c>
      <c r="J97" s="5" t="str">
        <f t="shared" ref="J97:J115" si="31">IF(C97=0,"",(IF(ISERROR(VLOOKUP(G97,$D$120:$D$127,1,FALSE)),""," NOT")&amp;" NULL"))</f>
        <v/>
      </c>
      <c r="K97" s="5"/>
      <c r="L97" s="5"/>
      <c r="M97" s="75"/>
      <c r="N97" s="77"/>
      <c r="O97" s="26"/>
      <c r="P97" s="26"/>
      <c r="Q97" s="118" t="str">
        <f t="shared" ref="Q97:Q115" si="32">IF(M97=0,"",ROW())</f>
        <v/>
      </c>
      <c r="R97" s="153"/>
      <c r="S97" s="138"/>
      <c r="T97" s="148"/>
      <c r="U97" s="146"/>
      <c r="V97" s="146"/>
      <c r="W97" s="139"/>
      <c r="X97" s="139"/>
      <c r="Y97" s="148"/>
      <c r="Z97" s="138" t="str">
        <f t="shared" si="24"/>
        <v/>
      </c>
      <c r="AA97" s="138" t="str">
        <f t="shared" si="26"/>
        <v/>
      </c>
      <c r="AB97" s="239"/>
      <c r="AC97" s="325"/>
      <c r="AD97" s="325"/>
      <c r="AE97" s="325"/>
      <c r="AF97" s="325"/>
      <c r="AG97" s="325"/>
      <c r="AH97" s="325"/>
      <c r="AI97" s="325"/>
      <c r="AJ97" s="325"/>
      <c r="AK97" s="325"/>
      <c r="AL97" s="325"/>
      <c r="AM97" s="325"/>
      <c r="AN97" s="325"/>
      <c r="AO97" s="325"/>
      <c r="AP97" s="136"/>
      <c r="AQ97" s="136"/>
      <c r="AR97" s="136" t="str">
        <f t="shared" si="21"/>
        <v/>
      </c>
      <c r="AS97" s="136" t="str">
        <f t="shared" si="21"/>
        <v/>
      </c>
      <c r="AT97" s="5" t="str">
        <f t="shared" si="22"/>
        <v/>
      </c>
      <c r="AV97" s="27" t="str">
        <f>IF(G97="","",+"          ["&amp;TRIM(G97)&amp;"] ["&amp;TRIM(I97)&amp;"]"&amp;IF(H97="","","("&amp;H97&amp;")")&amp;" "&amp;TRIM(J97)&amp;IF(G98="","",","))</f>
        <v/>
      </c>
      <c r="AW97" s="27"/>
      <c r="AY97" s="122" t="str">
        <f t="shared" si="23"/>
        <v/>
      </c>
    </row>
    <row r="98" spans="2:51" ht="12.75">
      <c r="B98" s="20" t="str">
        <f t="shared" si="25"/>
        <v/>
      </c>
      <c r="C98" s="5"/>
      <c r="D98" s="5"/>
      <c r="E98" s="5"/>
      <c r="G98" s="5" t="str">
        <f t="shared" si="29"/>
        <v/>
      </c>
      <c r="H98" s="117" t="str">
        <f t="shared" si="27"/>
        <v/>
      </c>
      <c r="I98" s="5" t="str">
        <f t="shared" si="30"/>
        <v/>
      </c>
      <c r="J98" s="5" t="str">
        <f t="shared" si="31"/>
        <v/>
      </c>
      <c r="K98" s="5"/>
      <c r="L98" s="5"/>
      <c r="M98" s="75"/>
      <c r="N98" s="77"/>
      <c r="O98" s="26"/>
      <c r="P98" s="26"/>
      <c r="Q98" s="118" t="str">
        <f t="shared" si="32"/>
        <v/>
      </c>
      <c r="R98" s="153"/>
      <c r="S98" s="138"/>
      <c r="T98" s="148"/>
      <c r="U98" s="146"/>
      <c r="V98" s="146"/>
      <c r="W98" s="139"/>
      <c r="X98" s="139"/>
      <c r="Y98" s="148"/>
      <c r="Z98" s="138" t="str">
        <f t="shared" si="24"/>
        <v/>
      </c>
      <c r="AA98" s="138" t="str">
        <f t="shared" si="26"/>
        <v/>
      </c>
      <c r="AB98" s="239"/>
      <c r="AC98" s="325"/>
      <c r="AD98" s="325"/>
      <c r="AE98" s="325"/>
      <c r="AF98" s="325"/>
      <c r="AG98" s="325"/>
      <c r="AH98" s="325"/>
      <c r="AI98" s="325"/>
      <c r="AJ98" s="325"/>
      <c r="AK98" s="325"/>
      <c r="AL98" s="325"/>
      <c r="AM98" s="325"/>
      <c r="AN98" s="325"/>
      <c r="AO98" s="325"/>
      <c r="AP98" s="136"/>
      <c r="AQ98" s="136"/>
      <c r="AR98" s="136" t="str">
        <f t="shared" si="21"/>
        <v/>
      </c>
      <c r="AS98" s="136" t="str">
        <f t="shared" si="21"/>
        <v/>
      </c>
      <c r="AT98" s="5" t="str">
        <f t="shared" si="22"/>
        <v/>
      </c>
      <c r="AV98" s="27" t="str">
        <f>IF(G98="","",+"          ["&amp;TRIM(G98)&amp;"] ["&amp;TRIM(I98)&amp;"]"&amp;IF(H98="","","("&amp;H98&amp;")")&amp;" "&amp;TRIM(J98)&amp;IF(G107="","",","))</f>
        <v/>
      </c>
      <c r="AW98" s="27"/>
      <c r="AY98" s="122" t="str">
        <f t="shared" si="23"/>
        <v/>
      </c>
    </row>
    <row r="99" spans="2:51" ht="12.75">
      <c r="B99" s="20" t="str">
        <f t="shared" si="25"/>
        <v/>
      </c>
      <c r="C99" s="5"/>
      <c r="D99" s="5"/>
      <c r="E99" s="5"/>
      <c r="G99" s="5" t="str">
        <f t="shared" si="29"/>
        <v/>
      </c>
      <c r="H99" s="117" t="str">
        <f t="shared" si="27"/>
        <v/>
      </c>
      <c r="I99" s="5" t="str">
        <f t="shared" si="30"/>
        <v/>
      </c>
      <c r="J99" s="5" t="str">
        <f t="shared" si="31"/>
        <v/>
      </c>
      <c r="K99" s="5"/>
      <c r="L99" s="5"/>
      <c r="M99" s="75"/>
      <c r="N99" s="77"/>
      <c r="O99" s="26"/>
      <c r="P99" s="26"/>
      <c r="Q99" s="118" t="str">
        <f t="shared" si="32"/>
        <v/>
      </c>
      <c r="R99" s="153"/>
      <c r="S99" s="138"/>
      <c r="T99" s="148"/>
      <c r="U99" s="146"/>
      <c r="V99" s="146"/>
      <c r="W99" s="139"/>
      <c r="X99" s="139"/>
      <c r="Y99" s="148"/>
      <c r="Z99" s="138" t="str">
        <f t="shared" si="24"/>
        <v/>
      </c>
      <c r="AA99" s="138" t="str">
        <f t="shared" si="26"/>
        <v/>
      </c>
      <c r="AB99" s="239"/>
      <c r="AC99" s="325"/>
      <c r="AD99" s="325"/>
      <c r="AE99" s="325"/>
      <c r="AF99" s="325"/>
      <c r="AG99" s="325"/>
      <c r="AH99" s="325"/>
      <c r="AI99" s="325"/>
      <c r="AJ99" s="325"/>
      <c r="AK99" s="325"/>
      <c r="AL99" s="325"/>
      <c r="AM99" s="325"/>
      <c r="AN99" s="325"/>
      <c r="AO99" s="325"/>
      <c r="AP99" s="136"/>
      <c r="AQ99" s="136"/>
      <c r="AR99" s="136" t="str">
        <f t="shared" si="21"/>
        <v/>
      </c>
      <c r="AS99" s="136" t="str">
        <f t="shared" si="21"/>
        <v/>
      </c>
      <c r="AT99" s="5" t="str">
        <f t="shared" si="22"/>
        <v/>
      </c>
      <c r="AV99" s="27" t="str">
        <f>IF(G99="","",+"          ["&amp;TRIM(G99)&amp;"] ["&amp;TRIM(I99)&amp;"]"&amp;IF(H99="","","("&amp;H99&amp;")")&amp;" "&amp;TRIM(J99)&amp;IF(G106="","",","))</f>
        <v/>
      </c>
      <c r="AW99" s="27"/>
      <c r="AY99" s="122" t="str">
        <f t="shared" si="23"/>
        <v/>
      </c>
    </row>
    <row r="100" spans="2:51" ht="12.75">
      <c r="B100" s="20" t="str">
        <f t="shared" si="25"/>
        <v/>
      </c>
      <c r="C100" s="5"/>
      <c r="D100" s="5"/>
      <c r="E100" s="5"/>
      <c r="G100" s="5" t="str">
        <f t="shared" si="29"/>
        <v/>
      </c>
      <c r="H100" s="117" t="str">
        <f t="shared" si="27"/>
        <v/>
      </c>
      <c r="I100" s="5" t="str">
        <f t="shared" si="30"/>
        <v/>
      </c>
      <c r="J100" s="5" t="str">
        <f t="shared" si="31"/>
        <v/>
      </c>
      <c r="K100" s="5"/>
      <c r="L100" s="5"/>
      <c r="M100" s="75"/>
      <c r="N100" s="77"/>
      <c r="O100" s="26"/>
      <c r="P100" s="26"/>
      <c r="Q100" s="118" t="str">
        <f t="shared" si="32"/>
        <v/>
      </c>
      <c r="R100" s="153"/>
      <c r="S100" s="138"/>
      <c r="T100" s="148"/>
      <c r="U100" s="146"/>
      <c r="V100" s="146"/>
      <c r="W100" s="139"/>
      <c r="X100" s="139"/>
      <c r="Y100" s="148"/>
      <c r="Z100" s="138" t="str">
        <f t="shared" si="24"/>
        <v/>
      </c>
      <c r="AA100" s="138" t="str">
        <f t="shared" si="26"/>
        <v/>
      </c>
      <c r="AB100" s="239"/>
      <c r="AC100" s="325"/>
      <c r="AD100" s="325"/>
      <c r="AE100" s="325"/>
      <c r="AF100" s="325"/>
      <c r="AG100" s="325"/>
      <c r="AH100" s="325"/>
      <c r="AI100" s="325"/>
      <c r="AJ100" s="325"/>
      <c r="AK100" s="325"/>
      <c r="AL100" s="325"/>
      <c r="AM100" s="325"/>
      <c r="AN100" s="325"/>
      <c r="AO100" s="325"/>
      <c r="AP100" s="136"/>
      <c r="AQ100" s="136"/>
      <c r="AR100" s="136" t="str">
        <f t="shared" si="21"/>
        <v/>
      </c>
      <c r="AS100" s="136" t="str">
        <f t="shared" si="21"/>
        <v/>
      </c>
      <c r="AT100" s="5" t="str">
        <f t="shared" si="22"/>
        <v/>
      </c>
      <c r="AV100" s="27" t="str">
        <f>IF(G100="","",+"          ["&amp;TRIM(G100)&amp;"] ["&amp;TRIM(I100)&amp;"]"&amp;IF(H100="","","("&amp;H100&amp;")")&amp;" "&amp;TRIM(J100)&amp;IF(G101="","",","))</f>
        <v/>
      </c>
      <c r="AW100" s="27"/>
      <c r="AY100" s="122" t="str">
        <f t="shared" si="23"/>
        <v/>
      </c>
    </row>
    <row r="101" spans="2:51" ht="12.75">
      <c r="B101" s="20" t="str">
        <f t="shared" si="25"/>
        <v/>
      </c>
      <c r="C101" s="5"/>
      <c r="D101" s="5"/>
      <c r="E101" s="5"/>
      <c r="G101" s="5" t="str">
        <f t="shared" si="29"/>
        <v/>
      </c>
      <c r="H101" s="117" t="str">
        <f t="shared" si="27"/>
        <v/>
      </c>
      <c r="I101" s="5" t="str">
        <f t="shared" si="30"/>
        <v/>
      </c>
      <c r="J101" s="5" t="str">
        <f t="shared" si="31"/>
        <v/>
      </c>
      <c r="K101" s="5"/>
      <c r="L101" s="5"/>
      <c r="M101" s="75"/>
      <c r="N101" s="77"/>
      <c r="O101" s="26"/>
      <c r="P101" s="26"/>
      <c r="Q101" s="118" t="str">
        <f t="shared" si="32"/>
        <v/>
      </c>
      <c r="R101" s="153"/>
      <c r="S101" s="138"/>
      <c r="T101" s="148"/>
      <c r="U101" s="146"/>
      <c r="V101" s="146"/>
      <c r="W101" s="139"/>
      <c r="X101" s="139"/>
      <c r="Y101" s="148"/>
      <c r="Z101" s="138" t="str">
        <f t="shared" si="24"/>
        <v/>
      </c>
      <c r="AA101" s="138" t="str">
        <f t="shared" si="26"/>
        <v/>
      </c>
      <c r="AB101" s="239"/>
      <c r="AC101" s="325"/>
      <c r="AD101" s="325"/>
      <c r="AE101" s="325"/>
      <c r="AF101" s="325"/>
      <c r="AG101" s="325"/>
      <c r="AH101" s="325"/>
      <c r="AI101" s="325"/>
      <c r="AJ101" s="325"/>
      <c r="AK101" s="325"/>
      <c r="AL101" s="325"/>
      <c r="AM101" s="325"/>
      <c r="AN101" s="325"/>
      <c r="AO101" s="325"/>
      <c r="AP101" s="136"/>
      <c r="AQ101" s="136"/>
      <c r="AR101" s="136" t="str">
        <f t="shared" si="21"/>
        <v/>
      </c>
      <c r="AS101" s="136" t="str">
        <f t="shared" si="21"/>
        <v/>
      </c>
      <c r="AT101" s="5" t="str">
        <f t="shared" si="22"/>
        <v/>
      </c>
      <c r="AV101" s="27" t="str">
        <f>IF(G101="","",+"          ["&amp;TRIM(G101)&amp;"] ["&amp;TRIM(I101)&amp;"]"&amp;IF(H101="","","("&amp;H101&amp;")")&amp;" "&amp;TRIM(J101)&amp;IF(G102="","",","))</f>
        <v/>
      </c>
      <c r="AW101" s="27"/>
      <c r="AY101" s="122" t="str">
        <f t="shared" si="23"/>
        <v/>
      </c>
    </row>
    <row r="102" spans="2:51" ht="12.75">
      <c r="B102" s="20" t="str">
        <f t="shared" si="25"/>
        <v/>
      </c>
      <c r="C102" s="5"/>
      <c r="D102" s="5"/>
      <c r="E102" s="5"/>
      <c r="G102" s="5" t="str">
        <f t="shared" si="29"/>
        <v/>
      </c>
      <c r="H102" s="117" t="str">
        <f t="shared" si="27"/>
        <v/>
      </c>
      <c r="I102" s="5" t="str">
        <f t="shared" si="30"/>
        <v/>
      </c>
      <c r="J102" s="5" t="str">
        <f t="shared" si="31"/>
        <v/>
      </c>
      <c r="K102" s="5"/>
      <c r="L102" s="5"/>
      <c r="M102" s="75"/>
      <c r="N102" s="77"/>
      <c r="O102" s="26"/>
      <c r="P102" s="26"/>
      <c r="Q102" s="118" t="str">
        <f t="shared" si="32"/>
        <v/>
      </c>
      <c r="R102" s="153"/>
      <c r="S102" s="138"/>
      <c r="T102" s="148"/>
      <c r="U102" s="146"/>
      <c r="V102" s="146"/>
      <c r="W102" s="139"/>
      <c r="X102" s="139"/>
      <c r="Y102" s="148"/>
      <c r="Z102" s="138" t="str">
        <f t="shared" si="24"/>
        <v/>
      </c>
      <c r="AA102" s="138" t="str">
        <f t="shared" si="26"/>
        <v/>
      </c>
      <c r="AB102" s="239"/>
      <c r="AC102" s="325"/>
      <c r="AD102" s="325"/>
      <c r="AE102" s="325"/>
      <c r="AF102" s="325"/>
      <c r="AG102" s="325"/>
      <c r="AH102" s="325"/>
      <c r="AI102" s="325"/>
      <c r="AJ102" s="325"/>
      <c r="AK102" s="325"/>
      <c r="AL102" s="325"/>
      <c r="AM102" s="325"/>
      <c r="AN102" s="325"/>
      <c r="AO102" s="325"/>
      <c r="AP102" s="136"/>
      <c r="AQ102" s="136"/>
      <c r="AR102" s="136" t="str">
        <f t="shared" si="21"/>
        <v/>
      </c>
      <c r="AS102" s="136" t="str">
        <f t="shared" si="21"/>
        <v/>
      </c>
      <c r="AT102" s="5" t="str">
        <f t="shared" si="22"/>
        <v/>
      </c>
      <c r="AV102" s="27" t="str">
        <f>IF(G102="","",+"          ["&amp;TRIM(G102)&amp;"] ["&amp;TRIM(I102)&amp;"]"&amp;IF(H102="","","("&amp;H102&amp;")")&amp;" "&amp;TRIM(J102)&amp;IF(G103="","",","))</f>
        <v/>
      </c>
      <c r="AW102" s="27"/>
      <c r="AY102" s="122" t="str">
        <f t="shared" si="23"/>
        <v/>
      </c>
    </row>
    <row r="103" spans="2:51" ht="12.75">
      <c r="B103" s="20" t="str">
        <f t="shared" si="25"/>
        <v/>
      </c>
      <c r="C103" s="5"/>
      <c r="D103" s="5"/>
      <c r="E103" s="5"/>
      <c r="G103" s="5" t="str">
        <f t="shared" si="29"/>
        <v/>
      </c>
      <c r="H103" s="117" t="str">
        <f t="shared" si="27"/>
        <v/>
      </c>
      <c r="I103" s="5" t="str">
        <f t="shared" si="30"/>
        <v/>
      </c>
      <c r="J103" s="5" t="str">
        <f t="shared" si="31"/>
        <v/>
      </c>
      <c r="K103" s="5"/>
      <c r="L103" s="5"/>
      <c r="M103" s="75"/>
      <c r="N103" s="77"/>
      <c r="O103" s="26"/>
      <c r="P103" s="26"/>
      <c r="Q103" s="118" t="str">
        <f t="shared" si="32"/>
        <v/>
      </c>
      <c r="R103" s="153"/>
      <c r="S103" s="138"/>
      <c r="T103" s="148"/>
      <c r="U103" s="146"/>
      <c r="V103" s="146"/>
      <c r="W103" s="139"/>
      <c r="X103" s="139"/>
      <c r="Y103" s="148"/>
      <c r="Z103" s="138" t="str">
        <f t="shared" si="24"/>
        <v/>
      </c>
      <c r="AA103" s="138" t="str">
        <f t="shared" si="26"/>
        <v/>
      </c>
      <c r="AB103" s="239"/>
      <c r="AC103" s="325"/>
      <c r="AD103" s="325"/>
      <c r="AE103" s="325"/>
      <c r="AF103" s="325"/>
      <c r="AG103" s="325"/>
      <c r="AH103" s="325"/>
      <c r="AI103" s="325"/>
      <c r="AJ103" s="325"/>
      <c r="AK103" s="325"/>
      <c r="AL103" s="325"/>
      <c r="AM103" s="325"/>
      <c r="AN103" s="325"/>
      <c r="AO103" s="325"/>
      <c r="AP103" s="136"/>
      <c r="AQ103" s="136"/>
      <c r="AR103" s="136" t="str">
        <f t="shared" si="21"/>
        <v/>
      </c>
      <c r="AS103" s="136" t="str">
        <f t="shared" si="21"/>
        <v/>
      </c>
      <c r="AT103" s="5" t="str">
        <f t="shared" si="22"/>
        <v/>
      </c>
      <c r="AV103" s="27" t="str">
        <f>IF(G103="","",+"          ["&amp;TRIM(G103)&amp;"] ["&amp;TRIM(I103)&amp;"]"&amp;IF(H103="","","("&amp;H103&amp;")")&amp;" "&amp;TRIM(J103)&amp;IF(G106="","",","))</f>
        <v/>
      </c>
      <c r="AW103" s="27"/>
      <c r="AY103" s="122" t="str">
        <f t="shared" si="23"/>
        <v/>
      </c>
    </row>
    <row r="104" spans="2:51" ht="12.75">
      <c r="B104" s="20" t="str">
        <f t="shared" si="25"/>
        <v/>
      </c>
      <c r="C104" s="5"/>
      <c r="D104" s="5"/>
      <c r="E104" s="5"/>
      <c r="G104" s="5" t="str">
        <f t="shared" si="29"/>
        <v/>
      </c>
      <c r="H104" s="117" t="str">
        <f t="shared" si="27"/>
        <v/>
      </c>
      <c r="I104" s="5" t="str">
        <f t="shared" si="30"/>
        <v/>
      </c>
      <c r="J104" s="5" t="str">
        <f t="shared" si="31"/>
        <v/>
      </c>
      <c r="K104" s="5"/>
      <c r="L104" s="5"/>
      <c r="M104" s="75"/>
      <c r="N104" s="77"/>
      <c r="O104" s="26"/>
      <c r="P104" s="26"/>
      <c r="Q104" s="118" t="str">
        <f t="shared" si="32"/>
        <v/>
      </c>
      <c r="R104" s="153"/>
      <c r="S104" s="138"/>
      <c r="T104" s="148"/>
      <c r="U104" s="146"/>
      <c r="V104" s="146"/>
      <c r="W104" s="139"/>
      <c r="X104" s="139"/>
      <c r="Y104" s="148"/>
      <c r="Z104" s="138" t="str">
        <f t="shared" si="24"/>
        <v/>
      </c>
      <c r="AA104" s="138" t="str">
        <f t="shared" si="26"/>
        <v/>
      </c>
      <c r="AB104" s="239"/>
      <c r="AC104" s="325"/>
      <c r="AD104" s="325"/>
      <c r="AE104" s="325"/>
      <c r="AF104" s="325"/>
      <c r="AG104" s="325"/>
      <c r="AH104" s="325"/>
      <c r="AI104" s="325"/>
      <c r="AJ104" s="325"/>
      <c r="AK104" s="325"/>
      <c r="AL104" s="325"/>
      <c r="AM104" s="325"/>
      <c r="AN104" s="325"/>
      <c r="AO104" s="325"/>
      <c r="AP104" s="136"/>
      <c r="AQ104" s="136"/>
      <c r="AR104" s="136" t="str">
        <f t="shared" si="21"/>
        <v/>
      </c>
      <c r="AS104" s="136" t="str">
        <f t="shared" si="21"/>
        <v/>
      </c>
      <c r="AT104" s="5" t="str">
        <f t="shared" si="22"/>
        <v/>
      </c>
      <c r="AV104" s="27" t="str">
        <f t="shared" ref="AV104:AV115" si="33">IF(G104="","",+"          ["&amp;TRIM(G104)&amp;"] ["&amp;TRIM(I104)&amp;"]"&amp;IF(H104="","","("&amp;H104&amp;")")&amp;" "&amp;TRIM(J104)&amp;IF(G105="","",","))</f>
        <v/>
      </c>
      <c r="AW104" s="27"/>
      <c r="AY104" s="122" t="str">
        <f t="shared" si="23"/>
        <v/>
      </c>
    </row>
    <row r="105" spans="2:51" ht="12.75">
      <c r="B105" s="20" t="str">
        <f t="shared" si="25"/>
        <v/>
      </c>
      <c r="C105" s="5"/>
      <c r="D105" s="5"/>
      <c r="E105" s="5"/>
      <c r="G105" s="5" t="str">
        <f t="shared" si="29"/>
        <v/>
      </c>
      <c r="H105" s="117" t="str">
        <f t="shared" si="27"/>
        <v/>
      </c>
      <c r="I105" s="5" t="str">
        <f t="shared" si="30"/>
        <v/>
      </c>
      <c r="J105" s="5" t="str">
        <f t="shared" si="31"/>
        <v/>
      </c>
      <c r="K105" s="5"/>
      <c r="L105" s="5"/>
      <c r="M105" s="75"/>
      <c r="N105" s="77"/>
      <c r="O105" s="26"/>
      <c r="P105" s="26"/>
      <c r="Q105" s="118" t="str">
        <f t="shared" si="32"/>
        <v/>
      </c>
      <c r="R105" s="153"/>
      <c r="S105" s="138"/>
      <c r="T105" s="148"/>
      <c r="U105" s="146"/>
      <c r="V105" s="146"/>
      <c r="W105" s="139"/>
      <c r="X105" s="139"/>
      <c r="Y105" s="148"/>
      <c r="Z105" s="138" t="str">
        <f t="shared" si="24"/>
        <v/>
      </c>
      <c r="AA105" s="138" t="str">
        <f t="shared" si="26"/>
        <v/>
      </c>
      <c r="AB105" s="239"/>
      <c r="AC105" s="325"/>
      <c r="AD105" s="325"/>
      <c r="AE105" s="325"/>
      <c r="AF105" s="325"/>
      <c r="AG105" s="325"/>
      <c r="AH105" s="325"/>
      <c r="AI105" s="325"/>
      <c r="AJ105" s="325"/>
      <c r="AK105" s="325"/>
      <c r="AL105" s="325"/>
      <c r="AM105" s="325"/>
      <c r="AN105" s="325"/>
      <c r="AO105" s="325"/>
      <c r="AP105" s="136"/>
      <c r="AQ105" s="136"/>
      <c r="AR105" s="136" t="str">
        <f t="shared" si="21"/>
        <v/>
      </c>
      <c r="AS105" s="136" t="str">
        <f t="shared" si="21"/>
        <v/>
      </c>
      <c r="AT105" s="5" t="str">
        <f t="shared" si="22"/>
        <v/>
      </c>
      <c r="AV105" s="27" t="str">
        <f t="shared" si="33"/>
        <v/>
      </c>
      <c r="AW105" s="27"/>
      <c r="AY105" s="122" t="str">
        <f t="shared" si="23"/>
        <v/>
      </c>
    </row>
    <row r="106" spans="2:51" ht="12.75">
      <c r="B106" s="20" t="str">
        <f t="shared" si="25"/>
        <v/>
      </c>
      <c r="C106" s="5"/>
      <c r="D106" s="5"/>
      <c r="E106" s="5"/>
      <c r="G106" s="5" t="str">
        <f t="shared" si="29"/>
        <v/>
      </c>
      <c r="H106" s="117" t="str">
        <f t="shared" si="27"/>
        <v/>
      </c>
      <c r="I106" s="5" t="str">
        <f t="shared" si="30"/>
        <v/>
      </c>
      <c r="J106" s="5" t="str">
        <f t="shared" si="31"/>
        <v/>
      </c>
      <c r="K106" s="5"/>
      <c r="L106" s="5"/>
      <c r="M106" s="75"/>
      <c r="N106" s="77"/>
      <c r="O106" s="26"/>
      <c r="P106" s="26"/>
      <c r="Q106" s="118" t="str">
        <f t="shared" si="32"/>
        <v/>
      </c>
      <c r="R106" s="153"/>
      <c r="S106" s="138"/>
      <c r="T106" s="148"/>
      <c r="U106" s="146"/>
      <c r="V106" s="146"/>
      <c r="W106" s="139"/>
      <c r="X106" s="139"/>
      <c r="Y106" s="148"/>
      <c r="Z106" s="138" t="str">
        <f t="shared" si="24"/>
        <v/>
      </c>
      <c r="AA106" s="138" t="str">
        <f t="shared" si="26"/>
        <v/>
      </c>
      <c r="AB106" s="239"/>
      <c r="AC106" s="325"/>
      <c r="AD106" s="325"/>
      <c r="AE106" s="325"/>
      <c r="AF106" s="325"/>
      <c r="AG106" s="325"/>
      <c r="AH106" s="325"/>
      <c r="AI106" s="325"/>
      <c r="AJ106" s="325"/>
      <c r="AK106" s="325"/>
      <c r="AL106" s="325"/>
      <c r="AM106" s="325"/>
      <c r="AN106" s="325"/>
      <c r="AO106" s="325"/>
      <c r="AP106" s="136"/>
      <c r="AQ106" s="136"/>
      <c r="AR106" s="136" t="str">
        <f t="shared" si="21"/>
        <v/>
      </c>
      <c r="AS106" s="136" t="str">
        <f t="shared" si="21"/>
        <v/>
      </c>
      <c r="AT106" s="5" t="str">
        <f t="shared" si="22"/>
        <v/>
      </c>
      <c r="AV106" s="27" t="str">
        <f t="shared" si="33"/>
        <v/>
      </c>
      <c r="AW106" s="27"/>
      <c r="AY106" s="122" t="str">
        <f t="shared" si="23"/>
        <v/>
      </c>
    </row>
    <row r="107" spans="2:51" ht="12.75">
      <c r="B107" s="20" t="str">
        <f t="shared" si="25"/>
        <v/>
      </c>
      <c r="C107" s="5"/>
      <c r="D107" s="5"/>
      <c r="E107" s="5"/>
      <c r="G107" s="5" t="str">
        <f t="shared" si="29"/>
        <v/>
      </c>
      <c r="H107" s="117" t="str">
        <f t="shared" si="27"/>
        <v/>
      </c>
      <c r="I107" s="5" t="str">
        <f t="shared" si="30"/>
        <v/>
      </c>
      <c r="J107" s="5" t="str">
        <f t="shared" si="31"/>
        <v/>
      </c>
      <c r="K107" s="5"/>
      <c r="L107" s="5"/>
      <c r="M107" s="75"/>
      <c r="N107" s="77"/>
      <c r="O107" s="26"/>
      <c r="P107" s="26"/>
      <c r="Q107" s="118" t="str">
        <f t="shared" si="32"/>
        <v/>
      </c>
      <c r="R107" s="153"/>
      <c r="S107" s="138"/>
      <c r="T107" s="148"/>
      <c r="U107" s="146"/>
      <c r="V107" s="146"/>
      <c r="W107" s="139"/>
      <c r="X107" s="139"/>
      <c r="Y107" s="148"/>
      <c r="Z107" s="138" t="str">
        <f t="shared" si="24"/>
        <v/>
      </c>
      <c r="AA107" s="138" t="str">
        <f t="shared" si="26"/>
        <v/>
      </c>
      <c r="AB107" s="239"/>
      <c r="AC107" s="325"/>
      <c r="AD107" s="325"/>
      <c r="AE107" s="325"/>
      <c r="AF107" s="325"/>
      <c r="AG107" s="325"/>
      <c r="AH107" s="325"/>
      <c r="AI107" s="325"/>
      <c r="AJ107" s="325"/>
      <c r="AK107" s="325"/>
      <c r="AL107" s="325"/>
      <c r="AM107" s="325"/>
      <c r="AN107" s="325"/>
      <c r="AO107" s="325"/>
      <c r="AP107" s="136"/>
      <c r="AQ107" s="136"/>
      <c r="AR107" s="136" t="str">
        <f t="shared" si="21"/>
        <v/>
      </c>
      <c r="AS107" s="136" t="str">
        <f t="shared" si="21"/>
        <v/>
      </c>
      <c r="AT107" s="5" t="str">
        <f t="shared" si="22"/>
        <v/>
      </c>
      <c r="AV107" s="27" t="str">
        <f t="shared" si="33"/>
        <v/>
      </c>
      <c r="AW107" s="27"/>
      <c r="AY107" s="122" t="str">
        <f t="shared" si="23"/>
        <v/>
      </c>
    </row>
    <row r="108" spans="2:51" ht="12.75">
      <c r="B108" s="20" t="str">
        <f t="shared" si="25"/>
        <v/>
      </c>
      <c r="C108" s="5"/>
      <c r="D108" s="5"/>
      <c r="E108" s="5"/>
      <c r="G108" s="5" t="str">
        <f t="shared" si="29"/>
        <v/>
      </c>
      <c r="H108" s="117" t="str">
        <f t="shared" si="27"/>
        <v/>
      </c>
      <c r="I108" s="5" t="str">
        <f t="shared" si="30"/>
        <v/>
      </c>
      <c r="J108" s="5" t="str">
        <f t="shared" si="31"/>
        <v/>
      </c>
      <c r="K108" s="5"/>
      <c r="L108" s="5"/>
      <c r="M108" s="75"/>
      <c r="N108" s="77"/>
      <c r="O108" s="26"/>
      <c r="P108" s="26"/>
      <c r="Q108" s="118" t="str">
        <f t="shared" si="32"/>
        <v/>
      </c>
      <c r="R108" s="153"/>
      <c r="S108" s="138"/>
      <c r="T108" s="148"/>
      <c r="U108" s="146"/>
      <c r="V108" s="146"/>
      <c r="W108" s="139"/>
      <c r="X108" s="139"/>
      <c r="Y108" s="148"/>
      <c r="Z108" s="138" t="str">
        <f t="shared" si="24"/>
        <v/>
      </c>
      <c r="AA108" s="138" t="str">
        <f t="shared" si="26"/>
        <v/>
      </c>
      <c r="AB108" s="239"/>
      <c r="AC108" s="325"/>
      <c r="AD108" s="325"/>
      <c r="AE108" s="325"/>
      <c r="AF108" s="325"/>
      <c r="AG108" s="325"/>
      <c r="AH108" s="325"/>
      <c r="AI108" s="325"/>
      <c r="AJ108" s="325"/>
      <c r="AK108" s="325"/>
      <c r="AL108" s="325"/>
      <c r="AM108" s="325"/>
      <c r="AN108" s="325"/>
      <c r="AO108" s="325"/>
      <c r="AP108" s="136"/>
      <c r="AQ108" s="136"/>
      <c r="AR108" s="136" t="str">
        <f t="shared" si="21"/>
        <v/>
      </c>
      <c r="AS108" s="136" t="str">
        <f t="shared" si="21"/>
        <v/>
      </c>
      <c r="AT108" s="5" t="str">
        <f t="shared" si="22"/>
        <v/>
      </c>
      <c r="AV108" s="27" t="str">
        <f t="shared" si="33"/>
        <v/>
      </c>
      <c r="AW108" s="27"/>
      <c r="AY108" s="122" t="str">
        <f t="shared" si="23"/>
        <v/>
      </c>
    </row>
    <row r="109" spans="2:51" ht="12.75">
      <c r="B109" s="20" t="str">
        <f t="shared" si="25"/>
        <v/>
      </c>
      <c r="C109" s="5"/>
      <c r="D109" s="5"/>
      <c r="E109" s="5"/>
      <c r="G109" s="5" t="str">
        <f t="shared" si="29"/>
        <v/>
      </c>
      <c r="H109" s="117" t="str">
        <f t="shared" si="27"/>
        <v/>
      </c>
      <c r="I109" s="5" t="str">
        <f t="shared" si="30"/>
        <v/>
      </c>
      <c r="J109" s="5" t="str">
        <f t="shared" si="31"/>
        <v/>
      </c>
      <c r="K109" s="5"/>
      <c r="L109" s="5"/>
      <c r="M109" s="75"/>
      <c r="N109" s="77"/>
      <c r="O109" s="26"/>
      <c r="P109" s="26"/>
      <c r="Q109" s="118" t="str">
        <f t="shared" si="32"/>
        <v/>
      </c>
      <c r="R109" s="153"/>
      <c r="S109" s="138"/>
      <c r="T109" s="148"/>
      <c r="U109" s="146"/>
      <c r="V109" s="146"/>
      <c r="W109" s="139"/>
      <c r="X109" s="139"/>
      <c r="Y109" s="148"/>
      <c r="Z109" s="138" t="str">
        <f t="shared" si="24"/>
        <v/>
      </c>
      <c r="AA109" s="138" t="str">
        <f t="shared" si="26"/>
        <v/>
      </c>
      <c r="AB109" s="239"/>
      <c r="AC109" s="325"/>
      <c r="AD109" s="325"/>
      <c r="AE109" s="325"/>
      <c r="AF109" s="325"/>
      <c r="AG109" s="325"/>
      <c r="AH109" s="325"/>
      <c r="AI109" s="325"/>
      <c r="AJ109" s="325"/>
      <c r="AK109" s="325"/>
      <c r="AL109" s="325"/>
      <c r="AM109" s="325"/>
      <c r="AN109" s="325"/>
      <c r="AO109" s="325"/>
      <c r="AP109" s="136"/>
      <c r="AQ109" s="136"/>
      <c r="AR109" s="136" t="str">
        <f t="shared" si="21"/>
        <v/>
      </c>
      <c r="AS109" s="136" t="str">
        <f t="shared" si="21"/>
        <v/>
      </c>
      <c r="AT109" s="5" t="str">
        <f t="shared" si="22"/>
        <v/>
      </c>
      <c r="AV109" s="27" t="str">
        <f t="shared" si="33"/>
        <v/>
      </c>
      <c r="AW109" s="27"/>
      <c r="AY109" s="122" t="str">
        <f t="shared" si="23"/>
        <v/>
      </c>
    </row>
    <row r="110" spans="2:51" ht="12.75">
      <c r="B110" s="20" t="str">
        <f t="shared" si="25"/>
        <v/>
      </c>
      <c r="C110" s="5"/>
      <c r="D110" s="5"/>
      <c r="E110" s="5"/>
      <c r="G110" s="5" t="str">
        <f t="shared" si="29"/>
        <v/>
      </c>
      <c r="H110" s="117" t="str">
        <f t="shared" si="27"/>
        <v/>
      </c>
      <c r="I110" s="5" t="str">
        <f t="shared" si="30"/>
        <v/>
      </c>
      <c r="J110" s="5" t="str">
        <f t="shared" si="31"/>
        <v/>
      </c>
      <c r="K110" s="5"/>
      <c r="L110" s="5"/>
      <c r="M110" s="75"/>
      <c r="N110" s="77"/>
      <c r="O110" s="26"/>
      <c r="P110" s="26"/>
      <c r="Q110" s="118" t="str">
        <f t="shared" si="32"/>
        <v/>
      </c>
      <c r="R110" s="153"/>
      <c r="S110" s="138"/>
      <c r="T110" s="148"/>
      <c r="U110" s="146"/>
      <c r="V110" s="146"/>
      <c r="W110" s="139"/>
      <c r="X110" s="139"/>
      <c r="Y110" s="148"/>
      <c r="Z110" s="138" t="str">
        <f t="shared" si="24"/>
        <v/>
      </c>
      <c r="AA110" s="138" t="str">
        <f t="shared" si="26"/>
        <v/>
      </c>
      <c r="AB110" s="239"/>
      <c r="AC110" s="325"/>
      <c r="AD110" s="325"/>
      <c r="AE110" s="325"/>
      <c r="AF110" s="325"/>
      <c r="AG110" s="325"/>
      <c r="AH110" s="325"/>
      <c r="AI110" s="325"/>
      <c r="AJ110" s="325"/>
      <c r="AK110" s="325"/>
      <c r="AL110" s="325"/>
      <c r="AM110" s="325"/>
      <c r="AN110" s="325"/>
      <c r="AO110" s="325"/>
      <c r="AP110" s="136"/>
      <c r="AQ110" s="136"/>
      <c r="AR110" s="136" t="str">
        <f t="shared" si="21"/>
        <v/>
      </c>
      <c r="AS110" s="136" t="str">
        <f t="shared" si="21"/>
        <v/>
      </c>
      <c r="AT110" s="5" t="str">
        <f t="shared" si="22"/>
        <v/>
      </c>
      <c r="AV110" s="27" t="str">
        <f t="shared" si="33"/>
        <v/>
      </c>
      <c r="AW110" s="27"/>
      <c r="AY110" s="122" t="str">
        <f t="shared" si="23"/>
        <v/>
      </c>
    </row>
    <row r="111" spans="2:51" ht="12.75">
      <c r="B111" s="20" t="str">
        <f t="shared" si="25"/>
        <v/>
      </c>
      <c r="C111" s="5"/>
      <c r="D111" s="5"/>
      <c r="E111" s="5"/>
      <c r="G111" s="5" t="str">
        <f t="shared" si="29"/>
        <v/>
      </c>
      <c r="H111" s="117" t="str">
        <f t="shared" si="27"/>
        <v/>
      </c>
      <c r="I111" s="5" t="str">
        <f t="shared" si="30"/>
        <v/>
      </c>
      <c r="J111" s="5" t="str">
        <f t="shared" si="31"/>
        <v/>
      </c>
      <c r="K111" s="5"/>
      <c r="L111" s="5"/>
      <c r="M111" s="75"/>
      <c r="N111" s="77"/>
      <c r="O111" s="26"/>
      <c r="P111" s="26"/>
      <c r="Q111" s="118" t="str">
        <f t="shared" si="32"/>
        <v/>
      </c>
      <c r="R111" s="153"/>
      <c r="S111" s="138"/>
      <c r="T111" s="148"/>
      <c r="U111" s="146"/>
      <c r="V111" s="146"/>
      <c r="W111" s="139"/>
      <c r="X111" s="139"/>
      <c r="Y111" s="148"/>
      <c r="Z111" s="138" t="str">
        <f t="shared" si="24"/>
        <v/>
      </c>
      <c r="AA111" s="138" t="str">
        <f t="shared" si="26"/>
        <v/>
      </c>
      <c r="AB111" s="239"/>
      <c r="AC111" s="325"/>
      <c r="AD111" s="325"/>
      <c r="AE111" s="325"/>
      <c r="AF111" s="325"/>
      <c r="AG111" s="325"/>
      <c r="AH111" s="325"/>
      <c r="AI111" s="325"/>
      <c r="AJ111" s="325"/>
      <c r="AK111" s="325"/>
      <c r="AL111" s="325"/>
      <c r="AM111" s="325"/>
      <c r="AN111" s="325"/>
      <c r="AO111" s="325"/>
      <c r="AP111" s="136"/>
      <c r="AQ111" s="136"/>
      <c r="AR111" s="136" t="str">
        <f t="shared" si="21"/>
        <v/>
      </c>
      <c r="AS111" s="136" t="str">
        <f t="shared" si="21"/>
        <v/>
      </c>
      <c r="AT111" s="5" t="str">
        <f t="shared" si="22"/>
        <v/>
      </c>
      <c r="AV111" s="27" t="str">
        <f t="shared" si="33"/>
        <v/>
      </c>
      <c r="AW111" s="27"/>
      <c r="AY111" s="122" t="str">
        <f t="shared" si="23"/>
        <v/>
      </c>
    </row>
    <row r="112" spans="2:51" ht="12.75">
      <c r="B112" s="20" t="str">
        <f t="shared" si="25"/>
        <v/>
      </c>
      <c r="C112" s="5"/>
      <c r="D112" s="5"/>
      <c r="E112" s="5"/>
      <c r="G112" s="5" t="str">
        <f t="shared" si="29"/>
        <v/>
      </c>
      <c r="H112" s="117" t="str">
        <f t="shared" si="27"/>
        <v/>
      </c>
      <c r="I112" s="5" t="str">
        <f t="shared" si="30"/>
        <v/>
      </c>
      <c r="J112" s="5" t="str">
        <f t="shared" si="31"/>
        <v/>
      </c>
      <c r="K112" s="5"/>
      <c r="L112" s="5"/>
      <c r="M112" s="75"/>
      <c r="N112" s="77"/>
      <c r="O112" s="26"/>
      <c r="P112" s="26"/>
      <c r="Q112" s="118" t="str">
        <f t="shared" si="32"/>
        <v/>
      </c>
      <c r="R112" s="153"/>
      <c r="S112" s="138"/>
      <c r="T112" s="148"/>
      <c r="U112" s="146"/>
      <c r="V112" s="146"/>
      <c r="W112" s="139"/>
      <c r="X112" s="139"/>
      <c r="Y112" s="148"/>
      <c r="Z112" s="138" t="str">
        <f t="shared" si="24"/>
        <v/>
      </c>
      <c r="AA112" s="138" t="str">
        <f t="shared" si="26"/>
        <v/>
      </c>
      <c r="AB112" s="239"/>
      <c r="AC112" s="325"/>
      <c r="AD112" s="325"/>
      <c r="AE112" s="325"/>
      <c r="AF112" s="325"/>
      <c r="AG112" s="325"/>
      <c r="AH112" s="325"/>
      <c r="AI112" s="325"/>
      <c r="AJ112" s="325"/>
      <c r="AK112" s="325"/>
      <c r="AL112" s="325"/>
      <c r="AM112" s="325"/>
      <c r="AN112" s="325"/>
      <c r="AO112" s="325"/>
      <c r="AP112" s="136"/>
      <c r="AQ112" s="136"/>
      <c r="AR112" s="136" t="str">
        <f t="shared" si="21"/>
        <v/>
      </c>
      <c r="AS112" s="136" t="str">
        <f t="shared" si="21"/>
        <v/>
      </c>
      <c r="AT112" s="5" t="str">
        <f t="shared" si="22"/>
        <v/>
      </c>
      <c r="AV112" s="27" t="str">
        <f t="shared" si="33"/>
        <v/>
      </c>
      <c r="AW112" s="27"/>
      <c r="AY112" s="122" t="str">
        <f t="shared" si="23"/>
        <v/>
      </c>
    </row>
    <row r="113" spans="2:51" ht="12.75">
      <c r="B113" s="20" t="str">
        <f t="shared" si="25"/>
        <v/>
      </c>
      <c r="C113" s="5"/>
      <c r="D113" s="5"/>
      <c r="E113" s="5"/>
      <c r="G113" s="5" t="str">
        <f t="shared" si="29"/>
        <v/>
      </c>
      <c r="H113" s="117" t="str">
        <f t="shared" si="27"/>
        <v/>
      </c>
      <c r="I113" s="5" t="str">
        <f t="shared" si="30"/>
        <v/>
      </c>
      <c r="J113" s="5" t="str">
        <f t="shared" si="31"/>
        <v/>
      </c>
      <c r="K113" s="5"/>
      <c r="L113" s="5"/>
      <c r="M113" s="75"/>
      <c r="N113" s="77"/>
      <c r="O113" s="26"/>
      <c r="P113" s="26"/>
      <c r="Q113" s="118" t="str">
        <f t="shared" si="32"/>
        <v/>
      </c>
      <c r="R113" s="153"/>
      <c r="S113" s="138"/>
      <c r="T113" s="148"/>
      <c r="U113" s="146"/>
      <c r="V113" s="146"/>
      <c r="W113" s="139"/>
      <c r="X113" s="139"/>
      <c r="Y113" s="148"/>
      <c r="Z113" s="138" t="str">
        <f t="shared" si="24"/>
        <v/>
      </c>
      <c r="AA113" s="138" t="str">
        <f t="shared" si="26"/>
        <v/>
      </c>
      <c r="AB113" s="239"/>
      <c r="AC113" s="325"/>
      <c r="AD113" s="325"/>
      <c r="AE113" s="325"/>
      <c r="AF113" s="325"/>
      <c r="AG113" s="325"/>
      <c r="AH113" s="325"/>
      <c r="AI113" s="325"/>
      <c r="AJ113" s="325"/>
      <c r="AK113" s="325"/>
      <c r="AL113" s="325"/>
      <c r="AM113" s="325"/>
      <c r="AN113" s="325"/>
      <c r="AO113" s="325"/>
      <c r="AP113" s="136"/>
      <c r="AQ113" s="136"/>
      <c r="AR113" s="136" t="str">
        <f t="shared" si="21"/>
        <v/>
      </c>
      <c r="AS113" s="136" t="str">
        <f t="shared" si="21"/>
        <v/>
      </c>
      <c r="AT113" s="5" t="str">
        <f t="shared" si="22"/>
        <v/>
      </c>
      <c r="AV113" s="27" t="str">
        <f t="shared" si="33"/>
        <v/>
      </c>
      <c r="AW113" s="27"/>
      <c r="AY113" s="122" t="str">
        <f t="shared" si="23"/>
        <v/>
      </c>
    </row>
    <row r="114" spans="2:51" ht="12.75">
      <c r="B114" s="20" t="str">
        <f t="shared" si="25"/>
        <v/>
      </c>
      <c r="C114" s="5"/>
      <c r="D114" s="5"/>
      <c r="E114" s="5"/>
      <c r="G114" s="5" t="str">
        <f t="shared" si="29"/>
        <v/>
      </c>
      <c r="H114" s="117" t="str">
        <f t="shared" si="27"/>
        <v/>
      </c>
      <c r="I114" s="5" t="str">
        <f t="shared" si="30"/>
        <v/>
      </c>
      <c r="J114" s="5" t="str">
        <f t="shared" si="31"/>
        <v/>
      </c>
      <c r="K114" s="5"/>
      <c r="L114" s="5"/>
      <c r="M114" s="75"/>
      <c r="N114" s="77"/>
      <c r="O114" s="26"/>
      <c r="P114" s="26"/>
      <c r="Q114" s="118" t="str">
        <f t="shared" si="32"/>
        <v/>
      </c>
      <c r="R114" s="153"/>
      <c r="S114" s="138"/>
      <c r="T114" s="148"/>
      <c r="U114" s="146"/>
      <c r="V114" s="146"/>
      <c r="W114" s="139"/>
      <c r="X114" s="139"/>
      <c r="Y114" s="148"/>
      <c r="Z114" s="138" t="str">
        <f t="shared" si="24"/>
        <v/>
      </c>
      <c r="AA114" s="138" t="str">
        <f t="shared" si="26"/>
        <v/>
      </c>
      <c r="AB114" s="239"/>
      <c r="AC114" s="325"/>
      <c r="AD114" s="325"/>
      <c r="AE114" s="325"/>
      <c r="AF114" s="325"/>
      <c r="AG114" s="325"/>
      <c r="AH114" s="325"/>
      <c r="AI114" s="325"/>
      <c r="AJ114" s="325"/>
      <c r="AK114" s="325"/>
      <c r="AL114" s="325"/>
      <c r="AM114" s="325"/>
      <c r="AN114" s="325"/>
      <c r="AO114" s="325"/>
      <c r="AP114" s="136"/>
      <c r="AQ114" s="136"/>
      <c r="AR114" s="136" t="str">
        <f t="shared" si="21"/>
        <v/>
      </c>
      <c r="AS114" s="136" t="str">
        <f t="shared" si="21"/>
        <v/>
      </c>
      <c r="AT114" s="5" t="str">
        <f t="shared" si="22"/>
        <v/>
      </c>
      <c r="AV114" s="27" t="str">
        <f t="shared" si="33"/>
        <v/>
      </c>
      <c r="AW114" s="27"/>
      <c r="AY114" s="122" t="str">
        <f t="shared" si="23"/>
        <v/>
      </c>
    </row>
    <row r="115" spans="2:51" ht="12.75">
      <c r="B115" s="20" t="str">
        <f t="shared" si="25"/>
        <v/>
      </c>
      <c r="C115" s="5"/>
      <c r="D115" s="5"/>
      <c r="E115" s="5"/>
      <c r="G115" s="5" t="str">
        <f t="shared" si="29"/>
        <v/>
      </c>
      <c r="H115" s="117" t="str">
        <f t="shared" si="27"/>
        <v/>
      </c>
      <c r="I115" s="5" t="str">
        <f t="shared" si="30"/>
        <v/>
      </c>
      <c r="J115" s="5" t="str">
        <f t="shared" si="31"/>
        <v/>
      </c>
      <c r="K115" s="5"/>
      <c r="L115" s="5"/>
      <c r="M115" s="75"/>
      <c r="N115" s="77"/>
      <c r="O115" s="26"/>
      <c r="P115" s="26"/>
      <c r="Q115" s="118" t="str">
        <f t="shared" si="32"/>
        <v/>
      </c>
      <c r="R115" s="153"/>
      <c r="S115" s="138"/>
      <c r="T115" s="148"/>
      <c r="U115" s="146"/>
      <c r="V115" s="146"/>
      <c r="W115" s="139"/>
      <c r="X115" s="139"/>
      <c r="Y115" s="148"/>
      <c r="Z115" s="138" t="str">
        <f t="shared" si="24"/>
        <v/>
      </c>
      <c r="AA115" s="138" t="str">
        <f t="shared" si="26"/>
        <v/>
      </c>
      <c r="AB115" s="239"/>
      <c r="AC115" s="325"/>
      <c r="AD115" s="325"/>
      <c r="AE115" s="325"/>
      <c r="AF115" s="325"/>
      <c r="AG115" s="325"/>
      <c r="AH115" s="325"/>
      <c r="AI115" s="325"/>
      <c r="AJ115" s="325"/>
      <c r="AK115" s="325"/>
      <c r="AL115" s="325"/>
      <c r="AM115" s="325"/>
      <c r="AN115" s="325"/>
      <c r="AO115" s="325"/>
      <c r="AP115" s="136"/>
      <c r="AQ115" s="136"/>
      <c r="AR115" s="136" t="str">
        <f t="shared" si="21"/>
        <v/>
      </c>
      <c r="AS115" s="136" t="str">
        <f t="shared" si="21"/>
        <v/>
      </c>
      <c r="AT115" s="5" t="str">
        <f t="shared" si="22"/>
        <v/>
      </c>
      <c r="AV115" s="27" t="str">
        <f t="shared" si="33"/>
        <v/>
      </c>
      <c r="AW115" s="27"/>
      <c r="AY115" s="122" t="str">
        <f t="shared" si="23"/>
        <v/>
      </c>
    </row>
    <row r="116" spans="2:51">
      <c r="AT116" s="3" t="str">
        <f t="shared" si="22"/>
        <v/>
      </c>
      <c r="AV116" s="28"/>
      <c r="AW116" s="27"/>
      <c r="AY116" s="122" t="str">
        <f t="shared" si="23"/>
        <v/>
      </c>
    </row>
    <row r="117" spans="2:51">
      <c r="B117" s="11" t="s">
        <v>23</v>
      </c>
      <c r="AV117" s="28"/>
      <c r="AW117" s="27"/>
    </row>
    <row r="118" spans="2:51">
      <c r="B118" s="18" t="s">
        <v>17</v>
      </c>
      <c r="C118" s="22" t="str">
        <f>+"By"&amp;D120</f>
        <v>BypageID</v>
      </c>
      <c r="D118" s="23" t="str">
        <f>SUBSTITUTE(SUBSTITUTE(SUBSTITUTE(SUBSTITUTE(SUBSTITUTE(SUBSTITUTE(SUBSTITUTE(C118," ",""),".",""),"&amp;",""),"(",""),")",""),",",""),"/","")&amp;"_"&amp;TRIM(TEXT(C7,"###"))</f>
        <v>BypageID_7311</v>
      </c>
      <c r="E118" s="8"/>
      <c r="S118" s="283" t="s">
        <v>906</v>
      </c>
      <c r="AV118" s="27" t="str">
        <f>+" CONSTRAINT ["&amp;D118&amp;"] PRIMARY KEY NONCLUSTERED "</f>
        <v xml:space="preserve"> CONSTRAINT [BypageID_7311]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4">IFERROR(INDEX($G$16:$G$115,C120),"")</f>
        <v>pageID</v>
      </c>
      <c r="E120" s="10" t="s">
        <v>5</v>
      </c>
      <c r="G120" s="5" t="str">
        <f>CHAR(34)&amp;D120&amp;" LIKE "&amp;H120&amp;"%{0}%"&amp;H120&amp;CHAR(34)&amp;","</f>
        <v>"pageID LIKE '%{0}%'",</v>
      </c>
      <c r="H120" s="3" t="str">
        <f>IF(IFERROR(INDEX($I$16:$I$115,C120),"")="varchar","'","")</f>
        <v>'</v>
      </c>
      <c r="S120" s="282" t="str">
        <f>RIGHT(T2,1)&amp;V3&amp;MID(T2,2,1)&amp;V3&amp;MID(T2,5,1)&amp;LEFT(T2,1)&amp;C7</f>
        <v>EAEM7311</v>
      </c>
      <c r="T120" s="282" t="str">
        <f>+C8</f>
        <v>MasterPageSetUp</v>
      </c>
      <c r="U120" s="282" t="str">
        <f>+D120</f>
        <v>pageID</v>
      </c>
      <c r="V120" s="239" t="str">
        <f>+C10</f>
        <v>326459ff-7ea6-4465-a946-9326b783d492</v>
      </c>
      <c r="W120" s="272"/>
      <c r="X120" s="272"/>
      <c r="AV120" s="27" t="str">
        <f t="shared" ref="AV120:AV126" si="35">+IF(D120="","","          ["&amp;D120&amp;"] "&amp;IF(TRIM(E120)="Ascending","ASC","DES")&amp;IF(D121="","",","))</f>
        <v xml:space="preserve">          [pageID] ASC</v>
      </c>
      <c r="AW120" s="28"/>
    </row>
    <row r="121" spans="2:51">
      <c r="B121" s="20" t="str">
        <f>IF(C121=0,"",+B120+1)</f>
        <v/>
      </c>
      <c r="C121" s="10"/>
      <c r="D121" s="21" t="str">
        <f t="shared" si="34"/>
        <v/>
      </c>
      <c r="E121" s="10"/>
      <c r="G121" s="5"/>
      <c r="AV121" s="27" t="str">
        <f t="shared" si="35"/>
        <v/>
      </c>
      <c r="AW121" s="28"/>
    </row>
    <row r="122" spans="2:51">
      <c r="B122" s="20" t="str">
        <f t="shared" ref="B122:B127" si="36">IF(C122=0,"",+B121+1)</f>
        <v/>
      </c>
      <c r="C122" s="10"/>
      <c r="D122" s="21" t="str">
        <f t="shared" si="34"/>
        <v/>
      </c>
      <c r="E122" s="10"/>
      <c r="G122" s="5"/>
      <c r="S122" s="287" t="s">
        <v>574</v>
      </c>
      <c r="AV122" s="27" t="str">
        <f t="shared" si="35"/>
        <v/>
      </c>
      <c r="AW122" s="28"/>
    </row>
    <row r="123" spans="2:51">
      <c r="B123" s="20" t="str">
        <f t="shared" si="36"/>
        <v/>
      </c>
      <c r="C123" s="10"/>
      <c r="D123" s="21" t="str">
        <f t="shared" si="34"/>
        <v/>
      </c>
      <c r="E123" s="10"/>
      <c r="G123" s="5"/>
      <c r="S123" s="288" t="s">
        <v>312</v>
      </c>
      <c r="T123" s="288" t="s">
        <v>393</v>
      </c>
      <c r="U123" s="288" t="s">
        <v>394</v>
      </c>
      <c r="V123" s="288" t="s">
        <v>390</v>
      </c>
      <c r="W123" s="288" t="s">
        <v>391</v>
      </c>
      <c r="X123" s="288" t="s">
        <v>392</v>
      </c>
      <c r="Y123" s="288" t="s">
        <v>400</v>
      </c>
      <c r="Z123" s="288" t="s">
        <v>436</v>
      </c>
      <c r="AV123" s="27" t="str">
        <f t="shared" si="35"/>
        <v/>
      </c>
      <c r="AW123" s="28"/>
    </row>
    <row r="124" spans="2:51">
      <c r="B124" s="20" t="str">
        <f t="shared" si="36"/>
        <v/>
      </c>
      <c r="C124" s="10"/>
      <c r="D124" s="21" t="str">
        <f t="shared" si="34"/>
        <v/>
      </c>
      <c r="E124" s="10"/>
      <c r="G124" s="5"/>
      <c r="S124" s="239" t="s">
        <v>921</v>
      </c>
      <c r="T124" s="239" t="s">
        <v>920</v>
      </c>
      <c r="U124" s="239" t="str">
        <f>+E8</f>
        <v>Master Page SetUp</v>
      </c>
      <c r="V124" s="239"/>
      <c r="W124" s="239"/>
      <c r="X124" s="239" t="str">
        <f>"./"&amp;V2</f>
        <v>./EAEM7311.html</v>
      </c>
      <c r="Y124" s="239"/>
      <c r="Z124" s="282" t="str">
        <f>+S120</f>
        <v>EAEM7311</v>
      </c>
      <c r="AV124" s="27" t="str">
        <f t="shared" si="35"/>
        <v/>
      </c>
      <c r="AW124" s="28"/>
    </row>
    <row r="125" spans="2:51">
      <c r="B125" s="20" t="str">
        <f t="shared" si="36"/>
        <v/>
      </c>
      <c r="C125" s="10"/>
      <c r="D125" s="21" t="str">
        <f t="shared" si="34"/>
        <v/>
      </c>
      <c r="E125" s="10"/>
      <c r="G125" s="5"/>
      <c r="AV125" s="27" t="str">
        <f t="shared" si="35"/>
        <v/>
      </c>
      <c r="AW125" s="28"/>
    </row>
    <row r="126" spans="2:51">
      <c r="B126" s="20" t="str">
        <f t="shared" si="36"/>
        <v/>
      </c>
      <c r="C126" s="10"/>
      <c r="D126" s="21" t="str">
        <f t="shared" si="34"/>
        <v/>
      </c>
      <c r="E126" s="10"/>
      <c r="G126" s="5"/>
      <c r="AV126" s="27" t="str">
        <f t="shared" si="35"/>
        <v/>
      </c>
      <c r="AW126" s="28"/>
    </row>
    <row r="127" spans="2:51">
      <c r="B127" s="20" t="str">
        <f t="shared" si="36"/>
        <v/>
      </c>
      <c r="C127" s="19"/>
      <c r="D127" s="21" t="str">
        <f t="shared" si="34"/>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"326459ff-7ea6-4465-a946-9326b783d492",</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"MasterPageSetUp",</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"Master Page SetUp",</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"pageID,TableName,PrimaryKey,TBKey",</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["pageID"],</v>
      </c>
      <c r="C137" s="122"/>
      <c r="D137" s="122"/>
      <c r="E137" s="122"/>
      <c r="F137" s="122"/>
      <c r="G137" s="122"/>
      <c r="H137" s="122"/>
      <c r="I137" s="122"/>
      <c r="J137" s="122"/>
      <c r="K137" s="122"/>
      <c r="L137" s="122"/>
      <c r="M137" s="122"/>
    </row>
    <row r="138" spans="2:49">
      <c r="B138" s="273" t="str">
        <f>REPT(" ",6)&amp;CHAR(34)&amp;"QueryStr"&amp;CHAR(34)&amp;": "&amp;G120</f>
        <v xml:space="preserve">      "QueryStr": "pageID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"cbb91dcb-9e28-438f-91ad-ed5ffe143802",</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row>
    <row r="151" spans="2:16">
      <c r="B151" s="274"/>
      <c r="C151" s="14"/>
      <c r="D151" s="232"/>
      <c r="E151" s="14"/>
      <c r="F151" s="14"/>
      <c r="G151" s="14"/>
      <c r="H151" s="14"/>
      <c r="I151" s="14"/>
      <c r="J151" s="14"/>
      <c r="K151" s="14"/>
      <c r="L151" s="14"/>
      <c r="M151" s="14"/>
      <c r="N151" s="14"/>
    </row>
    <row r="152" spans="2:16">
      <c r="B152" s="275"/>
      <c r="C152" s="275"/>
      <c r="D152" s="275"/>
      <c r="E152" s="275"/>
      <c r="F152" s="14"/>
      <c r="G152" s="276"/>
      <c r="H152" s="14"/>
      <c r="I152" s="14"/>
      <c r="J152" s="14"/>
      <c r="K152" s="14"/>
      <c r="L152" s="14"/>
      <c r="M152" s="14"/>
      <c r="N152" s="14"/>
      <c r="O152" s="4"/>
      <c r="P152" s="4"/>
    </row>
    <row r="153" spans="2:16">
      <c r="B153" s="277"/>
      <c r="C153" s="277"/>
      <c r="D153" s="278"/>
      <c r="E153" s="14"/>
      <c r="F153" s="14"/>
      <c r="G153" s="14"/>
      <c r="H153" s="14"/>
      <c r="I153" s="14"/>
      <c r="J153" s="14"/>
      <c r="K153" s="14"/>
      <c r="L153" s="14"/>
      <c r="M153" s="14"/>
      <c r="N153" s="14"/>
    </row>
    <row r="154" spans="2:16">
      <c r="B154" s="277"/>
      <c r="C154" s="277"/>
      <c r="D154" s="278"/>
      <c r="E154" s="14"/>
      <c r="F154" s="14"/>
      <c r="G154" s="14"/>
      <c r="H154" s="14"/>
      <c r="I154" s="14"/>
      <c r="J154" s="14"/>
      <c r="K154" s="14"/>
      <c r="L154" s="14"/>
      <c r="M154" s="14"/>
      <c r="N154" s="14"/>
    </row>
    <row r="155" spans="2:16">
      <c r="B155" s="14"/>
      <c r="C155" s="14"/>
      <c r="D155" s="14"/>
      <c r="E155" s="14"/>
      <c r="F155" s="14"/>
      <c r="G155" s="14"/>
      <c r="H155" s="14"/>
      <c r="I155" s="14"/>
      <c r="J155" s="14"/>
      <c r="K155" s="14"/>
      <c r="L155" s="14"/>
      <c r="M155" s="14"/>
      <c r="N155" s="14"/>
    </row>
    <row r="156" spans="2:16">
      <c r="B156" s="14"/>
      <c r="C156" s="14"/>
      <c r="D156" s="14"/>
      <c r="E156" s="14"/>
      <c r="F156" s="14"/>
      <c r="G156" s="14"/>
      <c r="H156" s="14"/>
      <c r="I156" s="14"/>
      <c r="J156" s="14"/>
      <c r="K156" s="14"/>
      <c r="L156" s="14"/>
      <c r="M156" s="14"/>
      <c r="N156" s="14"/>
    </row>
    <row r="157" spans="2:16">
      <c r="B157" s="14"/>
      <c r="C157" s="14"/>
      <c r="D157" s="14"/>
      <c r="E157" s="14"/>
      <c r="F157" s="14"/>
      <c r="G157" s="14"/>
      <c r="H157" s="14"/>
      <c r="I157" s="14"/>
      <c r="J157" s="14"/>
      <c r="K157" s="14"/>
      <c r="L157" s="14"/>
      <c r="M157" s="14"/>
      <c r="N157" s="14"/>
    </row>
    <row r="158" spans="2:16">
      <c r="B158" s="14"/>
      <c r="C158" s="14"/>
      <c r="D158" s="14"/>
      <c r="E158" s="14"/>
      <c r="F158" s="14"/>
      <c r="G158" s="14"/>
      <c r="H158" s="14"/>
      <c r="I158" s="14"/>
      <c r="J158" s="14"/>
      <c r="K158" s="14"/>
      <c r="L158" s="14"/>
      <c r="M158" s="14"/>
      <c r="N158" s="14"/>
    </row>
    <row r="159" spans="2:16">
      <c r="B159" s="14"/>
      <c r="C159" s="14"/>
      <c r="D159" s="14"/>
      <c r="E159" s="14"/>
      <c r="F159" s="14"/>
      <c r="G159" s="14"/>
      <c r="H159" s="14"/>
      <c r="I159" s="14"/>
      <c r="J159" s="14"/>
      <c r="K159" s="14"/>
      <c r="L159" s="14"/>
      <c r="M159" s="14"/>
      <c r="N159" s="14"/>
    </row>
    <row r="161" spans="11:16">
      <c r="K161" s="107"/>
    </row>
    <row r="162" spans="11:16">
      <c r="K162" s="115"/>
    </row>
    <row r="163" spans="11:16">
      <c r="K163" s="107"/>
      <c r="L163" s="107"/>
    </row>
    <row r="164" spans="11:16">
      <c r="K164" s="107"/>
      <c r="L164" s="107"/>
      <c r="P164" s="107"/>
    </row>
    <row r="165" spans="11:16">
      <c r="K165" s="107"/>
      <c r="L165" s="107"/>
    </row>
    <row r="166" spans="11:16">
      <c r="K166" s="107"/>
      <c r="L166" s="107"/>
      <c r="O166" s="107"/>
    </row>
    <row r="167" spans="11:16">
      <c r="K167" s="107"/>
    </row>
    <row r="168" spans="11:16">
      <c r="K168" s="107"/>
    </row>
    <row r="169" spans="11:16">
      <c r="K169" s="107"/>
    </row>
    <row r="170" spans="11:16">
      <c r="K170" s="107"/>
      <c r="L170" s="107"/>
    </row>
    <row r="171" spans="11:16">
      <c r="K171" s="107"/>
      <c r="L171" s="107"/>
    </row>
    <row r="172" spans="11:16">
      <c r="K172" s="107"/>
      <c r="L172" s="107"/>
    </row>
    <row r="173" spans="11:16">
      <c r="K173" s="107"/>
      <c r="L173" s="107"/>
      <c r="O173" s="107"/>
    </row>
    <row r="174" spans="11:16">
      <c r="K174" s="107"/>
    </row>
  </sheetData>
  <mergeCells count="1">
    <mergeCell ref="N14:P14"/>
  </mergeCells>
  <dataValidations count="5">
    <dataValidation type="list" showInputMessage="1" showErrorMessage="1" sqref="W16:X115 X2 V6:V7 AL11:AL12 T7" xr:uid="{8B2517A1-090B-4FFA-81AE-9C862C2CB7C9}">
      <formula1>aBoolean</formula1>
    </dataValidation>
    <dataValidation type="list" showInputMessage="1" showErrorMessage="1" sqref="U16:U115" xr:uid="{2BA6C966-8349-4475-853E-177F1DCF92BC}">
      <formula1>aDataType</formula1>
    </dataValidation>
    <dataValidation type="list" showInputMessage="1" showErrorMessage="1" sqref="V16:V115" xr:uid="{DDC5260F-8248-4C08-ADDC-6A078DA0B7C8}">
      <formula1>aFormat</formula1>
    </dataValidation>
    <dataValidation type="list" allowBlank="1" showInputMessage="1" showErrorMessage="1" sqref="T6" xr:uid="{BC3B821F-AE68-4120-AEAD-63D39233A0A8}">
      <formula1>aEditMode</formula1>
    </dataValidation>
    <dataValidation type="list" allowBlank="1" showInputMessage="1" showErrorMessage="1" sqref="T5" xr:uid="{3D5785E5-35F7-48E2-8B15-653849F32683}">
      <formula1>#NAME?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3B649067-34F7-40D9-AADD-42EF03FF499C}">
          <x14:formula1>
            <xm:f>Variables!$B$22:$B$25</xm:f>
          </x14:formula1>
          <xm:sqref>E6</xm:sqref>
        </x14:dataValidation>
        <x14:dataValidation type="list" allowBlank="1" showInputMessage="1" showErrorMessage="1" xr:uid="{53DFE418-55A1-4533-AAC2-6532C374891D}">
          <x14:formula1>
            <xm:f>Variables!$E$17:$E$22</xm:f>
          </x14:formula1>
          <xm:sqref>C6</xm:sqref>
        </x14:dataValidation>
        <x14:dataValidation type="list" allowBlank="1" showInputMessage="1" showErrorMessage="1" xr:uid="{CA2F1469-C6CC-429A-8748-F9D34675F71D}">
          <x14:formula1>
            <xm:f>Variables!$G$12:$G$14</xm:f>
          </x14:formula1>
          <xm:sqref>AA16:AA115</xm:sqref>
        </x14:dataValidation>
        <x14:dataValidation type="list" showInputMessage="1" showErrorMessage="1" xr:uid="{979B2DCD-01FF-4237-ACE5-78ED4A9F40F9}">
          <x14:formula1>
            <xm:f>Variables!$G$17:$G$22</xm:f>
          </x14:formula1>
          <xm:sqref>T8:T10</xm:sqref>
        </x14:dataValidation>
        <x14:dataValidation type="list" allowBlank="1" showInputMessage="1" showErrorMessage="1" xr:uid="{61A19DA9-137D-4EDE-BAC4-9F2C286FF891}">
          <x14:formula1>
            <xm:f>Variables!E$28:E$34</xm:f>
          </x14:formula1>
          <xm:sqref>AJ16:AJ115</xm:sqref>
        </x14:dataValidation>
        <x14:dataValidation type="list" allowBlank="1" showInputMessage="1" showErrorMessage="1" xr:uid="{111B64C6-4802-40DF-9A88-8D0348E2509B}">
          <x14:formula1>
            <xm:f>Variables!E$28:E$34</xm:f>
          </x14:formula1>
          <xm:sqref>AM16:AM115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7A5DA-75B4-4094-B93C-BD4CD49F3058}">
  <sheetPr codeName="Sheet34">
    <tabColor theme="4" tint="0.79998168889431442"/>
  </sheetPr>
  <dimension ref="B1:AY174"/>
  <sheetViews>
    <sheetView showGridLines="0" workbookViewId="0">
      <pane xSplit="6" ySplit="15" topLeftCell="M16" activePane="bottomRight" state="frozen"/>
      <selection pane="topRight" activeCell="G1" sqref="G1"/>
      <selection pane="bottomLeft" activeCell="A16" sqref="A16"/>
      <selection pane="bottomRight" activeCell="W5" sqref="W5:X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3" width="17.85546875" style="134" bestFit="1" customWidth="1"/>
    <col min="24" max="24" width="13.85546875" style="134" bestFit="1" customWidth="1"/>
    <col min="25" max="25" width="10.85546875" style="134" customWidth="1"/>
    <col min="26" max="26" width="8.5703125" style="143" bestFit="1"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6"/>
      <c r="AV1" s="13" t="s">
        <v>430</v>
      </c>
    </row>
    <row r="2" spans="2:51">
      <c r="S2" s="255" t="s">
        <v>875</v>
      </c>
      <c r="T2" s="240" t="str" cm="1">
        <f t="array" ref="T2">MID(CELL("filename",A1),FIND("]",CELL("filename",A1))+1,255)</f>
        <v>CLASSOFRISK</v>
      </c>
      <c r="U2" s="255" t="s">
        <v>874</v>
      </c>
      <c r="V2" s="253" t="str">
        <f>UPPER(RIGHT(T2,1)&amp;V3&amp;MID(T2,2,1)&amp;V3&amp;MID(T2,5,1)&amp;LEFT(T2,1)&amp;C7)&amp;".html"</f>
        <v>KLSC9001.html</v>
      </c>
      <c r="W2" s="255" t="s">
        <v>1071</v>
      </c>
      <c r="X2" s="245" t="s">
        <v>367</v>
      </c>
      <c r="AV2" s="27" t="str">
        <f>+"USE "&amp;TRIM(C5)</f>
        <v>USE SIBISDB</v>
      </c>
      <c r="AW2" s="27"/>
    </row>
    <row r="3" spans="2:51">
      <c r="B3" s="222" t="s">
        <v>577</v>
      </c>
      <c r="C3" s="165" t="str">
        <f>+DBTableList!G5</f>
        <v>http://wikran-w10:8081</v>
      </c>
      <c r="D3" s="222" t="s">
        <v>775</v>
      </c>
      <c r="E3" s="5" t="s">
        <v>776</v>
      </c>
      <c r="U3" s="254" t="s">
        <v>877</v>
      </c>
      <c r="V3" s="240" t="str">
        <f>IF(ISERROR(FIND("EntryBy",C11)),"","X")</f>
        <v/>
      </c>
      <c r="AV3" s="27" t="s">
        <v>0</v>
      </c>
      <c r="AW3" s="27"/>
    </row>
    <row r="4" spans="2:51">
      <c r="B4" s="222" t="s">
        <v>854</v>
      </c>
      <c r="C4" s="218" t="str">
        <f>+DBTableList!G6</f>
        <v>pythonLT</v>
      </c>
      <c r="D4" s="100" t="s">
        <v>412</v>
      </c>
      <c r="E4" s="5" t="s">
        <v>407</v>
      </c>
      <c r="S4" s="256" t="s">
        <v>872</v>
      </c>
      <c r="AV4" s="28" t="s">
        <v>1</v>
      </c>
      <c r="AW4" s="27"/>
    </row>
    <row r="5" spans="2:51">
      <c r="B5" s="100" t="s">
        <v>19</v>
      </c>
      <c r="C5" s="101" t="s">
        <v>20</v>
      </c>
      <c r="D5" s="248" t="s">
        <v>408</v>
      </c>
      <c r="E5" s="5" t="str">
        <f>+DBTableList!$G$4</f>
        <v>CBS</v>
      </c>
      <c r="S5" s="241" t="s">
        <v>873</v>
      </c>
      <c r="T5" s="244" t="s">
        <v>569</v>
      </c>
      <c r="U5" s="243" t="s">
        <v>377</v>
      </c>
      <c r="V5" s="240" t="str">
        <f>CHAR(34)&amp;E8&amp;" Info"&amp;CHAR(34)</f>
        <v>"Class Of Risk Info"</v>
      </c>
      <c r="W5" s="242" t="s">
        <v>1436</v>
      </c>
      <c r="X5" s="240" t="s">
        <v>1435</v>
      </c>
      <c r="AV5" s="28" t="s">
        <v>1</v>
      </c>
      <c r="AW5" s="27"/>
    </row>
    <row r="6" spans="2:51">
      <c r="B6" s="250" t="s">
        <v>10</v>
      </c>
      <c r="C6" s="5" t="s">
        <v>852</v>
      </c>
      <c r="D6" s="249" t="s">
        <v>429</v>
      </c>
      <c r="E6" s="5" t="s">
        <v>424</v>
      </c>
      <c r="G6" s="216"/>
      <c r="H6" s="14"/>
      <c r="S6" s="242" t="s">
        <v>514</v>
      </c>
      <c r="T6" s="245" t="s">
        <v>506</v>
      </c>
      <c r="U6" s="242" t="s">
        <v>507</v>
      </c>
      <c r="V6" s="245" t="s">
        <v>367</v>
      </c>
      <c r="W6" s="242" t="s">
        <v>1434</v>
      </c>
      <c r="X6" s="245" t="s">
        <v>367</v>
      </c>
      <c r="AV6" s="27" t="s">
        <v>2</v>
      </c>
      <c r="AW6" s="27"/>
    </row>
    <row r="7" spans="2:51">
      <c r="B7" s="100" t="s">
        <v>315</v>
      </c>
      <c r="C7" s="17">
        <v>9001</v>
      </c>
      <c r="D7" s="100" t="str">
        <f>"LIMIT "&amp;IF(E7=0,"(MAX)","")</f>
        <v>LIMIT (MAX)</v>
      </c>
      <c r="E7" s="227">
        <v>0</v>
      </c>
      <c r="F7" s="214"/>
      <c r="S7" s="242" t="s">
        <v>508</v>
      </c>
      <c r="T7" s="245" t="s">
        <v>379</v>
      </c>
      <c r="U7" s="242" t="s">
        <v>385</v>
      </c>
      <c r="V7" s="245" t="s">
        <v>379</v>
      </c>
      <c r="W7" s="242" t="s">
        <v>1444</v>
      </c>
      <c r="X7" s="240">
        <v>2</v>
      </c>
      <c r="AV7" s="27" t="s">
        <v>0</v>
      </c>
      <c r="AW7" s="27"/>
    </row>
    <row r="8" spans="2:51">
      <c r="B8" s="224" t="s">
        <v>16</v>
      </c>
      <c r="C8" s="17" t="s">
        <v>72</v>
      </c>
      <c r="D8" s="215" t="s">
        <v>847</v>
      </c>
      <c r="E8" s="120" t="s">
        <v>405</v>
      </c>
      <c r="S8" s="242" t="s">
        <v>509</v>
      </c>
      <c r="T8" s="245" t="s">
        <v>379</v>
      </c>
      <c r="U8" s="242" t="s">
        <v>380</v>
      </c>
      <c r="V8" s="246">
        <v>1000</v>
      </c>
      <c r="W8" s="242"/>
      <c r="X8" s="240"/>
      <c r="AV8" s="28" t="s">
        <v>1</v>
      </c>
      <c r="AW8" s="27"/>
    </row>
    <row r="9" spans="2:51">
      <c r="B9" s="105" t="s">
        <v>409</v>
      </c>
      <c r="C9" s="102" t="str">
        <f>VLOOKUP(E6,Variables!$B$22:$C$25,2,FALSE)</f>
        <v>b18e9f22-2069-4f35-9739-4d7f976335eb</v>
      </c>
      <c r="D9" s="166"/>
      <c r="E9" s="167"/>
      <c r="F9" s="14"/>
      <c r="G9" s="14"/>
      <c r="S9" s="242" t="s">
        <v>510</v>
      </c>
      <c r="T9" s="245" t="s">
        <v>1244</v>
      </c>
      <c r="U9" s="242" t="s">
        <v>378</v>
      </c>
      <c r="V9" s="246">
        <v>525</v>
      </c>
      <c r="W9" s="242"/>
      <c r="X9" s="240"/>
      <c r="AV9" s="27" t="s">
        <v>3</v>
      </c>
      <c r="AW9" s="27"/>
    </row>
    <row r="10" spans="2:51">
      <c r="B10" s="217" t="str">
        <f>HYPERLINK("[http://wikran-w10:8080/Gentoken.html]","TBTOKEN")</f>
        <v>TBTOKEN</v>
      </c>
      <c r="C10" s="102" t="s">
        <v>454</v>
      </c>
      <c r="D10" s="104"/>
      <c r="E10" s="226"/>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Risk,Description,RiskGroupI,RiskGroupII,RiskShortDesc,RiskGovernment,Department</v>
      </c>
      <c r="D11" s="104"/>
      <c r="E11" s="104"/>
      <c r="F11" s="104"/>
      <c r="G11" s="104"/>
      <c r="H11" s="104"/>
      <c r="I11" s="104"/>
      <c r="J11" s="104"/>
      <c r="K11" s="104"/>
      <c r="L11" s="103"/>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http://wikran-w10:8081/pythonLT/A75FCC75-8FB6-4460-B3F6-7070B4437930/a138191b-8943-43dc-99a0-21b42837f205/all</v>
      </c>
      <c r="D12" s="64"/>
      <c r="E12" s="64"/>
      <c r="F12" s="64"/>
      <c r="G12" s="64"/>
      <c r="H12" s="64"/>
      <c r="I12" s="64"/>
      <c r="J12" s="64"/>
      <c r="K12" s="64"/>
      <c r="L12" s="65"/>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7</v>
      </c>
      <c r="D14" s="3" t="s">
        <v>496</v>
      </c>
      <c r="E14" s="3">
        <f>+C14+15</f>
        <v>22</v>
      </c>
      <c r="G14" s="16" t="s">
        <v>22</v>
      </c>
      <c r="H14" s="131">
        <f>IF(IFERROR(FIND("varchar",E22),0)&gt;0,IF(D22&gt;8000,"max",D22),"")</f>
        <v>8</v>
      </c>
      <c r="M14" s="107" t="s">
        <v>369</v>
      </c>
      <c r="N14" s="489" t="s">
        <v>305</v>
      </c>
      <c r="O14" s="490"/>
      <c r="P14" s="491"/>
      <c r="S14" s="257" t="s">
        <v>871</v>
      </c>
      <c r="T14" s="149" t="s">
        <v>893</v>
      </c>
      <c r="AJ14" s="347">
        <f>COUNTBLANK(AJ16:AJ115)</f>
        <v>99</v>
      </c>
      <c r="AK14" s="30" t="s">
        <v>1044</v>
      </c>
      <c r="AM14" s="347">
        <f>COUNTBLANK(AM16:AM115)</f>
        <v>99</v>
      </c>
      <c r="AN14" s="30" t="s">
        <v>1036</v>
      </c>
      <c r="AO14" s="347">
        <f>+AM14+AJ14</f>
        <v>198</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[dbo].[ClassOfRisk](</v>
      </c>
      <c r="AW15" s="27"/>
      <c r="AY15" s="122" t="str">
        <f>+"CREATE TABLE "&amp;TRIM(C8)&amp;" ("</f>
        <v>CREATE TABLE ClassOfRisk (</v>
      </c>
    </row>
    <row r="16" spans="2:51" ht="12.75">
      <c r="B16" s="20">
        <f>IF(C16=0,"",1)</f>
        <v>1</v>
      </c>
      <c r="C16" s="5" t="s">
        <v>306</v>
      </c>
      <c r="D16" s="5">
        <v>8</v>
      </c>
      <c r="E16" s="5" t="s">
        <v>11</v>
      </c>
      <c r="G16" s="5" t="str">
        <f t="shared" ref="G16:G32" si="0">SUBSTITUTE(SUBSTITUTE(SUBSTITUTE(SUBSTITUTE(SUBSTITUTE(SUBSTITUTE(SUBSTITUTE(SUBSTITUTE(SUBSTITUTE(C16," ",""),".",""),"#","No"),"%",""),"(",""),"*",""),"-",""),"/",""),")","")</f>
        <v>Risk</v>
      </c>
      <c r="H16" s="117">
        <f t="shared" ref="H16:H21" si="1">IF(IFERROR(FIND("varchar",E16),0)&gt;0,IF(D16&gt;8000,"max",D16),"")</f>
        <v>8</v>
      </c>
      <c r="I16" s="5" t="str">
        <f t="shared" ref="I16:I45" si="2">IF(E16=0,"",+E16)</f>
        <v>varchar</v>
      </c>
      <c r="J16" s="5" t="str">
        <f t="shared" ref="J16:J45" si="3">IF(C16=0,"",(IF(ISERROR(VLOOKUP(G16,$D$120:$D$127,1,FALSE)),""," NOT")&amp;" NULL"))</f>
        <v xml:space="preserve"> NOT NULL</v>
      </c>
      <c r="K16" s="5" t="s">
        <v>306</v>
      </c>
      <c r="L16" s="5"/>
      <c r="M16" s="75">
        <v>1</v>
      </c>
      <c r="N16" s="77"/>
      <c r="O16" s="26"/>
      <c r="P16" s="26"/>
      <c r="Q16" s="118">
        <f t="shared" ref="Q16:Q45" si="4">IF(M16=0,"",ROW())</f>
        <v>16</v>
      </c>
      <c r="R16" s="153"/>
      <c r="S16" s="5" t="s">
        <v>306</v>
      </c>
      <c r="T16" s="148"/>
      <c r="U16" s="146"/>
      <c r="V16" s="146"/>
      <c r="W16" s="139" t="s">
        <v>379</v>
      </c>
      <c r="X16" s="139" t="s">
        <v>367</v>
      </c>
      <c r="Y16" s="148">
        <v>100</v>
      </c>
      <c r="Z16" s="138" t="str">
        <f>IF(M16&lt;9000,"","false")</f>
        <v/>
      </c>
      <c r="AA16" s="138" t="str">
        <f>IF($C$120=B16,"asc","")</f>
        <v>asc</v>
      </c>
      <c r="AB16" s="239"/>
      <c r="AC16" s="325"/>
      <c r="AD16" s="325"/>
      <c r="AE16" s="325"/>
      <c r="AF16" s="325"/>
      <c r="AG16" s="325"/>
      <c r="AH16" s="325"/>
      <c r="AI16" s="325"/>
      <c r="AJ16" s="325"/>
      <c r="AK16" s="325"/>
      <c r="AL16" s="325"/>
      <c r="AM16" s="325"/>
      <c r="AN16" s="325"/>
      <c r="AO16" s="325"/>
      <c r="AP16" s="136"/>
      <c r="AQ16" s="136"/>
      <c r="AR16" s="136" t="str">
        <f t="shared" ref="AR16:AS47" si="5">IF(O16=0,"",ROW())</f>
        <v/>
      </c>
      <c r="AS16" s="136" t="str">
        <f t="shared" si="5"/>
        <v/>
      </c>
      <c r="AT16" s="5" t="str">
        <f t="shared" ref="AT16:AT47" si="6">IF(C16="","",C16&amp;IF(B17="","",","))</f>
        <v>Risk,</v>
      </c>
      <c r="AV16" s="27" t="str">
        <f t="shared" ref="AV16:AV35" si="7">IF(G16="","",+"          ["&amp;TRIM(G16)&amp;"] ["&amp;TRIM(I16)&amp;"]"&amp;IF(H16="","","("&amp;H16&amp;")")&amp;" "&amp;TRIM(J16)&amp;IF(G17="","",","))</f>
        <v xml:space="preserve">          [Risk] [varchar](8) NOT NULL,</v>
      </c>
      <c r="AW16" s="27"/>
      <c r="AY16" s="122" t="str">
        <f t="shared" ref="AY16:AY79" si="8">IF(G16="",IF(OR(AY15=");",AY15=""),"",");"),+"          "&amp;TRIM(G16)&amp;" "&amp;UPPER(TRIM(I16))&amp;IF(H16="",""," ("&amp;H16&amp;")")&amp;" "&amp;IF(TRIM(J16)="NOT NULL","PRIMARY KEY UNIQUE NOT NULL",TRIM(J16))&amp;IF(G17="","",","))</f>
        <v xml:space="preserve">          Risk VARCHAR (8) PRIMARY KEY UNIQUE NOT NULL,</v>
      </c>
    </row>
    <row r="17" spans="2:51" ht="12.75">
      <c r="B17" s="20">
        <f>IF(C17=0,"",+B16+1)</f>
        <v>2</v>
      </c>
      <c r="C17" s="5" t="s">
        <v>54</v>
      </c>
      <c r="D17" s="5">
        <v>40</v>
      </c>
      <c r="E17" s="5" t="s">
        <v>11</v>
      </c>
      <c r="G17" s="5" t="str">
        <f t="shared" si="0"/>
        <v>Description</v>
      </c>
      <c r="H17" s="117">
        <f t="shared" si="1"/>
        <v>40</v>
      </c>
      <c r="I17" s="5" t="str">
        <f t="shared" si="2"/>
        <v>varchar</v>
      </c>
      <c r="J17" s="5" t="str">
        <f t="shared" si="3"/>
        <v xml:space="preserve"> NULL</v>
      </c>
      <c r="K17" s="5" t="s">
        <v>54</v>
      </c>
      <c r="L17" s="5"/>
      <c r="M17" s="75">
        <v>2</v>
      </c>
      <c r="N17" s="77"/>
      <c r="O17" s="26"/>
      <c r="P17" s="26"/>
      <c r="Q17" s="118">
        <f t="shared" si="4"/>
        <v>17</v>
      </c>
      <c r="R17" s="153"/>
      <c r="S17" s="5" t="s">
        <v>54</v>
      </c>
      <c r="T17" s="148"/>
      <c r="U17" s="146"/>
      <c r="V17" s="146"/>
      <c r="W17" s="139"/>
      <c r="X17" s="139"/>
      <c r="Y17" s="148"/>
      <c r="Z17" s="138" t="str">
        <f t="shared" ref="Z17:Z80" si="9">IF(M17&lt;9000,"","false")</f>
        <v/>
      </c>
      <c r="AA17" s="138" t="str">
        <f>IF($C$120=B17,"asc","")</f>
        <v/>
      </c>
      <c r="AB17" s="239"/>
      <c r="AC17" s="325"/>
      <c r="AD17" s="325"/>
      <c r="AE17" s="325"/>
      <c r="AF17" s="325"/>
      <c r="AG17" s="325"/>
      <c r="AH17" s="325"/>
      <c r="AI17" s="325"/>
      <c r="AJ17" s="325" t="s">
        <v>1028</v>
      </c>
      <c r="AK17" s="325"/>
      <c r="AL17" s="325"/>
      <c r="AM17" s="325"/>
      <c r="AN17" s="325"/>
      <c r="AO17" s="325"/>
      <c r="AP17" s="136"/>
      <c r="AQ17" s="136"/>
      <c r="AR17" s="136" t="str">
        <f t="shared" si="5"/>
        <v/>
      </c>
      <c r="AS17" s="136" t="str">
        <f t="shared" si="5"/>
        <v/>
      </c>
      <c r="AT17" s="5" t="str">
        <f t="shared" si="6"/>
        <v>Description,</v>
      </c>
      <c r="AV17" s="27" t="str">
        <f t="shared" si="7"/>
        <v xml:space="preserve">          [Description] [varchar](40) NULL,</v>
      </c>
      <c r="AW17" s="27"/>
      <c r="AY17" s="122" t="str">
        <f t="shared" si="8"/>
        <v xml:space="preserve">          Description VARCHAR (40) NULL,</v>
      </c>
    </row>
    <row r="18" spans="2:51" ht="12.75">
      <c r="B18" s="20">
        <f t="shared" ref="B18:B81" si="10">IF(C18=0,"",+B17+1)</f>
        <v>3</v>
      </c>
      <c r="C18" s="5" t="s">
        <v>450</v>
      </c>
      <c r="D18" s="5">
        <v>8</v>
      </c>
      <c r="E18" s="5" t="s">
        <v>11</v>
      </c>
      <c r="G18" s="5" t="str">
        <f t="shared" si="0"/>
        <v>RiskGroupI</v>
      </c>
      <c r="H18" s="117">
        <f t="shared" si="1"/>
        <v>8</v>
      </c>
      <c r="I18" s="5" t="str">
        <f t="shared" si="2"/>
        <v>varchar</v>
      </c>
      <c r="J18" s="5" t="str">
        <f t="shared" si="3"/>
        <v xml:space="preserve"> NULL</v>
      </c>
      <c r="K18" s="5" t="s">
        <v>629</v>
      </c>
      <c r="L18" s="5"/>
      <c r="M18" s="75">
        <v>3</v>
      </c>
      <c r="N18" s="77"/>
      <c r="O18" s="26"/>
      <c r="P18" s="26"/>
      <c r="Q18" s="118">
        <f t="shared" si="4"/>
        <v>18</v>
      </c>
      <c r="R18" s="153"/>
      <c r="S18" s="5" t="s">
        <v>629</v>
      </c>
      <c r="T18" s="148"/>
      <c r="U18" s="146"/>
      <c r="V18" s="146"/>
      <c r="W18" s="139" t="s">
        <v>379</v>
      </c>
      <c r="X18" s="139"/>
      <c r="Y18" s="148">
        <v>100</v>
      </c>
      <c r="Z18" s="138" t="str">
        <f t="shared" si="9"/>
        <v/>
      </c>
      <c r="AA18" s="138" t="str">
        <f t="shared" ref="AA18:AA81" si="11">IF($C$120=B18,"asc","")</f>
        <v/>
      </c>
      <c r="AB18" s="239"/>
      <c r="AC18" s="325"/>
      <c r="AD18" s="325"/>
      <c r="AE18" s="325"/>
      <c r="AF18" s="325"/>
      <c r="AG18" s="325"/>
      <c r="AH18" s="325"/>
      <c r="AI18" s="325"/>
      <c r="AJ18" s="325"/>
      <c r="AK18" s="325"/>
      <c r="AL18" s="325"/>
      <c r="AM18" s="325"/>
      <c r="AN18" s="325"/>
      <c r="AO18" s="325"/>
      <c r="AP18" s="136"/>
      <c r="AQ18" s="136"/>
      <c r="AR18" s="136" t="str">
        <f t="shared" si="5"/>
        <v/>
      </c>
      <c r="AS18" s="136" t="str">
        <f t="shared" si="5"/>
        <v/>
      </c>
      <c r="AT18" s="5" t="str">
        <f t="shared" si="6"/>
        <v>RiskGroupI,</v>
      </c>
      <c r="AV18" s="27" t="str">
        <f t="shared" si="7"/>
        <v xml:space="preserve">          [RiskGroupI] [varchar](8) NULL,</v>
      </c>
      <c r="AW18" s="27"/>
      <c r="AY18" s="122" t="str">
        <f t="shared" si="8"/>
        <v xml:space="preserve">          RiskGroupI VARCHAR (8) NULL,</v>
      </c>
    </row>
    <row r="19" spans="2:51" ht="12.75">
      <c r="B19" s="20">
        <f t="shared" si="10"/>
        <v>4</v>
      </c>
      <c r="C19" s="5" t="s">
        <v>451</v>
      </c>
      <c r="D19" s="5">
        <v>8</v>
      </c>
      <c r="E19" s="5" t="s">
        <v>11</v>
      </c>
      <c r="G19" s="5" t="str">
        <f t="shared" si="0"/>
        <v>RiskGroupII</v>
      </c>
      <c r="H19" s="117">
        <f t="shared" si="1"/>
        <v>8</v>
      </c>
      <c r="I19" s="5" t="str">
        <f t="shared" si="2"/>
        <v>varchar</v>
      </c>
      <c r="J19" s="5" t="str">
        <f t="shared" si="3"/>
        <v xml:space="preserve"> NULL</v>
      </c>
      <c r="K19" s="5" t="s">
        <v>630</v>
      </c>
      <c r="L19" s="5"/>
      <c r="M19" s="75">
        <v>4</v>
      </c>
      <c r="N19" s="77"/>
      <c r="O19" s="26"/>
      <c r="P19" s="26"/>
      <c r="Q19" s="118">
        <f t="shared" si="4"/>
        <v>19</v>
      </c>
      <c r="R19" s="153"/>
      <c r="S19" s="5" t="s">
        <v>630</v>
      </c>
      <c r="T19" s="148"/>
      <c r="U19" s="146"/>
      <c r="V19" s="146"/>
      <c r="W19" s="139" t="s">
        <v>379</v>
      </c>
      <c r="X19" s="139"/>
      <c r="Y19" s="148">
        <v>100</v>
      </c>
      <c r="Z19" s="138" t="str">
        <f t="shared" si="9"/>
        <v/>
      </c>
      <c r="AA19" s="138" t="str">
        <f t="shared" si="11"/>
        <v/>
      </c>
      <c r="AB19" s="239"/>
      <c r="AC19" s="325"/>
      <c r="AD19" s="325"/>
      <c r="AE19" s="325"/>
      <c r="AF19" s="325"/>
      <c r="AG19" s="325"/>
      <c r="AH19" s="325"/>
      <c r="AI19" s="325"/>
      <c r="AJ19" s="325"/>
      <c r="AK19" s="325"/>
      <c r="AL19" s="325"/>
      <c r="AM19" s="325"/>
      <c r="AN19" s="325"/>
      <c r="AO19" s="325"/>
      <c r="AP19" s="136"/>
      <c r="AQ19" s="136"/>
      <c r="AR19" s="136" t="str">
        <f t="shared" si="5"/>
        <v/>
      </c>
      <c r="AS19" s="136" t="str">
        <f t="shared" si="5"/>
        <v/>
      </c>
      <c r="AT19" s="5" t="str">
        <f t="shared" si="6"/>
        <v>RiskGroupII,</v>
      </c>
      <c r="AV19" s="27" t="str">
        <f t="shared" si="7"/>
        <v xml:space="preserve">          [RiskGroupII] [varchar](8) NULL,</v>
      </c>
      <c r="AW19" s="27"/>
      <c r="AY19" s="122" t="str">
        <f t="shared" si="8"/>
        <v xml:space="preserve">          RiskGroupII VARCHAR (8) NULL,</v>
      </c>
    </row>
    <row r="20" spans="2:51" ht="12.75">
      <c r="B20" s="20">
        <f t="shared" si="10"/>
        <v>5</v>
      </c>
      <c r="C20" s="5" t="s">
        <v>452</v>
      </c>
      <c r="D20" s="5">
        <v>20</v>
      </c>
      <c r="E20" s="5" t="s">
        <v>11</v>
      </c>
      <c r="G20" s="5" t="str">
        <f t="shared" si="0"/>
        <v>RiskShortDesc</v>
      </c>
      <c r="H20" s="117">
        <f t="shared" si="1"/>
        <v>20</v>
      </c>
      <c r="I20" s="5" t="str">
        <f t="shared" si="2"/>
        <v>varchar</v>
      </c>
      <c r="J20" s="5" t="str">
        <f t="shared" si="3"/>
        <v xml:space="preserve"> NULL</v>
      </c>
      <c r="K20" s="5" t="s">
        <v>631</v>
      </c>
      <c r="L20" s="5"/>
      <c r="M20" s="75">
        <v>5</v>
      </c>
      <c r="N20" s="77"/>
      <c r="O20" s="26"/>
      <c r="P20" s="26"/>
      <c r="Q20" s="118">
        <f t="shared" si="4"/>
        <v>20</v>
      </c>
      <c r="R20" s="153"/>
      <c r="S20" s="5" t="s">
        <v>631</v>
      </c>
      <c r="T20" s="148"/>
      <c r="U20" s="146"/>
      <c r="V20" s="146"/>
      <c r="W20" s="139"/>
      <c r="X20" s="139"/>
      <c r="Y20" s="148"/>
      <c r="Z20" s="138" t="str">
        <f t="shared" si="9"/>
        <v/>
      </c>
      <c r="AA20" s="138" t="str">
        <f t="shared" si="11"/>
        <v/>
      </c>
      <c r="AB20" s="239"/>
      <c r="AC20" s="325"/>
      <c r="AD20" s="325"/>
      <c r="AE20" s="325"/>
      <c r="AF20" s="325"/>
      <c r="AG20" s="325"/>
      <c r="AH20" s="325"/>
      <c r="AI20" s="325"/>
      <c r="AJ20" s="325"/>
      <c r="AK20" s="325"/>
      <c r="AL20" s="325"/>
      <c r="AM20" s="325"/>
      <c r="AN20" s="325"/>
      <c r="AO20" s="325"/>
      <c r="AP20" s="136"/>
      <c r="AQ20" s="136"/>
      <c r="AR20" s="136" t="str">
        <f t="shared" si="5"/>
        <v/>
      </c>
      <c r="AS20" s="136" t="str">
        <f t="shared" si="5"/>
        <v/>
      </c>
      <c r="AT20" s="5" t="str">
        <f t="shared" si="6"/>
        <v>RiskShortDesc,</v>
      </c>
      <c r="AV20" s="27" t="str">
        <f t="shared" si="7"/>
        <v xml:space="preserve">          [RiskShortDesc] [varchar](20) NULL,</v>
      </c>
      <c r="AW20" s="27"/>
      <c r="AY20" s="122" t="str">
        <f t="shared" si="8"/>
        <v xml:space="preserve">          RiskShortDesc VARCHAR (20) NULL,</v>
      </c>
    </row>
    <row r="21" spans="2:51" ht="12.75">
      <c r="B21" s="20">
        <f t="shared" si="10"/>
        <v>6</v>
      </c>
      <c r="C21" s="5" t="s">
        <v>453</v>
      </c>
      <c r="D21" s="5">
        <v>8</v>
      </c>
      <c r="E21" s="5" t="s">
        <v>11</v>
      </c>
      <c r="G21" s="5" t="str">
        <f t="shared" si="0"/>
        <v>RiskGovernment</v>
      </c>
      <c r="H21" s="117">
        <f t="shared" si="1"/>
        <v>8</v>
      </c>
      <c r="I21" s="5" t="str">
        <f t="shared" si="2"/>
        <v>varchar</v>
      </c>
      <c r="J21" s="5" t="str">
        <f t="shared" si="3"/>
        <v xml:space="preserve"> NULL</v>
      </c>
      <c r="K21" s="5" t="s">
        <v>632</v>
      </c>
      <c r="L21" s="5"/>
      <c r="M21" s="75">
        <v>6</v>
      </c>
      <c r="N21" s="77"/>
      <c r="O21" s="26"/>
      <c r="P21" s="26"/>
      <c r="Q21" s="118">
        <f t="shared" si="4"/>
        <v>21</v>
      </c>
      <c r="R21" s="153"/>
      <c r="S21" s="5" t="s">
        <v>632</v>
      </c>
      <c r="T21" s="148"/>
      <c r="U21" s="146"/>
      <c r="V21" s="146"/>
      <c r="W21" s="139" t="s">
        <v>379</v>
      </c>
      <c r="X21" s="139"/>
      <c r="Y21" s="148">
        <v>100</v>
      </c>
      <c r="Z21" s="138" t="str">
        <f t="shared" si="9"/>
        <v/>
      </c>
      <c r="AA21" s="138" t="str">
        <f t="shared" si="11"/>
        <v/>
      </c>
      <c r="AB21" s="239"/>
      <c r="AC21" s="325"/>
      <c r="AD21" s="325"/>
      <c r="AE21" s="325"/>
      <c r="AF21" s="325"/>
      <c r="AG21" s="325"/>
      <c r="AH21" s="325"/>
      <c r="AI21" s="325"/>
      <c r="AJ21" s="325"/>
      <c r="AK21" s="325"/>
      <c r="AL21" s="325"/>
      <c r="AM21" s="325" t="s">
        <v>1028</v>
      </c>
      <c r="AN21" s="325"/>
      <c r="AO21" s="325"/>
      <c r="AP21" s="136"/>
      <c r="AQ21" s="136"/>
      <c r="AR21" s="136" t="str">
        <f t="shared" si="5"/>
        <v/>
      </c>
      <c r="AS21" s="136" t="str">
        <f t="shared" si="5"/>
        <v/>
      </c>
      <c r="AT21" s="5" t="str">
        <f t="shared" si="6"/>
        <v>RiskGovernment,</v>
      </c>
      <c r="AV21" s="27" t="str">
        <f t="shared" si="7"/>
        <v xml:space="preserve">          [RiskGovernment] [varchar](8) NULL,</v>
      </c>
      <c r="AW21" s="27"/>
      <c r="AY21" s="122" t="str">
        <f t="shared" si="8"/>
        <v xml:space="preserve">          RiskGovernment VARCHAR (8) NULL,</v>
      </c>
    </row>
    <row r="22" spans="2:51" ht="12.75">
      <c r="B22" s="20">
        <f t="shared" si="10"/>
        <v>7</v>
      </c>
      <c r="C22" s="5" t="s">
        <v>417</v>
      </c>
      <c r="D22" s="5">
        <v>8</v>
      </c>
      <c r="E22" s="5" t="s">
        <v>11</v>
      </c>
      <c r="G22" s="5" t="str">
        <f t="shared" si="0"/>
        <v>Department</v>
      </c>
      <c r="H22" s="117">
        <f>IF(IFERROR(FIND("varchar",E22),0)&gt;0,IF(D22&gt;8000,"max",D22),"")</f>
        <v>8</v>
      </c>
      <c r="I22" s="5" t="str">
        <f t="shared" si="2"/>
        <v>varchar</v>
      </c>
      <c r="J22" s="5" t="str">
        <f t="shared" si="3"/>
        <v xml:space="preserve"> NULL</v>
      </c>
      <c r="K22" s="5" t="s">
        <v>417</v>
      </c>
      <c r="L22" s="5"/>
      <c r="M22" s="75">
        <v>7</v>
      </c>
      <c r="N22" s="77"/>
      <c r="O22" s="26"/>
      <c r="P22" s="26"/>
      <c r="Q22" s="118">
        <f t="shared" si="4"/>
        <v>22</v>
      </c>
      <c r="R22" s="153"/>
      <c r="S22" s="5" t="s">
        <v>417</v>
      </c>
      <c r="T22" s="148"/>
      <c r="U22" s="146"/>
      <c r="V22" s="146"/>
      <c r="W22" s="139"/>
      <c r="X22" s="139"/>
      <c r="Y22" s="148">
        <v>100</v>
      </c>
      <c r="Z22" s="138" t="str">
        <f t="shared" si="9"/>
        <v/>
      </c>
      <c r="AA22" s="138" t="str">
        <f t="shared" si="11"/>
        <v/>
      </c>
      <c r="AB22" s="239"/>
      <c r="AC22" s="325"/>
      <c r="AD22" s="325"/>
      <c r="AE22" s="325"/>
      <c r="AF22" s="325"/>
      <c r="AG22" s="325"/>
      <c r="AH22" s="325"/>
      <c r="AI22" s="325"/>
      <c r="AJ22" s="325"/>
      <c r="AK22" s="325"/>
      <c r="AL22" s="325"/>
      <c r="AM22" s="325"/>
      <c r="AN22" s="325"/>
      <c r="AO22" s="325"/>
      <c r="AP22" s="136"/>
      <c r="AQ22" s="136"/>
      <c r="AR22" s="136" t="str">
        <f t="shared" si="5"/>
        <v/>
      </c>
      <c r="AS22" s="136" t="str">
        <f t="shared" si="5"/>
        <v/>
      </c>
      <c r="AT22" s="5" t="str">
        <f t="shared" si="6"/>
        <v>Department</v>
      </c>
      <c r="AV22" s="27" t="str">
        <f t="shared" si="7"/>
        <v xml:space="preserve">          [Department] [varchar](8) NULL</v>
      </c>
      <c r="AW22" s="27"/>
      <c r="AY22" s="122" t="str">
        <f t="shared" si="8"/>
        <v xml:space="preserve">          Department VARCHAR (8) NULL</v>
      </c>
    </row>
    <row r="23" spans="2:51" ht="12.75">
      <c r="B23" s="20" t="str">
        <f t="shared" si="10"/>
        <v/>
      </c>
      <c r="C23" s="5"/>
      <c r="D23" s="5"/>
      <c r="E23" s="5"/>
      <c r="G23" s="5" t="str">
        <f t="shared" si="0"/>
        <v/>
      </c>
      <c r="H23" s="117" t="str">
        <f t="shared" ref="H23:H86" si="12">IF(IFERROR(FIND("varchar",E23),0)&gt;0,IF(D23&gt;8000,"max",D23),"")</f>
        <v/>
      </c>
      <c r="I23" s="5" t="str">
        <f t="shared" si="2"/>
        <v/>
      </c>
      <c r="J23" s="5" t="str">
        <f t="shared" si="3"/>
        <v/>
      </c>
      <c r="K23" s="138"/>
      <c r="L23" s="5"/>
      <c r="M23" s="75"/>
      <c r="N23" s="77"/>
      <c r="O23" s="26"/>
      <c r="P23" s="26"/>
      <c r="Q23" s="118" t="str">
        <f t="shared" si="4"/>
        <v/>
      </c>
      <c r="R23" s="153"/>
      <c r="S23" s="138"/>
      <c r="T23" s="148"/>
      <c r="U23" s="146"/>
      <c r="V23" s="146"/>
      <c r="W23" s="139"/>
      <c r="X23" s="139"/>
      <c r="Y23" s="148"/>
      <c r="Z23" s="138" t="str">
        <f t="shared" si="9"/>
        <v/>
      </c>
      <c r="AA23" s="138" t="str">
        <f t="shared" si="11"/>
        <v/>
      </c>
      <c r="AB23" s="239"/>
      <c r="AC23" s="325"/>
      <c r="AD23" s="325"/>
      <c r="AE23" s="325"/>
      <c r="AF23" s="325"/>
      <c r="AG23" s="325"/>
      <c r="AH23" s="325"/>
      <c r="AI23" s="325"/>
      <c r="AJ23" s="325"/>
      <c r="AK23" s="325"/>
      <c r="AL23" s="325"/>
      <c r="AM23" s="325"/>
      <c r="AN23" s="325"/>
      <c r="AO23" s="325"/>
      <c r="AP23" s="136"/>
      <c r="AQ23" s="136"/>
      <c r="AR23" s="136" t="str">
        <f t="shared" si="5"/>
        <v/>
      </c>
      <c r="AS23" s="136" t="str">
        <f t="shared" si="5"/>
        <v/>
      </c>
      <c r="AT23" s="5" t="str">
        <f t="shared" si="6"/>
        <v/>
      </c>
      <c r="AV23" s="27" t="str">
        <f t="shared" si="7"/>
        <v/>
      </c>
      <c r="AW23" s="27"/>
      <c r="AY23" s="122" t="str">
        <f t="shared" si="8"/>
        <v>);</v>
      </c>
    </row>
    <row r="24" spans="2:51" ht="12.75">
      <c r="B24" s="20" t="str">
        <f t="shared" si="10"/>
        <v/>
      </c>
      <c r="C24" s="5"/>
      <c r="D24" s="5"/>
      <c r="E24" s="5"/>
      <c r="G24" s="5" t="str">
        <f t="shared" si="0"/>
        <v/>
      </c>
      <c r="H24" s="117" t="str">
        <f t="shared" si="12"/>
        <v/>
      </c>
      <c r="I24" s="5" t="str">
        <f t="shared" si="2"/>
        <v/>
      </c>
      <c r="J24" s="5" t="str">
        <f t="shared" si="3"/>
        <v/>
      </c>
      <c r="K24" s="138"/>
      <c r="L24" s="5"/>
      <c r="M24" s="75"/>
      <c r="N24" s="77"/>
      <c r="O24" s="26"/>
      <c r="P24" s="26"/>
      <c r="Q24" s="118" t="str">
        <f t="shared" si="4"/>
        <v/>
      </c>
      <c r="R24" s="153"/>
      <c r="S24" s="138"/>
      <c r="T24" s="148"/>
      <c r="U24" s="146"/>
      <c r="V24" s="146"/>
      <c r="W24" s="139"/>
      <c r="X24" s="139"/>
      <c r="Y24" s="148"/>
      <c r="Z24" s="138" t="str">
        <f t="shared" si="9"/>
        <v/>
      </c>
      <c r="AA24" s="138" t="str">
        <f t="shared" si="11"/>
        <v/>
      </c>
      <c r="AB24" s="239"/>
      <c r="AC24" s="325"/>
      <c r="AD24" s="325"/>
      <c r="AE24" s="325"/>
      <c r="AF24" s="325"/>
      <c r="AG24" s="325"/>
      <c r="AH24" s="325"/>
      <c r="AI24" s="325"/>
      <c r="AJ24" s="325"/>
      <c r="AK24" s="325"/>
      <c r="AL24" s="325"/>
      <c r="AM24" s="325"/>
      <c r="AN24" s="325"/>
      <c r="AO24" s="325"/>
      <c r="AP24" s="136"/>
      <c r="AQ24" s="136"/>
      <c r="AR24" s="136" t="str">
        <f t="shared" si="5"/>
        <v/>
      </c>
      <c r="AS24" s="136" t="str">
        <f t="shared" si="5"/>
        <v/>
      </c>
      <c r="AT24" s="5" t="str">
        <f t="shared" si="6"/>
        <v/>
      </c>
      <c r="AV24" s="27" t="str">
        <f t="shared" si="7"/>
        <v/>
      </c>
      <c r="AW24" s="27"/>
      <c r="AY24" s="122" t="str">
        <f t="shared" si="8"/>
        <v/>
      </c>
    </row>
    <row r="25" spans="2:51" ht="12.75">
      <c r="B25" s="20" t="str">
        <f t="shared" si="10"/>
        <v/>
      </c>
      <c r="C25" s="5"/>
      <c r="D25" s="5"/>
      <c r="E25" s="5"/>
      <c r="G25" s="5" t="str">
        <f t="shared" si="0"/>
        <v/>
      </c>
      <c r="H25" s="117" t="str">
        <f t="shared" si="12"/>
        <v/>
      </c>
      <c r="I25" s="5" t="str">
        <f t="shared" si="2"/>
        <v/>
      </c>
      <c r="J25" s="5" t="str">
        <f t="shared" si="3"/>
        <v/>
      </c>
      <c r="K25" s="138"/>
      <c r="L25" s="5"/>
      <c r="M25" s="75"/>
      <c r="N25" s="77"/>
      <c r="O25" s="26"/>
      <c r="P25" s="26"/>
      <c r="Q25" s="118" t="str">
        <f t="shared" si="4"/>
        <v/>
      </c>
      <c r="R25" s="153"/>
      <c r="S25" s="138"/>
      <c r="T25" s="148"/>
      <c r="U25" s="146"/>
      <c r="V25" s="146"/>
      <c r="W25" s="139"/>
      <c r="X25" s="139"/>
      <c r="Y25" s="148"/>
      <c r="Z25" s="138" t="str">
        <f t="shared" si="9"/>
        <v/>
      </c>
      <c r="AA25" s="138" t="str">
        <f t="shared" si="11"/>
        <v/>
      </c>
      <c r="AB25" s="239"/>
      <c r="AC25" s="325"/>
      <c r="AD25" s="325"/>
      <c r="AE25" s="325"/>
      <c r="AF25" s="325"/>
      <c r="AG25" s="325"/>
      <c r="AH25" s="325"/>
      <c r="AI25" s="325"/>
      <c r="AJ25" s="325"/>
      <c r="AK25" s="325"/>
      <c r="AL25" s="325"/>
      <c r="AM25" s="325"/>
      <c r="AN25" s="325"/>
      <c r="AO25" s="325"/>
      <c r="AP25" s="136"/>
      <c r="AQ25" s="136"/>
      <c r="AR25" s="136" t="str">
        <f t="shared" si="5"/>
        <v/>
      </c>
      <c r="AS25" s="136" t="str">
        <f t="shared" si="5"/>
        <v/>
      </c>
      <c r="AT25" s="5" t="str">
        <f t="shared" si="6"/>
        <v/>
      </c>
      <c r="AV25" s="27" t="str">
        <f t="shared" si="7"/>
        <v/>
      </c>
      <c r="AW25" s="27"/>
      <c r="AY25" s="122" t="str">
        <f t="shared" si="8"/>
        <v/>
      </c>
    </row>
    <row r="26" spans="2:51" ht="12.75">
      <c r="B26" s="20" t="str">
        <f t="shared" si="10"/>
        <v/>
      </c>
      <c r="C26" s="5"/>
      <c r="D26" s="5"/>
      <c r="E26" s="5"/>
      <c r="G26" s="5" t="str">
        <f t="shared" si="0"/>
        <v/>
      </c>
      <c r="H26" s="117" t="str">
        <f t="shared" si="12"/>
        <v/>
      </c>
      <c r="I26" s="5" t="str">
        <f t="shared" si="2"/>
        <v/>
      </c>
      <c r="J26" s="5" t="str">
        <f t="shared" si="3"/>
        <v/>
      </c>
      <c r="K26" s="138"/>
      <c r="L26" s="5"/>
      <c r="M26" s="75"/>
      <c r="N26" s="77"/>
      <c r="O26" s="26"/>
      <c r="P26" s="26"/>
      <c r="Q26" s="118" t="str">
        <f t="shared" si="4"/>
        <v/>
      </c>
      <c r="R26" s="153"/>
      <c r="S26" s="138"/>
      <c r="T26" s="148"/>
      <c r="U26" s="146"/>
      <c r="V26" s="146"/>
      <c r="W26" s="139"/>
      <c r="X26" s="139"/>
      <c r="Y26" s="148"/>
      <c r="Z26" s="138" t="str">
        <f t="shared" si="9"/>
        <v/>
      </c>
      <c r="AA26" s="138" t="str">
        <f t="shared" si="11"/>
        <v/>
      </c>
      <c r="AB26" s="239"/>
      <c r="AC26" s="325"/>
      <c r="AD26" s="325"/>
      <c r="AE26" s="325"/>
      <c r="AF26" s="325"/>
      <c r="AG26" s="325"/>
      <c r="AH26" s="325"/>
      <c r="AI26" s="325"/>
      <c r="AJ26" s="325"/>
      <c r="AK26" s="325"/>
      <c r="AL26" s="325"/>
      <c r="AM26" s="325"/>
      <c r="AN26" s="325"/>
      <c r="AO26" s="325"/>
      <c r="AP26" s="136"/>
      <c r="AQ26" s="136"/>
      <c r="AR26" s="136" t="str">
        <f t="shared" si="5"/>
        <v/>
      </c>
      <c r="AS26" s="136" t="str">
        <f t="shared" si="5"/>
        <v/>
      </c>
      <c r="AT26" s="5" t="str">
        <f t="shared" si="6"/>
        <v/>
      </c>
      <c r="AV26" s="27" t="str">
        <f t="shared" si="7"/>
        <v/>
      </c>
      <c r="AW26" s="27"/>
      <c r="AY26" s="122" t="str">
        <f t="shared" si="8"/>
        <v/>
      </c>
    </row>
    <row r="27" spans="2:51" ht="12.75">
      <c r="B27" s="20" t="str">
        <f t="shared" si="10"/>
        <v/>
      </c>
      <c r="C27" s="5"/>
      <c r="D27" s="5"/>
      <c r="E27" s="5"/>
      <c r="G27" s="5" t="str">
        <f t="shared" si="0"/>
        <v/>
      </c>
      <c r="H27" s="117" t="str">
        <f t="shared" si="12"/>
        <v/>
      </c>
      <c r="I27" s="5" t="str">
        <f t="shared" si="2"/>
        <v/>
      </c>
      <c r="J27" s="5" t="str">
        <f t="shared" si="3"/>
        <v/>
      </c>
      <c r="K27" s="138"/>
      <c r="L27" s="5"/>
      <c r="M27" s="75"/>
      <c r="N27" s="77"/>
      <c r="O27" s="26"/>
      <c r="P27" s="26"/>
      <c r="Q27" s="118" t="str">
        <f t="shared" si="4"/>
        <v/>
      </c>
      <c r="R27" s="153"/>
      <c r="S27" s="138"/>
      <c r="T27" s="148"/>
      <c r="U27" s="146"/>
      <c r="V27" s="146"/>
      <c r="W27" s="139"/>
      <c r="X27" s="139"/>
      <c r="Y27" s="148"/>
      <c r="Z27" s="138" t="str">
        <f t="shared" si="9"/>
        <v/>
      </c>
      <c r="AA27" s="138" t="str">
        <f t="shared" si="11"/>
        <v/>
      </c>
      <c r="AB27" s="239"/>
      <c r="AC27" s="325"/>
      <c r="AD27" s="325"/>
      <c r="AE27" s="325"/>
      <c r="AF27" s="325"/>
      <c r="AG27" s="325"/>
      <c r="AH27" s="325"/>
      <c r="AI27" s="325"/>
      <c r="AJ27" s="325"/>
      <c r="AK27" s="325"/>
      <c r="AL27" s="325"/>
      <c r="AM27" s="325"/>
      <c r="AN27" s="325"/>
      <c r="AO27" s="325"/>
      <c r="AP27" s="136"/>
      <c r="AQ27" s="136"/>
      <c r="AR27" s="136" t="str">
        <f t="shared" si="5"/>
        <v/>
      </c>
      <c r="AS27" s="136" t="str">
        <f t="shared" si="5"/>
        <v/>
      </c>
      <c r="AT27" s="5" t="str">
        <f t="shared" si="6"/>
        <v/>
      </c>
      <c r="AV27" s="27" t="str">
        <f t="shared" si="7"/>
        <v/>
      </c>
      <c r="AW27" s="27"/>
      <c r="AY27" s="122" t="str">
        <f t="shared" si="8"/>
        <v/>
      </c>
    </row>
    <row r="28" spans="2:51" ht="12.75">
      <c r="B28" s="20" t="str">
        <f t="shared" si="10"/>
        <v/>
      </c>
      <c r="C28" s="5"/>
      <c r="D28" s="5"/>
      <c r="E28" s="5"/>
      <c r="G28" s="5" t="str">
        <f t="shared" si="0"/>
        <v/>
      </c>
      <c r="H28" s="117" t="str">
        <f t="shared" si="12"/>
        <v/>
      </c>
      <c r="I28" s="5" t="str">
        <f t="shared" si="2"/>
        <v/>
      </c>
      <c r="J28" s="5" t="str">
        <f t="shared" si="3"/>
        <v/>
      </c>
      <c r="K28" s="138"/>
      <c r="L28" s="5"/>
      <c r="M28" s="75"/>
      <c r="N28" s="77"/>
      <c r="O28" s="26"/>
      <c r="P28" s="26"/>
      <c r="Q28" s="118" t="str">
        <f t="shared" si="4"/>
        <v/>
      </c>
      <c r="R28" s="153"/>
      <c r="S28" s="138"/>
      <c r="T28" s="148"/>
      <c r="U28" s="146"/>
      <c r="V28" s="146"/>
      <c r="W28" s="139"/>
      <c r="X28" s="139"/>
      <c r="Y28" s="148"/>
      <c r="Z28" s="138" t="str">
        <f t="shared" si="9"/>
        <v/>
      </c>
      <c r="AA28" s="138" t="str">
        <f t="shared" si="11"/>
        <v/>
      </c>
      <c r="AB28" s="239"/>
      <c r="AC28" s="325"/>
      <c r="AD28" s="325"/>
      <c r="AE28" s="325"/>
      <c r="AF28" s="325"/>
      <c r="AG28" s="325"/>
      <c r="AH28" s="325"/>
      <c r="AI28" s="325"/>
      <c r="AJ28" s="325"/>
      <c r="AK28" s="325"/>
      <c r="AL28" s="325"/>
      <c r="AM28" s="325"/>
      <c r="AN28" s="325"/>
      <c r="AO28" s="325"/>
      <c r="AP28" s="136"/>
      <c r="AQ28" s="136"/>
      <c r="AR28" s="136" t="str">
        <f t="shared" si="5"/>
        <v/>
      </c>
      <c r="AS28" s="136" t="str">
        <f t="shared" si="5"/>
        <v/>
      </c>
      <c r="AT28" s="5" t="str">
        <f t="shared" si="6"/>
        <v/>
      </c>
      <c r="AV28" s="27" t="str">
        <f t="shared" si="7"/>
        <v/>
      </c>
      <c r="AW28" s="27"/>
      <c r="AY28" s="122" t="str">
        <f t="shared" si="8"/>
        <v/>
      </c>
    </row>
    <row r="29" spans="2:51" ht="12.75">
      <c r="B29" s="20" t="str">
        <f t="shared" si="10"/>
        <v/>
      </c>
      <c r="C29" s="5"/>
      <c r="D29" s="5"/>
      <c r="E29" s="5"/>
      <c r="G29" s="5" t="str">
        <f t="shared" si="0"/>
        <v/>
      </c>
      <c r="H29" s="117" t="str">
        <f t="shared" si="12"/>
        <v/>
      </c>
      <c r="I29" s="5" t="str">
        <f t="shared" si="2"/>
        <v/>
      </c>
      <c r="J29" s="5" t="str">
        <f t="shared" si="3"/>
        <v/>
      </c>
      <c r="K29" s="138"/>
      <c r="L29" s="5"/>
      <c r="M29" s="75"/>
      <c r="N29" s="77"/>
      <c r="O29" s="26"/>
      <c r="P29" s="26"/>
      <c r="Q29" s="118" t="str">
        <f t="shared" si="4"/>
        <v/>
      </c>
      <c r="R29" s="153"/>
      <c r="S29" s="138"/>
      <c r="T29" s="148"/>
      <c r="U29" s="146"/>
      <c r="V29" s="146"/>
      <c r="W29" s="139"/>
      <c r="X29" s="139"/>
      <c r="Y29" s="148"/>
      <c r="Z29" s="138" t="str">
        <f t="shared" si="9"/>
        <v/>
      </c>
      <c r="AA29" s="138" t="str">
        <f t="shared" si="11"/>
        <v/>
      </c>
      <c r="AB29" s="239"/>
      <c r="AC29" s="325"/>
      <c r="AD29" s="325"/>
      <c r="AE29" s="325"/>
      <c r="AF29" s="325"/>
      <c r="AG29" s="325"/>
      <c r="AH29" s="325"/>
      <c r="AI29" s="325"/>
      <c r="AJ29" s="325"/>
      <c r="AK29" s="325"/>
      <c r="AL29" s="325"/>
      <c r="AM29" s="325"/>
      <c r="AN29" s="325"/>
      <c r="AO29" s="325"/>
      <c r="AP29" s="136"/>
      <c r="AQ29" s="136"/>
      <c r="AR29" s="136" t="str">
        <f t="shared" si="5"/>
        <v/>
      </c>
      <c r="AS29" s="136" t="str">
        <f t="shared" si="5"/>
        <v/>
      </c>
      <c r="AT29" s="5" t="str">
        <f t="shared" si="6"/>
        <v/>
      </c>
      <c r="AV29" s="27" t="str">
        <f t="shared" si="7"/>
        <v/>
      </c>
      <c r="AW29" s="27"/>
      <c r="AY29" s="122" t="str">
        <f t="shared" si="8"/>
        <v/>
      </c>
    </row>
    <row r="30" spans="2:51" ht="12.75">
      <c r="B30" s="20" t="str">
        <f t="shared" si="10"/>
        <v/>
      </c>
      <c r="C30" s="5"/>
      <c r="D30" s="5"/>
      <c r="E30" s="5"/>
      <c r="G30" s="5" t="str">
        <f t="shared" si="0"/>
        <v/>
      </c>
      <c r="H30" s="117" t="str">
        <f t="shared" si="12"/>
        <v/>
      </c>
      <c r="I30" s="5" t="str">
        <f t="shared" si="2"/>
        <v/>
      </c>
      <c r="J30" s="5" t="str">
        <f t="shared" si="3"/>
        <v/>
      </c>
      <c r="K30" s="138"/>
      <c r="L30" s="5"/>
      <c r="M30" s="75"/>
      <c r="N30" s="77"/>
      <c r="O30" s="26"/>
      <c r="P30" s="26"/>
      <c r="Q30" s="118" t="str">
        <f t="shared" si="4"/>
        <v/>
      </c>
      <c r="R30" s="153"/>
      <c r="S30" s="138"/>
      <c r="T30" s="148"/>
      <c r="U30" s="146"/>
      <c r="V30" s="146"/>
      <c r="W30" s="139"/>
      <c r="X30" s="139"/>
      <c r="Y30" s="148"/>
      <c r="Z30" s="138" t="str">
        <f t="shared" si="9"/>
        <v/>
      </c>
      <c r="AA30" s="138" t="str">
        <f t="shared" si="11"/>
        <v/>
      </c>
      <c r="AB30" s="239"/>
      <c r="AC30" s="325"/>
      <c r="AD30" s="325"/>
      <c r="AE30" s="325"/>
      <c r="AF30" s="325"/>
      <c r="AG30" s="325"/>
      <c r="AH30" s="325"/>
      <c r="AI30" s="325"/>
      <c r="AJ30" s="325"/>
      <c r="AK30" s="325"/>
      <c r="AL30" s="325"/>
      <c r="AM30" s="325"/>
      <c r="AN30" s="325"/>
      <c r="AO30" s="325"/>
      <c r="AP30" s="136"/>
      <c r="AQ30" s="136"/>
      <c r="AR30" s="136" t="str">
        <f t="shared" si="5"/>
        <v/>
      </c>
      <c r="AS30" s="136" t="str">
        <f t="shared" si="5"/>
        <v/>
      </c>
      <c r="AT30" s="5" t="str">
        <f t="shared" si="6"/>
        <v/>
      </c>
      <c r="AV30" s="27" t="str">
        <f t="shared" si="7"/>
        <v/>
      </c>
      <c r="AW30" s="27"/>
      <c r="AY30" s="122" t="str">
        <f t="shared" si="8"/>
        <v/>
      </c>
    </row>
    <row r="31" spans="2:51" ht="12.75">
      <c r="B31" s="20" t="str">
        <f t="shared" si="10"/>
        <v/>
      </c>
      <c r="C31" s="5"/>
      <c r="D31" s="5"/>
      <c r="E31" s="5"/>
      <c r="G31" s="5" t="str">
        <f t="shared" si="0"/>
        <v/>
      </c>
      <c r="H31" s="117" t="str">
        <f t="shared" si="12"/>
        <v/>
      </c>
      <c r="I31" s="5" t="str">
        <f t="shared" si="2"/>
        <v/>
      </c>
      <c r="J31" s="5" t="str">
        <f t="shared" si="3"/>
        <v/>
      </c>
      <c r="K31" s="138"/>
      <c r="L31" s="5"/>
      <c r="M31" s="75"/>
      <c r="N31" s="77"/>
      <c r="O31" s="26"/>
      <c r="P31" s="26"/>
      <c r="Q31" s="118" t="str">
        <f t="shared" si="4"/>
        <v/>
      </c>
      <c r="R31" s="153"/>
      <c r="S31" s="138"/>
      <c r="T31" s="148"/>
      <c r="U31" s="146"/>
      <c r="V31" s="146"/>
      <c r="W31" s="139"/>
      <c r="X31" s="139"/>
      <c r="Y31" s="148"/>
      <c r="Z31" s="138" t="str">
        <f t="shared" si="9"/>
        <v/>
      </c>
      <c r="AA31" s="138" t="str">
        <f t="shared" si="11"/>
        <v/>
      </c>
      <c r="AB31" s="239"/>
      <c r="AC31" s="325"/>
      <c r="AD31" s="325"/>
      <c r="AE31" s="325"/>
      <c r="AF31" s="325"/>
      <c r="AG31" s="325"/>
      <c r="AH31" s="325"/>
      <c r="AI31" s="325"/>
      <c r="AJ31" s="325"/>
      <c r="AK31" s="325"/>
      <c r="AL31" s="325"/>
      <c r="AM31" s="325"/>
      <c r="AN31" s="325"/>
      <c r="AO31" s="325"/>
      <c r="AP31" s="136"/>
      <c r="AQ31" s="136"/>
      <c r="AR31" s="136" t="str">
        <f t="shared" si="5"/>
        <v/>
      </c>
      <c r="AS31" s="136" t="str">
        <f t="shared" si="5"/>
        <v/>
      </c>
      <c r="AT31" s="5" t="str">
        <f t="shared" si="6"/>
        <v/>
      </c>
      <c r="AV31" s="27" t="str">
        <f t="shared" si="7"/>
        <v/>
      </c>
      <c r="AW31" s="27"/>
      <c r="AY31" s="122" t="str">
        <f t="shared" si="8"/>
        <v/>
      </c>
    </row>
    <row r="32" spans="2:51" ht="12.75">
      <c r="B32" s="20" t="str">
        <f t="shared" si="10"/>
        <v/>
      </c>
      <c r="C32" s="5"/>
      <c r="D32" s="5"/>
      <c r="E32" s="5"/>
      <c r="G32" s="5" t="str">
        <f t="shared" si="0"/>
        <v/>
      </c>
      <c r="H32" s="117" t="str">
        <f t="shared" si="12"/>
        <v/>
      </c>
      <c r="I32" s="5" t="str">
        <f t="shared" si="2"/>
        <v/>
      </c>
      <c r="J32" s="5" t="str">
        <f t="shared" si="3"/>
        <v/>
      </c>
      <c r="K32" s="138"/>
      <c r="L32" s="5"/>
      <c r="M32" s="75"/>
      <c r="N32" s="77"/>
      <c r="O32" s="26"/>
      <c r="P32" s="26"/>
      <c r="Q32" s="118" t="str">
        <f t="shared" si="4"/>
        <v/>
      </c>
      <c r="R32" s="153"/>
      <c r="S32" s="138"/>
      <c r="T32" s="148"/>
      <c r="U32" s="146"/>
      <c r="V32" s="146"/>
      <c r="W32" s="139"/>
      <c r="X32" s="139"/>
      <c r="Y32" s="148"/>
      <c r="Z32" s="138" t="str">
        <f t="shared" si="9"/>
        <v/>
      </c>
      <c r="AA32" s="138" t="str">
        <f t="shared" si="11"/>
        <v/>
      </c>
      <c r="AB32" s="239"/>
      <c r="AC32" s="325"/>
      <c r="AD32" s="325"/>
      <c r="AE32" s="325"/>
      <c r="AF32" s="325"/>
      <c r="AG32" s="325"/>
      <c r="AH32" s="325"/>
      <c r="AI32" s="325"/>
      <c r="AJ32" s="325"/>
      <c r="AK32" s="325"/>
      <c r="AL32" s="325"/>
      <c r="AM32" s="325"/>
      <c r="AN32" s="325"/>
      <c r="AO32" s="325"/>
      <c r="AP32" s="136"/>
      <c r="AQ32" s="136"/>
      <c r="AR32" s="136" t="str">
        <f t="shared" si="5"/>
        <v/>
      </c>
      <c r="AS32" s="136" t="str">
        <f t="shared" si="5"/>
        <v/>
      </c>
      <c r="AT32" s="5" t="str">
        <f t="shared" si="6"/>
        <v/>
      </c>
      <c r="AV32" s="27" t="str">
        <f t="shared" si="7"/>
        <v/>
      </c>
      <c r="AW32" s="27"/>
      <c r="AY32" s="122" t="str">
        <f t="shared" si="8"/>
        <v/>
      </c>
    </row>
    <row r="33" spans="2:51" ht="12.75">
      <c r="B33" s="20" t="str">
        <f t="shared" si="10"/>
        <v/>
      </c>
      <c r="C33" s="5"/>
      <c r="D33" s="5"/>
      <c r="E33" s="5"/>
      <c r="G33" s="5" t="str">
        <f>SUBSTITUTE(SUBSTITUTE(SUBSTITUTE(SUBSTITUTE(SUBSTITUTE(SUBSTITUTE(SUBSTITUTE(SUBSTITUTE(SUBSTITUTE(C33," ",""),".",""),"#","No"),"%",""),"(",""),"*",""),"-",""),"/",""),")","")</f>
        <v/>
      </c>
      <c r="H33" s="117" t="str">
        <f t="shared" si="12"/>
        <v/>
      </c>
      <c r="I33" s="5" t="str">
        <f t="shared" si="2"/>
        <v/>
      </c>
      <c r="J33" s="5" t="str">
        <f t="shared" si="3"/>
        <v/>
      </c>
      <c r="K33" s="138"/>
      <c r="L33" s="5"/>
      <c r="M33" s="75"/>
      <c r="N33" s="77"/>
      <c r="O33" s="26"/>
      <c r="P33" s="26"/>
      <c r="Q33" s="118" t="str">
        <f t="shared" si="4"/>
        <v/>
      </c>
      <c r="R33" s="153"/>
      <c r="S33" s="138"/>
      <c r="T33" s="148"/>
      <c r="U33" s="146"/>
      <c r="V33" s="146"/>
      <c r="W33" s="139"/>
      <c r="X33" s="139"/>
      <c r="Y33" s="148"/>
      <c r="Z33" s="138" t="str">
        <f t="shared" si="9"/>
        <v/>
      </c>
      <c r="AA33" s="138" t="str">
        <f t="shared" si="11"/>
        <v/>
      </c>
      <c r="AB33" s="239"/>
      <c r="AC33" s="325"/>
      <c r="AD33" s="325"/>
      <c r="AE33" s="325"/>
      <c r="AF33" s="325"/>
      <c r="AG33" s="325"/>
      <c r="AH33" s="325"/>
      <c r="AI33" s="325"/>
      <c r="AJ33" s="325"/>
      <c r="AK33" s="325"/>
      <c r="AL33" s="325"/>
      <c r="AM33" s="325"/>
      <c r="AN33" s="325"/>
      <c r="AO33" s="325"/>
      <c r="AP33" s="136"/>
      <c r="AQ33" s="136"/>
      <c r="AR33" s="136" t="str">
        <f t="shared" si="5"/>
        <v/>
      </c>
      <c r="AS33" s="136" t="str">
        <f t="shared" si="5"/>
        <v/>
      </c>
      <c r="AT33" s="5" t="str">
        <f t="shared" si="6"/>
        <v/>
      </c>
      <c r="AV33" s="27" t="str">
        <f t="shared" si="7"/>
        <v/>
      </c>
      <c r="AW33" s="27"/>
      <c r="AY33" s="122" t="str">
        <f t="shared" si="8"/>
        <v/>
      </c>
    </row>
    <row r="34" spans="2:51" ht="12.75">
      <c r="B34" s="20" t="str">
        <f t="shared" si="10"/>
        <v/>
      </c>
      <c r="C34" s="5"/>
      <c r="D34" s="5"/>
      <c r="E34" s="5"/>
      <c r="G34" s="5" t="str">
        <f>SUBSTITUTE(SUBSTITUTE(SUBSTITUTE(SUBSTITUTE(SUBSTITUTE(SUBSTITUTE(SUBSTITUTE(SUBSTITUTE(SUBSTITUTE(C34," ",""),".",""),"#","No"),"%",""),"(",""),"*",""),"-",""),"/",""),")","")</f>
        <v/>
      </c>
      <c r="H34" s="117" t="str">
        <f t="shared" si="12"/>
        <v/>
      </c>
      <c r="I34" s="5" t="str">
        <f t="shared" si="2"/>
        <v/>
      </c>
      <c r="J34" s="5" t="str">
        <f t="shared" si="3"/>
        <v/>
      </c>
      <c r="K34" s="138"/>
      <c r="L34" s="5"/>
      <c r="M34" s="75"/>
      <c r="N34" s="77"/>
      <c r="O34" s="26"/>
      <c r="P34" s="26"/>
      <c r="Q34" s="118" t="str">
        <f t="shared" si="4"/>
        <v/>
      </c>
      <c r="R34" s="153"/>
      <c r="S34" s="138"/>
      <c r="T34" s="148"/>
      <c r="U34" s="146"/>
      <c r="V34" s="146"/>
      <c r="W34" s="139"/>
      <c r="X34" s="139"/>
      <c r="Y34" s="148"/>
      <c r="Z34" s="138" t="str">
        <f t="shared" si="9"/>
        <v/>
      </c>
      <c r="AA34" s="138" t="str">
        <f t="shared" si="11"/>
        <v/>
      </c>
      <c r="AB34" s="239"/>
      <c r="AC34" s="325"/>
      <c r="AD34" s="325"/>
      <c r="AE34" s="325"/>
      <c r="AF34" s="325"/>
      <c r="AG34" s="325"/>
      <c r="AH34" s="325"/>
      <c r="AI34" s="325"/>
      <c r="AJ34" s="325"/>
      <c r="AK34" s="325"/>
      <c r="AL34" s="325"/>
      <c r="AM34" s="325"/>
      <c r="AN34" s="325"/>
      <c r="AO34" s="325"/>
      <c r="AP34" s="136"/>
      <c r="AQ34" s="136"/>
      <c r="AR34" s="136" t="str">
        <f t="shared" si="5"/>
        <v/>
      </c>
      <c r="AS34" s="136" t="str">
        <f t="shared" si="5"/>
        <v/>
      </c>
      <c r="AT34" s="5" t="str">
        <f t="shared" si="6"/>
        <v/>
      </c>
      <c r="AV34" s="27" t="str">
        <f t="shared" si="7"/>
        <v/>
      </c>
      <c r="AW34" s="27"/>
      <c r="AY34" s="122" t="str">
        <f t="shared" si="8"/>
        <v/>
      </c>
    </row>
    <row r="35" spans="2:51" ht="12.75">
      <c r="B35" s="20" t="str">
        <f t="shared" si="10"/>
        <v/>
      </c>
      <c r="C35" s="5"/>
      <c r="D35" s="5"/>
      <c r="E35" s="5"/>
      <c r="G35" s="5" t="str">
        <f>SUBSTITUTE(SUBSTITUTE(SUBSTITUTE(SUBSTITUTE(SUBSTITUTE(SUBSTITUTE(SUBSTITUTE(SUBSTITUTE(SUBSTITUTE(C35," ",""),".",""),"#","No"),"%",""),"(",""),"*",""),"-",""),"/",""),")","")</f>
        <v/>
      </c>
      <c r="H35" s="117" t="str">
        <f t="shared" si="12"/>
        <v/>
      </c>
      <c r="I35" s="5" t="str">
        <f t="shared" si="2"/>
        <v/>
      </c>
      <c r="J35" s="5" t="str">
        <f t="shared" si="3"/>
        <v/>
      </c>
      <c r="K35" s="138"/>
      <c r="L35" s="5"/>
      <c r="M35" s="75"/>
      <c r="N35" s="77"/>
      <c r="O35" s="26"/>
      <c r="P35" s="26"/>
      <c r="Q35" s="118" t="str">
        <f t="shared" si="4"/>
        <v/>
      </c>
      <c r="R35" s="153"/>
      <c r="S35" s="138"/>
      <c r="T35" s="148"/>
      <c r="U35" s="146"/>
      <c r="V35" s="146"/>
      <c r="W35" s="139"/>
      <c r="X35" s="139"/>
      <c r="Y35" s="148"/>
      <c r="Z35" s="138" t="str">
        <f t="shared" si="9"/>
        <v/>
      </c>
      <c r="AA35" s="138" t="str">
        <f t="shared" si="11"/>
        <v/>
      </c>
      <c r="AB35" s="239"/>
      <c r="AC35" s="325"/>
      <c r="AD35" s="325"/>
      <c r="AE35" s="325"/>
      <c r="AF35" s="325"/>
      <c r="AG35" s="325"/>
      <c r="AH35" s="325"/>
      <c r="AI35" s="325"/>
      <c r="AJ35" s="325"/>
      <c r="AK35" s="325"/>
      <c r="AL35" s="325"/>
      <c r="AM35" s="325"/>
      <c r="AN35" s="325"/>
      <c r="AO35" s="325"/>
      <c r="AP35" s="136"/>
      <c r="AQ35" s="136"/>
      <c r="AR35" s="136" t="str">
        <f t="shared" si="5"/>
        <v/>
      </c>
      <c r="AS35" s="136" t="str">
        <f t="shared" si="5"/>
        <v/>
      </c>
      <c r="AT35" s="5" t="str">
        <f t="shared" si="6"/>
        <v/>
      </c>
      <c r="AV35" s="27" t="str">
        <f t="shared" si="7"/>
        <v/>
      </c>
      <c r="AW35" s="27"/>
      <c r="AY35" s="122" t="str">
        <f t="shared" si="8"/>
        <v/>
      </c>
    </row>
    <row r="36" spans="2:51" ht="12.75">
      <c r="B36" s="20" t="str">
        <f t="shared" si="10"/>
        <v/>
      </c>
      <c r="C36" s="5"/>
      <c r="D36" s="5"/>
      <c r="E36" s="5"/>
      <c r="G36" s="5" t="str">
        <f>SUBSTITUTE(SUBSTITUTE(SUBSTITUTE(SUBSTITUTE(SUBSTITUTE(SUBSTITUTE(SUBSTITUTE(SUBSTITUTE(SUBSTITUTE(C36," ",""),".",""),"#","No"),"%",""),"(",""),"*",""),"-",""),"/",""),")","")</f>
        <v/>
      </c>
      <c r="H36" s="117" t="str">
        <f t="shared" si="12"/>
        <v/>
      </c>
      <c r="I36" s="5" t="str">
        <f t="shared" si="2"/>
        <v/>
      </c>
      <c r="J36" s="5" t="str">
        <f t="shared" si="3"/>
        <v/>
      </c>
      <c r="K36" s="138"/>
      <c r="L36" s="5"/>
      <c r="M36" s="75"/>
      <c r="N36" s="77"/>
      <c r="O36" s="26"/>
      <c r="P36" s="26"/>
      <c r="Q36" s="118" t="str">
        <f t="shared" si="4"/>
        <v/>
      </c>
      <c r="R36" s="153"/>
      <c r="S36" s="138"/>
      <c r="T36" s="148"/>
      <c r="U36" s="146"/>
      <c r="V36" s="146"/>
      <c r="W36" s="139"/>
      <c r="X36" s="139"/>
      <c r="Y36" s="148"/>
      <c r="Z36" s="138" t="str">
        <f t="shared" si="9"/>
        <v/>
      </c>
      <c r="AA36" s="138" t="str">
        <f t="shared" si="11"/>
        <v/>
      </c>
      <c r="AB36" s="239"/>
      <c r="AC36" s="325"/>
      <c r="AD36" s="325"/>
      <c r="AE36" s="325"/>
      <c r="AF36" s="325"/>
      <c r="AG36" s="325"/>
      <c r="AH36" s="325"/>
      <c r="AI36" s="325"/>
      <c r="AJ36" s="325"/>
      <c r="AK36" s="325"/>
      <c r="AL36" s="325"/>
      <c r="AM36" s="325"/>
      <c r="AN36" s="325"/>
      <c r="AO36" s="325"/>
      <c r="AP36" s="136"/>
      <c r="AQ36" s="136"/>
      <c r="AR36" s="136" t="str">
        <f t="shared" si="5"/>
        <v/>
      </c>
      <c r="AS36" s="136" t="str">
        <f t="shared" si="5"/>
        <v/>
      </c>
      <c r="AT36" s="5" t="str">
        <f t="shared" si="6"/>
        <v/>
      </c>
      <c r="AV36" s="27" t="str">
        <f>IF(G36="","",+"          ["&amp;TRIM(G36)&amp;"] ["&amp;TRIM(I36)&amp;"]"&amp;IF(H36="","","("&amp;H36&amp;")")&amp;" "&amp;TRIM(J36)&amp;IF(G46="","",","))</f>
        <v/>
      </c>
      <c r="AW36" s="27"/>
      <c r="AY36" s="122" t="str">
        <f t="shared" si="8"/>
        <v/>
      </c>
    </row>
    <row r="37" spans="2:51" ht="12.75">
      <c r="B37" s="20" t="str">
        <f t="shared" si="10"/>
        <v/>
      </c>
      <c r="C37" s="5"/>
      <c r="D37" s="5"/>
      <c r="E37" s="5"/>
      <c r="G37" s="5" t="str">
        <f t="shared" ref="G37:G45" si="13">SUBSTITUTE(SUBSTITUTE(SUBSTITUTE(SUBSTITUTE(SUBSTITUTE(SUBSTITUTE(SUBSTITUTE(SUBSTITUTE(SUBSTITUTE(C37," ",""),".",""),"#","No"),"%",""),"(",""),"*",""),"-",""),"/",""),")","")</f>
        <v/>
      </c>
      <c r="H37" s="117" t="str">
        <f t="shared" si="12"/>
        <v/>
      </c>
      <c r="I37" s="5" t="str">
        <f t="shared" si="2"/>
        <v/>
      </c>
      <c r="J37" s="5" t="str">
        <f t="shared" si="3"/>
        <v/>
      </c>
      <c r="K37" s="138"/>
      <c r="L37" s="5"/>
      <c r="M37" s="75"/>
      <c r="N37" s="77"/>
      <c r="O37" s="26"/>
      <c r="P37" s="26"/>
      <c r="Q37" s="118" t="str">
        <f t="shared" si="4"/>
        <v/>
      </c>
      <c r="R37" s="153"/>
      <c r="S37" s="138"/>
      <c r="T37" s="148"/>
      <c r="U37" s="146"/>
      <c r="V37" s="146"/>
      <c r="W37" s="139"/>
      <c r="X37" s="139"/>
      <c r="Y37" s="148"/>
      <c r="Z37" s="138" t="str">
        <f t="shared" si="9"/>
        <v/>
      </c>
      <c r="AA37" s="138" t="str">
        <f t="shared" si="11"/>
        <v/>
      </c>
      <c r="AB37" s="239"/>
      <c r="AC37" s="325"/>
      <c r="AD37" s="325"/>
      <c r="AE37" s="325"/>
      <c r="AF37" s="325"/>
      <c r="AG37" s="325"/>
      <c r="AH37" s="325"/>
      <c r="AI37" s="325"/>
      <c r="AJ37" s="325"/>
      <c r="AK37" s="325"/>
      <c r="AL37" s="325"/>
      <c r="AM37" s="325"/>
      <c r="AN37" s="325"/>
      <c r="AO37" s="325"/>
      <c r="AP37" s="136"/>
      <c r="AQ37" s="136"/>
      <c r="AR37" s="136" t="str">
        <f t="shared" si="5"/>
        <v/>
      </c>
      <c r="AS37" s="136" t="str">
        <f t="shared" si="5"/>
        <v/>
      </c>
      <c r="AT37" s="5" t="str">
        <f t="shared" si="6"/>
        <v/>
      </c>
      <c r="AV37" s="27" t="str">
        <f>IF(G37="","",+"          ["&amp;TRIM(G37)&amp;"] ["&amp;TRIM(I37)&amp;"]"&amp;IF(H37="","","("&amp;H37&amp;")")&amp;" "&amp;TRIM(J37)&amp;IF(G38="","",","))</f>
        <v/>
      </c>
      <c r="AW37" s="27"/>
      <c r="AY37" s="122" t="str">
        <f t="shared" si="8"/>
        <v/>
      </c>
    </row>
    <row r="38" spans="2:51" ht="12.75">
      <c r="B38" s="20" t="str">
        <f t="shared" si="10"/>
        <v/>
      </c>
      <c r="C38" s="5"/>
      <c r="D38" s="5"/>
      <c r="E38" s="5"/>
      <c r="G38" s="5" t="str">
        <f t="shared" si="13"/>
        <v/>
      </c>
      <c r="H38" s="117" t="str">
        <f t="shared" si="12"/>
        <v/>
      </c>
      <c r="I38" s="5" t="str">
        <f t="shared" si="2"/>
        <v/>
      </c>
      <c r="J38" s="5" t="str">
        <f t="shared" si="3"/>
        <v/>
      </c>
      <c r="K38" s="138"/>
      <c r="L38" s="5"/>
      <c r="M38" s="75"/>
      <c r="N38" s="77"/>
      <c r="O38" s="26"/>
      <c r="P38" s="26"/>
      <c r="Q38" s="118" t="str">
        <f t="shared" si="4"/>
        <v/>
      </c>
      <c r="R38" s="153"/>
      <c r="S38" s="138"/>
      <c r="T38" s="148"/>
      <c r="U38" s="146"/>
      <c r="V38" s="146"/>
      <c r="W38" s="139"/>
      <c r="X38" s="139"/>
      <c r="Y38" s="148"/>
      <c r="Z38" s="138" t="str">
        <f t="shared" si="9"/>
        <v/>
      </c>
      <c r="AA38" s="138" t="str">
        <f t="shared" si="11"/>
        <v/>
      </c>
      <c r="AB38" s="239"/>
      <c r="AC38" s="325"/>
      <c r="AD38" s="325"/>
      <c r="AE38" s="325"/>
      <c r="AF38" s="325"/>
      <c r="AG38" s="325"/>
      <c r="AH38" s="325"/>
      <c r="AI38" s="325"/>
      <c r="AJ38" s="325"/>
      <c r="AK38" s="325"/>
      <c r="AL38" s="325"/>
      <c r="AM38" s="325"/>
      <c r="AN38" s="325"/>
      <c r="AO38" s="325"/>
      <c r="AP38" s="136"/>
      <c r="AQ38" s="136"/>
      <c r="AR38" s="136" t="str">
        <f t="shared" si="5"/>
        <v/>
      </c>
      <c r="AS38" s="136" t="str">
        <f t="shared" si="5"/>
        <v/>
      </c>
      <c r="AT38" s="5" t="str">
        <f t="shared" si="6"/>
        <v/>
      </c>
      <c r="AV38" s="27" t="str">
        <f>IF(G38="","",+"          ["&amp;TRIM(G38)&amp;"] ["&amp;TRIM(I38)&amp;"]"&amp;IF(H38="","","("&amp;H38&amp;")")&amp;" "&amp;TRIM(J38)&amp;IF(G39="","",","))</f>
        <v/>
      </c>
      <c r="AW38" s="27"/>
      <c r="AY38" s="122" t="str">
        <f t="shared" si="8"/>
        <v/>
      </c>
    </row>
    <row r="39" spans="2:51" ht="12.75">
      <c r="B39" s="20" t="str">
        <f t="shared" si="10"/>
        <v/>
      </c>
      <c r="C39" s="5"/>
      <c r="D39" s="5"/>
      <c r="E39" s="5"/>
      <c r="G39" s="5" t="str">
        <f t="shared" si="13"/>
        <v/>
      </c>
      <c r="H39" s="117" t="str">
        <f t="shared" si="12"/>
        <v/>
      </c>
      <c r="I39" s="5" t="str">
        <f t="shared" si="2"/>
        <v/>
      </c>
      <c r="J39" s="5" t="str">
        <f t="shared" si="3"/>
        <v/>
      </c>
      <c r="K39" s="138"/>
      <c r="L39" s="5"/>
      <c r="M39" s="75"/>
      <c r="N39" s="77"/>
      <c r="O39" s="26"/>
      <c r="P39" s="26"/>
      <c r="Q39" s="118" t="str">
        <f t="shared" si="4"/>
        <v/>
      </c>
      <c r="R39" s="153"/>
      <c r="S39" s="138"/>
      <c r="T39" s="148"/>
      <c r="U39" s="146"/>
      <c r="V39" s="146"/>
      <c r="W39" s="139"/>
      <c r="X39" s="139"/>
      <c r="Y39" s="148"/>
      <c r="Z39" s="138" t="str">
        <f t="shared" si="9"/>
        <v/>
      </c>
      <c r="AA39" s="138" t="str">
        <f t="shared" si="11"/>
        <v/>
      </c>
      <c r="AB39" s="239"/>
      <c r="AC39" s="325"/>
      <c r="AD39" s="325"/>
      <c r="AE39" s="325"/>
      <c r="AF39" s="325"/>
      <c r="AG39" s="325"/>
      <c r="AH39" s="325"/>
      <c r="AI39" s="325"/>
      <c r="AJ39" s="325"/>
      <c r="AK39" s="325"/>
      <c r="AL39" s="325"/>
      <c r="AM39" s="325"/>
      <c r="AN39" s="325"/>
      <c r="AO39" s="325"/>
      <c r="AP39" s="136"/>
      <c r="AQ39" s="136"/>
      <c r="AR39" s="136" t="str">
        <f t="shared" si="5"/>
        <v/>
      </c>
      <c r="AS39" s="136" t="str">
        <f t="shared" si="5"/>
        <v/>
      </c>
      <c r="AT39" s="5" t="str">
        <f t="shared" si="6"/>
        <v/>
      </c>
      <c r="AV39" s="27" t="str">
        <f>IF(G39="","",+"          ["&amp;TRIM(G39)&amp;"] ["&amp;TRIM(I39)&amp;"]"&amp;IF(H39="","","("&amp;H39&amp;")")&amp;" "&amp;TRIM(J39)&amp;IF(G69="","",","))</f>
        <v/>
      </c>
      <c r="AW39" s="27"/>
      <c r="AY39" s="122" t="str">
        <f t="shared" si="8"/>
        <v/>
      </c>
    </row>
    <row r="40" spans="2:51" ht="12.75">
      <c r="B40" s="20" t="str">
        <f t="shared" si="10"/>
        <v/>
      </c>
      <c r="C40" s="5"/>
      <c r="D40" s="5"/>
      <c r="E40" s="5"/>
      <c r="G40" s="5" t="str">
        <f t="shared" si="13"/>
        <v/>
      </c>
      <c r="H40" s="117" t="str">
        <f t="shared" si="12"/>
        <v/>
      </c>
      <c r="I40" s="5" t="str">
        <f t="shared" si="2"/>
        <v/>
      </c>
      <c r="J40" s="5" t="str">
        <f t="shared" si="3"/>
        <v/>
      </c>
      <c r="K40" s="138"/>
      <c r="L40" s="5"/>
      <c r="M40" s="75"/>
      <c r="N40" s="77"/>
      <c r="O40" s="26"/>
      <c r="P40" s="26"/>
      <c r="Q40" s="118" t="str">
        <f t="shared" si="4"/>
        <v/>
      </c>
      <c r="R40" s="153"/>
      <c r="S40" s="138"/>
      <c r="T40" s="148"/>
      <c r="U40" s="146"/>
      <c r="V40" s="146"/>
      <c r="W40" s="139"/>
      <c r="X40" s="139"/>
      <c r="Y40" s="148"/>
      <c r="Z40" s="138" t="str">
        <f t="shared" si="9"/>
        <v/>
      </c>
      <c r="AA40" s="138" t="str">
        <f t="shared" si="11"/>
        <v/>
      </c>
      <c r="AB40" s="239"/>
      <c r="AC40" s="325"/>
      <c r="AD40" s="325"/>
      <c r="AE40" s="325"/>
      <c r="AF40" s="325"/>
      <c r="AG40" s="325"/>
      <c r="AH40" s="325"/>
      <c r="AI40" s="325"/>
      <c r="AJ40" s="325"/>
      <c r="AK40" s="325"/>
      <c r="AL40" s="325"/>
      <c r="AM40" s="325"/>
      <c r="AN40" s="325"/>
      <c r="AO40" s="325"/>
      <c r="AP40" s="136"/>
      <c r="AQ40" s="136"/>
      <c r="AR40" s="136" t="str">
        <f t="shared" si="5"/>
        <v/>
      </c>
      <c r="AS40" s="136" t="str">
        <f t="shared" si="5"/>
        <v/>
      </c>
      <c r="AT40" s="5" t="str">
        <f t="shared" si="6"/>
        <v/>
      </c>
      <c r="AV40" s="27" t="str">
        <f>IF(G40="","",+"          ["&amp;TRIM(G40)&amp;"] ["&amp;TRIM(I40)&amp;"]"&amp;IF(H40="","","("&amp;H40&amp;")")&amp;" "&amp;TRIM(J40)&amp;IF(G68="","",","))</f>
        <v/>
      </c>
      <c r="AW40" s="27"/>
      <c r="AY40" s="122" t="str">
        <f t="shared" si="8"/>
        <v/>
      </c>
    </row>
    <row r="41" spans="2:51" ht="12.75">
      <c r="B41" s="20" t="str">
        <f t="shared" si="10"/>
        <v/>
      </c>
      <c r="C41" s="5"/>
      <c r="D41" s="5"/>
      <c r="E41" s="5"/>
      <c r="G41" s="5" t="str">
        <f t="shared" si="13"/>
        <v/>
      </c>
      <c r="H41" s="117" t="str">
        <f t="shared" si="12"/>
        <v/>
      </c>
      <c r="I41" s="5" t="str">
        <f t="shared" si="2"/>
        <v/>
      </c>
      <c r="J41" s="5" t="str">
        <f t="shared" si="3"/>
        <v/>
      </c>
      <c r="K41" s="138"/>
      <c r="L41" s="5"/>
      <c r="M41" s="75"/>
      <c r="N41" s="77"/>
      <c r="O41" s="26"/>
      <c r="P41" s="26"/>
      <c r="Q41" s="118" t="str">
        <f t="shared" si="4"/>
        <v/>
      </c>
      <c r="R41" s="153"/>
      <c r="S41" s="138"/>
      <c r="T41" s="148"/>
      <c r="U41" s="146"/>
      <c r="V41" s="146"/>
      <c r="W41" s="139"/>
      <c r="X41" s="139"/>
      <c r="Y41" s="148"/>
      <c r="Z41" s="138" t="str">
        <f t="shared" si="9"/>
        <v/>
      </c>
      <c r="AA41" s="138" t="str">
        <f t="shared" si="11"/>
        <v/>
      </c>
      <c r="AB41" s="239"/>
      <c r="AC41" s="325"/>
      <c r="AD41" s="325"/>
      <c r="AE41" s="325"/>
      <c r="AF41" s="325"/>
      <c r="AG41" s="325"/>
      <c r="AH41" s="325"/>
      <c r="AI41" s="325"/>
      <c r="AJ41" s="325"/>
      <c r="AK41" s="325"/>
      <c r="AL41" s="325"/>
      <c r="AM41" s="325"/>
      <c r="AN41" s="325"/>
      <c r="AO41" s="325"/>
      <c r="AP41" s="136"/>
      <c r="AQ41" s="136"/>
      <c r="AR41" s="136" t="str">
        <f t="shared" si="5"/>
        <v/>
      </c>
      <c r="AS41" s="136" t="str">
        <f t="shared" si="5"/>
        <v/>
      </c>
      <c r="AT41" s="5" t="str">
        <f t="shared" si="6"/>
        <v/>
      </c>
      <c r="AV41" s="27" t="str">
        <f>IF(G41="","",+"          ["&amp;TRIM(G41)&amp;"] ["&amp;TRIM(I41)&amp;"]"&amp;IF(H41="","","("&amp;H41&amp;")")&amp;" "&amp;TRIM(J41)&amp;IF(G42="","",","))</f>
        <v/>
      </c>
      <c r="AW41" s="27"/>
      <c r="AY41" s="122" t="str">
        <f t="shared" si="8"/>
        <v/>
      </c>
    </row>
    <row r="42" spans="2:51" ht="12.75">
      <c r="B42" s="20" t="str">
        <f t="shared" si="10"/>
        <v/>
      </c>
      <c r="C42" s="5"/>
      <c r="D42" s="5"/>
      <c r="E42" s="5"/>
      <c r="G42" s="5" t="str">
        <f t="shared" si="13"/>
        <v/>
      </c>
      <c r="H42" s="117" t="str">
        <f t="shared" si="12"/>
        <v/>
      </c>
      <c r="I42" s="5" t="str">
        <f t="shared" si="2"/>
        <v/>
      </c>
      <c r="J42" s="5" t="str">
        <f>IF(C42=0,"",(IF(ISERROR(VLOOKUP(G42,$D$120:$D$127,1,FALSE)),""," NOT")&amp;" NULL"))</f>
        <v/>
      </c>
      <c r="K42" s="138"/>
      <c r="L42" s="5"/>
      <c r="M42" s="75"/>
      <c r="N42" s="77"/>
      <c r="O42" s="26"/>
      <c r="P42" s="26"/>
      <c r="Q42" s="118" t="str">
        <f t="shared" si="4"/>
        <v/>
      </c>
      <c r="R42" s="153"/>
      <c r="S42" s="138"/>
      <c r="T42" s="148"/>
      <c r="U42" s="146"/>
      <c r="V42" s="146"/>
      <c r="W42" s="139"/>
      <c r="X42" s="139"/>
      <c r="Y42" s="148"/>
      <c r="Z42" s="138" t="str">
        <f t="shared" si="9"/>
        <v/>
      </c>
      <c r="AA42" s="138" t="str">
        <f t="shared" si="11"/>
        <v/>
      </c>
      <c r="AB42" s="239"/>
      <c r="AC42" s="325"/>
      <c r="AD42" s="325"/>
      <c r="AE42" s="325"/>
      <c r="AF42" s="325"/>
      <c r="AG42" s="325"/>
      <c r="AH42" s="325"/>
      <c r="AI42" s="325"/>
      <c r="AJ42" s="325"/>
      <c r="AK42" s="325"/>
      <c r="AL42" s="325"/>
      <c r="AM42" s="325"/>
      <c r="AN42" s="325"/>
      <c r="AO42" s="325"/>
      <c r="AP42" s="136"/>
      <c r="AQ42" s="136"/>
      <c r="AR42" s="136" t="str">
        <f t="shared" si="5"/>
        <v/>
      </c>
      <c r="AS42" s="136" t="str">
        <f t="shared" si="5"/>
        <v/>
      </c>
      <c r="AT42" s="5" t="str">
        <f t="shared" si="6"/>
        <v/>
      </c>
      <c r="AV42" s="27" t="str">
        <f>IF(G42="","",+"          ["&amp;TRIM(G42)&amp;"] ["&amp;TRIM(I42)&amp;"]"&amp;IF(H42="","","("&amp;H42&amp;")")&amp;" "&amp;TRIM(J42)&amp;IF(G45="","",","))</f>
        <v/>
      </c>
      <c r="AW42" s="27"/>
      <c r="AY42" s="122" t="str">
        <f t="shared" si="8"/>
        <v/>
      </c>
    </row>
    <row r="43" spans="2:51" ht="12.75">
      <c r="B43" s="20" t="str">
        <f t="shared" si="10"/>
        <v/>
      </c>
      <c r="C43" s="5"/>
      <c r="D43" s="5"/>
      <c r="E43" s="5"/>
      <c r="G43" s="5" t="str">
        <f t="shared" si="13"/>
        <v/>
      </c>
      <c r="H43" s="117" t="str">
        <f t="shared" si="12"/>
        <v/>
      </c>
      <c r="I43" s="5" t="str">
        <f t="shared" si="2"/>
        <v/>
      </c>
      <c r="J43" s="5" t="str">
        <f t="shared" si="3"/>
        <v/>
      </c>
      <c r="K43" s="138"/>
      <c r="L43" s="5"/>
      <c r="M43" s="75"/>
      <c r="N43" s="77"/>
      <c r="O43" s="26"/>
      <c r="P43" s="26"/>
      <c r="Q43" s="118" t="str">
        <f t="shared" si="4"/>
        <v/>
      </c>
      <c r="R43" s="153"/>
      <c r="S43" s="138"/>
      <c r="T43" s="148"/>
      <c r="U43" s="146"/>
      <c r="V43" s="146"/>
      <c r="W43" s="139"/>
      <c r="X43" s="139"/>
      <c r="Y43" s="148"/>
      <c r="Z43" s="138" t="str">
        <f t="shared" si="9"/>
        <v/>
      </c>
      <c r="AA43" s="138" t="str">
        <f t="shared" si="11"/>
        <v/>
      </c>
      <c r="AB43" s="239"/>
      <c r="AC43" s="325"/>
      <c r="AD43" s="325"/>
      <c r="AE43" s="325"/>
      <c r="AF43" s="325"/>
      <c r="AG43" s="325"/>
      <c r="AH43" s="325"/>
      <c r="AI43" s="325"/>
      <c r="AJ43" s="325"/>
      <c r="AK43" s="325"/>
      <c r="AL43" s="325"/>
      <c r="AM43" s="325"/>
      <c r="AN43" s="325"/>
      <c r="AO43" s="325"/>
      <c r="AP43" s="136"/>
      <c r="AQ43" s="136"/>
      <c r="AR43" s="136" t="str">
        <f t="shared" si="5"/>
        <v/>
      </c>
      <c r="AS43" s="136" t="str">
        <f t="shared" si="5"/>
        <v/>
      </c>
      <c r="AT43" s="5" t="str">
        <f t="shared" si="6"/>
        <v/>
      </c>
      <c r="AV43" s="27" t="str">
        <f>IF(G43="","",+"          ["&amp;TRIM(G43)&amp;"] ["&amp;TRIM(I43)&amp;"]"&amp;IF(H43="","","("&amp;H43&amp;")")&amp;" "&amp;TRIM(J43)&amp;IF(G44="","",","))</f>
        <v/>
      </c>
      <c r="AW43" s="27"/>
      <c r="AY43" s="122" t="str">
        <f t="shared" si="8"/>
        <v/>
      </c>
    </row>
    <row r="44" spans="2:51" ht="12.75">
      <c r="B44" s="20" t="str">
        <f t="shared" si="10"/>
        <v/>
      </c>
      <c r="C44" s="5"/>
      <c r="D44" s="5"/>
      <c r="E44" s="5"/>
      <c r="G44" s="5" t="str">
        <f t="shared" si="13"/>
        <v/>
      </c>
      <c r="H44" s="117" t="str">
        <f t="shared" si="12"/>
        <v/>
      </c>
      <c r="I44" s="5" t="str">
        <f t="shared" si="2"/>
        <v/>
      </c>
      <c r="J44" s="5" t="str">
        <f t="shared" si="3"/>
        <v/>
      </c>
      <c r="K44" s="138"/>
      <c r="L44" s="5"/>
      <c r="M44" s="75"/>
      <c r="N44" s="77"/>
      <c r="O44" s="26"/>
      <c r="P44" s="26"/>
      <c r="Q44" s="118" t="str">
        <f t="shared" si="4"/>
        <v/>
      </c>
      <c r="R44" s="153"/>
      <c r="S44" s="138"/>
      <c r="T44" s="148"/>
      <c r="U44" s="146"/>
      <c r="V44" s="146"/>
      <c r="W44" s="139"/>
      <c r="X44" s="139"/>
      <c r="Y44" s="148"/>
      <c r="Z44" s="138" t="str">
        <f t="shared" si="9"/>
        <v/>
      </c>
      <c r="AA44" s="138" t="str">
        <f t="shared" si="11"/>
        <v/>
      </c>
      <c r="AB44" s="239"/>
      <c r="AC44" s="325"/>
      <c r="AD44" s="325"/>
      <c r="AE44" s="325"/>
      <c r="AF44" s="325"/>
      <c r="AG44" s="325"/>
      <c r="AH44" s="325"/>
      <c r="AI44" s="325"/>
      <c r="AJ44" s="325"/>
      <c r="AK44" s="325"/>
      <c r="AL44" s="325"/>
      <c r="AM44" s="325"/>
      <c r="AN44" s="325"/>
      <c r="AO44" s="325"/>
      <c r="AP44" s="136"/>
      <c r="AQ44" s="136"/>
      <c r="AR44" s="136" t="str">
        <f t="shared" si="5"/>
        <v/>
      </c>
      <c r="AS44" s="136" t="str">
        <f t="shared" si="5"/>
        <v/>
      </c>
      <c r="AT44" s="5" t="str">
        <f t="shared" si="6"/>
        <v/>
      </c>
      <c r="AV44" s="27" t="str">
        <f>IF(G44="","",+"          ["&amp;TRIM(G44)&amp;"] ["&amp;TRIM(I44)&amp;"]"&amp;IF(H44="","","("&amp;H44&amp;")")&amp;" "&amp;TRIM(J44)&amp;IF(G45="","",","))</f>
        <v/>
      </c>
      <c r="AW44" s="27"/>
      <c r="AY44" s="122" t="str">
        <f t="shared" si="8"/>
        <v/>
      </c>
    </row>
    <row r="45" spans="2:51" ht="12.75">
      <c r="B45" s="20" t="str">
        <f t="shared" si="10"/>
        <v/>
      </c>
      <c r="C45" s="5"/>
      <c r="D45" s="5"/>
      <c r="E45" s="5"/>
      <c r="G45" s="5" t="str">
        <f t="shared" si="13"/>
        <v/>
      </c>
      <c r="H45" s="117" t="str">
        <f t="shared" si="12"/>
        <v/>
      </c>
      <c r="I45" s="5" t="str">
        <f t="shared" si="2"/>
        <v/>
      </c>
      <c r="J45" s="5" t="str">
        <f t="shared" si="3"/>
        <v/>
      </c>
      <c r="K45" s="138"/>
      <c r="L45" s="5"/>
      <c r="M45" s="75"/>
      <c r="N45" s="77"/>
      <c r="O45" s="26"/>
      <c r="P45" s="26"/>
      <c r="Q45" s="118" t="str">
        <f t="shared" si="4"/>
        <v/>
      </c>
      <c r="R45" s="153"/>
      <c r="S45" s="138"/>
      <c r="T45" s="148"/>
      <c r="U45" s="146"/>
      <c r="V45" s="146"/>
      <c r="W45" s="139"/>
      <c r="X45" s="139"/>
      <c r="Y45" s="148"/>
      <c r="Z45" s="138" t="str">
        <f t="shared" si="9"/>
        <v/>
      </c>
      <c r="AA45" s="138" t="str">
        <f t="shared" si="11"/>
        <v/>
      </c>
      <c r="AB45" s="239"/>
      <c r="AC45" s="325"/>
      <c r="AD45" s="325"/>
      <c r="AE45" s="325"/>
      <c r="AF45" s="325"/>
      <c r="AG45" s="325"/>
      <c r="AH45" s="325"/>
      <c r="AI45" s="325"/>
      <c r="AJ45" s="325"/>
      <c r="AK45" s="325"/>
      <c r="AL45" s="325"/>
      <c r="AM45" s="325"/>
      <c r="AN45" s="325"/>
      <c r="AO45" s="325"/>
      <c r="AP45" s="136"/>
      <c r="AQ45" s="136"/>
      <c r="AR45" s="136" t="str">
        <f t="shared" si="5"/>
        <v/>
      </c>
      <c r="AS45" s="136" t="str">
        <f t="shared" si="5"/>
        <v/>
      </c>
      <c r="AT45" s="5" t="str">
        <f t="shared" si="6"/>
        <v/>
      </c>
      <c r="AV45" s="27" t="str">
        <f>IF(G45="","",+"          ["&amp;TRIM(G45)&amp;"] ["&amp;TRIM(I45)&amp;"]"&amp;IF(H45="","","("&amp;H45&amp;")")&amp;" "&amp;TRIM(J45)&amp;IF(G54="","",","))</f>
        <v/>
      </c>
      <c r="AW45" s="27"/>
      <c r="AY45" s="122" t="str">
        <f t="shared" si="8"/>
        <v/>
      </c>
    </row>
    <row r="46" spans="2:51" ht="12.75">
      <c r="B46" s="20" t="str">
        <f t="shared" si="10"/>
        <v/>
      </c>
      <c r="C46" s="5"/>
      <c r="D46" s="5"/>
      <c r="E46" s="5"/>
      <c r="G46" s="5" t="str">
        <f>SUBSTITUTE(SUBSTITUTE(SUBSTITUTE(SUBSTITUTE(SUBSTITUTE(SUBSTITUTE(SUBSTITUTE(SUBSTITUTE(SUBSTITUTE(C46," ",""),".",""),"#","No"),"%",""),"(",""),"*",""),"-",""),"/",""),")","")</f>
        <v/>
      </c>
      <c r="H46" s="117" t="str">
        <f t="shared" si="12"/>
        <v/>
      </c>
      <c r="I46" s="5" t="str">
        <f>IF(E46=0,"",+E46)</f>
        <v/>
      </c>
      <c r="J46" s="5" t="str">
        <f>IF(C46=0,"",(IF(ISERROR(VLOOKUP(G46,$D$120:$D$127,1,FALSE)),""," NOT")&amp;" NULL"))</f>
        <v/>
      </c>
      <c r="K46" s="138"/>
      <c r="L46" s="5"/>
      <c r="M46" s="75"/>
      <c r="N46" s="77"/>
      <c r="O46" s="26"/>
      <c r="P46" s="26"/>
      <c r="Q46" s="118" t="str">
        <f>IF(M46=0,"",ROW())</f>
        <v/>
      </c>
      <c r="R46" s="153"/>
      <c r="S46" s="138"/>
      <c r="T46" s="148"/>
      <c r="U46" s="146"/>
      <c r="V46" s="146"/>
      <c r="W46" s="139"/>
      <c r="X46" s="139"/>
      <c r="Y46" s="148"/>
      <c r="Z46" s="138" t="str">
        <f t="shared" si="9"/>
        <v/>
      </c>
      <c r="AA46" s="138" t="str">
        <f t="shared" si="11"/>
        <v/>
      </c>
      <c r="AB46" s="239"/>
      <c r="AC46" s="325"/>
      <c r="AD46" s="325"/>
      <c r="AE46" s="325"/>
      <c r="AF46" s="325"/>
      <c r="AG46" s="325"/>
      <c r="AH46" s="325"/>
      <c r="AI46" s="325"/>
      <c r="AJ46" s="325"/>
      <c r="AK46" s="325"/>
      <c r="AL46" s="325"/>
      <c r="AM46" s="325"/>
      <c r="AN46" s="325"/>
      <c r="AO46" s="325"/>
      <c r="AP46" s="136"/>
      <c r="AQ46" s="136"/>
      <c r="AR46" s="136" t="str">
        <f t="shared" si="5"/>
        <v/>
      </c>
      <c r="AS46" s="136" t="str">
        <f t="shared" si="5"/>
        <v/>
      </c>
      <c r="AT46" s="5" t="str">
        <f t="shared" si="6"/>
        <v/>
      </c>
      <c r="AV46" s="27" t="str">
        <f>IF(G46="","",+"          ["&amp;TRIM(G46)&amp;"] ["&amp;TRIM(I46)&amp;"]"&amp;IF(H46="","","("&amp;H46&amp;")")&amp;" "&amp;TRIM(J46)&amp;IF(G47="","",","))</f>
        <v/>
      </c>
      <c r="AW46" s="27"/>
      <c r="AY46" s="122" t="str">
        <f t="shared" si="8"/>
        <v/>
      </c>
    </row>
    <row r="47" spans="2:51" ht="12.75">
      <c r="B47" s="20" t="str">
        <f t="shared" si="10"/>
        <v/>
      </c>
      <c r="C47" s="5"/>
      <c r="D47" s="5"/>
      <c r="E47" s="5"/>
      <c r="G47" s="5" t="str">
        <f>SUBSTITUTE(SUBSTITUTE(SUBSTITUTE(SUBSTITUTE(SUBSTITUTE(SUBSTITUTE(SUBSTITUTE(SUBSTITUTE(SUBSTITUTE(C47," ",""),".",""),"#","No"),"%",""),"(",""),"*",""),"-",""),"/",""),")","")</f>
        <v/>
      </c>
      <c r="H47" s="117" t="str">
        <f t="shared" si="12"/>
        <v/>
      </c>
      <c r="I47" s="5" t="str">
        <f>IF(E47=0,"",+E47)</f>
        <v/>
      </c>
      <c r="J47" s="5" t="str">
        <f>IF(C47=0,"",(IF(ISERROR(VLOOKUP(G47,$D$120:$D$127,1,FALSE)),""," NOT")&amp;" NULL"))</f>
        <v/>
      </c>
      <c r="K47" s="138"/>
      <c r="L47" s="5"/>
      <c r="M47" s="75"/>
      <c r="N47" s="77"/>
      <c r="O47" s="26"/>
      <c r="P47" s="26"/>
      <c r="Q47" s="118" t="str">
        <f>IF(M47=0,"",ROW())</f>
        <v/>
      </c>
      <c r="R47" s="153"/>
      <c r="S47" s="138"/>
      <c r="T47" s="148"/>
      <c r="U47" s="146"/>
      <c r="V47" s="146"/>
      <c r="W47" s="139"/>
      <c r="X47" s="139"/>
      <c r="Y47" s="148"/>
      <c r="Z47" s="138" t="str">
        <f t="shared" si="9"/>
        <v/>
      </c>
      <c r="AA47" s="138" t="str">
        <f t="shared" si="11"/>
        <v/>
      </c>
      <c r="AB47" s="239"/>
      <c r="AC47" s="325"/>
      <c r="AD47" s="325"/>
      <c r="AE47" s="325"/>
      <c r="AF47" s="325"/>
      <c r="AG47" s="325"/>
      <c r="AH47" s="325"/>
      <c r="AI47" s="325"/>
      <c r="AJ47" s="325"/>
      <c r="AK47" s="325"/>
      <c r="AL47" s="325"/>
      <c r="AM47" s="325"/>
      <c r="AN47" s="325"/>
      <c r="AO47" s="325"/>
      <c r="AP47" s="136"/>
      <c r="AQ47" s="136"/>
      <c r="AR47" s="136" t="str">
        <f t="shared" si="5"/>
        <v/>
      </c>
      <c r="AS47" s="136" t="str">
        <f t="shared" si="5"/>
        <v/>
      </c>
      <c r="AT47" s="5" t="str">
        <f t="shared" si="6"/>
        <v/>
      </c>
      <c r="AV47" s="27" t="str">
        <f>IF(G47="","",+"          ["&amp;TRIM(G47)&amp;"] ["&amp;TRIM(I47)&amp;"]"&amp;IF(H47="","","("&amp;H47&amp;")")&amp;" "&amp;TRIM(J47)&amp;IF(G48="","",","))</f>
        <v/>
      </c>
      <c r="AW47" s="27"/>
      <c r="AY47" s="122" t="str">
        <f t="shared" si="8"/>
        <v/>
      </c>
    </row>
    <row r="48" spans="2:51" ht="12.75">
      <c r="B48" s="20" t="str">
        <f t="shared" si="10"/>
        <v/>
      </c>
      <c r="C48" s="5"/>
      <c r="D48" s="5"/>
      <c r="E48" s="5"/>
      <c r="G48" s="5" t="str">
        <f>SUBSTITUTE(SUBSTITUTE(SUBSTITUTE(SUBSTITUTE(SUBSTITUTE(SUBSTITUTE(SUBSTITUTE(SUBSTITUTE(SUBSTITUTE(C48," ",""),".",""),"#","No"),"%",""),"(",""),"*",""),"-",""),"/",""),")","")</f>
        <v/>
      </c>
      <c r="H48" s="117" t="str">
        <f t="shared" si="12"/>
        <v/>
      </c>
      <c r="I48" s="5" t="str">
        <f>IF(E48=0,"",+E48)</f>
        <v/>
      </c>
      <c r="J48" s="5" t="str">
        <f>IF(C48=0,"",(IF(ISERROR(VLOOKUP(G48,$D$120:$D$127,1,FALSE)),""," NOT")&amp;" NULL"))</f>
        <v/>
      </c>
      <c r="K48" s="138"/>
      <c r="L48" s="5"/>
      <c r="M48" s="75"/>
      <c r="N48" s="77"/>
      <c r="O48" s="26"/>
      <c r="P48" s="26"/>
      <c r="Q48" s="118" t="str">
        <f>IF(M48=0,"",ROW())</f>
        <v/>
      </c>
      <c r="R48" s="153"/>
      <c r="S48" s="138"/>
      <c r="T48" s="148"/>
      <c r="U48" s="146"/>
      <c r="V48" s="146"/>
      <c r="W48" s="139"/>
      <c r="X48" s="139"/>
      <c r="Y48" s="148"/>
      <c r="Z48" s="138" t="str">
        <f t="shared" si="9"/>
        <v/>
      </c>
      <c r="AA48" s="138" t="str">
        <f t="shared" si="11"/>
        <v/>
      </c>
      <c r="AB48" s="239"/>
      <c r="AC48" s="325"/>
      <c r="AD48" s="325"/>
      <c r="AE48" s="325"/>
      <c r="AF48" s="325"/>
      <c r="AG48" s="325"/>
      <c r="AH48" s="325"/>
      <c r="AI48" s="325"/>
      <c r="AJ48" s="325"/>
      <c r="AK48" s="325"/>
      <c r="AL48" s="325"/>
      <c r="AM48" s="325"/>
      <c r="AN48" s="325"/>
      <c r="AO48" s="325"/>
      <c r="AP48" s="136"/>
      <c r="AQ48" s="136"/>
      <c r="AR48" s="136" t="str">
        <f t="shared" ref="AR48:AS79" si="14">IF(O48=0,"",ROW())</f>
        <v/>
      </c>
      <c r="AS48" s="136" t="str">
        <f t="shared" si="14"/>
        <v/>
      </c>
      <c r="AT48" s="5" t="str">
        <f t="shared" ref="AT48:AT79" si="15">IF(C48="","",C48&amp;IF(B49="","",","))</f>
        <v/>
      </c>
      <c r="AV48" s="27" t="str">
        <f>IF(G48="","",+"          ["&amp;TRIM(G48)&amp;"] ["&amp;TRIM(I48)&amp;"]"&amp;IF(H48="","","("&amp;H48&amp;")")&amp;" "&amp;TRIM(J48)&amp;IF(G96="","",","))</f>
        <v/>
      </c>
      <c r="AW48" s="27"/>
      <c r="AY48" s="122" t="str">
        <f t="shared" si="8"/>
        <v/>
      </c>
    </row>
    <row r="49" spans="2:51" ht="12.75">
      <c r="B49" s="20" t="str">
        <f t="shared" si="10"/>
        <v/>
      </c>
      <c r="C49" s="5"/>
      <c r="D49" s="5"/>
      <c r="E49" s="5"/>
      <c r="G49" s="5" t="str">
        <f>SUBSTITUTE(SUBSTITUTE(SUBSTITUTE(SUBSTITUTE(SUBSTITUTE(SUBSTITUTE(SUBSTITUTE(SUBSTITUTE(SUBSTITUTE(C49," ",""),".",""),"#","No"),"%",""),"(",""),"*",""),"-",""),"/",""),")","")</f>
        <v/>
      </c>
      <c r="H49" s="117" t="str">
        <f t="shared" si="12"/>
        <v/>
      </c>
      <c r="I49" s="5" t="str">
        <f>IF(E49=0,"",+E49)</f>
        <v/>
      </c>
      <c r="J49" s="5" t="str">
        <f>IF(C49=0,"",(IF(ISERROR(VLOOKUP(G49,$D$120:$D$127,1,FALSE)),""," NOT")&amp;" NULL"))</f>
        <v/>
      </c>
      <c r="K49" s="138"/>
      <c r="L49" s="5"/>
      <c r="M49" s="75"/>
      <c r="N49" s="77"/>
      <c r="O49" s="26"/>
      <c r="P49" s="26"/>
      <c r="Q49" s="118" t="str">
        <f>IF(M49=0,"",ROW())</f>
        <v/>
      </c>
      <c r="R49" s="153"/>
      <c r="S49" s="138"/>
      <c r="T49" s="148"/>
      <c r="U49" s="146"/>
      <c r="V49" s="146"/>
      <c r="W49" s="139"/>
      <c r="X49" s="139"/>
      <c r="Y49" s="148"/>
      <c r="Z49" s="138" t="str">
        <f t="shared" si="9"/>
        <v/>
      </c>
      <c r="AA49" s="138" t="str">
        <f t="shared" si="11"/>
        <v/>
      </c>
      <c r="AB49" s="239"/>
      <c r="AC49" s="325"/>
      <c r="AD49" s="325"/>
      <c r="AE49" s="325"/>
      <c r="AF49" s="325"/>
      <c r="AG49" s="325"/>
      <c r="AH49" s="325"/>
      <c r="AI49" s="325"/>
      <c r="AJ49" s="325"/>
      <c r="AK49" s="325"/>
      <c r="AL49" s="325"/>
      <c r="AM49" s="325"/>
      <c r="AN49" s="325"/>
      <c r="AO49" s="325"/>
      <c r="AP49" s="136"/>
      <c r="AQ49" s="136"/>
      <c r="AR49" s="136" t="str">
        <f t="shared" si="14"/>
        <v/>
      </c>
      <c r="AS49" s="136" t="str">
        <f t="shared" si="14"/>
        <v/>
      </c>
      <c r="AT49" s="5" t="str">
        <f t="shared" si="15"/>
        <v/>
      </c>
      <c r="AV49" s="27" t="str">
        <f>IF(G49="","",+"          ["&amp;TRIM(G49)&amp;"] ["&amp;TRIM(I49)&amp;"]"&amp;IF(H49="","","("&amp;H49&amp;")")&amp;" "&amp;TRIM(J49)&amp;IF(G95="","",","))</f>
        <v/>
      </c>
      <c r="AW49" s="27"/>
      <c r="AY49" s="122" t="str">
        <f t="shared" si="8"/>
        <v/>
      </c>
    </row>
    <row r="50" spans="2:51" ht="12.75">
      <c r="B50" s="20" t="str">
        <f t="shared" si="10"/>
        <v/>
      </c>
      <c r="C50" s="5"/>
      <c r="D50" s="5"/>
      <c r="E50" s="5"/>
      <c r="G50" s="5" t="str">
        <f t="shared" ref="G50:G93" si="16">SUBSTITUTE(SUBSTITUTE(SUBSTITUTE(SUBSTITUTE(SUBSTITUTE(SUBSTITUTE(SUBSTITUTE(SUBSTITUTE(SUBSTITUTE(C50," ",""),".",""),"#","No"),"%",""),"(",""),"*",""),"-",""),"/",""),")","")</f>
        <v/>
      </c>
      <c r="H50" s="117" t="str">
        <f t="shared" si="12"/>
        <v/>
      </c>
      <c r="I50" s="5" t="str">
        <f t="shared" ref="I50:I93" si="17">IF(E50=0,"",+E50)</f>
        <v/>
      </c>
      <c r="J50" s="5" t="str">
        <f t="shared" ref="J50:J93" si="18">IF(C50=0,"",(IF(ISERROR(VLOOKUP(G50,$D$120:$D$127,1,FALSE)),""," NOT")&amp;" NULL"))</f>
        <v/>
      </c>
      <c r="K50" s="138"/>
      <c r="L50" s="5"/>
      <c r="M50" s="75"/>
      <c r="N50" s="77"/>
      <c r="O50" s="26"/>
      <c r="P50" s="26"/>
      <c r="Q50" s="118" t="str">
        <f t="shared" ref="Q50:Q93" si="19">IF(M50=0,"",ROW())</f>
        <v/>
      </c>
      <c r="R50" s="153"/>
      <c r="S50" s="138"/>
      <c r="T50" s="148"/>
      <c r="U50" s="146"/>
      <c r="V50" s="146"/>
      <c r="W50" s="139"/>
      <c r="X50" s="139"/>
      <c r="Y50" s="148"/>
      <c r="Z50" s="138" t="str">
        <f t="shared" si="9"/>
        <v/>
      </c>
      <c r="AA50" s="138" t="str">
        <f t="shared" si="11"/>
        <v/>
      </c>
      <c r="AB50" s="239"/>
      <c r="AC50" s="325"/>
      <c r="AD50" s="325"/>
      <c r="AE50" s="325"/>
      <c r="AF50" s="325"/>
      <c r="AG50" s="325"/>
      <c r="AH50" s="325"/>
      <c r="AI50" s="325"/>
      <c r="AJ50" s="325"/>
      <c r="AK50" s="325"/>
      <c r="AL50" s="325"/>
      <c r="AM50" s="325"/>
      <c r="AN50" s="325"/>
      <c r="AO50" s="325"/>
      <c r="AP50" s="136"/>
      <c r="AQ50" s="136"/>
      <c r="AR50" s="136" t="str">
        <f t="shared" si="14"/>
        <v/>
      </c>
      <c r="AS50" s="136" t="str">
        <f t="shared" si="14"/>
        <v/>
      </c>
      <c r="AT50" s="5" t="str">
        <f t="shared" si="15"/>
        <v/>
      </c>
      <c r="AV50" s="27" t="str">
        <f>IF(G50="","",+"          ["&amp;TRIM(G50)&amp;"] ["&amp;TRIM(I50)&amp;"]"&amp;IF(H50="","","("&amp;H50&amp;")")&amp;" "&amp;TRIM(J50)&amp;IF(G51="","",","))</f>
        <v/>
      </c>
      <c r="AW50" s="27"/>
      <c r="AY50" s="122" t="str">
        <f t="shared" si="8"/>
        <v/>
      </c>
    </row>
    <row r="51" spans="2:51" ht="12.75">
      <c r="B51" s="20" t="str">
        <f t="shared" si="10"/>
        <v/>
      </c>
      <c r="C51" s="5"/>
      <c r="D51" s="5"/>
      <c r="E51" s="5"/>
      <c r="G51" s="5" t="str">
        <f t="shared" si="16"/>
        <v/>
      </c>
      <c r="H51" s="117" t="str">
        <f t="shared" si="12"/>
        <v/>
      </c>
      <c r="I51" s="5" t="str">
        <f t="shared" si="17"/>
        <v/>
      </c>
      <c r="J51" s="5" t="str">
        <f t="shared" si="18"/>
        <v/>
      </c>
      <c r="K51" s="138"/>
      <c r="L51" s="5"/>
      <c r="M51" s="75"/>
      <c r="N51" s="77"/>
      <c r="O51" s="26"/>
      <c r="P51" s="26"/>
      <c r="Q51" s="118" t="str">
        <f t="shared" si="19"/>
        <v/>
      </c>
      <c r="R51" s="153"/>
      <c r="S51" s="138"/>
      <c r="T51" s="148"/>
      <c r="U51" s="146"/>
      <c r="V51" s="146"/>
      <c r="W51" s="139"/>
      <c r="X51" s="139"/>
      <c r="Y51" s="148"/>
      <c r="Z51" s="138" t="str">
        <f t="shared" si="9"/>
        <v/>
      </c>
      <c r="AA51" s="138" t="str">
        <f t="shared" si="11"/>
        <v/>
      </c>
      <c r="AB51" s="239"/>
      <c r="AC51" s="325"/>
      <c r="AD51" s="325"/>
      <c r="AE51" s="325"/>
      <c r="AF51" s="325"/>
      <c r="AG51" s="325"/>
      <c r="AH51" s="325"/>
      <c r="AI51" s="325"/>
      <c r="AJ51" s="325"/>
      <c r="AK51" s="325"/>
      <c r="AL51" s="325"/>
      <c r="AM51" s="325"/>
      <c r="AN51" s="325"/>
      <c r="AO51" s="325"/>
      <c r="AP51" s="136"/>
      <c r="AQ51" s="136"/>
      <c r="AR51" s="136" t="str">
        <f t="shared" si="14"/>
        <v/>
      </c>
      <c r="AS51" s="136" t="str">
        <f t="shared" si="14"/>
        <v/>
      </c>
      <c r="AT51" s="5" t="str">
        <f t="shared" si="15"/>
        <v/>
      </c>
      <c r="AV51" s="27" t="str">
        <f>IF(G51="","",+"          ["&amp;TRIM(G51)&amp;"] ["&amp;TRIM(I51)&amp;"]"&amp;IF(H51="","","("&amp;H51&amp;")")&amp;" "&amp;TRIM(J51)&amp;IF(G54="","",","))</f>
        <v/>
      </c>
      <c r="AW51" s="27"/>
      <c r="AY51" s="122" t="str">
        <f t="shared" si="8"/>
        <v/>
      </c>
    </row>
    <row r="52" spans="2:51" ht="12.75">
      <c r="B52" s="20" t="str">
        <f t="shared" si="10"/>
        <v/>
      </c>
      <c r="C52" s="5"/>
      <c r="D52" s="5"/>
      <c r="E52" s="5"/>
      <c r="G52" s="5" t="str">
        <f t="shared" si="16"/>
        <v/>
      </c>
      <c r="H52" s="117" t="str">
        <f t="shared" si="12"/>
        <v/>
      </c>
      <c r="I52" s="5" t="str">
        <f t="shared" si="17"/>
        <v/>
      </c>
      <c r="J52" s="5" t="str">
        <f t="shared" si="18"/>
        <v/>
      </c>
      <c r="K52" s="138"/>
      <c r="L52" s="5"/>
      <c r="M52" s="75"/>
      <c r="N52" s="77"/>
      <c r="O52" s="26"/>
      <c r="P52" s="26"/>
      <c r="Q52" s="118" t="str">
        <f t="shared" si="19"/>
        <v/>
      </c>
      <c r="R52" s="153"/>
      <c r="S52" s="138"/>
      <c r="T52" s="148"/>
      <c r="U52" s="146"/>
      <c r="V52" s="146"/>
      <c r="W52" s="139"/>
      <c r="X52" s="139"/>
      <c r="Y52" s="148"/>
      <c r="Z52" s="138" t="str">
        <f t="shared" si="9"/>
        <v/>
      </c>
      <c r="AA52" s="138" t="str">
        <f t="shared" si="11"/>
        <v/>
      </c>
      <c r="AB52" s="239"/>
      <c r="AC52" s="325"/>
      <c r="AD52" s="325"/>
      <c r="AE52" s="325"/>
      <c r="AF52" s="325"/>
      <c r="AG52" s="325"/>
      <c r="AH52" s="325"/>
      <c r="AI52" s="325"/>
      <c r="AJ52" s="325"/>
      <c r="AK52" s="325"/>
      <c r="AL52" s="325"/>
      <c r="AM52" s="325"/>
      <c r="AN52" s="325"/>
      <c r="AO52" s="325"/>
      <c r="AP52" s="136"/>
      <c r="AQ52" s="136"/>
      <c r="AR52" s="136" t="str">
        <f t="shared" si="14"/>
        <v/>
      </c>
      <c r="AS52" s="136" t="str">
        <f t="shared" si="14"/>
        <v/>
      </c>
      <c r="AT52" s="5" t="str">
        <f t="shared" si="15"/>
        <v/>
      </c>
      <c r="AV52" s="27" t="str">
        <f>IF(G52="","",+"          ["&amp;TRIM(G52)&amp;"] ["&amp;TRIM(I52)&amp;"]"&amp;IF(H52="","","("&amp;H52&amp;")")&amp;" "&amp;TRIM(J52)&amp;IF(G53="","",","))</f>
        <v/>
      </c>
      <c r="AW52" s="27"/>
      <c r="AY52" s="122" t="str">
        <f t="shared" si="8"/>
        <v/>
      </c>
    </row>
    <row r="53" spans="2:51" ht="12.75">
      <c r="B53" s="20" t="str">
        <f t="shared" si="10"/>
        <v/>
      </c>
      <c r="C53" s="5"/>
      <c r="D53" s="5"/>
      <c r="E53" s="5"/>
      <c r="G53" s="5" t="str">
        <f t="shared" si="16"/>
        <v/>
      </c>
      <c r="H53" s="117" t="str">
        <f t="shared" si="12"/>
        <v/>
      </c>
      <c r="I53" s="5" t="str">
        <f t="shared" si="17"/>
        <v/>
      </c>
      <c r="J53" s="5" t="str">
        <f t="shared" si="18"/>
        <v/>
      </c>
      <c r="K53" s="138"/>
      <c r="L53" s="5"/>
      <c r="M53" s="75"/>
      <c r="N53" s="77"/>
      <c r="O53" s="26"/>
      <c r="P53" s="26"/>
      <c r="Q53" s="118" t="str">
        <f t="shared" si="19"/>
        <v/>
      </c>
      <c r="R53" s="153"/>
      <c r="S53" s="138"/>
      <c r="T53" s="148"/>
      <c r="U53" s="146"/>
      <c r="V53" s="146"/>
      <c r="W53" s="139"/>
      <c r="X53" s="139"/>
      <c r="Y53" s="148"/>
      <c r="Z53" s="138" t="str">
        <f t="shared" si="9"/>
        <v/>
      </c>
      <c r="AA53" s="138" t="str">
        <f t="shared" si="11"/>
        <v/>
      </c>
      <c r="AB53" s="239"/>
      <c r="AC53" s="325"/>
      <c r="AD53" s="325"/>
      <c r="AE53" s="325"/>
      <c r="AF53" s="325"/>
      <c r="AG53" s="325"/>
      <c r="AH53" s="325"/>
      <c r="AI53" s="325"/>
      <c r="AJ53" s="325"/>
      <c r="AK53" s="325"/>
      <c r="AL53" s="325"/>
      <c r="AM53" s="325"/>
      <c r="AN53" s="325"/>
      <c r="AO53" s="325"/>
      <c r="AP53" s="136"/>
      <c r="AQ53" s="136"/>
      <c r="AR53" s="136" t="str">
        <f t="shared" si="14"/>
        <v/>
      </c>
      <c r="AS53" s="136" t="str">
        <f t="shared" si="14"/>
        <v/>
      </c>
      <c r="AT53" s="5" t="str">
        <f t="shared" si="15"/>
        <v/>
      </c>
      <c r="AV53" s="27" t="str">
        <f>IF(G53="","",+"          ["&amp;TRIM(G53)&amp;"] ["&amp;TRIM(I53)&amp;"]"&amp;IF(H53="","","("&amp;H53&amp;")")&amp;" "&amp;TRIM(J53)&amp;IF(G54="","",","))</f>
        <v/>
      </c>
      <c r="AW53" s="27"/>
      <c r="AY53" s="122" t="str">
        <f t="shared" si="8"/>
        <v/>
      </c>
    </row>
    <row r="54" spans="2:51" ht="12.75">
      <c r="B54" s="20" t="str">
        <f t="shared" si="10"/>
        <v/>
      </c>
      <c r="C54" s="5"/>
      <c r="D54" s="5"/>
      <c r="E54" s="5"/>
      <c r="G54" s="5" t="str">
        <f t="shared" si="16"/>
        <v/>
      </c>
      <c r="H54" s="117" t="str">
        <f t="shared" si="12"/>
        <v/>
      </c>
      <c r="I54" s="5" t="str">
        <f t="shared" si="17"/>
        <v/>
      </c>
      <c r="J54" s="5" t="str">
        <f t="shared" si="18"/>
        <v/>
      </c>
      <c r="K54" s="138"/>
      <c r="L54" s="5"/>
      <c r="M54" s="75"/>
      <c r="N54" s="77"/>
      <c r="O54" s="26"/>
      <c r="P54" s="26"/>
      <c r="Q54" s="118" t="str">
        <f t="shared" si="19"/>
        <v/>
      </c>
      <c r="R54" s="153"/>
      <c r="S54" s="138"/>
      <c r="T54" s="148"/>
      <c r="U54" s="146"/>
      <c r="V54" s="146"/>
      <c r="W54" s="139"/>
      <c r="X54" s="139"/>
      <c r="Y54" s="148"/>
      <c r="Z54" s="138" t="str">
        <f t="shared" si="9"/>
        <v/>
      </c>
      <c r="AA54" s="138" t="str">
        <f t="shared" si="11"/>
        <v/>
      </c>
      <c r="AB54" s="239"/>
      <c r="AC54" s="325"/>
      <c r="AD54" s="325"/>
      <c r="AE54" s="325"/>
      <c r="AF54" s="325"/>
      <c r="AG54" s="325"/>
      <c r="AH54" s="325"/>
      <c r="AI54" s="325"/>
      <c r="AJ54" s="325"/>
      <c r="AK54" s="325"/>
      <c r="AL54" s="325"/>
      <c r="AM54" s="325"/>
      <c r="AN54" s="325"/>
      <c r="AO54" s="325"/>
      <c r="AP54" s="136"/>
      <c r="AQ54" s="136"/>
      <c r="AR54" s="136" t="str">
        <f t="shared" si="14"/>
        <v/>
      </c>
      <c r="AS54" s="136" t="str">
        <f t="shared" si="14"/>
        <v/>
      </c>
      <c r="AT54" s="5" t="str">
        <f t="shared" si="15"/>
        <v/>
      </c>
      <c r="AV54" s="27" t="str">
        <f>IF(G54="","",+"          ["&amp;TRIM(G54)&amp;"] ["&amp;TRIM(I54)&amp;"]"&amp;IF(H54="","","("&amp;H54&amp;")")&amp;" "&amp;TRIM(J54)&amp;IF(G63="","",","))</f>
        <v/>
      </c>
      <c r="AW54" s="27"/>
      <c r="AY54" s="122" t="str">
        <f t="shared" si="8"/>
        <v/>
      </c>
    </row>
    <row r="55" spans="2:51" ht="12.75">
      <c r="B55" s="20" t="str">
        <f t="shared" si="10"/>
        <v/>
      </c>
      <c r="C55" s="5"/>
      <c r="D55" s="5"/>
      <c r="E55" s="5"/>
      <c r="G55" s="5" t="str">
        <f t="shared" si="16"/>
        <v/>
      </c>
      <c r="H55" s="117" t="str">
        <f t="shared" si="12"/>
        <v/>
      </c>
      <c r="I55" s="5" t="str">
        <f t="shared" si="17"/>
        <v/>
      </c>
      <c r="J55" s="5" t="str">
        <f t="shared" si="18"/>
        <v/>
      </c>
      <c r="K55" s="138"/>
      <c r="L55" s="5"/>
      <c r="M55" s="75"/>
      <c r="N55" s="77"/>
      <c r="O55" s="26"/>
      <c r="P55" s="26"/>
      <c r="Q55" s="118" t="str">
        <f t="shared" si="19"/>
        <v/>
      </c>
      <c r="R55" s="153"/>
      <c r="S55" s="138"/>
      <c r="T55" s="148"/>
      <c r="U55" s="146"/>
      <c r="V55" s="146"/>
      <c r="W55" s="139"/>
      <c r="X55" s="139"/>
      <c r="Y55" s="148"/>
      <c r="Z55" s="138" t="str">
        <f t="shared" si="9"/>
        <v/>
      </c>
      <c r="AA55" s="138" t="str">
        <f t="shared" si="11"/>
        <v/>
      </c>
      <c r="AB55" s="239"/>
      <c r="AC55" s="325"/>
      <c r="AD55" s="325"/>
      <c r="AE55" s="325"/>
      <c r="AF55" s="325"/>
      <c r="AG55" s="325"/>
      <c r="AH55" s="325"/>
      <c r="AI55" s="325"/>
      <c r="AJ55" s="325"/>
      <c r="AK55" s="325"/>
      <c r="AL55" s="325"/>
      <c r="AM55" s="325"/>
      <c r="AN55" s="325"/>
      <c r="AO55" s="325"/>
      <c r="AP55" s="136"/>
      <c r="AQ55" s="136"/>
      <c r="AR55" s="136" t="str">
        <f t="shared" si="14"/>
        <v/>
      </c>
      <c r="AS55" s="136" t="str">
        <f t="shared" si="14"/>
        <v/>
      </c>
      <c r="AT55" s="5" t="str">
        <f t="shared" si="15"/>
        <v/>
      </c>
      <c r="AV55" s="27" t="str">
        <f>IF(G55="","",+"          ["&amp;TRIM(G55)&amp;"] ["&amp;TRIM(I55)&amp;"]"&amp;IF(H55="","","("&amp;H55&amp;")")&amp;" "&amp;TRIM(J55)&amp;IF(G56="","",","))</f>
        <v/>
      </c>
      <c r="AW55" s="27"/>
      <c r="AY55" s="122" t="str">
        <f t="shared" si="8"/>
        <v/>
      </c>
    </row>
    <row r="56" spans="2:51" ht="12.75">
      <c r="B56" s="20" t="str">
        <f t="shared" si="10"/>
        <v/>
      </c>
      <c r="C56" s="5"/>
      <c r="D56" s="5"/>
      <c r="E56" s="5"/>
      <c r="G56" s="5" t="str">
        <f t="shared" si="16"/>
        <v/>
      </c>
      <c r="H56" s="117" t="str">
        <f t="shared" si="12"/>
        <v/>
      </c>
      <c r="I56" s="5" t="str">
        <f t="shared" si="17"/>
        <v/>
      </c>
      <c r="J56" s="5" t="str">
        <f t="shared" si="18"/>
        <v/>
      </c>
      <c r="K56" s="138"/>
      <c r="L56" s="5"/>
      <c r="M56" s="75"/>
      <c r="N56" s="77"/>
      <c r="O56" s="26"/>
      <c r="P56" s="26"/>
      <c r="Q56" s="118" t="str">
        <f t="shared" si="19"/>
        <v/>
      </c>
      <c r="R56" s="153"/>
      <c r="S56" s="138"/>
      <c r="T56" s="148"/>
      <c r="U56" s="146"/>
      <c r="V56" s="146"/>
      <c r="W56" s="139"/>
      <c r="X56" s="139"/>
      <c r="Y56" s="148"/>
      <c r="Z56" s="138" t="str">
        <f t="shared" si="9"/>
        <v/>
      </c>
      <c r="AA56" s="138" t="str">
        <f t="shared" si="11"/>
        <v/>
      </c>
      <c r="AB56" s="239"/>
      <c r="AC56" s="325"/>
      <c r="AD56" s="325"/>
      <c r="AE56" s="325"/>
      <c r="AF56" s="325"/>
      <c r="AG56" s="325"/>
      <c r="AH56" s="325"/>
      <c r="AI56" s="325"/>
      <c r="AJ56" s="325"/>
      <c r="AK56" s="325"/>
      <c r="AL56" s="325"/>
      <c r="AM56" s="325"/>
      <c r="AN56" s="325"/>
      <c r="AO56" s="325"/>
      <c r="AP56" s="136"/>
      <c r="AQ56" s="136"/>
      <c r="AR56" s="136" t="str">
        <f t="shared" si="14"/>
        <v/>
      </c>
      <c r="AS56" s="136" t="str">
        <f t="shared" si="14"/>
        <v/>
      </c>
      <c r="AT56" s="5" t="str">
        <f t="shared" si="15"/>
        <v/>
      </c>
      <c r="AV56" s="27" t="str">
        <f>IF(G56="","",+"          ["&amp;TRIM(G56)&amp;"] ["&amp;TRIM(I56)&amp;"]"&amp;IF(H56="","","("&amp;H56&amp;")")&amp;" "&amp;TRIM(J56)&amp;IF(G62="","",","))</f>
        <v/>
      </c>
      <c r="AW56" s="27"/>
      <c r="AY56" s="122" t="str">
        <f t="shared" si="8"/>
        <v/>
      </c>
    </row>
    <row r="57" spans="2:51" ht="12.75">
      <c r="B57" s="20" t="str">
        <f t="shared" si="10"/>
        <v/>
      </c>
      <c r="C57" s="5"/>
      <c r="D57" s="5"/>
      <c r="E57" s="5"/>
      <c r="G57" s="5" t="str">
        <f t="shared" si="16"/>
        <v/>
      </c>
      <c r="H57" s="117" t="str">
        <f t="shared" si="12"/>
        <v/>
      </c>
      <c r="I57" s="5" t="str">
        <f t="shared" si="17"/>
        <v/>
      </c>
      <c r="J57" s="5" t="str">
        <f t="shared" si="18"/>
        <v/>
      </c>
      <c r="K57" s="138"/>
      <c r="L57" s="5"/>
      <c r="M57" s="75"/>
      <c r="N57" s="77"/>
      <c r="O57" s="26"/>
      <c r="P57" s="26"/>
      <c r="Q57" s="118" t="str">
        <f t="shared" si="19"/>
        <v/>
      </c>
      <c r="R57" s="153"/>
      <c r="S57" s="138"/>
      <c r="T57" s="148"/>
      <c r="U57" s="146"/>
      <c r="V57" s="146"/>
      <c r="W57" s="139"/>
      <c r="X57" s="139"/>
      <c r="Y57" s="148"/>
      <c r="Z57" s="138" t="str">
        <f t="shared" si="9"/>
        <v/>
      </c>
      <c r="AA57" s="138" t="str">
        <f t="shared" si="11"/>
        <v/>
      </c>
      <c r="AB57" s="239"/>
      <c r="AC57" s="325"/>
      <c r="AD57" s="325"/>
      <c r="AE57" s="325"/>
      <c r="AF57" s="325"/>
      <c r="AG57" s="325"/>
      <c r="AH57" s="325"/>
      <c r="AI57" s="325"/>
      <c r="AJ57" s="325"/>
      <c r="AK57" s="325"/>
      <c r="AL57" s="325"/>
      <c r="AM57" s="325"/>
      <c r="AN57" s="325"/>
      <c r="AO57" s="325"/>
      <c r="AP57" s="136"/>
      <c r="AQ57" s="136"/>
      <c r="AR57" s="136" t="str">
        <f t="shared" si="14"/>
        <v/>
      </c>
      <c r="AS57" s="136" t="str">
        <f t="shared" si="14"/>
        <v/>
      </c>
      <c r="AT57" s="5" t="str">
        <f t="shared" si="15"/>
        <v/>
      </c>
      <c r="AV57" s="27" t="str">
        <f>IF(G57="","",+"          ["&amp;TRIM(G57)&amp;"] ["&amp;TRIM(I57)&amp;"]"&amp;IF(H57="","","("&amp;H57&amp;")")&amp;" "&amp;TRIM(J57)&amp;IF(G58="","",","))</f>
        <v/>
      </c>
      <c r="AW57" s="27"/>
      <c r="AY57" s="122" t="str">
        <f t="shared" si="8"/>
        <v/>
      </c>
    </row>
    <row r="58" spans="2:51" ht="12.75">
      <c r="B58" s="20" t="str">
        <f t="shared" si="10"/>
        <v/>
      </c>
      <c r="C58" s="5"/>
      <c r="D58" s="5"/>
      <c r="E58" s="5"/>
      <c r="G58" s="5" t="str">
        <f t="shared" si="16"/>
        <v/>
      </c>
      <c r="H58" s="117" t="str">
        <f t="shared" si="12"/>
        <v/>
      </c>
      <c r="I58" s="5" t="str">
        <f t="shared" si="17"/>
        <v/>
      </c>
      <c r="J58" s="5" t="str">
        <f t="shared" si="18"/>
        <v/>
      </c>
      <c r="K58" s="138"/>
      <c r="L58" s="5"/>
      <c r="M58" s="75"/>
      <c r="N58" s="77"/>
      <c r="O58" s="26"/>
      <c r="P58" s="26"/>
      <c r="Q58" s="118" t="str">
        <f t="shared" si="19"/>
        <v/>
      </c>
      <c r="R58" s="153"/>
      <c r="S58" s="138"/>
      <c r="T58" s="148"/>
      <c r="U58" s="146"/>
      <c r="V58" s="146"/>
      <c r="W58" s="139"/>
      <c r="X58" s="139"/>
      <c r="Y58" s="148"/>
      <c r="Z58" s="138" t="str">
        <f t="shared" si="9"/>
        <v/>
      </c>
      <c r="AA58" s="138" t="str">
        <f t="shared" si="11"/>
        <v/>
      </c>
      <c r="AB58" s="239"/>
      <c r="AC58" s="325"/>
      <c r="AD58" s="325"/>
      <c r="AE58" s="325"/>
      <c r="AF58" s="325"/>
      <c r="AG58" s="325"/>
      <c r="AH58" s="325"/>
      <c r="AI58" s="325"/>
      <c r="AJ58" s="325"/>
      <c r="AK58" s="325"/>
      <c r="AL58" s="325"/>
      <c r="AM58" s="325"/>
      <c r="AN58" s="325"/>
      <c r="AO58" s="325"/>
      <c r="AP58" s="136"/>
      <c r="AQ58" s="136"/>
      <c r="AR58" s="136" t="str">
        <f t="shared" si="14"/>
        <v/>
      </c>
      <c r="AS58" s="136" t="str">
        <f t="shared" si="14"/>
        <v/>
      </c>
      <c r="AT58" s="5" t="str">
        <f t="shared" si="15"/>
        <v/>
      </c>
      <c r="AV58" s="27" t="str">
        <f>IF(G58="","",+"          ["&amp;TRIM(G58)&amp;"] ["&amp;TRIM(I58)&amp;"]"&amp;IF(H58="","","("&amp;H58&amp;")")&amp;" "&amp;TRIM(J58)&amp;IF(G61="","",","))</f>
        <v/>
      </c>
      <c r="AW58" s="27"/>
      <c r="AY58" s="122" t="str">
        <f t="shared" si="8"/>
        <v/>
      </c>
    </row>
    <row r="59" spans="2:51" ht="12.75">
      <c r="B59" s="20" t="str">
        <f t="shared" si="10"/>
        <v/>
      </c>
      <c r="C59" s="5"/>
      <c r="D59" s="5"/>
      <c r="E59" s="5"/>
      <c r="G59" s="5" t="str">
        <f t="shared" si="16"/>
        <v/>
      </c>
      <c r="H59" s="117" t="str">
        <f t="shared" si="12"/>
        <v/>
      </c>
      <c r="I59" s="5" t="str">
        <f t="shared" si="17"/>
        <v/>
      </c>
      <c r="J59" s="5" t="str">
        <f t="shared" si="18"/>
        <v/>
      </c>
      <c r="K59" s="5"/>
      <c r="L59" s="5"/>
      <c r="M59" s="75"/>
      <c r="N59" s="77"/>
      <c r="O59" s="26"/>
      <c r="P59" s="26"/>
      <c r="Q59" s="118" t="str">
        <f t="shared" si="19"/>
        <v/>
      </c>
      <c r="R59" s="153"/>
      <c r="S59" s="138"/>
      <c r="T59" s="148"/>
      <c r="U59" s="146"/>
      <c r="V59" s="146"/>
      <c r="W59" s="139"/>
      <c r="X59" s="139"/>
      <c r="Y59" s="148"/>
      <c r="Z59" s="138" t="str">
        <f t="shared" si="9"/>
        <v/>
      </c>
      <c r="AA59" s="138" t="str">
        <f t="shared" si="11"/>
        <v/>
      </c>
      <c r="AB59" s="239"/>
      <c r="AC59" s="325"/>
      <c r="AD59" s="325"/>
      <c r="AE59" s="325"/>
      <c r="AF59" s="325"/>
      <c r="AG59" s="325"/>
      <c r="AH59" s="325"/>
      <c r="AI59" s="325"/>
      <c r="AJ59" s="325"/>
      <c r="AK59" s="325"/>
      <c r="AL59" s="325"/>
      <c r="AM59" s="325"/>
      <c r="AN59" s="325"/>
      <c r="AO59" s="325"/>
      <c r="AP59" s="136"/>
      <c r="AQ59" s="136"/>
      <c r="AR59" s="136" t="str">
        <f t="shared" si="14"/>
        <v/>
      </c>
      <c r="AS59" s="136" t="str">
        <f t="shared" si="14"/>
        <v/>
      </c>
      <c r="AT59" s="5" t="str">
        <f t="shared" si="15"/>
        <v/>
      </c>
      <c r="AV59" s="27" t="str">
        <f t="shared" ref="AV59:AV64" si="20">IF(G59="","",+"          ["&amp;TRIM(G59)&amp;"] ["&amp;TRIM(I59)&amp;"]"&amp;IF(H59="","","("&amp;H59&amp;")")&amp;" "&amp;TRIM(J59)&amp;IF(G60="","",","))</f>
        <v/>
      </c>
      <c r="AW59" s="27"/>
      <c r="AY59" s="122" t="str">
        <f t="shared" si="8"/>
        <v/>
      </c>
    </row>
    <row r="60" spans="2:51" ht="12.75">
      <c r="B60" s="20" t="str">
        <f t="shared" si="10"/>
        <v/>
      </c>
      <c r="C60" s="5"/>
      <c r="D60" s="5"/>
      <c r="E60" s="5"/>
      <c r="G60" s="5" t="str">
        <f t="shared" si="16"/>
        <v/>
      </c>
      <c r="H60" s="117" t="str">
        <f t="shared" si="12"/>
        <v/>
      </c>
      <c r="I60" s="5" t="str">
        <f t="shared" si="17"/>
        <v/>
      </c>
      <c r="J60" s="5" t="str">
        <f t="shared" si="18"/>
        <v/>
      </c>
      <c r="K60" s="5"/>
      <c r="L60" s="5"/>
      <c r="M60" s="75"/>
      <c r="N60" s="77"/>
      <c r="O60" s="26"/>
      <c r="P60" s="26"/>
      <c r="Q60" s="118" t="str">
        <f t="shared" si="19"/>
        <v/>
      </c>
      <c r="R60" s="153"/>
      <c r="S60" s="138"/>
      <c r="T60" s="148"/>
      <c r="U60" s="146"/>
      <c r="V60" s="146"/>
      <c r="W60" s="139"/>
      <c r="X60" s="139"/>
      <c r="Y60" s="148"/>
      <c r="Z60" s="138" t="str">
        <f t="shared" si="9"/>
        <v/>
      </c>
      <c r="AA60" s="138" t="str">
        <f t="shared" si="11"/>
        <v/>
      </c>
      <c r="AB60" s="239"/>
      <c r="AC60" s="325"/>
      <c r="AD60" s="325"/>
      <c r="AE60" s="325"/>
      <c r="AF60" s="325"/>
      <c r="AG60" s="325"/>
      <c r="AH60" s="325"/>
      <c r="AI60" s="325"/>
      <c r="AJ60" s="325"/>
      <c r="AK60" s="325"/>
      <c r="AL60" s="325"/>
      <c r="AM60" s="325"/>
      <c r="AN60" s="325"/>
      <c r="AO60" s="325"/>
      <c r="AP60" s="136"/>
      <c r="AQ60" s="136"/>
      <c r="AR60" s="136" t="str">
        <f t="shared" si="14"/>
        <v/>
      </c>
      <c r="AS60" s="136" t="str">
        <f t="shared" si="14"/>
        <v/>
      </c>
      <c r="AT60" s="5" t="str">
        <f t="shared" si="15"/>
        <v/>
      </c>
      <c r="AV60" s="27" t="str">
        <f t="shared" si="20"/>
        <v/>
      </c>
      <c r="AW60" s="27"/>
      <c r="AY60" s="122" t="str">
        <f t="shared" si="8"/>
        <v/>
      </c>
    </row>
    <row r="61" spans="2:51" ht="12.75">
      <c r="B61" s="20" t="str">
        <f t="shared" si="10"/>
        <v/>
      </c>
      <c r="C61" s="5"/>
      <c r="D61" s="5"/>
      <c r="E61" s="5"/>
      <c r="G61" s="5" t="str">
        <f t="shared" si="16"/>
        <v/>
      </c>
      <c r="H61" s="117" t="str">
        <f t="shared" si="12"/>
        <v/>
      </c>
      <c r="I61" s="5" t="str">
        <f t="shared" si="17"/>
        <v/>
      </c>
      <c r="J61" s="5" t="str">
        <f t="shared" si="18"/>
        <v/>
      </c>
      <c r="K61" s="5"/>
      <c r="L61" s="5"/>
      <c r="M61" s="75"/>
      <c r="N61" s="77"/>
      <c r="O61" s="26"/>
      <c r="P61" s="26"/>
      <c r="Q61" s="118" t="str">
        <f t="shared" si="19"/>
        <v/>
      </c>
      <c r="R61" s="153"/>
      <c r="S61" s="138"/>
      <c r="T61" s="148"/>
      <c r="U61" s="146"/>
      <c r="V61" s="146"/>
      <c r="W61" s="139"/>
      <c r="X61" s="139"/>
      <c r="Y61" s="148"/>
      <c r="Z61" s="138" t="str">
        <f t="shared" si="9"/>
        <v/>
      </c>
      <c r="AA61" s="138" t="str">
        <f t="shared" si="11"/>
        <v/>
      </c>
      <c r="AB61" s="239"/>
      <c r="AC61" s="325"/>
      <c r="AD61" s="325"/>
      <c r="AE61" s="325"/>
      <c r="AF61" s="325"/>
      <c r="AG61" s="325"/>
      <c r="AH61" s="325"/>
      <c r="AI61" s="325"/>
      <c r="AJ61" s="325"/>
      <c r="AK61" s="325"/>
      <c r="AL61" s="325"/>
      <c r="AM61" s="325"/>
      <c r="AN61" s="325"/>
      <c r="AO61" s="325"/>
      <c r="AP61" s="136"/>
      <c r="AQ61" s="136"/>
      <c r="AR61" s="136" t="str">
        <f t="shared" si="14"/>
        <v/>
      </c>
      <c r="AS61" s="136" t="str">
        <f t="shared" si="14"/>
        <v/>
      </c>
      <c r="AT61" s="5" t="str">
        <f t="shared" si="15"/>
        <v/>
      </c>
      <c r="AV61" s="27" t="str">
        <f t="shared" si="20"/>
        <v/>
      </c>
      <c r="AW61" s="27"/>
      <c r="AY61" s="122" t="str">
        <f t="shared" si="8"/>
        <v/>
      </c>
    </row>
    <row r="62" spans="2:51" ht="12.75">
      <c r="B62" s="20" t="str">
        <f t="shared" si="10"/>
        <v/>
      </c>
      <c r="C62" s="5"/>
      <c r="D62" s="5"/>
      <c r="E62" s="5"/>
      <c r="G62" s="5" t="str">
        <f t="shared" si="16"/>
        <v/>
      </c>
      <c r="H62" s="117" t="str">
        <f t="shared" si="12"/>
        <v/>
      </c>
      <c r="I62" s="5" t="str">
        <f t="shared" si="17"/>
        <v/>
      </c>
      <c r="J62" s="5" t="str">
        <f t="shared" si="18"/>
        <v/>
      </c>
      <c r="K62" s="5"/>
      <c r="L62" s="5"/>
      <c r="M62" s="75"/>
      <c r="N62" s="77"/>
      <c r="O62" s="26"/>
      <c r="P62" s="26"/>
      <c r="Q62" s="118" t="str">
        <f t="shared" si="19"/>
        <v/>
      </c>
      <c r="R62" s="153"/>
      <c r="S62" s="138"/>
      <c r="T62" s="148"/>
      <c r="U62" s="146"/>
      <c r="V62" s="146"/>
      <c r="W62" s="139"/>
      <c r="X62" s="139"/>
      <c r="Y62" s="148"/>
      <c r="Z62" s="138" t="str">
        <f t="shared" si="9"/>
        <v/>
      </c>
      <c r="AA62" s="138" t="str">
        <f t="shared" si="11"/>
        <v/>
      </c>
      <c r="AB62" s="239"/>
      <c r="AC62" s="325"/>
      <c r="AD62" s="325"/>
      <c r="AE62" s="325"/>
      <c r="AF62" s="325"/>
      <c r="AG62" s="325"/>
      <c r="AH62" s="325"/>
      <c r="AI62" s="325"/>
      <c r="AJ62" s="325"/>
      <c r="AK62" s="325"/>
      <c r="AL62" s="325"/>
      <c r="AM62" s="325"/>
      <c r="AN62" s="325"/>
      <c r="AO62" s="325"/>
      <c r="AP62" s="136"/>
      <c r="AQ62" s="136"/>
      <c r="AR62" s="136" t="str">
        <f t="shared" si="14"/>
        <v/>
      </c>
      <c r="AS62" s="136" t="str">
        <f t="shared" si="14"/>
        <v/>
      </c>
      <c r="AT62" s="5" t="str">
        <f t="shared" si="15"/>
        <v/>
      </c>
      <c r="AV62" s="27" t="str">
        <f t="shared" si="20"/>
        <v/>
      </c>
      <c r="AW62" s="27"/>
      <c r="AY62" s="122" t="str">
        <f t="shared" si="8"/>
        <v/>
      </c>
    </row>
    <row r="63" spans="2:51" ht="12.75">
      <c r="B63" s="20" t="str">
        <f t="shared" si="10"/>
        <v/>
      </c>
      <c r="C63" s="5"/>
      <c r="D63" s="5"/>
      <c r="E63" s="5"/>
      <c r="G63" s="5" t="str">
        <f t="shared" si="16"/>
        <v/>
      </c>
      <c r="H63" s="117" t="str">
        <f t="shared" si="12"/>
        <v/>
      </c>
      <c r="I63" s="5" t="str">
        <f t="shared" si="17"/>
        <v/>
      </c>
      <c r="J63" s="5" t="str">
        <f t="shared" si="18"/>
        <v/>
      </c>
      <c r="K63" s="5"/>
      <c r="L63" s="5"/>
      <c r="M63" s="75"/>
      <c r="N63" s="77"/>
      <c r="O63" s="26"/>
      <c r="P63" s="26"/>
      <c r="Q63" s="118" t="str">
        <f t="shared" si="19"/>
        <v/>
      </c>
      <c r="R63" s="153"/>
      <c r="S63" s="138"/>
      <c r="T63" s="148"/>
      <c r="U63" s="146"/>
      <c r="V63" s="146"/>
      <c r="W63" s="139"/>
      <c r="X63" s="139"/>
      <c r="Y63" s="148"/>
      <c r="Z63" s="138" t="str">
        <f t="shared" si="9"/>
        <v/>
      </c>
      <c r="AA63" s="138" t="str">
        <f t="shared" si="11"/>
        <v/>
      </c>
      <c r="AB63" s="239"/>
      <c r="AC63" s="325"/>
      <c r="AD63" s="325"/>
      <c r="AE63" s="325"/>
      <c r="AF63" s="325"/>
      <c r="AG63" s="325"/>
      <c r="AH63" s="325"/>
      <c r="AI63" s="325"/>
      <c r="AJ63" s="325"/>
      <c r="AK63" s="325"/>
      <c r="AL63" s="325"/>
      <c r="AM63" s="325"/>
      <c r="AN63" s="325"/>
      <c r="AO63" s="325"/>
      <c r="AP63" s="136"/>
      <c r="AQ63" s="136"/>
      <c r="AR63" s="136" t="str">
        <f t="shared" si="14"/>
        <v/>
      </c>
      <c r="AS63" s="136" t="str">
        <f t="shared" si="14"/>
        <v/>
      </c>
      <c r="AT63" s="5" t="str">
        <f t="shared" si="15"/>
        <v/>
      </c>
      <c r="AV63" s="27" t="str">
        <f t="shared" si="20"/>
        <v/>
      </c>
      <c r="AW63" s="27"/>
      <c r="AY63" s="122" t="str">
        <f t="shared" si="8"/>
        <v/>
      </c>
    </row>
    <row r="64" spans="2:51" ht="12.75">
      <c r="B64" s="20" t="str">
        <f t="shared" si="10"/>
        <v/>
      </c>
      <c r="C64" s="5"/>
      <c r="D64" s="5"/>
      <c r="E64" s="5"/>
      <c r="G64" s="5" t="str">
        <f t="shared" si="16"/>
        <v/>
      </c>
      <c r="H64" s="117" t="str">
        <f t="shared" si="12"/>
        <v/>
      </c>
      <c r="I64" s="5" t="str">
        <f t="shared" si="17"/>
        <v/>
      </c>
      <c r="J64" s="5" t="str">
        <f t="shared" si="18"/>
        <v/>
      </c>
      <c r="K64" s="5"/>
      <c r="L64" s="5"/>
      <c r="M64" s="75"/>
      <c r="N64" s="77"/>
      <c r="O64" s="26"/>
      <c r="P64" s="26"/>
      <c r="Q64" s="118" t="str">
        <f t="shared" si="19"/>
        <v/>
      </c>
      <c r="R64" s="153"/>
      <c r="S64" s="138"/>
      <c r="T64" s="148"/>
      <c r="U64" s="146"/>
      <c r="V64" s="146"/>
      <c r="W64" s="139"/>
      <c r="X64" s="139"/>
      <c r="Y64" s="148"/>
      <c r="Z64" s="138" t="str">
        <f t="shared" si="9"/>
        <v/>
      </c>
      <c r="AA64" s="138" t="str">
        <f t="shared" si="11"/>
        <v/>
      </c>
      <c r="AB64" s="239"/>
      <c r="AC64" s="325"/>
      <c r="AD64" s="325"/>
      <c r="AE64" s="325"/>
      <c r="AF64" s="325"/>
      <c r="AG64" s="325"/>
      <c r="AH64" s="325"/>
      <c r="AI64" s="325"/>
      <c r="AJ64" s="325"/>
      <c r="AK64" s="325"/>
      <c r="AL64" s="325"/>
      <c r="AM64" s="325"/>
      <c r="AN64" s="325"/>
      <c r="AO64" s="325"/>
      <c r="AP64" s="136"/>
      <c r="AQ64" s="136"/>
      <c r="AR64" s="136" t="str">
        <f t="shared" si="14"/>
        <v/>
      </c>
      <c r="AS64" s="136" t="str">
        <f t="shared" si="14"/>
        <v/>
      </c>
      <c r="AT64" s="5" t="str">
        <f t="shared" si="15"/>
        <v/>
      </c>
      <c r="AV64" s="27" t="str">
        <f t="shared" si="20"/>
        <v/>
      </c>
      <c r="AW64" s="27"/>
      <c r="AY64" s="122" t="str">
        <f t="shared" si="8"/>
        <v/>
      </c>
    </row>
    <row r="65" spans="2:51" ht="12.75">
      <c r="B65" s="20" t="str">
        <f t="shared" si="10"/>
        <v/>
      </c>
      <c r="C65" s="5"/>
      <c r="D65" s="5"/>
      <c r="E65" s="5"/>
      <c r="G65" s="5" t="str">
        <f t="shared" si="16"/>
        <v/>
      </c>
      <c r="H65" s="117" t="str">
        <f t="shared" si="12"/>
        <v/>
      </c>
      <c r="I65" s="5" t="str">
        <f t="shared" si="17"/>
        <v/>
      </c>
      <c r="J65" s="5" t="str">
        <f t="shared" si="18"/>
        <v/>
      </c>
      <c r="K65" s="5"/>
      <c r="L65" s="5"/>
      <c r="M65" s="75"/>
      <c r="N65" s="77"/>
      <c r="O65" s="26"/>
      <c r="P65" s="26"/>
      <c r="Q65" s="118" t="str">
        <f t="shared" si="19"/>
        <v/>
      </c>
      <c r="R65" s="153"/>
      <c r="S65" s="138"/>
      <c r="T65" s="148"/>
      <c r="U65" s="146"/>
      <c r="V65" s="146"/>
      <c r="W65" s="139"/>
      <c r="X65" s="139"/>
      <c r="Y65" s="148"/>
      <c r="Z65" s="138" t="str">
        <f t="shared" si="9"/>
        <v/>
      </c>
      <c r="AA65" s="138" t="str">
        <f t="shared" si="11"/>
        <v/>
      </c>
      <c r="AB65" s="239"/>
      <c r="AC65" s="325"/>
      <c r="AD65" s="325"/>
      <c r="AE65" s="325"/>
      <c r="AF65" s="325"/>
      <c r="AG65" s="325"/>
      <c r="AH65" s="325"/>
      <c r="AI65" s="325"/>
      <c r="AJ65" s="325"/>
      <c r="AK65" s="325"/>
      <c r="AL65" s="325"/>
      <c r="AM65" s="325"/>
      <c r="AN65" s="325"/>
      <c r="AO65" s="325"/>
      <c r="AP65" s="136"/>
      <c r="AQ65" s="136"/>
      <c r="AR65" s="136" t="str">
        <f t="shared" si="14"/>
        <v/>
      </c>
      <c r="AS65" s="136" t="str">
        <f t="shared" si="14"/>
        <v/>
      </c>
      <c r="AT65" s="5" t="str">
        <f t="shared" si="15"/>
        <v/>
      </c>
      <c r="AV65" s="27" t="str">
        <f>IF(G65="","",+"          ["&amp;TRIM(G65)&amp;"] ["&amp;TRIM(I65)&amp;"]"&amp;IF(H65="","","("&amp;H65&amp;")")&amp;" "&amp;TRIM(J65)&amp;IF(G68="","",","))</f>
        <v/>
      </c>
      <c r="AW65" s="27"/>
      <c r="AY65" s="122" t="str">
        <f t="shared" si="8"/>
        <v/>
      </c>
    </row>
    <row r="66" spans="2:51" ht="12.75">
      <c r="B66" s="20" t="str">
        <f t="shared" si="10"/>
        <v/>
      </c>
      <c r="C66" s="5"/>
      <c r="D66" s="5"/>
      <c r="E66" s="5"/>
      <c r="G66" s="5" t="str">
        <f t="shared" si="16"/>
        <v/>
      </c>
      <c r="H66" s="117" t="str">
        <f t="shared" si="12"/>
        <v/>
      </c>
      <c r="I66" s="5" t="str">
        <f t="shared" si="17"/>
        <v/>
      </c>
      <c r="J66" s="5" t="str">
        <f t="shared" si="18"/>
        <v/>
      </c>
      <c r="K66" s="5"/>
      <c r="L66" s="5"/>
      <c r="M66" s="75"/>
      <c r="N66" s="77"/>
      <c r="O66" s="26"/>
      <c r="P66" s="26"/>
      <c r="Q66" s="118" t="str">
        <f t="shared" si="19"/>
        <v/>
      </c>
      <c r="R66" s="153"/>
      <c r="S66" s="138"/>
      <c r="T66" s="148"/>
      <c r="U66" s="146"/>
      <c r="V66" s="146"/>
      <c r="W66" s="139"/>
      <c r="X66" s="139"/>
      <c r="Y66" s="148"/>
      <c r="Z66" s="138" t="str">
        <f t="shared" si="9"/>
        <v/>
      </c>
      <c r="AA66" s="138" t="str">
        <f t="shared" si="11"/>
        <v/>
      </c>
      <c r="AB66" s="239"/>
      <c r="AC66" s="325"/>
      <c r="AD66" s="325"/>
      <c r="AE66" s="325"/>
      <c r="AF66" s="325"/>
      <c r="AG66" s="325"/>
      <c r="AH66" s="325"/>
      <c r="AI66" s="325"/>
      <c r="AJ66" s="325"/>
      <c r="AK66" s="325"/>
      <c r="AL66" s="325"/>
      <c r="AM66" s="325"/>
      <c r="AN66" s="325"/>
      <c r="AO66" s="325"/>
      <c r="AP66" s="136"/>
      <c r="AQ66" s="136"/>
      <c r="AR66" s="136" t="str">
        <f t="shared" si="14"/>
        <v/>
      </c>
      <c r="AS66" s="136" t="str">
        <f t="shared" si="14"/>
        <v/>
      </c>
      <c r="AT66" s="5" t="str">
        <f t="shared" si="15"/>
        <v/>
      </c>
      <c r="AV66" s="27" t="str">
        <f>IF(G66="","",+"          ["&amp;TRIM(G66)&amp;"] ["&amp;TRIM(I66)&amp;"]"&amp;IF(H66="","","("&amp;H66&amp;")")&amp;" "&amp;TRIM(J66)&amp;IF(G67="","",","))</f>
        <v/>
      </c>
      <c r="AW66" s="27"/>
      <c r="AY66" s="122" t="str">
        <f t="shared" si="8"/>
        <v/>
      </c>
    </row>
    <row r="67" spans="2:51" ht="12.75">
      <c r="B67" s="20" t="str">
        <f t="shared" si="10"/>
        <v/>
      </c>
      <c r="C67" s="5"/>
      <c r="D67" s="5"/>
      <c r="E67" s="5"/>
      <c r="G67" s="5" t="str">
        <f t="shared" si="16"/>
        <v/>
      </c>
      <c r="H67" s="117" t="str">
        <f t="shared" si="12"/>
        <v/>
      </c>
      <c r="I67" s="5" t="str">
        <f t="shared" si="17"/>
        <v/>
      </c>
      <c r="J67" s="5" t="str">
        <f t="shared" si="18"/>
        <v/>
      </c>
      <c r="K67" s="5"/>
      <c r="L67" s="5"/>
      <c r="M67" s="75"/>
      <c r="N67" s="77"/>
      <c r="O67" s="26"/>
      <c r="P67" s="26"/>
      <c r="Q67" s="118" t="str">
        <f t="shared" si="19"/>
        <v/>
      </c>
      <c r="R67" s="153"/>
      <c r="S67" s="138"/>
      <c r="T67" s="148"/>
      <c r="U67" s="146"/>
      <c r="V67" s="146"/>
      <c r="W67" s="139"/>
      <c r="X67" s="139"/>
      <c r="Y67" s="148"/>
      <c r="Z67" s="138" t="str">
        <f t="shared" si="9"/>
        <v/>
      </c>
      <c r="AA67" s="138" t="str">
        <f t="shared" si="11"/>
        <v/>
      </c>
      <c r="AB67" s="239"/>
      <c r="AC67" s="325"/>
      <c r="AD67" s="325"/>
      <c r="AE67" s="325"/>
      <c r="AF67" s="325"/>
      <c r="AG67" s="325"/>
      <c r="AH67" s="325"/>
      <c r="AI67" s="325"/>
      <c r="AJ67" s="325"/>
      <c r="AK67" s="325"/>
      <c r="AL67" s="325"/>
      <c r="AM67" s="325"/>
      <c r="AN67" s="325"/>
      <c r="AO67" s="325"/>
      <c r="AP67" s="136"/>
      <c r="AQ67" s="136"/>
      <c r="AR67" s="136" t="str">
        <f t="shared" si="14"/>
        <v/>
      </c>
      <c r="AS67" s="136" t="str">
        <f t="shared" si="14"/>
        <v/>
      </c>
      <c r="AT67" s="5" t="str">
        <f t="shared" si="15"/>
        <v/>
      </c>
      <c r="AV67" s="27" t="str">
        <f>IF(G67="","",+"          ["&amp;TRIM(G67)&amp;"] ["&amp;TRIM(I67)&amp;"]"&amp;IF(H67="","","("&amp;H67&amp;")")&amp;" "&amp;TRIM(J67)&amp;IF(G68="","",","))</f>
        <v/>
      </c>
      <c r="AW67" s="27"/>
      <c r="AY67" s="122" t="str">
        <f t="shared" si="8"/>
        <v/>
      </c>
    </row>
    <row r="68" spans="2:51" ht="12.75">
      <c r="B68" s="20" t="str">
        <f t="shared" si="10"/>
        <v/>
      </c>
      <c r="C68" s="5"/>
      <c r="D68" s="5"/>
      <c r="E68" s="5"/>
      <c r="G68" s="5" t="str">
        <f t="shared" si="16"/>
        <v/>
      </c>
      <c r="H68" s="117" t="str">
        <f t="shared" si="12"/>
        <v/>
      </c>
      <c r="I68" s="5" t="str">
        <f t="shared" si="17"/>
        <v/>
      </c>
      <c r="J68" s="5" t="str">
        <f t="shared" si="18"/>
        <v/>
      </c>
      <c r="K68" s="5"/>
      <c r="L68" s="5"/>
      <c r="M68" s="75"/>
      <c r="N68" s="77"/>
      <c r="O68" s="26"/>
      <c r="P68" s="26"/>
      <c r="Q68" s="118" t="str">
        <f t="shared" si="19"/>
        <v/>
      </c>
      <c r="R68" s="153"/>
      <c r="S68" s="138"/>
      <c r="T68" s="148"/>
      <c r="U68" s="146"/>
      <c r="V68" s="146"/>
      <c r="W68" s="139"/>
      <c r="X68" s="139"/>
      <c r="Y68" s="148"/>
      <c r="Z68" s="138" t="str">
        <f t="shared" si="9"/>
        <v/>
      </c>
      <c r="AA68" s="138" t="str">
        <f t="shared" si="11"/>
        <v/>
      </c>
      <c r="AB68" s="239"/>
      <c r="AC68" s="325"/>
      <c r="AD68" s="325"/>
      <c r="AE68" s="325"/>
      <c r="AF68" s="325"/>
      <c r="AG68" s="325"/>
      <c r="AH68" s="325"/>
      <c r="AI68" s="325"/>
      <c r="AJ68" s="325"/>
      <c r="AK68" s="325"/>
      <c r="AL68" s="325"/>
      <c r="AM68" s="325"/>
      <c r="AN68" s="325"/>
      <c r="AO68" s="325"/>
      <c r="AP68" s="136"/>
      <c r="AQ68" s="136"/>
      <c r="AR68" s="136" t="str">
        <f t="shared" si="14"/>
        <v/>
      </c>
      <c r="AS68" s="136" t="str">
        <f t="shared" si="14"/>
        <v/>
      </c>
      <c r="AT68" s="5" t="str">
        <f t="shared" si="15"/>
        <v/>
      </c>
      <c r="AV68" s="27" t="str">
        <f>IF(G68="","",+"          ["&amp;TRIM(G68)&amp;"] ["&amp;TRIM(I68)&amp;"]"&amp;IF(H68="","","("&amp;H68&amp;")")&amp;" "&amp;TRIM(J68)&amp;IF(G95="","",","))</f>
        <v/>
      </c>
      <c r="AW68" s="27"/>
      <c r="AY68" s="122" t="str">
        <f t="shared" si="8"/>
        <v/>
      </c>
    </row>
    <row r="69" spans="2:51" ht="12.75">
      <c r="B69" s="20" t="str">
        <f t="shared" si="10"/>
        <v/>
      </c>
      <c r="C69" s="5"/>
      <c r="D69" s="5"/>
      <c r="E69" s="5"/>
      <c r="G69" s="5" t="str">
        <f t="shared" si="16"/>
        <v/>
      </c>
      <c r="H69" s="117" t="str">
        <f t="shared" si="12"/>
        <v/>
      </c>
      <c r="I69" s="5" t="str">
        <f t="shared" si="17"/>
        <v/>
      </c>
      <c r="J69" s="5" t="str">
        <f t="shared" si="18"/>
        <v/>
      </c>
      <c r="K69" s="5"/>
      <c r="L69" s="5"/>
      <c r="M69" s="75"/>
      <c r="N69" s="77"/>
      <c r="O69" s="26"/>
      <c r="P69" s="26"/>
      <c r="Q69" s="118" t="str">
        <f t="shared" si="19"/>
        <v/>
      </c>
      <c r="R69" s="153"/>
      <c r="S69" s="138"/>
      <c r="T69" s="148"/>
      <c r="U69" s="146"/>
      <c r="V69" s="146"/>
      <c r="W69" s="139"/>
      <c r="X69" s="139"/>
      <c r="Y69" s="148"/>
      <c r="Z69" s="138" t="str">
        <f t="shared" si="9"/>
        <v/>
      </c>
      <c r="AA69" s="138" t="str">
        <f t="shared" si="11"/>
        <v/>
      </c>
      <c r="AB69" s="239"/>
      <c r="AC69" s="325"/>
      <c r="AD69" s="325"/>
      <c r="AE69" s="325"/>
      <c r="AF69" s="325"/>
      <c r="AG69" s="325"/>
      <c r="AH69" s="325"/>
      <c r="AI69" s="325"/>
      <c r="AJ69" s="325"/>
      <c r="AK69" s="325"/>
      <c r="AL69" s="325"/>
      <c r="AM69" s="325"/>
      <c r="AN69" s="325"/>
      <c r="AO69" s="325"/>
      <c r="AP69" s="136"/>
      <c r="AQ69" s="136"/>
      <c r="AR69" s="136" t="str">
        <f t="shared" si="14"/>
        <v/>
      </c>
      <c r="AS69" s="136" t="str">
        <f t="shared" si="14"/>
        <v/>
      </c>
      <c r="AT69" s="5" t="str">
        <f t="shared" si="15"/>
        <v/>
      </c>
      <c r="AV69" s="27" t="str">
        <f>IF(G69="","",+"          ["&amp;TRIM(G69)&amp;"] ["&amp;TRIM(I69)&amp;"]"&amp;IF(H69="","","("&amp;H69&amp;")")&amp;" "&amp;TRIM(J69)&amp;IF(G70="","",","))</f>
        <v/>
      </c>
      <c r="AW69" s="27"/>
      <c r="AY69" s="122" t="str">
        <f t="shared" si="8"/>
        <v/>
      </c>
    </row>
    <row r="70" spans="2:51" ht="12.75">
      <c r="B70" s="20" t="str">
        <f t="shared" si="10"/>
        <v/>
      </c>
      <c r="C70" s="5"/>
      <c r="D70" s="5"/>
      <c r="E70" s="5"/>
      <c r="G70" s="5" t="str">
        <f t="shared" si="16"/>
        <v/>
      </c>
      <c r="H70" s="117" t="str">
        <f t="shared" si="12"/>
        <v/>
      </c>
      <c r="I70" s="5" t="str">
        <f t="shared" si="17"/>
        <v/>
      </c>
      <c r="J70" s="5" t="str">
        <f t="shared" si="18"/>
        <v/>
      </c>
      <c r="K70" s="5"/>
      <c r="L70" s="5"/>
      <c r="M70" s="75"/>
      <c r="N70" s="77"/>
      <c r="O70" s="26"/>
      <c r="P70" s="26"/>
      <c r="Q70" s="118" t="str">
        <f t="shared" si="19"/>
        <v/>
      </c>
      <c r="R70" s="153"/>
      <c r="S70" s="138"/>
      <c r="T70" s="148"/>
      <c r="U70" s="146"/>
      <c r="V70" s="146"/>
      <c r="W70" s="139"/>
      <c r="X70" s="139"/>
      <c r="Y70" s="148"/>
      <c r="Z70" s="138" t="str">
        <f t="shared" si="9"/>
        <v/>
      </c>
      <c r="AA70" s="138" t="str">
        <f t="shared" si="11"/>
        <v/>
      </c>
      <c r="AB70" s="239"/>
      <c r="AC70" s="325"/>
      <c r="AD70" s="325"/>
      <c r="AE70" s="325"/>
      <c r="AF70" s="325"/>
      <c r="AG70" s="325"/>
      <c r="AH70" s="325"/>
      <c r="AI70" s="325"/>
      <c r="AJ70" s="325"/>
      <c r="AK70" s="325"/>
      <c r="AL70" s="325"/>
      <c r="AM70" s="325"/>
      <c r="AN70" s="325"/>
      <c r="AO70" s="325"/>
      <c r="AP70" s="136"/>
      <c r="AQ70" s="136"/>
      <c r="AR70" s="136" t="str">
        <f t="shared" si="14"/>
        <v/>
      </c>
      <c r="AS70" s="136" t="str">
        <f t="shared" si="14"/>
        <v/>
      </c>
      <c r="AT70" s="5" t="str">
        <f t="shared" si="15"/>
        <v/>
      </c>
      <c r="AV70" s="27" t="str">
        <f>IF(G70="","",+"          ["&amp;TRIM(G70)&amp;"] ["&amp;TRIM(I70)&amp;"]"&amp;IF(H70="","","("&amp;H70&amp;")")&amp;" "&amp;TRIM(J70)&amp;IF(G94="","",","))</f>
        <v/>
      </c>
      <c r="AW70" s="27"/>
      <c r="AY70" s="122" t="str">
        <f t="shared" si="8"/>
        <v/>
      </c>
    </row>
    <row r="71" spans="2:51" ht="12.75">
      <c r="B71" s="20" t="str">
        <f t="shared" si="10"/>
        <v/>
      </c>
      <c r="C71" s="5"/>
      <c r="D71" s="5"/>
      <c r="E71" s="5"/>
      <c r="G71" s="5" t="str">
        <f t="shared" si="16"/>
        <v/>
      </c>
      <c r="H71" s="117" t="str">
        <f t="shared" si="12"/>
        <v/>
      </c>
      <c r="I71" s="5" t="str">
        <f t="shared" si="17"/>
        <v/>
      </c>
      <c r="J71" s="5" t="str">
        <f t="shared" si="18"/>
        <v/>
      </c>
      <c r="K71" s="5"/>
      <c r="L71" s="5"/>
      <c r="M71" s="75"/>
      <c r="N71" s="77"/>
      <c r="O71" s="26"/>
      <c r="P71" s="26"/>
      <c r="Q71" s="118" t="str">
        <f t="shared" si="19"/>
        <v/>
      </c>
      <c r="R71" s="153"/>
      <c r="S71" s="138"/>
      <c r="T71" s="148"/>
      <c r="U71" s="146"/>
      <c r="V71" s="146"/>
      <c r="W71" s="139"/>
      <c r="X71" s="139"/>
      <c r="Y71" s="148"/>
      <c r="Z71" s="138" t="str">
        <f t="shared" si="9"/>
        <v/>
      </c>
      <c r="AA71" s="138" t="str">
        <f t="shared" si="11"/>
        <v/>
      </c>
      <c r="AB71" s="239"/>
      <c r="AC71" s="325"/>
      <c r="AD71" s="325"/>
      <c r="AE71" s="325"/>
      <c r="AF71" s="325"/>
      <c r="AG71" s="325"/>
      <c r="AH71" s="325"/>
      <c r="AI71" s="325"/>
      <c r="AJ71" s="325"/>
      <c r="AK71" s="325"/>
      <c r="AL71" s="325"/>
      <c r="AM71" s="325"/>
      <c r="AN71" s="325"/>
      <c r="AO71" s="325"/>
      <c r="AP71" s="136"/>
      <c r="AQ71" s="136"/>
      <c r="AR71" s="136" t="str">
        <f t="shared" si="14"/>
        <v/>
      </c>
      <c r="AS71" s="136" t="str">
        <f t="shared" si="14"/>
        <v/>
      </c>
      <c r="AT71" s="5" t="str">
        <f t="shared" si="15"/>
        <v/>
      </c>
      <c r="AV71" s="27" t="str">
        <f>IF(G71="","",+"          ["&amp;TRIM(G71)&amp;"] ["&amp;TRIM(I71)&amp;"]"&amp;IF(H71="","","("&amp;H71&amp;")")&amp;" "&amp;TRIM(J71)&amp;IF(G72="","",","))</f>
        <v/>
      </c>
      <c r="AW71" s="27"/>
      <c r="AY71" s="122" t="str">
        <f t="shared" si="8"/>
        <v/>
      </c>
    </row>
    <row r="72" spans="2:51" ht="12.75">
      <c r="B72" s="20" t="str">
        <f t="shared" si="10"/>
        <v/>
      </c>
      <c r="C72" s="5"/>
      <c r="D72" s="5"/>
      <c r="E72" s="5"/>
      <c r="G72" s="5" t="str">
        <f t="shared" si="16"/>
        <v/>
      </c>
      <c r="H72" s="117" t="str">
        <f t="shared" si="12"/>
        <v/>
      </c>
      <c r="I72" s="5" t="str">
        <f t="shared" si="17"/>
        <v/>
      </c>
      <c r="J72" s="5" t="str">
        <f t="shared" si="18"/>
        <v/>
      </c>
      <c r="K72" s="5"/>
      <c r="L72" s="5"/>
      <c r="M72" s="75"/>
      <c r="N72" s="77"/>
      <c r="O72" s="26"/>
      <c r="P72" s="26"/>
      <c r="Q72" s="118" t="str">
        <f t="shared" si="19"/>
        <v/>
      </c>
      <c r="R72" s="153"/>
      <c r="S72" s="138"/>
      <c r="T72" s="148"/>
      <c r="U72" s="146"/>
      <c r="V72" s="146"/>
      <c r="W72" s="139"/>
      <c r="X72" s="139"/>
      <c r="Y72" s="148"/>
      <c r="Z72" s="138" t="str">
        <f t="shared" si="9"/>
        <v/>
      </c>
      <c r="AA72" s="138" t="str">
        <f t="shared" si="11"/>
        <v/>
      </c>
      <c r="AB72" s="239"/>
      <c r="AC72" s="325"/>
      <c r="AD72" s="325"/>
      <c r="AE72" s="325"/>
      <c r="AF72" s="325"/>
      <c r="AG72" s="325"/>
      <c r="AH72" s="325"/>
      <c r="AI72" s="325"/>
      <c r="AJ72" s="325"/>
      <c r="AK72" s="325"/>
      <c r="AL72" s="325"/>
      <c r="AM72" s="325"/>
      <c r="AN72" s="325"/>
      <c r="AO72" s="325"/>
      <c r="AP72" s="136"/>
      <c r="AQ72" s="136"/>
      <c r="AR72" s="136" t="str">
        <f t="shared" si="14"/>
        <v/>
      </c>
      <c r="AS72" s="136" t="str">
        <f t="shared" si="14"/>
        <v/>
      </c>
      <c r="AT72" s="5" t="str">
        <f t="shared" si="15"/>
        <v/>
      </c>
      <c r="AV72" s="27" t="str">
        <f>IF(G72="","",+"          ["&amp;TRIM(G72)&amp;"] ["&amp;TRIM(I72)&amp;"]"&amp;IF(H72="","","("&amp;H72&amp;")")&amp;" "&amp;TRIM(J72)&amp;IF(G75="","",","))</f>
        <v/>
      </c>
      <c r="AW72" s="27"/>
      <c r="AY72" s="122" t="str">
        <f t="shared" si="8"/>
        <v/>
      </c>
    </row>
    <row r="73" spans="2:51" ht="12.75">
      <c r="B73" s="20" t="str">
        <f t="shared" si="10"/>
        <v/>
      </c>
      <c r="C73" s="5"/>
      <c r="D73" s="5"/>
      <c r="E73" s="5"/>
      <c r="G73" s="5" t="str">
        <f t="shared" si="16"/>
        <v/>
      </c>
      <c r="H73" s="117" t="str">
        <f t="shared" si="12"/>
        <v/>
      </c>
      <c r="I73" s="5" t="str">
        <f t="shared" si="17"/>
        <v/>
      </c>
      <c r="J73" s="5" t="str">
        <f t="shared" si="18"/>
        <v/>
      </c>
      <c r="K73" s="5"/>
      <c r="L73" s="5"/>
      <c r="M73" s="75"/>
      <c r="N73" s="77"/>
      <c r="O73" s="26"/>
      <c r="P73" s="26"/>
      <c r="Q73" s="118" t="str">
        <f t="shared" si="19"/>
        <v/>
      </c>
      <c r="R73" s="153"/>
      <c r="S73" s="138"/>
      <c r="T73" s="148"/>
      <c r="U73" s="146"/>
      <c r="V73" s="146"/>
      <c r="W73" s="139"/>
      <c r="X73" s="139"/>
      <c r="Y73" s="148"/>
      <c r="Z73" s="138" t="str">
        <f t="shared" si="9"/>
        <v/>
      </c>
      <c r="AA73" s="138" t="str">
        <f t="shared" si="11"/>
        <v/>
      </c>
      <c r="AB73" s="239"/>
      <c r="AC73" s="325"/>
      <c r="AD73" s="325"/>
      <c r="AE73" s="325"/>
      <c r="AF73" s="325"/>
      <c r="AG73" s="325"/>
      <c r="AH73" s="325"/>
      <c r="AI73" s="325"/>
      <c r="AJ73" s="325"/>
      <c r="AK73" s="325"/>
      <c r="AL73" s="325"/>
      <c r="AM73" s="325"/>
      <c r="AN73" s="325"/>
      <c r="AO73" s="325"/>
      <c r="AP73" s="136"/>
      <c r="AQ73" s="136"/>
      <c r="AR73" s="136" t="str">
        <f t="shared" si="14"/>
        <v/>
      </c>
      <c r="AS73" s="136" t="str">
        <f t="shared" si="14"/>
        <v/>
      </c>
      <c r="AT73" s="5" t="str">
        <f t="shared" si="15"/>
        <v/>
      </c>
      <c r="AV73" s="27" t="str">
        <f>IF(G73="","",+"          ["&amp;TRIM(G73)&amp;"] ["&amp;TRIM(I73)&amp;"]"&amp;IF(H73="","","("&amp;H73&amp;")")&amp;" "&amp;TRIM(J73)&amp;IF(G74="","",","))</f>
        <v/>
      </c>
      <c r="AW73" s="27"/>
      <c r="AY73" s="122" t="str">
        <f t="shared" si="8"/>
        <v/>
      </c>
    </row>
    <row r="74" spans="2:51" ht="12.75">
      <c r="B74" s="20" t="str">
        <f t="shared" si="10"/>
        <v/>
      </c>
      <c r="C74" s="5"/>
      <c r="D74" s="5"/>
      <c r="E74" s="5"/>
      <c r="G74" s="5" t="str">
        <f t="shared" si="16"/>
        <v/>
      </c>
      <c r="H74" s="117" t="str">
        <f t="shared" si="12"/>
        <v/>
      </c>
      <c r="I74" s="5" t="str">
        <f t="shared" si="17"/>
        <v/>
      </c>
      <c r="J74" s="5" t="str">
        <f t="shared" si="18"/>
        <v/>
      </c>
      <c r="K74" s="5"/>
      <c r="L74" s="5"/>
      <c r="M74" s="75"/>
      <c r="N74" s="77"/>
      <c r="O74" s="26"/>
      <c r="P74" s="26"/>
      <c r="Q74" s="118" t="str">
        <f t="shared" si="19"/>
        <v/>
      </c>
      <c r="R74" s="153"/>
      <c r="S74" s="138"/>
      <c r="T74" s="148"/>
      <c r="U74" s="146"/>
      <c r="V74" s="146"/>
      <c r="W74" s="139"/>
      <c r="X74" s="139"/>
      <c r="Y74" s="148"/>
      <c r="Z74" s="138" t="str">
        <f t="shared" si="9"/>
        <v/>
      </c>
      <c r="AA74" s="138" t="str">
        <f t="shared" si="11"/>
        <v/>
      </c>
      <c r="AB74" s="239"/>
      <c r="AC74" s="325"/>
      <c r="AD74" s="325"/>
      <c r="AE74" s="325"/>
      <c r="AF74" s="325"/>
      <c r="AG74" s="325"/>
      <c r="AH74" s="325"/>
      <c r="AI74" s="325"/>
      <c r="AJ74" s="325"/>
      <c r="AK74" s="325"/>
      <c r="AL74" s="325"/>
      <c r="AM74" s="325"/>
      <c r="AN74" s="325"/>
      <c r="AO74" s="325"/>
      <c r="AP74" s="136"/>
      <c r="AQ74" s="136"/>
      <c r="AR74" s="136" t="str">
        <f t="shared" si="14"/>
        <v/>
      </c>
      <c r="AS74" s="136" t="str">
        <f t="shared" si="14"/>
        <v/>
      </c>
      <c r="AT74" s="5" t="str">
        <f t="shared" si="15"/>
        <v/>
      </c>
      <c r="AV74" s="27" t="str">
        <f>IF(G74="","",+"          ["&amp;TRIM(G74)&amp;"] ["&amp;TRIM(I74)&amp;"]"&amp;IF(H74="","","("&amp;H74&amp;")")&amp;" "&amp;TRIM(J74)&amp;IF(G75="","",","))</f>
        <v/>
      </c>
      <c r="AW74" s="27"/>
      <c r="AY74" s="122" t="str">
        <f t="shared" si="8"/>
        <v/>
      </c>
    </row>
    <row r="75" spans="2:51" ht="12.75">
      <c r="B75" s="20" t="str">
        <f t="shared" si="10"/>
        <v/>
      </c>
      <c r="C75" s="5"/>
      <c r="D75" s="5"/>
      <c r="E75" s="5"/>
      <c r="G75" s="5" t="str">
        <f t="shared" si="16"/>
        <v/>
      </c>
      <c r="H75" s="117" t="str">
        <f t="shared" si="12"/>
        <v/>
      </c>
      <c r="I75" s="5" t="str">
        <f t="shared" si="17"/>
        <v/>
      </c>
      <c r="J75" s="5" t="str">
        <f t="shared" si="18"/>
        <v/>
      </c>
      <c r="K75" s="5"/>
      <c r="L75" s="5"/>
      <c r="M75" s="75"/>
      <c r="N75" s="77"/>
      <c r="O75" s="26"/>
      <c r="P75" s="26"/>
      <c r="Q75" s="118" t="str">
        <f t="shared" si="19"/>
        <v/>
      </c>
      <c r="R75" s="153"/>
      <c r="S75" s="138"/>
      <c r="T75" s="148"/>
      <c r="U75" s="146"/>
      <c r="V75" s="146"/>
      <c r="W75" s="139"/>
      <c r="X75" s="139"/>
      <c r="Y75" s="148"/>
      <c r="Z75" s="138" t="str">
        <f t="shared" si="9"/>
        <v/>
      </c>
      <c r="AA75" s="138" t="str">
        <f t="shared" si="11"/>
        <v/>
      </c>
      <c r="AB75" s="239"/>
      <c r="AC75" s="325"/>
      <c r="AD75" s="325"/>
      <c r="AE75" s="325"/>
      <c r="AF75" s="325"/>
      <c r="AG75" s="325"/>
      <c r="AH75" s="325"/>
      <c r="AI75" s="325"/>
      <c r="AJ75" s="325"/>
      <c r="AK75" s="325"/>
      <c r="AL75" s="325"/>
      <c r="AM75" s="325"/>
      <c r="AN75" s="325"/>
      <c r="AO75" s="325"/>
      <c r="AP75" s="136"/>
      <c r="AQ75" s="136"/>
      <c r="AR75" s="136" t="str">
        <f t="shared" si="14"/>
        <v/>
      </c>
      <c r="AS75" s="136" t="str">
        <f t="shared" si="14"/>
        <v/>
      </c>
      <c r="AT75" s="5" t="str">
        <f t="shared" si="15"/>
        <v/>
      </c>
      <c r="AV75" s="27" t="str">
        <f>IF(G75="","",+"          ["&amp;TRIM(G75)&amp;"] ["&amp;TRIM(I75)&amp;"]"&amp;IF(H75="","","("&amp;H75&amp;")")&amp;" "&amp;TRIM(J75)&amp;IF(G94="","",","))</f>
        <v/>
      </c>
      <c r="AW75" s="27"/>
      <c r="AY75" s="122" t="str">
        <f t="shared" si="8"/>
        <v/>
      </c>
    </row>
    <row r="76" spans="2:51" ht="12.75">
      <c r="B76" s="20" t="str">
        <f t="shared" si="10"/>
        <v/>
      </c>
      <c r="C76" s="5"/>
      <c r="D76" s="5"/>
      <c r="E76" s="5"/>
      <c r="G76" s="5" t="str">
        <f t="shared" si="16"/>
        <v/>
      </c>
      <c r="H76" s="117" t="str">
        <f t="shared" si="12"/>
        <v/>
      </c>
      <c r="I76" s="5" t="str">
        <f t="shared" si="17"/>
        <v/>
      </c>
      <c r="J76" s="5" t="str">
        <f t="shared" si="18"/>
        <v/>
      </c>
      <c r="K76" s="5"/>
      <c r="L76" s="5"/>
      <c r="M76" s="75"/>
      <c r="N76" s="77"/>
      <c r="O76" s="26"/>
      <c r="P76" s="26"/>
      <c r="Q76" s="118" t="str">
        <f t="shared" si="19"/>
        <v/>
      </c>
      <c r="R76" s="153"/>
      <c r="S76" s="138"/>
      <c r="T76" s="148"/>
      <c r="U76" s="146"/>
      <c r="V76" s="146"/>
      <c r="W76" s="139"/>
      <c r="X76" s="139"/>
      <c r="Y76" s="148"/>
      <c r="Z76" s="138" t="str">
        <f t="shared" si="9"/>
        <v/>
      </c>
      <c r="AA76" s="138" t="str">
        <f t="shared" si="11"/>
        <v/>
      </c>
      <c r="AB76" s="239"/>
      <c r="AC76" s="325"/>
      <c r="AD76" s="325"/>
      <c r="AE76" s="325"/>
      <c r="AF76" s="325"/>
      <c r="AG76" s="325"/>
      <c r="AH76" s="325"/>
      <c r="AI76" s="325"/>
      <c r="AJ76" s="325"/>
      <c r="AK76" s="325"/>
      <c r="AL76" s="325"/>
      <c r="AM76" s="325"/>
      <c r="AN76" s="325"/>
      <c r="AO76" s="325"/>
      <c r="AP76" s="136"/>
      <c r="AQ76" s="136"/>
      <c r="AR76" s="136" t="str">
        <f t="shared" si="14"/>
        <v/>
      </c>
      <c r="AS76" s="136" t="str">
        <f t="shared" si="14"/>
        <v/>
      </c>
      <c r="AT76" s="5" t="str">
        <f t="shared" si="15"/>
        <v/>
      </c>
      <c r="AV76" s="27" t="str">
        <f>IF(G76="","",+"          ["&amp;TRIM(G76)&amp;"] ["&amp;TRIM(I76)&amp;"]"&amp;IF(H76="","","("&amp;H76&amp;")")&amp;" "&amp;TRIM(J76)&amp;IF(G77="","",","))</f>
        <v/>
      </c>
      <c r="AW76" s="27"/>
      <c r="AY76" s="122" t="str">
        <f t="shared" si="8"/>
        <v/>
      </c>
    </row>
    <row r="77" spans="2:51" ht="12.75">
      <c r="B77" s="20" t="str">
        <f t="shared" si="10"/>
        <v/>
      </c>
      <c r="C77" s="5"/>
      <c r="D77" s="5"/>
      <c r="E77" s="5"/>
      <c r="G77" s="5" t="str">
        <f t="shared" si="16"/>
        <v/>
      </c>
      <c r="H77" s="117" t="str">
        <f t="shared" si="12"/>
        <v/>
      </c>
      <c r="I77" s="5" t="str">
        <f t="shared" si="17"/>
        <v/>
      </c>
      <c r="J77" s="5" t="str">
        <f t="shared" si="18"/>
        <v/>
      </c>
      <c r="K77" s="5"/>
      <c r="L77" s="5"/>
      <c r="M77" s="75"/>
      <c r="N77" s="77"/>
      <c r="O77" s="26"/>
      <c r="P77" s="26"/>
      <c r="Q77" s="118" t="str">
        <f t="shared" si="19"/>
        <v/>
      </c>
      <c r="R77" s="153"/>
      <c r="S77" s="138"/>
      <c r="T77" s="148"/>
      <c r="U77" s="146"/>
      <c r="V77" s="146"/>
      <c r="W77" s="139"/>
      <c r="X77" s="139"/>
      <c r="Y77" s="148"/>
      <c r="Z77" s="138" t="str">
        <f t="shared" si="9"/>
        <v/>
      </c>
      <c r="AA77" s="138" t="str">
        <f t="shared" si="11"/>
        <v/>
      </c>
      <c r="AB77" s="239"/>
      <c r="AC77" s="325"/>
      <c r="AD77" s="325"/>
      <c r="AE77" s="325"/>
      <c r="AF77" s="325"/>
      <c r="AG77" s="325"/>
      <c r="AH77" s="325"/>
      <c r="AI77" s="325"/>
      <c r="AJ77" s="325"/>
      <c r="AK77" s="325"/>
      <c r="AL77" s="325"/>
      <c r="AM77" s="325"/>
      <c r="AN77" s="325"/>
      <c r="AO77" s="325"/>
      <c r="AP77" s="136"/>
      <c r="AQ77" s="136"/>
      <c r="AR77" s="136" t="str">
        <f t="shared" si="14"/>
        <v/>
      </c>
      <c r="AS77" s="136" t="str">
        <f t="shared" si="14"/>
        <v/>
      </c>
      <c r="AT77" s="5" t="str">
        <f t="shared" si="15"/>
        <v/>
      </c>
      <c r="AV77" s="27" t="str">
        <f>IF(G77="","",+"          ["&amp;TRIM(G77)&amp;"] ["&amp;TRIM(I77)&amp;"]"&amp;IF(H77="","","("&amp;H77&amp;")")&amp;" "&amp;TRIM(J77)&amp;IF(G78="","",","))</f>
        <v/>
      </c>
      <c r="AW77" s="27"/>
      <c r="AY77" s="122" t="str">
        <f t="shared" si="8"/>
        <v/>
      </c>
    </row>
    <row r="78" spans="2:51" ht="12.75">
      <c r="B78" s="20" t="str">
        <f t="shared" si="10"/>
        <v/>
      </c>
      <c r="C78" s="5"/>
      <c r="D78" s="5"/>
      <c r="E78" s="5"/>
      <c r="G78" s="5" t="str">
        <f t="shared" si="16"/>
        <v/>
      </c>
      <c r="H78" s="117" t="str">
        <f t="shared" si="12"/>
        <v/>
      </c>
      <c r="I78" s="5" t="str">
        <f t="shared" si="17"/>
        <v/>
      </c>
      <c r="J78" s="5" t="str">
        <f t="shared" si="18"/>
        <v/>
      </c>
      <c r="K78" s="5"/>
      <c r="L78" s="5"/>
      <c r="M78" s="75"/>
      <c r="N78" s="77"/>
      <c r="O78" s="26"/>
      <c r="P78" s="26"/>
      <c r="Q78" s="118" t="str">
        <f t="shared" si="19"/>
        <v/>
      </c>
      <c r="R78" s="153"/>
      <c r="S78" s="138"/>
      <c r="T78" s="148"/>
      <c r="U78" s="146"/>
      <c r="V78" s="146"/>
      <c r="W78" s="139"/>
      <c r="X78" s="139"/>
      <c r="Y78" s="148"/>
      <c r="Z78" s="138" t="str">
        <f t="shared" si="9"/>
        <v/>
      </c>
      <c r="AA78" s="138" t="str">
        <f t="shared" si="11"/>
        <v/>
      </c>
      <c r="AB78" s="239"/>
      <c r="AC78" s="325"/>
      <c r="AD78" s="325"/>
      <c r="AE78" s="325"/>
      <c r="AF78" s="325"/>
      <c r="AG78" s="325"/>
      <c r="AH78" s="325"/>
      <c r="AI78" s="325"/>
      <c r="AJ78" s="325"/>
      <c r="AK78" s="325"/>
      <c r="AL78" s="325"/>
      <c r="AM78" s="325"/>
      <c r="AN78" s="325"/>
      <c r="AO78" s="325"/>
      <c r="AP78" s="136"/>
      <c r="AQ78" s="136"/>
      <c r="AR78" s="136" t="str">
        <f t="shared" si="14"/>
        <v/>
      </c>
      <c r="AS78" s="136" t="str">
        <f t="shared" si="14"/>
        <v/>
      </c>
      <c r="AT78" s="5" t="str">
        <f t="shared" si="15"/>
        <v/>
      </c>
      <c r="AV78" s="27" t="str">
        <f>IF(G78="","",+"          ["&amp;TRIM(G78)&amp;"] ["&amp;TRIM(I78)&amp;"]"&amp;IF(H78="","","("&amp;H78&amp;")")&amp;" "&amp;TRIM(J78)&amp;IF(G93="","",","))</f>
        <v/>
      </c>
      <c r="AW78" s="27"/>
      <c r="AY78" s="122" t="str">
        <f t="shared" si="8"/>
        <v/>
      </c>
    </row>
    <row r="79" spans="2:51" ht="12.75">
      <c r="B79" s="20" t="str">
        <f t="shared" si="10"/>
        <v/>
      </c>
      <c r="C79" s="5"/>
      <c r="D79" s="5"/>
      <c r="E79" s="5"/>
      <c r="G79" s="5" t="str">
        <f t="shared" si="16"/>
        <v/>
      </c>
      <c r="H79" s="117" t="str">
        <f t="shared" si="12"/>
        <v/>
      </c>
      <c r="I79" s="5" t="str">
        <f t="shared" si="17"/>
        <v/>
      </c>
      <c r="J79" s="5" t="str">
        <f t="shared" si="18"/>
        <v/>
      </c>
      <c r="K79" s="5"/>
      <c r="L79" s="5"/>
      <c r="M79" s="75"/>
      <c r="N79" s="77"/>
      <c r="O79" s="26"/>
      <c r="P79" s="26"/>
      <c r="Q79" s="118" t="str">
        <f t="shared" si="19"/>
        <v/>
      </c>
      <c r="R79" s="153"/>
      <c r="S79" s="138"/>
      <c r="T79" s="148"/>
      <c r="U79" s="146"/>
      <c r="V79" s="146"/>
      <c r="W79" s="139"/>
      <c r="X79" s="139"/>
      <c r="Y79" s="148"/>
      <c r="Z79" s="138" t="str">
        <f t="shared" si="9"/>
        <v/>
      </c>
      <c r="AA79" s="138" t="str">
        <f t="shared" si="11"/>
        <v/>
      </c>
      <c r="AB79" s="239"/>
      <c r="AC79" s="325"/>
      <c r="AD79" s="325"/>
      <c r="AE79" s="325"/>
      <c r="AF79" s="325"/>
      <c r="AG79" s="325"/>
      <c r="AH79" s="325"/>
      <c r="AI79" s="325"/>
      <c r="AJ79" s="325"/>
      <c r="AK79" s="325"/>
      <c r="AL79" s="325"/>
      <c r="AM79" s="325"/>
      <c r="AN79" s="325"/>
      <c r="AO79" s="325"/>
      <c r="AP79" s="136"/>
      <c r="AQ79" s="136"/>
      <c r="AR79" s="136" t="str">
        <f t="shared" si="14"/>
        <v/>
      </c>
      <c r="AS79" s="136" t="str">
        <f t="shared" si="14"/>
        <v/>
      </c>
      <c r="AT79" s="5" t="str">
        <f t="shared" si="15"/>
        <v/>
      </c>
      <c r="AV79" s="27" t="str">
        <f>IF(G79="","",+"          ["&amp;TRIM(G79)&amp;"] ["&amp;TRIM(I79)&amp;"]"&amp;IF(H79="","","("&amp;H79&amp;")")&amp;" "&amp;TRIM(J79)&amp;IF(G80="","",","))</f>
        <v/>
      </c>
      <c r="AW79" s="27"/>
      <c r="AY79" s="122" t="str">
        <f t="shared" si="8"/>
        <v/>
      </c>
    </row>
    <row r="80" spans="2:51" ht="12.75">
      <c r="B80" s="20" t="str">
        <f t="shared" si="10"/>
        <v/>
      </c>
      <c r="C80" s="5"/>
      <c r="D80" s="5"/>
      <c r="E80" s="5"/>
      <c r="G80" s="5" t="str">
        <f t="shared" si="16"/>
        <v/>
      </c>
      <c r="H80" s="117" t="str">
        <f t="shared" si="12"/>
        <v/>
      </c>
      <c r="I80" s="5" t="str">
        <f t="shared" si="17"/>
        <v/>
      </c>
      <c r="J80" s="5" t="str">
        <f t="shared" si="18"/>
        <v/>
      </c>
      <c r="K80" s="5"/>
      <c r="L80" s="5"/>
      <c r="M80" s="75"/>
      <c r="N80" s="77"/>
      <c r="O80" s="26"/>
      <c r="P80" s="26"/>
      <c r="Q80" s="118" t="str">
        <f t="shared" si="19"/>
        <v/>
      </c>
      <c r="R80" s="153"/>
      <c r="S80" s="138"/>
      <c r="T80" s="148"/>
      <c r="U80" s="146"/>
      <c r="V80" s="146"/>
      <c r="W80" s="139"/>
      <c r="X80" s="139"/>
      <c r="Y80" s="148"/>
      <c r="Z80" s="138" t="str">
        <f t="shared" si="9"/>
        <v/>
      </c>
      <c r="AA80" s="138" t="str">
        <f t="shared" si="11"/>
        <v/>
      </c>
      <c r="AB80" s="239"/>
      <c r="AC80" s="325"/>
      <c r="AD80" s="325"/>
      <c r="AE80" s="325"/>
      <c r="AF80" s="325"/>
      <c r="AG80" s="325"/>
      <c r="AH80" s="325"/>
      <c r="AI80" s="325"/>
      <c r="AJ80" s="325"/>
      <c r="AK80" s="325"/>
      <c r="AL80" s="325"/>
      <c r="AM80" s="325"/>
      <c r="AN80" s="325"/>
      <c r="AO80" s="325"/>
      <c r="AP80" s="136"/>
      <c r="AQ80" s="136"/>
      <c r="AR80" s="136" t="str">
        <f t="shared" ref="AR80:AS115" si="21">IF(O80=0,"",ROW())</f>
        <v/>
      </c>
      <c r="AS80" s="136" t="str">
        <f t="shared" si="21"/>
        <v/>
      </c>
      <c r="AT80" s="5" t="str">
        <f t="shared" ref="AT80:AT116" si="22">IF(C80="","",C80&amp;IF(B81="","",","))</f>
        <v/>
      </c>
      <c r="AV80" s="27" t="str">
        <f>IF(G80="","",+"          ["&amp;TRIM(G80)&amp;"] ["&amp;TRIM(I80)&amp;"]"&amp;IF(H80="","","("&amp;H80&amp;")")&amp;" "&amp;TRIM(J80)&amp;IF(G83="","",","))</f>
        <v/>
      </c>
      <c r="AW80" s="27"/>
      <c r="AY80" s="122" t="str">
        <f t="shared" ref="AY80:AY116" si="23">IF(G80="",IF(OR(AY79=");",AY79=""),"",");"),+"          "&amp;TRIM(G80)&amp;" "&amp;UPPER(TRIM(I80))&amp;IF(H80="",""," ("&amp;H80&amp;")")&amp;" "&amp;IF(TRIM(J80)="NOT NULL","PRIMARY KEY UNIQUE NOT NULL",TRIM(J80))&amp;IF(G81="","",","))</f>
        <v/>
      </c>
    </row>
    <row r="81" spans="2:51" ht="12.75">
      <c r="B81" s="20" t="str">
        <f t="shared" si="10"/>
        <v/>
      </c>
      <c r="C81" s="5"/>
      <c r="D81" s="5"/>
      <c r="E81" s="5"/>
      <c r="G81" s="5" t="str">
        <f t="shared" si="16"/>
        <v/>
      </c>
      <c r="H81" s="117" t="str">
        <f t="shared" si="12"/>
        <v/>
      </c>
      <c r="I81" s="5" t="str">
        <f t="shared" si="17"/>
        <v/>
      </c>
      <c r="J81" s="5" t="str">
        <f t="shared" si="18"/>
        <v/>
      </c>
      <c r="K81" s="5"/>
      <c r="L81" s="5"/>
      <c r="M81" s="75"/>
      <c r="N81" s="77"/>
      <c r="O81" s="26"/>
      <c r="P81" s="26"/>
      <c r="Q81" s="118" t="str">
        <f t="shared" si="19"/>
        <v/>
      </c>
      <c r="R81" s="153"/>
      <c r="S81" s="138"/>
      <c r="T81" s="148"/>
      <c r="U81" s="146"/>
      <c r="V81" s="146"/>
      <c r="W81" s="139"/>
      <c r="X81" s="139"/>
      <c r="Y81" s="148"/>
      <c r="Z81" s="138" t="str">
        <f t="shared" ref="Z81:Z115" si="24">IF(M81&lt;9000,"","false")</f>
        <v/>
      </c>
      <c r="AA81" s="138" t="str">
        <f t="shared" si="11"/>
        <v/>
      </c>
      <c r="AB81" s="239"/>
      <c r="AC81" s="325"/>
      <c r="AD81" s="325"/>
      <c r="AE81" s="325"/>
      <c r="AF81" s="325"/>
      <c r="AG81" s="325"/>
      <c r="AH81" s="325"/>
      <c r="AI81" s="325"/>
      <c r="AJ81" s="325"/>
      <c r="AK81" s="325"/>
      <c r="AL81" s="325"/>
      <c r="AM81" s="325"/>
      <c r="AN81" s="325"/>
      <c r="AO81" s="325"/>
      <c r="AP81" s="136"/>
      <c r="AQ81" s="136"/>
      <c r="AR81" s="136" t="str">
        <f t="shared" si="21"/>
        <v/>
      </c>
      <c r="AS81" s="136" t="str">
        <f t="shared" si="21"/>
        <v/>
      </c>
      <c r="AT81" s="5" t="str">
        <f t="shared" si="22"/>
        <v/>
      </c>
      <c r="AV81" s="27" t="str">
        <f>IF(G81="","",+"          ["&amp;TRIM(G81)&amp;"] ["&amp;TRIM(I81)&amp;"]"&amp;IF(H81="","","("&amp;H81&amp;")")&amp;" "&amp;TRIM(J81)&amp;IF(G82="","",","))</f>
        <v/>
      </c>
      <c r="AW81" s="27"/>
      <c r="AY81" s="122" t="str">
        <f t="shared" si="23"/>
        <v/>
      </c>
    </row>
    <row r="82" spans="2:51" ht="12.75">
      <c r="B82" s="20" t="str">
        <f t="shared" ref="B82:B115" si="25">IF(C82=0,"",+B81+1)</f>
        <v/>
      </c>
      <c r="C82" s="5"/>
      <c r="D82" s="5"/>
      <c r="E82" s="5"/>
      <c r="G82" s="5" t="str">
        <f t="shared" si="16"/>
        <v/>
      </c>
      <c r="H82" s="117" t="str">
        <f t="shared" si="12"/>
        <v/>
      </c>
      <c r="I82" s="5" t="str">
        <f t="shared" si="17"/>
        <v/>
      </c>
      <c r="J82" s="5" t="str">
        <f t="shared" si="18"/>
        <v/>
      </c>
      <c r="K82" s="5"/>
      <c r="L82" s="5"/>
      <c r="M82" s="75"/>
      <c r="N82" s="77"/>
      <c r="O82" s="26"/>
      <c r="P82" s="26"/>
      <c r="Q82" s="118" t="str">
        <f t="shared" si="19"/>
        <v/>
      </c>
      <c r="R82" s="153"/>
      <c r="S82" s="138"/>
      <c r="T82" s="148"/>
      <c r="U82" s="146"/>
      <c r="V82" s="146"/>
      <c r="W82" s="139"/>
      <c r="X82" s="139"/>
      <c r="Y82" s="148"/>
      <c r="Z82" s="138" t="str">
        <f t="shared" si="24"/>
        <v/>
      </c>
      <c r="AA82" s="138" t="str">
        <f t="shared" ref="AA82:AA115" si="26">IF($C$120=B82,"asc","")</f>
        <v/>
      </c>
      <c r="AB82" s="239"/>
      <c r="AC82" s="325"/>
      <c r="AD82" s="325"/>
      <c r="AE82" s="325"/>
      <c r="AF82" s="325"/>
      <c r="AG82" s="325"/>
      <c r="AH82" s="325"/>
      <c r="AI82" s="325"/>
      <c r="AJ82" s="325"/>
      <c r="AK82" s="325"/>
      <c r="AL82" s="325"/>
      <c r="AM82" s="325"/>
      <c r="AN82" s="325"/>
      <c r="AO82" s="325"/>
      <c r="AP82" s="136"/>
      <c r="AQ82" s="136"/>
      <c r="AR82" s="136" t="str">
        <f t="shared" si="21"/>
        <v/>
      </c>
      <c r="AS82" s="136" t="str">
        <f t="shared" si="21"/>
        <v/>
      </c>
      <c r="AT82" s="5" t="str">
        <f t="shared" si="22"/>
        <v/>
      </c>
      <c r="AV82" s="27" t="str">
        <f>IF(G82="","",+"          ["&amp;TRIM(G82)&amp;"] ["&amp;TRIM(I82)&amp;"]"&amp;IF(H82="","","("&amp;H82&amp;")")&amp;" "&amp;TRIM(J82)&amp;IF(G83="","",","))</f>
        <v/>
      </c>
      <c r="AW82" s="27"/>
      <c r="AY82" s="122" t="str">
        <f t="shared" si="23"/>
        <v/>
      </c>
    </row>
    <row r="83" spans="2:51" ht="12.75">
      <c r="B83" s="20" t="str">
        <f t="shared" si="25"/>
        <v/>
      </c>
      <c r="C83" s="5"/>
      <c r="D83" s="5"/>
      <c r="E83" s="5"/>
      <c r="G83" s="5" t="str">
        <f t="shared" si="16"/>
        <v/>
      </c>
      <c r="H83" s="117" t="str">
        <f t="shared" si="12"/>
        <v/>
      </c>
      <c r="I83" s="5" t="str">
        <f t="shared" si="17"/>
        <v/>
      </c>
      <c r="J83" s="5" t="str">
        <f t="shared" si="18"/>
        <v/>
      </c>
      <c r="K83" s="5"/>
      <c r="L83" s="5"/>
      <c r="M83" s="75"/>
      <c r="N83" s="77"/>
      <c r="O83" s="26"/>
      <c r="P83" s="26"/>
      <c r="Q83" s="118" t="str">
        <f t="shared" si="19"/>
        <v/>
      </c>
      <c r="R83" s="153"/>
      <c r="S83" s="138"/>
      <c r="T83" s="148"/>
      <c r="U83" s="146"/>
      <c r="V83" s="146"/>
      <c r="W83" s="139"/>
      <c r="X83" s="139"/>
      <c r="Y83" s="148"/>
      <c r="Z83" s="138" t="str">
        <f t="shared" si="24"/>
        <v/>
      </c>
      <c r="AA83" s="138" t="str">
        <f t="shared" si="26"/>
        <v/>
      </c>
      <c r="AB83" s="239"/>
      <c r="AC83" s="325"/>
      <c r="AD83" s="325"/>
      <c r="AE83" s="325"/>
      <c r="AF83" s="325"/>
      <c r="AG83" s="325"/>
      <c r="AH83" s="325"/>
      <c r="AI83" s="325"/>
      <c r="AJ83" s="325"/>
      <c r="AK83" s="325"/>
      <c r="AL83" s="325"/>
      <c r="AM83" s="325"/>
      <c r="AN83" s="325"/>
      <c r="AO83" s="325"/>
      <c r="AP83" s="136"/>
      <c r="AQ83" s="136"/>
      <c r="AR83" s="136" t="str">
        <f t="shared" si="21"/>
        <v/>
      </c>
      <c r="AS83" s="136" t="str">
        <f t="shared" si="21"/>
        <v/>
      </c>
      <c r="AT83" s="5" t="str">
        <f t="shared" si="22"/>
        <v/>
      </c>
      <c r="AV83" s="27" t="str">
        <f>IF(G83="","",+"          ["&amp;TRIM(G83)&amp;"] ["&amp;TRIM(I83)&amp;"]"&amp;IF(H83="","","("&amp;H83&amp;")")&amp;" "&amp;TRIM(J83)&amp;IF(G93="","",","))</f>
        <v/>
      </c>
      <c r="AW83" s="27"/>
      <c r="AY83" s="122" t="str">
        <f t="shared" si="23"/>
        <v/>
      </c>
    </row>
    <row r="84" spans="2:51" ht="12.75">
      <c r="B84" s="20" t="str">
        <f t="shared" si="25"/>
        <v/>
      </c>
      <c r="C84" s="5"/>
      <c r="D84" s="5"/>
      <c r="E84" s="5"/>
      <c r="G84" s="5" t="str">
        <f t="shared" si="16"/>
        <v/>
      </c>
      <c r="H84" s="117" t="str">
        <f t="shared" si="12"/>
        <v/>
      </c>
      <c r="I84" s="5" t="str">
        <f t="shared" si="17"/>
        <v/>
      </c>
      <c r="J84" s="5" t="str">
        <f t="shared" si="18"/>
        <v/>
      </c>
      <c r="K84" s="5"/>
      <c r="L84" s="5"/>
      <c r="M84" s="75"/>
      <c r="N84" s="77"/>
      <c r="O84" s="26"/>
      <c r="P84" s="26"/>
      <c r="Q84" s="118" t="str">
        <f t="shared" si="19"/>
        <v/>
      </c>
      <c r="R84" s="153"/>
      <c r="S84" s="138"/>
      <c r="T84" s="148"/>
      <c r="U84" s="146"/>
      <c r="V84" s="146"/>
      <c r="W84" s="139"/>
      <c r="X84" s="139"/>
      <c r="Y84" s="148"/>
      <c r="Z84" s="138" t="str">
        <f t="shared" si="24"/>
        <v/>
      </c>
      <c r="AA84" s="138" t="str">
        <f t="shared" si="26"/>
        <v/>
      </c>
      <c r="AB84" s="239"/>
      <c r="AC84" s="325"/>
      <c r="AD84" s="325"/>
      <c r="AE84" s="325"/>
      <c r="AF84" s="325"/>
      <c r="AG84" s="325"/>
      <c r="AH84" s="325"/>
      <c r="AI84" s="325"/>
      <c r="AJ84" s="325"/>
      <c r="AK84" s="325"/>
      <c r="AL84" s="325"/>
      <c r="AM84" s="325"/>
      <c r="AN84" s="325"/>
      <c r="AO84" s="325"/>
      <c r="AP84" s="136"/>
      <c r="AQ84" s="136"/>
      <c r="AR84" s="136" t="str">
        <f t="shared" si="21"/>
        <v/>
      </c>
      <c r="AS84" s="136" t="str">
        <f t="shared" si="21"/>
        <v/>
      </c>
      <c r="AT84" s="5" t="str">
        <f t="shared" si="22"/>
        <v/>
      </c>
      <c r="AV84" s="27" t="str">
        <f>IF(G84="","",+"          ["&amp;TRIM(G84)&amp;"] ["&amp;TRIM(I84)&amp;"]"&amp;IF(H84="","","("&amp;H84&amp;")")&amp;" "&amp;TRIM(J84)&amp;IF(G85="","",","))</f>
        <v/>
      </c>
      <c r="AW84" s="27"/>
      <c r="AY84" s="122" t="str">
        <f t="shared" si="23"/>
        <v/>
      </c>
    </row>
    <row r="85" spans="2:51" ht="12.75">
      <c r="B85" s="20" t="str">
        <f t="shared" si="25"/>
        <v/>
      </c>
      <c r="C85" s="5"/>
      <c r="D85" s="5"/>
      <c r="E85" s="5"/>
      <c r="G85" s="5" t="str">
        <f t="shared" si="16"/>
        <v/>
      </c>
      <c r="H85" s="117" t="str">
        <f t="shared" si="12"/>
        <v/>
      </c>
      <c r="I85" s="5" t="str">
        <f t="shared" si="17"/>
        <v/>
      </c>
      <c r="J85" s="5" t="str">
        <f t="shared" si="18"/>
        <v/>
      </c>
      <c r="K85" s="5"/>
      <c r="L85" s="5"/>
      <c r="M85" s="75"/>
      <c r="N85" s="77"/>
      <c r="O85" s="26"/>
      <c r="P85" s="26"/>
      <c r="Q85" s="118" t="str">
        <f t="shared" si="19"/>
        <v/>
      </c>
      <c r="R85" s="153"/>
      <c r="S85" s="138"/>
      <c r="T85" s="148"/>
      <c r="U85" s="146"/>
      <c r="V85" s="146"/>
      <c r="W85" s="139"/>
      <c r="X85" s="139"/>
      <c r="Y85" s="148"/>
      <c r="Z85" s="138" t="str">
        <f t="shared" si="24"/>
        <v/>
      </c>
      <c r="AA85" s="138" t="str">
        <f t="shared" si="26"/>
        <v/>
      </c>
      <c r="AB85" s="239"/>
      <c r="AC85" s="325"/>
      <c r="AD85" s="325"/>
      <c r="AE85" s="325"/>
      <c r="AF85" s="325"/>
      <c r="AG85" s="325"/>
      <c r="AH85" s="325"/>
      <c r="AI85" s="325"/>
      <c r="AJ85" s="325"/>
      <c r="AK85" s="325"/>
      <c r="AL85" s="325"/>
      <c r="AM85" s="325"/>
      <c r="AN85" s="325"/>
      <c r="AO85" s="325"/>
      <c r="AP85" s="136"/>
      <c r="AQ85" s="136"/>
      <c r="AR85" s="136" t="str">
        <f t="shared" si="21"/>
        <v/>
      </c>
      <c r="AS85" s="136" t="str">
        <f t="shared" si="21"/>
        <v/>
      </c>
      <c r="AT85" s="5" t="str">
        <f t="shared" si="22"/>
        <v/>
      </c>
      <c r="AV85" s="27" t="str">
        <f>IF(G85="","",+"          ["&amp;TRIM(G85)&amp;"] ["&amp;TRIM(I85)&amp;"]"&amp;IF(H85="","","("&amp;H85&amp;")")&amp;" "&amp;TRIM(J85)&amp;IF(G86="","",","))</f>
        <v/>
      </c>
      <c r="AW85" s="27"/>
      <c r="AY85" s="122" t="str">
        <f t="shared" si="23"/>
        <v/>
      </c>
    </row>
    <row r="86" spans="2:51" ht="12.75">
      <c r="B86" s="20" t="str">
        <f t="shared" si="25"/>
        <v/>
      </c>
      <c r="C86" s="5"/>
      <c r="D86" s="5"/>
      <c r="E86" s="5"/>
      <c r="G86" s="5" t="str">
        <f t="shared" si="16"/>
        <v/>
      </c>
      <c r="H86" s="117" t="str">
        <f t="shared" si="12"/>
        <v/>
      </c>
      <c r="I86" s="5" t="str">
        <f t="shared" si="17"/>
        <v/>
      </c>
      <c r="J86" s="5" t="str">
        <f t="shared" si="18"/>
        <v/>
      </c>
      <c r="K86" s="5"/>
      <c r="L86" s="5"/>
      <c r="M86" s="75"/>
      <c r="N86" s="77"/>
      <c r="O86" s="26"/>
      <c r="P86" s="26"/>
      <c r="Q86" s="118" t="str">
        <f t="shared" si="19"/>
        <v/>
      </c>
      <c r="R86" s="153"/>
      <c r="S86" s="138"/>
      <c r="T86" s="148"/>
      <c r="U86" s="146"/>
      <c r="V86" s="146"/>
      <c r="W86" s="139"/>
      <c r="X86" s="139"/>
      <c r="Y86" s="148"/>
      <c r="Z86" s="138" t="str">
        <f t="shared" si="24"/>
        <v/>
      </c>
      <c r="AA86" s="138" t="str">
        <f t="shared" si="26"/>
        <v/>
      </c>
      <c r="AB86" s="239"/>
      <c r="AC86" s="325"/>
      <c r="AD86" s="325"/>
      <c r="AE86" s="325"/>
      <c r="AF86" s="325"/>
      <c r="AG86" s="325"/>
      <c r="AH86" s="325"/>
      <c r="AI86" s="325"/>
      <c r="AJ86" s="325"/>
      <c r="AK86" s="325"/>
      <c r="AL86" s="325"/>
      <c r="AM86" s="325"/>
      <c r="AN86" s="325"/>
      <c r="AO86" s="325"/>
      <c r="AP86" s="136"/>
      <c r="AQ86" s="136"/>
      <c r="AR86" s="136" t="str">
        <f t="shared" si="21"/>
        <v/>
      </c>
      <c r="AS86" s="136" t="str">
        <f t="shared" si="21"/>
        <v/>
      </c>
      <c r="AT86" s="5" t="str">
        <f t="shared" si="22"/>
        <v/>
      </c>
      <c r="AV86" s="27" t="str">
        <f>IF(G86="","",+"          ["&amp;TRIM(G86)&amp;"] ["&amp;TRIM(I86)&amp;"]"&amp;IF(H86="","","("&amp;H86&amp;")")&amp;" "&amp;TRIM(J86)&amp;IF(G87="","",","))</f>
        <v/>
      </c>
      <c r="AW86" s="27"/>
      <c r="AY86" s="122" t="str">
        <f t="shared" si="23"/>
        <v/>
      </c>
    </row>
    <row r="87" spans="2:51" ht="12.75">
      <c r="B87" s="20" t="str">
        <f t="shared" si="25"/>
        <v/>
      </c>
      <c r="C87" s="5"/>
      <c r="D87" s="5"/>
      <c r="E87" s="5"/>
      <c r="G87" s="5" t="str">
        <f t="shared" si="16"/>
        <v/>
      </c>
      <c r="H87" s="117" t="str">
        <f t="shared" ref="H87:H115" si="27">IF(IFERROR(FIND("varchar",E87),0)&gt;0,IF(D87&gt;8000,"max",D87),"")</f>
        <v/>
      </c>
      <c r="I87" s="5" t="str">
        <f t="shared" si="17"/>
        <v/>
      </c>
      <c r="J87" s="5" t="str">
        <f t="shared" si="18"/>
        <v/>
      </c>
      <c r="K87" s="5"/>
      <c r="L87" s="5"/>
      <c r="M87" s="75"/>
      <c r="N87" s="77"/>
      <c r="O87" s="26"/>
      <c r="P87" s="26"/>
      <c r="Q87" s="118" t="str">
        <f t="shared" si="19"/>
        <v/>
      </c>
      <c r="R87" s="153"/>
      <c r="S87" s="138"/>
      <c r="T87" s="148"/>
      <c r="U87" s="146"/>
      <c r="V87" s="146"/>
      <c r="W87" s="139"/>
      <c r="X87" s="139"/>
      <c r="Y87" s="148"/>
      <c r="Z87" s="138" t="str">
        <f t="shared" si="24"/>
        <v/>
      </c>
      <c r="AA87" s="138" t="str">
        <f t="shared" si="26"/>
        <v/>
      </c>
      <c r="AB87" s="239"/>
      <c r="AC87" s="325"/>
      <c r="AD87" s="325"/>
      <c r="AE87" s="325"/>
      <c r="AF87" s="325"/>
      <c r="AG87" s="325"/>
      <c r="AH87" s="325"/>
      <c r="AI87" s="325"/>
      <c r="AJ87" s="325"/>
      <c r="AK87" s="325"/>
      <c r="AL87" s="325"/>
      <c r="AM87" s="325"/>
      <c r="AN87" s="325"/>
      <c r="AO87" s="325"/>
      <c r="AP87" s="136"/>
      <c r="AQ87" s="136"/>
      <c r="AR87" s="136" t="str">
        <f t="shared" si="21"/>
        <v/>
      </c>
      <c r="AS87" s="136" t="str">
        <f t="shared" si="21"/>
        <v/>
      </c>
      <c r="AT87" s="5" t="str">
        <f t="shared" si="22"/>
        <v/>
      </c>
      <c r="AV87" s="27" t="str">
        <f>IF(G87="","",+"          ["&amp;TRIM(G87)&amp;"] ["&amp;TRIM(I87)&amp;"]"&amp;IF(H87="","","("&amp;H87&amp;")")&amp;" "&amp;TRIM(J87)&amp;IF(G93="","",","))</f>
        <v/>
      </c>
      <c r="AW87" s="27"/>
      <c r="AY87" s="122" t="str">
        <f t="shared" si="23"/>
        <v/>
      </c>
    </row>
    <row r="88" spans="2:51" ht="12.75">
      <c r="B88" s="20" t="str">
        <f t="shared" si="25"/>
        <v/>
      </c>
      <c r="C88" s="5"/>
      <c r="D88" s="5"/>
      <c r="E88" s="5"/>
      <c r="G88" s="5" t="str">
        <f t="shared" si="16"/>
        <v/>
      </c>
      <c r="H88" s="117" t="str">
        <f t="shared" si="27"/>
        <v/>
      </c>
      <c r="I88" s="5" t="str">
        <f t="shared" si="17"/>
        <v/>
      </c>
      <c r="J88" s="5" t="str">
        <f t="shared" si="18"/>
        <v/>
      </c>
      <c r="K88" s="5"/>
      <c r="L88" s="5"/>
      <c r="M88" s="75"/>
      <c r="N88" s="77"/>
      <c r="O88" s="26"/>
      <c r="P88" s="26"/>
      <c r="Q88" s="118" t="str">
        <f t="shared" si="19"/>
        <v/>
      </c>
      <c r="R88" s="153"/>
      <c r="S88" s="138"/>
      <c r="T88" s="148"/>
      <c r="U88" s="146"/>
      <c r="V88" s="146"/>
      <c r="W88" s="139"/>
      <c r="X88" s="139"/>
      <c r="Y88" s="148"/>
      <c r="Z88" s="138" t="str">
        <f t="shared" si="24"/>
        <v/>
      </c>
      <c r="AA88" s="138" t="str">
        <f t="shared" si="26"/>
        <v/>
      </c>
      <c r="AB88" s="239"/>
      <c r="AC88" s="325"/>
      <c r="AD88" s="325"/>
      <c r="AE88" s="325"/>
      <c r="AF88" s="325"/>
      <c r="AG88" s="325"/>
      <c r="AH88" s="325"/>
      <c r="AI88" s="325"/>
      <c r="AJ88" s="325"/>
      <c r="AK88" s="325"/>
      <c r="AL88" s="325"/>
      <c r="AM88" s="325"/>
      <c r="AN88" s="325"/>
      <c r="AO88" s="325"/>
      <c r="AP88" s="136"/>
      <c r="AQ88" s="136"/>
      <c r="AR88" s="136" t="str">
        <f t="shared" si="21"/>
        <v/>
      </c>
      <c r="AS88" s="136" t="str">
        <f t="shared" si="21"/>
        <v/>
      </c>
      <c r="AT88" s="5" t="str">
        <f t="shared" si="22"/>
        <v/>
      </c>
      <c r="AV88" s="27" t="str">
        <f>IF(G88="","",+"          ["&amp;TRIM(G88)&amp;"] ["&amp;TRIM(I88)&amp;"]"&amp;IF(H88="","","("&amp;H88&amp;")")&amp;" "&amp;TRIM(J88)&amp;IF(G89="","",","))</f>
        <v/>
      </c>
      <c r="AW88" s="27"/>
      <c r="AY88" s="122" t="str">
        <f t="shared" si="23"/>
        <v/>
      </c>
    </row>
    <row r="89" spans="2:51" ht="12.75">
      <c r="B89" s="20" t="str">
        <f t="shared" si="25"/>
        <v/>
      </c>
      <c r="C89" s="5"/>
      <c r="D89" s="5"/>
      <c r="E89" s="5"/>
      <c r="G89" s="5" t="str">
        <f t="shared" si="16"/>
        <v/>
      </c>
      <c r="H89" s="117" t="str">
        <f t="shared" si="27"/>
        <v/>
      </c>
      <c r="I89" s="5" t="str">
        <f t="shared" si="17"/>
        <v/>
      </c>
      <c r="J89" s="5" t="str">
        <f t="shared" si="18"/>
        <v/>
      </c>
      <c r="K89" s="5"/>
      <c r="L89" s="5"/>
      <c r="M89" s="75"/>
      <c r="N89" s="77"/>
      <c r="O89" s="26"/>
      <c r="P89" s="26"/>
      <c r="Q89" s="118" t="str">
        <f t="shared" si="19"/>
        <v/>
      </c>
      <c r="R89" s="153"/>
      <c r="S89" s="138"/>
      <c r="T89" s="148"/>
      <c r="U89" s="146"/>
      <c r="V89" s="146"/>
      <c r="W89" s="139"/>
      <c r="X89" s="139"/>
      <c r="Y89" s="148"/>
      <c r="Z89" s="138" t="str">
        <f t="shared" si="24"/>
        <v/>
      </c>
      <c r="AA89" s="138" t="str">
        <f t="shared" si="26"/>
        <v/>
      </c>
      <c r="AB89" s="239"/>
      <c r="AC89" s="325"/>
      <c r="AD89" s="325"/>
      <c r="AE89" s="325"/>
      <c r="AF89" s="325"/>
      <c r="AG89" s="325"/>
      <c r="AH89" s="325"/>
      <c r="AI89" s="325"/>
      <c r="AJ89" s="325"/>
      <c r="AK89" s="325"/>
      <c r="AL89" s="325"/>
      <c r="AM89" s="325"/>
      <c r="AN89" s="325"/>
      <c r="AO89" s="325"/>
      <c r="AP89" s="136"/>
      <c r="AQ89" s="136"/>
      <c r="AR89" s="136" t="str">
        <f t="shared" si="21"/>
        <v/>
      </c>
      <c r="AS89" s="136" t="str">
        <f t="shared" si="21"/>
        <v/>
      </c>
      <c r="AT89" s="5" t="str">
        <f t="shared" si="22"/>
        <v/>
      </c>
      <c r="AV89" s="27" t="str">
        <f>IF(G89="","",+"          ["&amp;TRIM(G89)&amp;"] ["&amp;TRIM(I89)&amp;"]"&amp;IF(H89="","","("&amp;H89&amp;")")&amp;" "&amp;TRIM(J89)&amp;IF(G92="","",","))</f>
        <v/>
      </c>
      <c r="AW89" s="27"/>
      <c r="AY89" s="122" t="str">
        <f t="shared" si="23"/>
        <v/>
      </c>
    </row>
    <row r="90" spans="2:51" ht="12.75">
      <c r="B90" s="20" t="str">
        <f t="shared" si="25"/>
        <v/>
      </c>
      <c r="C90" s="5"/>
      <c r="D90" s="5"/>
      <c r="E90" s="5"/>
      <c r="G90" s="5" t="str">
        <f t="shared" si="16"/>
        <v/>
      </c>
      <c r="H90" s="117" t="str">
        <f t="shared" si="27"/>
        <v/>
      </c>
      <c r="I90" s="5" t="str">
        <f t="shared" si="17"/>
        <v/>
      </c>
      <c r="J90" s="5" t="str">
        <f t="shared" si="18"/>
        <v/>
      </c>
      <c r="K90" s="5"/>
      <c r="L90" s="5"/>
      <c r="M90" s="75"/>
      <c r="N90" s="77"/>
      <c r="O90" s="26"/>
      <c r="P90" s="26"/>
      <c r="Q90" s="118" t="str">
        <f t="shared" si="19"/>
        <v/>
      </c>
      <c r="R90" s="153"/>
      <c r="S90" s="138"/>
      <c r="T90" s="148"/>
      <c r="U90" s="146"/>
      <c r="V90" s="146"/>
      <c r="W90" s="139"/>
      <c r="X90" s="139"/>
      <c r="Y90" s="148"/>
      <c r="Z90" s="138" t="str">
        <f t="shared" si="24"/>
        <v/>
      </c>
      <c r="AA90" s="138" t="str">
        <f t="shared" si="26"/>
        <v/>
      </c>
      <c r="AB90" s="239"/>
      <c r="AC90" s="325"/>
      <c r="AD90" s="325"/>
      <c r="AE90" s="325"/>
      <c r="AF90" s="325"/>
      <c r="AG90" s="325"/>
      <c r="AH90" s="325"/>
      <c r="AI90" s="325"/>
      <c r="AJ90" s="325"/>
      <c r="AK90" s="325"/>
      <c r="AL90" s="325"/>
      <c r="AM90" s="325"/>
      <c r="AN90" s="325"/>
      <c r="AO90" s="325"/>
      <c r="AP90" s="136"/>
      <c r="AQ90" s="136"/>
      <c r="AR90" s="136" t="str">
        <f t="shared" si="21"/>
        <v/>
      </c>
      <c r="AS90" s="136" t="str">
        <f t="shared" si="21"/>
        <v/>
      </c>
      <c r="AT90" s="5" t="str">
        <f t="shared" si="22"/>
        <v/>
      </c>
      <c r="AV90" s="27" t="str">
        <f t="shared" ref="AV90:AV95" si="28">IF(G90="","",+"          ["&amp;TRIM(G90)&amp;"] ["&amp;TRIM(I90)&amp;"]"&amp;IF(H90="","","("&amp;H90&amp;")")&amp;" "&amp;TRIM(J90)&amp;IF(G91="","",","))</f>
        <v/>
      </c>
      <c r="AW90" s="27"/>
      <c r="AY90" s="122" t="str">
        <f t="shared" si="23"/>
        <v/>
      </c>
    </row>
    <row r="91" spans="2:51" ht="12.75">
      <c r="B91" s="20" t="str">
        <f t="shared" si="25"/>
        <v/>
      </c>
      <c r="C91" s="5"/>
      <c r="D91" s="5"/>
      <c r="E91" s="5"/>
      <c r="G91" s="5" t="str">
        <f t="shared" si="16"/>
        <v/>
      </c>
      <c r="H91" s="117" t="str">
        <f t="shared" si="27"/>
        <v/>
      </c>
      <c r="I91" s="5" t="str">
        <f t="shared" si="17"/>
        <v/>
      </c>
      <c r="J91" s="5" t="str">
        <f t="shared" si="18"/>
        <v/>
      </c>
      <c r="K91" s="5"/>
      <c r="L91" s="5"/>
      <c r="M91" s="75"/>
      <c r="N91" s="77"/>
      <c r="O91" s="26"/>
      <c r="P91" s="26"/>
      <c r="Q91" s="118" t="str">
        <f t="shared" si="19"/>
        <v/>
      </c>
      <c r="R91" s="153"/>
      <c r="S91" s="138"/>
      <c r="T91" s="148"/>
      <c r="U91" s="146"/>
      <c r="V91" s="146"/>
      <c r="W91" s="139"/>
      <c r="X91" s="139"/>
      <c r="Y91" s="148"/>
      <c r="Z91" s="138" t="str">
        <f t="shared" si="24"/>
        <v/>
      </c>
      <c r="AA91" s="138" t="str">
        <f t="shared" si="26"/>
        <v/>
      </c>
      <c r="AB91" s="239"/>
      <c r="AC91" s="325"/>
      <c r="AD91" s="325"/>
      <c r="AE91" s="325"/>
      <c r="AF91" s="325"/>
      <c r="AG91" s="325"/>
      <c r="AH91" s="325"/>
      <c r="AI91" s="325"/>
      <c r="AJ91" s="325"/>
      <c r="AK91" s="325"/>
      <c r="AL91" s="325"/>
      <c r="AM91" s="325"/>
      <c r="AN91" s="325"/>
      <c r="AO91" s="325"/>
      <c r="AP91" s="136"/>
      <c r="AQ91" s="136"/>
      <c r="AR91" s="136" t="str">
        <f t="shared" si="21"/>
        <v/>
      </c>
      <c r="AS91" s="136" t="str">
        <f t="shared" si="21"/>
        <v/>
      </c>
      <c r="AT91" s="5" t="str">
        <f t="shared" si="22"/>
        <v/>
      </c>
      <c r="AV91" s="27" t="str">
        <f t="shared" si="28"/>
        <v/>
      </c>
      <c r="AW91" s="27"/>
      <c r="AY91" s="122" t="str">
        <f t="shared" si="23"/>
        <v/>
      </c>
    </row>
    <row r="92" spans="2:51" ht="12.75">
      <c r="B92" s="20" t="str">
        <f t="shared" si="25"/>
        <v/>
      </c>
      <c r="C92" s="5"/>
      <c r="D92" s="5"/>
      <c r="E92" s="5"/>
      <c r="G92" s="5" t="str">
        <f t="shared" si="16"/>
        <v/>
      </c>
      <c r="H92" s="117" t="str">
        <f t="shared" si="27"/>
        <v/>
      </c>
      <c r="I92" s="5" t="str">
        <f t="shared" si="17"/>
        <v/>
      </c>
      <c r="J92" s="5" t="str">
        <f t="shared" si="18"/>
        <v/>
      </c>
      <c r="K92" s="5"/>
      <c r="L92" s="5"/>
      <c r="M92" s="75"/>
      <c r="N92" s="77"/>
      <c r="O92" s="26"/>
      <c r="P92" s="26"/>
      <c r="Q92" s="118" t="str">
        <f t="shared" si="19"/>
        <v/>
      </c>
      <c r="R92" s="153"/>
      <c r="S92" s="138"/>
      <c r="T92" s="148"/>
      <c r="U92" s="146"/>
      <c r="V92" s="146"/>
      <c r="W92" s="139"/>
      <c r="X92" s="139"/>
      <c r="Y92" s="148"/>
      <c r="Z92" s="138" t="str">
        <f t="shared" si="24"/>
        <v/>
      </c>
      <c r="AA92" s="138" t="str">
        <f t="shared" si="26"/>
        <v/>
      </c>
      <c r="AB92" s="239"/>
      <c r="AC92" s="325"/>
      <c r="AD92" s="325"/>
      <c r="AE92" s="325"/>
      <c r="AF92" s="325"/>
      <c r="AG92" s="325"/>
      <c r="AH92" s="325"/>
      <c r="AI92" s="325"/>
      <c r="AJ92" s="325"/>
      <c r="AK92" s="325"/>
      <c r="AL92" s="325"/>
      <c r="AM92" s="325"/>
      <c r="AN92" s="325"/>
      <c r="AO92" s="325"/>
      <c r="AP92" s="136"/>
      <c r="AQ92" s="136"/>
      <c r="AR92" s="136" t="str">
        <f t="shared" si="21"/>
        <v/>
      </c>
      <c r="AS92" s="136" t="str">
        <f t="shared" si="21"/>
        <v/>
      </c>
      <c r="AT92" s="5" t="str">
        <f t="shared" si="22"/>
        <v/>
      </c>
      <c r="AV92" s="27" t="str">
        <f t="shared" si="28"/>
        <v/>
      </c>
      <c r="AW92" s="27"/>
      <c r="AY92" s="122" t="str">
        <f t="shared" si="23"/>
        <v/>
      </c>
    </row>
    <row r="93" spans="2:51" ht="12.75">
      <c r="B93" s="20" t="str">
        <f t="shared" si="25"/>
        <v/>
      </c>
      <c r="C93" s="5"/>
      <c r="D93" s="5"/>
      <c r="E93" s="5"/>
      <c r="G93" s="5" t="str">
        <f t="shared" si="16"/>
        <v/>
      </c>
      <c r="H93" s="117" t="str">
        <f t="shared" si="27"/>
        <v/>
      </c>
      <c r="I93" s="5" t="str">
        <f t="shared" si="17"/>
        <v/>
      </c>
      <c r="J93" s="5" t="str">
        <f t="shared" si="18"/>
        <v/>
      </c>
      <c r="K93" s="5"/>
      <c r="L93" s="5"/>
      <c r="M93" s="75"/>
      <c r="N93" s="77"/>
      <c r="O93" s="26"/>
      <c r="P93" s="26"/>
      <c r="Q93" s="118" t="str">
        <f t="shared" si="19"/>
        <v/>
      </c>
      <c r="R93" s="153"/>
      <c r="S93" s="138"/>
      <c r="T93" s="148"/>
      <c r="U93" s="146"/>
      <c r="V93" s="146"/>
      <c r="W93" s="139"/>
      <c r="X93" s="139"/>
      <c r="Y93" s="148"/>
      <c r="Z93" s="138" t="str">
        <f t="shared" si="24"/>
        <v/>
      </c>
      <c r="AA93" s="138" t="str">
        <f t="shared" si="26"/>
        <v/>
      </c>
      <c r="AB93" s="239"/>
      <c r="AC93" s="325"/>
      <c r="AD93" s="325"/>
      <c r="AE93" s="325"/>
      <c r="AF93" s="325"/>
      <c r="AG93" s="325"/>
      <c r="AH93" s="325"/>
      <c r="AI93" s="325"/>
      <c r="AJ93" s="325"/>
      <c r="AK93" s="325"/>
      <c r="AL93" s="325"/>
      <c r="AM93" s="325"/>
      <c r="AN93" s="325"/>
      <c r="AO93" s="325"/>
      <c r="AP93" s="136"/>
      <c r="AQ93" s="136"/>
      <c r="AR93" s="136" t="str">
        <f t="shared" si="21"/>
        <v/>
      </c>
      <c r="AS93" s="136" t="str">
        <f t="shared" si="21"/>
        <v/>
      </c>
      <c r="AT93" s="5" t="str">
        <f t="shared" si="22"/>
        <v/>
      </c>
      <c r="AV93" s="27" t="str">
        <f t="shared" si="28"/>
        <v/>
      </c>
      <c r="AW93" s="27"/>
      <c r="AY93" s="122" t="str">
        <f t="shared" si="23"/>
        <v/>
      </c>
    </row>
    <row r="94" spans="2:51" ht="12.75">
      <c r="B94" s="20" t="str">
        <f t="shared" si="25"/>
        <v/>
      </c>
      <c r="C94" s="5"/>
      <c r="D94" s="5"/>
      <c r="E94" s="5"/>
      <c r="G94" s="5" t="str">
        <f>SUBSTITUTE(SUBSTITUTE(SUBSTITUTE(SUBSTITUTE(SUBSTITUTE(SUBSTITUTE(SUBSTITUTE(SUBSTITUTE(SUBSTITUTE(C94," ",""),".",""),"#","No"),"%",""),"(",""),"*",""),"-",""),"/",""),")","")</f>
        <v/>
      </c>
      <c r="H94" s="117" t="str">
        <f t="shared" si="27"/>
        <v/>
      </c>
      <c r="I94" s="5" t="str">
        <f>IF(E94=0,"",+E94)</f>
        <v/>
      </c>
      <c r="J94" s="5" t="str">
        <f>IF(C94=0,"",(IF(ISERROR(VLOOKUP(G94,$D$120:$D$127,1,FALSE)),""," NOT")&amp;" NULL"))</f>
        <v/>
      </c>
      <c r="K94" s="5"/>
      <c r="L94" s="5"/>
      <c r="M94" s="75"/>
      <c r="N94" s="77"/>
      <c r="O94" s="26"/>
      <c r="P94" s="26"/>
      <c r="Q94" s="118" t="str">
        <f>IF(M94=0,"",ROW())</f>
        <v/>
      </c>
      <c r="R94" s="153"/>
      <c r="S94" s="138"/>
      <c r="T94" s="148"/>
      <c r="U94" s="146"/>
      <c r="V94" s="146"/>
      <c r="W94" s="139"/>
      <c r="X94" s="139"/>
      <c r="Y94" s="148"/>
      <c r="Z94" s="138" t="str">
        <f t="shared" si="24"/>
        <v/>
      </c>
      <c r="AA94" s="138" t="str">
        <f t="shared" si="26"/>
        <v/>
      </c>
      <c r="AB94" s="239"/>
      <c r="AC94" s="325"/>
      <c r="AD94" s="325"/>
      <c r="AE94" s="325"/>
      <c r="AF94" s="325"/>
      <c r="AG94" s="325"/>
      <c r="AH94" s="325"/>
      <c r="AI94" s="325"/>
      <c r="AJ94" s="325"/>
      <c r="AK94" s="325"/>
      <c r="AL94" s="325"/>
      <c r="AM94" s="325"/>
      <c r="AN94" s="325"/>
      <c r="AO94" s="325"/>
      <c r="AP94" s="136"/>
      <c r="AQ94" s="136"/>
      <c r="AR94" s="136" t="str">
        <f t="shared" si="21"/>
        <v/>
      </c>
      <c r="AS94" s="136" t="str">
        <f t="shared" si="21"/>
        <v/>
      </c>
      <c r="AT94" s="5" t="str">
        <f t="shared" si="22"/>
        <v/>
      </c>
      <c r="AV94" s="27" t="str">
        <f t="shared" si="28"/>
        <v/>
      </c>
      <c r="AW94" s="27"/>
      <c r="AY94" s="122" t="str">
        <f t="shared" si="23"/>
        <v/>
      </c>
    </row>
    <row r="95" spans="2:51" ht="12.75">
      <c r="B95" s="20" t="str">
        <f t="shared" si="25"/>
        <v/>
      </c>
      <c r="C95" s="5"/>
      <c r="D95" s="5"/>
      <c r="E95" s="5"/>
      <c r="G95" s="5" t="str">
        <f>SUBSTITUTE(SUBSTITUTE(SUBSTITUTE(SUBSTITUTE(SUBSTITUTE(SUBSTITUTE(SUBSTITUTE(SUBSTITUTE(SUBSTITUTE(C95," ",""),".",""),"#","No"),"%",""),"(",""),"*",""),"-",""),"/",""),")","")</f>
        <v/>
      </c>
      <c r="H95" s="117" t="str">
        <f t="shared" si="27"/>
        <v/>
      </c>
      <c r="I95" s="5" t="str">
        <f>IF(E95=0,"",+E95)</f>
        <v/>
      </c>
      <c r="J95" s="5" t="str">
        <f>IF(C95=0,"",(IF(ISERROR(VLOOKUP(G95,$D$120:$D$127,1,FALSE)),""," NOT")&amp;" NULL"))</f>
        <v/>
      </c>
      <c r="K95" s="5"/>
      <c r="L95" s="5"/>
      <c r="M95" s="75"/>
      <c r="N95" s="77"/>
      <c r="O95" s="26"/>
      <c r="P95" s="26"/>
      <c r="Q95" s="118" t="str">
        <f>IF(M95=0,"",ROW())</f>
        <v/>
      </c>
      <c r="R95" s="153"/>
      <c r="S95" s="138"/>
      <c r="T95" s="148"/>
      <c r="U95" s="146"/>
      <c r="V95" s="146"/>
      <c r="W95" s="139"/>
      <c r="X95" s="139"/>
      <c r="Y95" s="148"/>
      <c r="Z95" s="138" t="str">
        <f t="shared" si="24"/>
        <v/>
      </c>
      <c r="AA95" s="138" t="str">
        <f t="shared" si="26"/>
        <v/>
      </c>
      <c r="AB95" s="239"/>
      <c r="AC95" s="325"/>
      <c r="AD95" s="325"/>
      <c r="AE95" s="325"/>
      <c r="AF95" s="325"/>
      <c r="AG95" s="325"/>
      <c r="AH95" s="325"/>
      <c r="AI95" s="325"/>
      <c r="AJ95" s="325"/>
      <c r="AK95" s="325"/>
      <c r="AL95" s="325"/>
      <c r="AM95" s="325"/>
      <c r="AN95" s="325"/>
      <c r="AO95" s="325"/>
      <c r="AP95" s="136"/>
      <c r="AQ95" s="136"/>
      <c r="AR95" s="136" t="str">
        <f t="shared" si="21"/>
        <v/>
      </c>
      <c r="AS95" s="136" t="str">
        <f t="shared" si="21"/>
        <v/>
      </c>
      <c r="AT95" s="5" t="str">
        <f t="shared" si="22"/>
        <v/>
      </c>
      <c r="AV95" s="27" t="str">
        <f t="shared" si="28"/>
        <v/>
      </c>
      <c r="AW95" s="27"/>
      <c r="AY95" s="122" t="str">
        <f t="shared" si="23"/>
        <v/>
      </c>
    </row>
    <row r="96" spans="2:51" ht="12.75">
      <c r="B96" s="20" t="str">
        <f t="shared" si="25"/>
        <v/>
      </c>
      <c r="C96" s="5"/>
      <c r="D96" s="5"/>
      <c r="E96" s="5"/>
      <c r="G96" s="5" t="str">
        <f>SUBSTITUTE(SUBSTITUTE(SUBSTITUTE(SUBSTITUTE(SUBSTITUTE(SUBSTITUTE(SUBSTITUTE(SUBSTITUTE(SUBSTITUTE(C96," ",""),".",""),"#","No"),"%",""),"(",""),"*",""),"-",""),"/",""),")","")</f>
        <v/>
      </c>
      <c r="H96" s="117" t="str">
        <f t="shared" si="27"/>
        <v/>
      </c>
      <c r="I96" s="5" t="str">
        <f>IF(E96=0,"",+E96)</f>
        <v/>
      </c>
      <c r="J96" s="5" t="str">
        <f>IF(C96=0,"",(IF(ISERROR(VLOOKUP(G96,$D$120:$D$127,1,FALSE)),""," NOT")&amp;" NULL"))</f>
        <v/>
      </c>
      <c r="K96" s="5"/>
      <c r="L96" s="5"/>
      <c r="M96" s="75"/>
      <c r="N96" s="77"/>
      <c r="O96" s="26"/>
      <c r="P96" s="26"/>
      <c r="Q96" s="118" t="str">
        <f>IF(M96=0,"",ROW())</f>
        <v/>
      </c>
      <c r="R96" s="153"/>
      <c r="S96" s="138"/>
      <c r="T96" s="148"/>
      <c r="U96" s="146"/>
      <c r="V96" s="146"/>
      <c r="W96" s="139"/>
      <c r="X96" s="139"/>
      <c r="Y96" s="148"/>
      <c r="Z96" s="138" t="str">
        <f t="shared" si="24"/>
        <v/>
      </c>
      <c r="AA96" s="138" t="str">
        <f t="shared" si="26"/>
        <v/>
      </c>
      <c r="AB96" s="239"/>
      <c r="AC96" s="325"/>
      <c r="AD96" s="325"/>
      <c r="AE96" s="325"/>
      <c r="AF96" s="325"/>
      <c r="AG96" s="325"/>
      <c r="AH96" s="325"/>
      <c r="AI96" s="325"/>
      <c r="AJ96" s="325"/>
      <c r="AK96" s="325"/>
      <c r="AL96" s="325"/>
      <c r="AM96" s="325"/>
      <c r="AN96" s="325"/>
      <c r="AO96" s="325"/>
      <c r="AP96" s="136"/>
      <c r="AQ96" s="136"/>
      <c r="AR96" s="136" t="str">
        <f t="shared" si="21"/>
        <v/>
      </c>
      <c r="AS96" s="136" t="str">
        <f t="shared" si="21"/>
        <v/>
      </c>
      <c r="AT96" s="5" t="str">
        <f t="shared" si="22"/>
        <v/>
      </c>
      <c r="AV96" s="27" t="str">
        <f>IF(G96="","",+"          ["&amp;TRIM(G96)&amp;"] ["&amp;TRIM(I96)&amp;"]"&amp;IF(H96="","","("&amp;H96&amp;")")&amp;" "&amp;TRIM(J96)&amp;IF(G108="","",","))</f>
        <v/>
      </c>
      <c r="AW96" s="27"/>
      <c r="AY96" s="122" t="str">
        <f t="shared" si="23"/>
        <v/>
      </c>
    </row>
    <row r="97" spans="2:51" ht="12.75">
      <c r="B97" s="20" t="str">
        <f t="shared" si="25"/>
        <v/>
      </c>
      <c r="C97" s="5"/>
      <c r="D97" s="5"/>
      <c r="E97" s="5"/>
      <c r="G97" s="5" t="str">
        <f t="shared" ref="G97:G115" si="29">SUBSTITUTE(SUBSTITUTE(SUBSTITUTE(SUBSTITUTE(SUBSTITUTE(SUBSTITUTE(SUBSTITUTE(SUBSTITUTE(SUBSTITUTE(C97," ",""),".",""),"#","No"),"%",""),"(",""),"*",""),"-",""),"/",""),")","")</f>
        <v/>
      </c>
      <c r="H97" s="117" t="str">
        <f t="shared" si="27"/>
        <v/>
      </c>
      <c r="I97" s="5" t="str">
        <f t="shared" ref="I97:I115" si="30">IF(E97=0,"",+E97)</f>
        <v/>
      </c>
      <c r="J97" s="5" t="str">
        <f t="shared" ref="J97:J115" si="31">IF(C97=0,"",(IF(ISERROR(VLOOKUP(G97,$D$120:$D$127,1,FALSE)),""," NOT")&amp;" NULL"))</f>
        <v/>
      </c>
      <c r="K97" s="5"/>
      <c r="L97" s="5"/>
      <c r="M97" s="75"/>
      <c r="N97" s="77"/>
      <c r="O97" s="26"/>
      <c r="P97" s="26"/>
      <c r="Q97" s="118" t="str">
        <f t="shared" ref="Q97:Q115" si="32">IF(M97=0,"",ROW())</f>
        <v/>
      </c>
      <c r="R97" s="153"/>
      <c r="S97" s="138"/>
      <c r="T97" s="148"/>
      <c r="U97" s="146"/>
      <c r="V97" s="146"/>
      <c r="W97" s="139"/>
      <c r="X97" s="139"/>
      <c r="Y97" s="148"/>
      <c r="Z97" s="138" t="str">
        <f t="shared" si="24"/>
        <v/>
      </c>
      <c r="AA97" s="138" t="str">
        <f t="shared" si="26"/>
        <v/>
      </c>
      <c r="AB97" s="239"/>
      <c r="AC97" s="325"/>
      <c r="AD97" s="325"/>
      <c r="AE97" s="325"/>
      <c r="AF97" s="325"/>
      <c r="AG97" s="325"/>
      <c r="AH97" s="325"/>
      <c r="AI97" s="325"/>
      <c r="AJ97" s="325"/>
      <c r="AK97" s="325"/>
      <c r="AL97" s="325"/>
      <c r="AM97" s="325"/>
      <c r="AN97" s="325"/>
      <c r="AO97" s="325"/>
      <c r="AP97" s="136"/>
      <c r="AQ97" s="136"/>
      <c r="AR97" s="136" t="str">
        <f t="shared" si="21"/>
        <v/>
      </c>
      <c r="AS97" s="136" t="str">
        <f t="shared" si="21"/>
        <v/>
      </c>
      <c r="AT97" s="5" t="str">
        <f t="shared" si="22"/>
        <v/>
      </c>
      <c r="AV97" s="27" t="str">
        <f>IF(G97="","",+"          ["&amp;TRIM(G97)&amp;"] ["&amp;TRIM(I97)&amp;"]"&amp;IF(H97="","","("&amp;H97&amp;")")&amp;" "&amp;TRIM(J97)&amp;IF(G98="","",","))</f>
        <v/>
      </c>
      <c r="AW97" s="27"/>
      <c r="AY97" s="122" t="str">
        <f t="shared" si="23"/>
        <v/>
      </c>
    </row>
    <row r="98" spans="2:51" ht="12.75">
      <c r="B98" s="20" t="str">
        <f t="shared" si="25"/>
        <v/>
      </c>
      <c r="C98" s="5"/>
      <c r="D98" s="5"/>
      <c r="E98" s="5"/>
      <c r="G98" s="5" t="str">
        <f t="shared" si="29"/>
        <v/>
      </c>
      <c r="H98" s="117" t="str">
        <f t="shared" si="27"/>
        <v/>
      </c>
      <c r="I98" s="5" t="str">
        <f t="shared" si="30"/>
        <v/>
      </c>
      <c r="J98" s="5" t="str">
        <f t="shared" si="31"/>
        <v/>
      </c>
      <c r="K98" s="5"/>
      <c r="L98" s="5"/>
      <c r="M98" s="75"/>
      <c r="N98" s="77"/>
      <c r="O98" s="26"/>
      <c r="P98" s="26"/>
      <c r="Q98" s="118" t="str">
        <f t="shared" si="32"/>
        <v/>
      </c>
      <c r="R98" s="153"/>
      <c r="S98" s="138"/>
      <c r="T98" s="148"/>
      <c r="U98" s="146"/>
      <c r="V98" s="146"/>
      <c r="W98" s="139"/>
      <c r="X98" s="139"/>
      <c r="Y98" s="148"/>
      <c r="Z98" s="138" t="str">
        <f t="shared" si="24"/>
        <v/>
      </c>
      <c r="AA98" s="138" t="str">
        <f t="shared" si="26"/>
        <v/>
      </c>
      <c r="AB98" s="239"/>
      <c r="AC98" s="325"/>
      <c r="AD98" s="325"/>
      <c r="AE98" s="325"/>
      <c r="AF98" s="325"/>
      <c r="AG98" s="325"/>
      <c r="AH98" s="325"/>
      <c r="AI98" s="325"/>
      <c r="AJ98" s="325"/>
      <c r="AK98" s="325"/>
      <c r="AL98" s="325"/>
      <c r="AM98" s="325"/>
      <c r="AN98" s="325"/>
      <c r="AO98" s="325"/>
      <c r="AP98" s="136"/>
      <c r="AQ98" s="136"/>
      <c r="AR98" s="136" t="str">
        <f t="shared" si="21"/>
        <v/>
      </c>
      <c r="AS98" s="136" t="str">
        <f t="shared" si="21"/>
        <v/>
      </c>
      <c r="AT98" s="5" t="str">
        <f t="shared" si="22"/>
        <v/>
      </c>
      <c r="AV98" s="27" t="str">
        <f>IF(G98="","",+"          ["&amp;TRIM(G98)&amp;"] ["&amp;TRIM(I98)&amp;"]"&amp;IF(H98="","","("&amp;H98&amp;")")&amp;" "&amp;TRIM(J98)&amp;IF(G107="","",","))</f>
        <v/>
      </c>
      <c r="AW98" s="27"/>
      <c r="AY98" s="122" t="str">
        <f t="shared" si="23"/>
        <v/>
      </c>
    </row>
    <row r="99" spans="2:51" ht="12.75">
      <c r="B99" s="20" t="str">
        <f t="shared" si="25"/>
        <v/>
      </c>
      <c r="C99" s="5"/>
      <c r="D99" s="5"/>
      <c r="E99" s="5"/>
      <c r="G99" s="5" t="str">
        <f t="shared" si="29"/>
        <v/>
      </c>
      <c r="H99" s="117" t="str">
        <f t="shared" si="27"/>
        <v/>
      </c>
      <c r="I99" s="5" t="str">
        <f t="shared" si="30"/>
        <v/>
      </c>
      <c r="J99" s="5" t="str">
        <f t="shared" si="31"/>
        <v/>
      </c>
      <c r="K99" s="5"/>
      <c r="L99" s="5"/>
      <c r="M99" s="75"/>
      <c r="N99" s="77"/>
      <c r="O99" s="26"/>
      <c r="P99" s="26"/>
      <c r="Q99" s="118" t="str">
        <f t="shared" si="32"/>
        <v/>
      </c>
      <c r="R99" s="153"/>
      <c r="S99" s="138"/>
      <c r="T99" s="148"/>
      <c r="U99" s="146"/>
      <c r="V99" s="146"/>
      <c r="W99" s="139"/>
      <c r="X99" s="139"/>
      <c r="Y99" s="148"/>
      <c r="Z99" s="138" t="str">
        <f t="shared" si="24"/>
        <v/>
      </c>
      <c r="AA99" s="138" t="str">
        <f t="shared" si="26"/>
        <v/>
      </c>
      <c r="AB99" s="239"/>
      <c r="AC99" s="325"/>
      <c r="AD99" s="325"/>
      <c r="AE99" s="325"/>
      <c r="AF99" s="325"/>
      <c r="AG99" s="325"/>
      <c r="AH99" s="325"/>
      <c r="AI99" s="325"/>
      <c r="AJ99" s="325"/>
      <c r="AK99" s="325"/>
      <c r="AL99" s="325"/>
      <c r="AM99" s="325"/>
      <c r="AN99" s="325"/>
      <c r="AO99" s="325"/>
      <c r="AP99" s="136"/>
      <c r="AQ99" s="136"/>
      <c r="AR99" s="136" t="str">
        <f t="shared" si="21"/>
        <v/>
      </c>
      <c r="AS99" s="136" t="str">
        <f t="shared" si="21"/>
        <v/>
      </c>
      <c r="AT99" s="5" t="str">
        <f t="shared" si="22"/>
        <v/>
      </c>
      <c r="AV99" s="27" t="str">
        <f>IF(G99="","",+"          ["&amp;TRIM(G99)&amp;"] ["&amp;TRIM(I99)&amp;"]"&amp;IF(H99="","","("&amp;H99&amp;")")&amp;" "&amp;TRIM(J99)&amp;IF(G106="","",","))</f>
        <v/>
      </c>
      <c r="AW99" s="27"/>
      <c r="AY99" s="122" t="str">
        <f t="shared" si="23"/>
        <v/>
      </c>
    </row>
    <row r="100" spans="2:51" ht="12.75">
      <c r="B100" s="20" t="str">
        <f t="shared" si="25"/>
        <v/>
      </c>
      <c r="C100" s="5"/>
      <c r="D100" s="5"/>
      <c r="E100" s="5"/>
      <c r="G100" s="5" t="str">
        <f t="shared" si="29"/>
        <v/>
      </c>
      <c r="H100" s="117" t="str">
        <f t="shared" si="27"/>
        <v/>
      </c>
      <c r="I100" s="5" t="str">
        <f t="shared" si="30"/>
        <v/>
      </c>
      <c r="J100" s="5" t="str">
        <f t="shared" si="31"/>
        <v/>
      </c>
      <c r="K100" s="5"/>
      <c r="L100" s="5"/>
      <c r="M100" s="75"/>
      <c r="N100" s="77"/>
      <c r="O100" s="26"/>
      <c r="P100" s="26"/>
      <c r="Q100" s="118" t="str">
        <f t="shared" si="32"/>
        <v/>
      </c>
      <c r="R100" s="153"/>
      <c r="S100" s="138"/>
      <c r="T100" s="148"/>
      <c r="U100" s="146"/>
      <c r="V100" s="146"/>
      <c r="W100" s="139"/>
      <c r="X100" s="139"/>
      <c r="Y100" s="148"/>
      <c r="Z100" s="138" t="str">
        <f t="shared" si="24"/>
        <v/>
      </c>
      <c r="AA100" s="138" t="str">
        <f t="shared" si="26"/>
        <v/>
      </c>
      <c r="AB100" s="239"/>
      <c r="AC100" s="325"/>
      <c r="AD100" s="325"/>
      <c r="AE100" s="325"/>
      <c r="AF100" s="325"/>
      <c r="AG100" s="325"/>
      <c r="AH100" s="325"/>
      <c r="AI100" s="325"/>
      <c r="AJ100" s="325"/>
      <c r="AK100" s="325"/>
      <c r="AL100" s="325"/>
      <c r="AM100" s="325"/>
      <c r="AN100" s="325"/>
      <c r="AO100" s="325"/>
      <c r="AP100" s="136"/>
      <c r="AQ100" s="136"/>
      <c r="AR100" s="136" t="str">
        <f t="shared" si="21"/>
        <v/>
      </c>
      <c r="AS100" s="136" t="str">
        <f t="shared" si="21"/>
        <v/>
      </c>
      <c r="AT100" s="5" t="str">
        <f t="shared" si="22"/>
        <v/>
      </c>
      <c r="AV100" s="27" t="str">
        <f>IF(G100="","",+"          ["&amp;TRIM(G100)&amp;"] ["&amp;TRIM(I100)&amp;"]"&amp;IF(H100="","","("&amp;H100&amp;")")&amp;" "&amp;TRIM(J100)&amp;IF(G101="","",","))</f>
        <v/>
      </c>
      <c r="AW100" s="27"/>
      <c r="AY100" s="122" t="str">
        <f t="shared" si="23"/>
        <v/>
      </c>
    </row>
    <row r="101" spans="2:51" ht="12.75">
      <c r="B101" s="20" t="str">
        <f t="shared" si="25"/>
        <v/>
      </c>
      <c r="C101" s="5"/>
      <c r="D101" s="5"/>
      <c r="E101" s="5"/>
      <c r="G101" s="5" t="str">
        <f t="shared" si="29"/>
        <v/>
      </c>
      <c r="H101" s="117" t="str">
        <f t="shared" si="27"/>
        <v/>
      </c>
      <c r="I101" s="5" t="str">
        <f t="shared" si="30"/>
        <v/>
      </c>
      <c r="J101" s="5" t="str">
        <f t="shared" si="31"/>
        <v/>
      </c>
      <c r="K101" s="5"/>
      <c r="L101" s="5"/>
      <c r="M101" s="75"/>
      <c r="N101" s="77"/>
      <c r="O101" s="26"/>
      <c r="P101" s="26"/>
      <c r="Q101" s="118" t="str">
        <f t="shared" si="32"/>
        <v/>
      </c>
      <c r="R101" s="153"/>
      <c r="S101" s="138"/>
      <c r="T101" s="148"/>
      <c r="U101" s="146"/>
      <c r="V101" s="146"/>
      <c r="W101" s="139"/>
      <c r="X101" s="139"/>
      <c r="Y101" s="148"/>
      <c r="Z101" s="138" t="str">
        <f t="shared" si="24"/>
        <v/>
      </c>
      <c r="AA101" s="138" t="str">
        <f t="shared" si="26"/>
        <v/>
      </c>
      <c r="AB101" s="239"/>
      <c r="AC101" s="325"/>
      <c r="AD101" s="325"/>
      <c r="AE101" s="325"/>
      <c r="AF101" s="325"/>
      <c r="AG101" s="325"/>
      <c r="AH101" s="325"/>
      <c r="AI101" s="325"/>
      <c r="AJ101" s="325"/>
      <c r="AK101" s="325"/>
      <c r="AL101" s="325"/>
      <c r="AM101" s="325"/>
      <c r="AN101" s="325"/>
      <c r="AO101" s="325"/>
      <c r="AP101" s="136"/>
      <c r="AQ101" s="136"/>
      <c r="AR101" s="136" t="str">
        <f t="shared" si="21"/>
        <v/>
      </c>
      <c r="AS101" s="136" t="str">
        <f t="shared" si="21"/>
        <v/>
      </c>
      <c r="AT101" s="5" t="str">
        <f t="shared" si="22"/>
        <v/>
      </c>
      <c r="AV101" s="27" t="str">
        <f>IF(G101="","",+"          ["&amp;TRIM(G101)&amp;"] ["&amp;TRIM(I101)&amp;"]"&amp;IF(H101="","","("&amp;H101&amp;")")&amp;" "&amp;TRIM(J101)&amp;IF(G102="","",","))</f>
        <v/>
      </c>
      <c r="AW101" s="27"/>
      <c r="AY101" s="122" t="str">
        <f t="shared" si="23"/>
        <v/>
      </c>
    </row>
    <row r="102" spans="2:51" ht="12.75">
      <c r="B102" s="20" t="str">
        <f t="shared" si="25"/>
        <v/>
      </c>
      <c r="C102" s="5"/>
      <c r="D102" s="5"/>
      <c r="E102" s="5"/>
      <c r="G102" s="5" t="str">
        <f t="shared" si="29"/>
        <v/>
      </c>
      <c r="H102" s="117" t="str">
        <f t="shared" si="27"/>
        <v/>
      </c>
      <c r="I102" s="5" t="str">
        <f t="shared" si="30"/>
        <v/>
      </c>
      <c r="J102" s="5" t="str">
        <f t="shared" si="31"/>
        <v/>
      </c>
      <c r="K102" s="5"/>
      <c r="L102" s="5"/>
      <c r="M102" s="75"/>
      <c r="N102" s="77"/>
      <c r="O102" s="26"/>
      <c r="P102" s="26"/>
      <c r="Q102" s="118" t="str">
        <f t="shared" si="32"/>
        <v/>
      </c>
      <c r="R102" s="153"/>
      <c r="S102" s="138"/>
      <c r="T102" s="148"/>
      <c r="U102" s="146"/>
      <c r="V102" s="146"/>
      <c r="W102" s="139"/>
      <c r="X102" s="139"/>
      <c r="Y102" s="148"/>
      <c r="Z102" s="138" t="str">
        <f t="shared" si="24"/>
        <v/>
      </c>
      <c r="AA102" s="138" t="str">
        <f t="shared" si="26"/>
        <v/>
      </c>
      <c r="AB102" s="239"/>
      <c r="AC102" s="325"/>
      <c r="AD102" s="325"/>
      <c r="AE102" s="325"/>
      <c r="AF102" s="325"/>
      <c r="AG102" s="325"/>
      <c r="AH102" s="325"/>
      <c r="AI102" s="325"/>
      <c r="AJ102" s="325"/>
      <c r="AK102" s="325"/>
      <c r="AL102" s="325"/>
      <c r="AM102" s="325"/>
      <c r="AN102" s="325"/>
      <c r="AO102" s="325"/>
      <c r="AP102" s="136"/>
      <c r="AQ102" s="136"/>
      <c r="AR102" s="136" t="str">
        <f t="shared" si="21"/>
        <v/>
      </c>
      <c r="AS102" s="136" t="str">
        <f t="shared" si="21"/>
        <v/>
      </c>
      <c r="AT102" s="5" t="str">
        <f t="shared" si="22"/>
        <v/>
      </c>
      <c r="AV102" s="27" t="str">
        <f>IF(G102="","",+"          ["&amp;TRIM(G102)&amp;"] ["&amp;TRIM(I102)&amp;"]"&amp;IF(H102="","","("&amp;H102&amp;")")&amp;" "&amp;TRIM(J102)&amp;IF(G103="","",","))</f>
        <v/>
      </c>
      <c r="AW102" s="27"/>
      <c r="AY102" s="122" t="str">
        <f t="shared" si="23"/>
        <v/>
      </c>
    </row>
    <row r="103" spans="2:51" ht="12.75">
      <c r="B103" s="20" t="str">
        <f t="shared" si="25"/>
        <v/>
      </c>
      <c r="C103" s="5"/>
      <c r="D103" s="5"/>
      <c r="E103" s="5"/>
      <c r="G103" s="5" t="str">
        <f t="shared" si="29"/>
        <v/>
      </c>
      <c r="H103" s="117" t="str">
        <f t="shared" si="27"/>
        <v/>
      </c>
      <c r="I103" s="5" t="str">
        <f t="shared" si="30"/>
        <v/>
      </c>
      <c r="J103" s="5" t="str">
        <f t="shared" si="31"/>
        <v/>
      </c>
      <c r="K103" s="5"/>
      <c r="L103" s="5"/>
      <c r="M103" s="75"/>
      <c r="N103" s="77"/>
      <c r="O103" s="26"/>
      <c r="P103" s="26"/>
      <c r="Q103" s="118" t="str">
        <f t="shared" si="32"/>
        <v/>
      </c>
      <c r="R103" s="153"/>
      <c r="S103" s="138"/>
      <c r="T103" s="148"/>
      <c r="U103" s="146"/>
      <c r="V103" s="146"/>
      <c r="W103" s="139"/>
      <c r="X103" s="139"/>
      <c r="Y103" s="148"/>
      <c r="Z103" s="138" t="str">
        <f t="shared" si="24"/>
        <v/>
      </c>
      <c r="AA103" s="138" t="str">
        <f t="shared" si="26"/>
        <v/>
      </c>
      <c r="AB103" s="239"/>
      <c r="AC103" s="325"/>
      <c r="AD103" s="325"/>
      <c r="AE103" s="325"/>
      <c r="AF103" s="325"/>
      <c r="AG103" s="325"/>
      <c r="AH103" s="325"/>
      <c r="AI103" s="325"/>
      <c r="AJ103" s="325"/>
      <c r="AK103" s="325"/>
      <c r="AL103" s="325"/>
      <c r="AM103" s="325"/>
      <c r="AN103" s="325"/>
      <c r="AO103" s="325"/>
      <c r="AP103" s="136"/>
      <c r="AQ103" s="136"/>
      <c r="AR103" s="136" t="str">
        <f t="shared" si="21"/>
        <v/>
      </c>
      <c r="AS103" s="136" t="str">
        <f t="shared" si="21"/>
        <v/>
      </c>
      <c r="AT103" s="5" t="str">
        <f t="shared" si="22"/>
        <v/>
      </c>
      <c r="AV103" s="27" t="str">
        <f>IF(G103="","",+"          ["&amp;TRIM(G103)&amp;"] ["&amp;TRIM(I103)&amp;"]"&amp;IF(H103="","","("&amp;H103&amp;")")&amp;" "&amp;TRIM(J103)&amp;IF(G106="","",","))</f>
        <v/>
      </c>
      <c r="AW103" s="27"/>
      <c r="AY103" s="122" t="str">
        <f t="shared" si="23"/>
        <v/>
      </c>
    </row>
    <row r="104" spans="2:51" ht="12.75">
      <c r="B104" s="20" t="str">
        <f t="shared" si="25"/>
        <v/>
      </c>
      <c r="C104" s="5"/>
      <c r="D104" s="5"/>
      <c r="E104" s="5"/>
      <c r="G104" s="5" t="str">
        <f t="shared" si="29"/>
        <v/>
      </c>
      <c r="H104" s="117" t="str">
        <f t="shared" si="27"/>
        <v/>
      </c>
      <c r="I104" s="5" t="str">
        <f t="shared" si="30"/>
        <v/>
      </c>
      <c r="J104" s="5" t="str">
        <f t="shared" si="31"/>
        <v/>
      </c>
      <c r="K104" s="5"/>
      <c r="L104" s="5"/>
      <c r="M104" s="75"/>
      <c r="N104" s="77"/>
      <c r="O104" s="26"/>
      <c r="P104" s="26"/>
      <c r="Q104" s="118" t="str">
        <f t="shared" si="32"/>
        <v/>
      </c>
      <c r="R104" s="153"/>
      <c r="S104" s="138"/>
      <c r="T104" s="148"/>
      <c r="U104" s="146"/>
      <c r="V104" s="146"/>
      <c r="W104" s="139"/>
      <c r="X104" s="139"/>
      <c r="Y104" s="148"/>
      <c r="Z104" s="138" t="str">
        <f t="shared" si="24"/>
        <v/>
      </c>
      <c r="AA104" s="138" t="str">
        <f t="shared" si="26"/>
        <v/>
      </c>
      <c r="AB104" s="239"/>
      <c r="AC104" s="325"/>
      <c r="AD104" s="325"/>
      <c r="AE104" s="325"/>
      <c r="AF104" s="325"/>
      <c r="AG104" s="325"/>
      <c r="AH104" s="325"/>
      <c r="AI104" s="325"/>
      <c r="AJ104" s="325"/>
      <c r="AK104" s="325"/>
      <c r="AL104" s="325"/>
      <c r="AM104" s="325"/>
      <c r="AN104" s="325"/>
      <c r="AO104" s="325"/>
      <c r="AP104" s="136"/>
      <c r="AQ104" s="136"/>
      <c r="AR104" s="136" t="str">
        <f t="shared" si="21"/>
        <v/>
      </c>
      <c r="AS104" s="136" t="str">
        <f t="shared" si="21"/>
        <v/>
      </c>
      <c r="AT104" s="5" t="str">
        <f t="shared" si="22"/>
        <v/>
      </c>
      <c r="AV104" s="27" t="str">
        <f t="shared" ref="AV104:AV115" si="33">IF(G104="","",+"          ["&amp;TRIM(G104)&amp;"] ["&amp;TRIM(I104)&amp;"]"&amp;IF(H104="","","("&amp;H104&amp;")")&amp;" "&amp;TRIM(J104)&amp;IF(G105="","",","))</f>
        <v/>
      </c>
      <c r="AW104" s="27"/>
      <c r="AY104" s="122" t="str">
        <f t="shared" si="23"/>
        <v/>
      </c>
    </row>
    <row r="105" spans="2:51" ht="12.75">
      <c r="B105" s="20" t="str">
        <f t="shared" si="25"/>
        <v/>
      </c>
      <c r="C105" s="5"/>
      <c r="D105" s="5"/>
      <c r="E105" s="5"/>
      <c r="G105" s="5" t="str">
        <f t="shared" si="29"/>
        <v/>
      </c>
      <c r="H105" s="117" t="str">
        <f t="shared" si="27"/>
        <v/>
      </c>
      <c r="I105" s="5" t="str">
        <f t="shared" si="30"/>
        <v/>
      </c>
      <c r="J105" s="5" t="str">
        <f t="shared" si="31"/>
        <v/>
      </c>
      <c r="K105" s="5"/>
      <c r="L105" s="5"/>
      <c r="M105" s="75"/>
      <c r="N105" s="77"/>
      <c r="O105" s="26"/>
      <c r="P105" s="26"/>
      <c r="Q105" s="118" t="str">
        <f t="shared" si="32"/>
        <v/>
      </c>
      <c r="R105" s="153"/>
      <c r="S105" s="138"/>
      <c r="T105" s="148"/>
      <c r="U105" s="146"/>
      <c r="V105" s="146"/>
      <c r="W105" s="139"/>
      <c r="X105" s="139"/>
      <c r="Y105" s="148"/>
      <c r="Z105" s="138" t="str">
        <f t="shared" si="24"/>
        <v/>
      </c>
      <c r="AA105" s="138" t="str">
        <f t="shared" si="26"/>
        <v/>
      </c>
      <c r="AB105" s="239"/>
      <c r="AC105" s="325"/>
      <c r="AD105" s="325"/>
      <c r="AE105" s="325"/>
      <c r="AF105" s="325"/>
      <c r="AG105" s="325"/>
      <c r="AH105" s="325"/>
      <c r="AI105" s="325"/>
      <c r="AJ105" s="325"/>
      <c r="AK105" s="325"/>
      <c r="AL105" s="325"/>
      <c r="AM105" s="325"/>
      <c r="AN105" s="325"/>
      <c r="AO105" s="325"/>
      <c r="AP105" s="136"/>
      <c r="AQ105" s="136"/>
      <c r="AR105" s="136" t="str">
        <f t="shared" si="21"/>
        <v/>
      </c>
      <c r="AS105" s="136" t="str">
        <f t="shared" si="21"/>
        <v/>
      </c>
      <c r="AT105" s="5" t="str">
        <f t="shared" si="22"/>
        <v/>
      </c>
      <c r="AV105" s="27" t="str">
        <f t="shared" si="33"/>
        <v/>
      </c>
      <c r="AW105" s="27"/>
      <c r="AY105" s="122" t="str">
        <f t="shared" si="23"/>
        <v/>
      </c>
    </row>
    <row r="106" spans="2:51" ht="12.75">
      <c r="B106" s="20" t="str">
        <f t="shared" si="25"/>
        <v/>
      </c>
      <c r="C106" s="5"/>
      <c r="D106" s="5"/>
      <c r="E106" s="5"/>
      <c r="G106" s="5" t="str">
        <f t="shared" si="29"/>
        <v/>
      </c>
      <c r="H106" s="117" t="str">
        <f t="shared" si="27"/>
        <v/>
      </c>
      <c r="I106" s="5" t="str">
        <f t="shared" si="30"/>
        <v/>
      </c>
      <c r="J106" s="5" t="str">
        <f t="shared" si="31"/>
        <v/>
      </c>
      <c r="K106" s="5"/>
      <c r="L106" s="5"/>
      <c r="M106" s="75"/>
      <c r="N106" s="77"/>
      <c r="O106" s="26"/>
      <c r="P106" s="26"/>
      <c r="Q106" s="118" t="str">
        <f t="shared" si="32"/>
        <v/>
      </c>
      <c r="R106" s="153"/>
      <c r="S106" s="138"/>
      <c r="T106" s="148"/>
      <c r="U106" s="146"/>
      <c r="V106" s="146"/>
      <c r="W106" s="139"/>
      <c r="X106" s="139"/>
      <c r="Y106" s="148"/>
      <c r="Z106" s="138" t="str">
        <f t="shared" si="24"/>
        <v/>
      </c>
      <c r="AA106" s="138" t="str">
        <f t="shared" si="26"/>
        <v/>
      </c>
      <c r="AB106" s="239"/>
      <c r="AC106" s="325"/>
      <c r="AD106" s="325"/>
      <c r="AE106" s="325"/>
      <c r="AF106" s="325"/>
      <c r="AG106" s="325"/>
      <c r="AH106" s="325"/>
      <c r="AI106" s="325"/>
      <c r="AJ106" s="325"/>
      <c r="AK106" s="325"/>
      <c r="AL106" s="325"/>
      <c r="AM106" s="325"/>
      <c r="AN106" s="325"/>
      <c r="AO106" s="325"/>
      <c r="AP106" s="136"/>
      <c r="AQ106" s="136"/>
      <c r="AR106" s="136" t="str">
        <f t="shared" si="21"/>
        <v/>
      </c>
      <c r="AS106" s="136" t="str">
        <f t="shared" si="21"/>
        <v/>
      </c>
      <c r="AT106" s="5" t="str">
        <f t="shared" si="22"/>
        <v/>
      </c>
      <c r="AV106" s="27" t="str">
        <f t="shared" si="33"/>
        <v/>
      </c>
      <c r="AW106" s="27"/>
      <c r="AY106" s="122" t="str">
        <f t="shared" si="23"/>
        <v/>
      </c>
    </row>
    <row r="107" spans="2:51" ht="12.75">
      <c r="B107" s="20" t="str">
        <f t="shared" si="25"/>
        <v/>
      </c>
      <c r="C107" s="5"/>
      <c r="D107" s="5"/>
      <c r="E107" s="5"/>
      <c r="G107" s="5" t="str">
        <f t="shared" si="29"/>
        <v/>
      </c>
      <c r="H107" s="117" t="str">
        <f t="shared" si="27"/>
        <v/>
      </c>
      <c r="I107" s="5" t="str">
        <f t="shared" si="30"/>
        <v/>
      </c>
      <c r="J107" s="5" t="str">
        <f t="shared" si="31"/>
        <v/>
      </c>
      <c r="K107" s="5"/>
      <c r="L107" s="5"/>
      <c r="M107" s="75"/>
      <c r="N107" s="77"/>
      <c r="O107" s="26"/>
      <c r="P107" s="26"/>
      <c r="Q107" s="118" t="str">
        <f t="shared" si="32"/>
        <v/>
      </c>
      <c r="R107" s="153"/>
      <c r="S107" s="138"/>
      <c r="T107" s="148"/>
      <c r="U107" s="146"/>
      <c r="V107" s="146"/>
      <c r="W107" s="139"/>
      <c r="X107" s="139"/>
      <c r="Y107" s="148"/>
      <c r="Z107" s="138" t="str">
        <f t="shared" si="24"/>
        <v/>
      </c>
      <c r="AA107" s="138" t="str">
        <f t="shared" si="26"/>
        <v/>
      </c>
      <c r="AB107" s="239"/>
      <c r="AC107" s="325"/>
      <c r="AD107" s="325"/>
      <c r="AE107" s="325"/>
      <c r="AF107" s="325"/>
      <c r="AG107" s="325"/>
      <c r="AH107" s="325"/>
      <c r="AI107" s="325"/>
      <c r="AJ107" s="325"/>
      <c r="AK107" s="325"/>
      <c r="AL107" s="325"/>
      <c r="AM107" s="325"/>
      <c r="AN107" s="325"/>
      <c r="AO107" s="325"/>
      <c r="AP107" s="136"/>
      <c r="AQ107" s="136"/>
      <c r="AR107" s="136" t="str">
        <f t="shared" si="21"/>
        <v/>
      </c>
      <c r="AS107" s="136" t="str">
        <f t="shared" si="21"/>
        <v/>
      </c>
      <c r="AT107" s="5" t="str">
        <f t="shared" si="22"/>
        <v/>
      </c>
      <c r="AV107" s="27" t="str">
        <f t="shared" si="33"/>
        <v/>
      </c>
      <c r="AW107" s="27"/>
      <c r="AY107" s="122" t="str">
        <f t="shared" si="23"/>
        <v/>
      </c>
    </row>
    <row r="108" spans="2:51" ht="12.75">
      <c r="B108" s="20" t="str">
        <f t="shared" si="25"/>
        <v/>
      </c>
      <c r="C108" s="5"/>
      <c r="D108" s="5"/>
      <c r="E108" s="5"/>
      <c r="G108" s="5" t="str">
        <f t="shared" si="29"/>
        <v/>
      </c>
      <c r="H108" s="117" t="str">
        <f t="shared" si="27"/>
        <v/>
      </c>
      <c r="I108" s="5" t="str">
        <f t="shared" si="30"/>
        <v/>
      </c>
      <c r="J108" s="5" t="str">
        <f t="shared" si="31"/>
        <v/>
      </c>
      <c r="K108" s="5"/>
      <c r="L108" s="5"/>
      <c r="M108" s="75"/>
      <c r="N108" s="77"/>
      <c r="O108" s="26"/>
      <c r="P108" s="26"/>
      <c r="Q108" s="118" t="str">
        <f t="shared" si="32"/>
        <v/>
      </c>
      <c r="R108" s="153"/>
      <c r="S108" s="138"/>
      <c r="T108" s="148"/>
      <c r="U108" s="146"/>
      <c r="V108" s="146"/>
      <c r="W108" s="139"/>
      <c r="X108" s="139"/>
      <c r="Y108" s="148"/>
      <c r="Z108" s="138" t="str">
        <f t="shared" si="24"/>
        <v/>
      </c>
      <c r="AA108" s="138" t="str">
        <f t="shared" si="26"/>
        <v/>
      </c>
      <c r="AB108" s="239"/>
      <c r="AC108" s="325"/>
      <c r="AD108" s="325"/>
      <c r="AE108" s="325"/>
      <c r="AF108" s="325"/>
      <c r="AG108" s="325"/>
      <c r="AH108" s="325"/>
      <c r="AI108" s="325"/>
      <c r="AJ108" s="325"/>
      <c r="AK108" s="325"/>
      <c r="AL108" s="325"/>
      <c r="AM108" s="325"/>
      <c r="AN108" s="325"/>
      <c r="AO108" s="325"/>
      <c r="AP108" s="136"/>
      <c r="AQ108" s="136"/>
      <c r="AR108" s="136" t="str">
        <f t="shared" si="21"/>
        <v/>
      </c>
      <c r="AS108" s="136" t="str">
        <f t="shared" si="21"/>
        <v/>
      </c>
      <c r="AT108" s="5" t="str">
        <f t="shared" si="22"/>
        <v/>
      </c>
      <c r="AV108" s="27" t="str">
        <f t="shared" si="33"/>
        <v/>
      </c>
      <c r="AW108" s="27"/>
      <c r="AY108" s="122" t="str">
        <f t="shared" si="23"/>
        <v/>
      </c>
    </row>
    <row r="109" spans="2:51" ht="12.75">
      <c r="B109" s="20" t="str">
        <f t="shared" si="25"/>
        <v/>
      </c>
      <c r="C109" s="5"/>
      <c r="D109" s="5"/>
      <c r="E109" s="5"/>
      <c r="G109" s="5" t="str">
        <f t="shared" si="29"/>
        <v/>
      </c>
      <c r="H109" s="117" t="str">
        <f t="shared" si="27"/>
        <v/>
      </c>
      <c r="I109" s="5" t="str">
        <f t="shared" si="30"/>
        <v/>
      </c>
      <c r="J109" s="5" t="str">
        <f t="shared" si="31"/>
        <v/>
      </c>
      <c r="K109" s="5"/>
      <c r="L109" s="5"/>
      <c r="M109" s="75"/>
      <c r="N109" s="77"/>
      <c r="O109" s="26"/>
      <c r="P109" s="26"/>
      <c r="Q109" s="118" t="str">
        <f t="shared" si="32"/>
        <v/>
      </c>
      <c r="R109" s="153"/>
      <c r="S109" s="138"/>
      <c r="T109" s="148"/>
      <c r="U109" s="146"/>
      <c r="V109" s="146"/>
      <c r="W109" s="139"/>
      <c r="X109" s="139"/>
      <c r="Y109" s="148"/>
      <c r="Z109" s="138" t="str">
        <f t="shared" si="24"/>
        <v/>
      </c>
      <c r="AA109" s="138" t="str">
        <f t="shared" si="26"/>
        <v/>
      </c>
      <c r="AB109" s="239"/>
      <c r="AC109" s="325"/>
      <c r="AD109" s="325"/>
      <c r="AE109" s="325"/>
      <c r="AF109" s="325"/>
      <c r="AG109" s="325"/>
      <c r="AH109" s="325"/>
      <c r="AI109" s="325"/>
      <c r="AJ109" s="325"/>
      <c r="AK109" s="325"/>
      <c r="AL109" s="325"/>
      <c r="AM109" s="325"/>
      <c r="AN109" s="325"/>
      <c r="AO109" s="325"/>
      <c r="AP109" s="136"/>
      <c r="AQ109" s="136"/>
      <c r="AR109" s="136" t="str">
        <f t="shared" si="21"/>
        <v/>
      </c>
      <c r="AS109" s="136" t="str">
        <f t="shared" si="21"/>
        <v/>
      </c>
      <c r="AT109" s="5" t="str">
        <f t="shared" si="22"/>
        <v/>
      </c>
      <c r="AV109" s="27" t="str">
        <f t="shared" si="33"/>
        <v/>
      </c>
      <c r="AW109" s="27"/>
      <c r="AY109" s="122" t="str">
        <f t="shared" si="23"/>
        <v/>
      </c>
    </row>
    <row r="110" spans="2:51" ht="12.75">
      <c r="B110" s="20" t="str">
        <f t="shared" si="25"/>
        <v/>
      </c>
      <c r="C110" s="5"/>
      <c r="D110" s="5"/>
      <c r="E110" s="5"/>
      <c r="G110" s="5" t="str">
        <f t="shared" si="29"/>
        <v/>
      </c>
      <c r="H110" s="117" t="str">
        <f t="shared" si="27"/>
        <v/>
      </c>
      <c r="I110" s="5" t="str">
        <f t="shared" si="30"/>
        <v/>
      </c>
      <c r="J110" s="5" t="str">
        <f t="shared" si="31"/>
        <v/>
      </c>
      <c r="K110" s="5"/>
      <c r="L110" s="5"/>
      <c r="M110" s="75"/>
      <c r="N110" s="77"/>
      <c r="O110" s="26"/>
      <c r="P110" s="26"/>
      <c r="Q110" s="118" t="str">
        <f t="shared" si="32"/>
        <v/>
      </c>
      <c r="R110" s="153"/>
      <c r="S110" s="138"/>
      <c r="T110" s="148"/>
      <c r="U110" s="146"/>
      <c r="V110" s="146"/>
      <c r="W110" s="139"/>
      <c r="X110" s="139"/>
      <c r="Y110" s="148"/>
      <c r="Z110" s="138" t="str">
        <f t="shared" si="24"/>
        <v/>
      </c>
      <c r="AA110" s="138" t="str">
        <f t="shared" si="26"/>
        <v/>
      </c>
      <c r="AB110" s="239"/>
      <c r="AC110" s="325"/>
      <c r="AD110" s="325"/>
      <c r="AE110" s="325"/>
      <c r="AF110" s="325"/>
      <c r="AG110" s="325"/>
      <c r="AH110" s="325"/>
      <c r="AI110" s="325"/>
      <c r="AJ110" s="325"/>
      <c r="AK110" s="325"/>
      <c r="AL110" s="325"/>
      <c r="AM110" s="325"/>
      <c r="AN110" s="325"/>
      <c r="AO110" s="325"/>
      <c r="AP110" s="136"/>
      <c r="AQ110" s="136"/>
      <c r="AR110" s="136" t="str">
        <f t="shared" si="21"/>
        <v/>
      </c>
      <c r="AS110" s="136" t="str">
        <f t="shared" si="21"/>
        <v/>
      </c>
      <c r="AT110" s="5" t="str">
        <f t="shared" si="22"/>
        <v/>
      </c>
      <c r="AV110" s="27" t="str">
        <f t="shared" si="33"/>
        <v/>
      </c>
      <c r="AW110" s="27"/>
      <c r="AY110" s="122" t="str">
        <f t="shared" si="23"/>
        <v/>
      </c>
    </row>
    <row r="111" spans="2:51" ht="12.75">
      <c r="B111" s="20" t="str">
        <f t="shared" si="25"/>
        <v/>
      </c>
      <c r="C111" s="5"/>
      <c r="D111" s="5"/>
      <c r="E111" s="5"/>
      <c r="G111" s="5" t="str">
        <f t="shared" si="29"/>
        <v/>
      </c>
      <c r="H111" s="117" t="str">
        <f t="shared" si="27"/>
        <v/>
      </c>
      <c r="I111" s="5" t="str">
        <f t="shared" si="30"/>
        <v/>
      </c>
      <c r="J111" s="5" t="str">
        <f t="shared" si="31"/>
        <v/>
      </c>
      <c r="K111" s="5"/>
      <c r="L111" s="5"/>
      <c r="M111" s="75"/>
      <c r="N111" s="77"/>
      <c r="O111" s="26"/>
      <c r="P111" s="26"/>
      <c r="Q111" s="118" t="str">
        <f t="shared" si="32"/>
        <v/>
      </c>
      <c r="R111" s="153"/>
      <c r="S111" s="138"/>
      <c r="T111" s="148"/>
      <c r="U111" s="146"/>
      <c r="V111" s="146"/>
      <c r="W111" s="139"/>
      <c r="X111" s="139"/>
      <c r="Y111" s="148"/>
      <c r="Z111" s="138" t="str">
        <f t="shared" si="24"/>
        <v/>
      </c>
      <c r="AA111" s="138" t="str">
        <f t="shared" si="26"/>
        <v/>
      </c>
      <c r="AB111" s="239"/>
      <c r="AC111" s="325"/>
      <c r="AD111" s="325"/>
      <c r="AE111" s="325"/>
      <c r="AF111" s="325"/>
      <c r="AG111" s="325"/>
      <c r="AH111" s="325"/>
      <c r="AI111" s="325"/>
      <c r="AJ111" s="325"/>
      <c r="AK111" s="325"/>
      <c r="AL111" s="325"/>
      <c r="AM111" s="325"/>
      <c r="AN111" s="325"/>
      <c r="AO111" s="325"/>
      <c r="AP111" s="136"/>
      <c r="AQ111" s="136"/>
      <c r="AR111" s="136" t="str">
        <f t="shared" si="21"/>
        <v/>
      </c>
      <c r="AS111" s="136" t="str">
        <f t="shared" si="21"/>
        <v/>
      </c>
      <c r="AT111" s="5" t="str">
        <f t="shared" si="22"/>
        <v/>
      </c>
      <c r="AV111" s="27" t="str">
        <f t="shared" si="33"/>
        <v/>
      </c>
      <c r="AW111" s="27"/>
      <c r="AY111" s="122" t="str">
        <f t="shared" si="23"/>
        <v/>
      </c>
    </row>
    <row r="112" spans="2:51" ht="12.75">
      <c r="B112" s="20" t="str">
        <f t="shared" si="25"/>
        <v/>
      </c>
      <c r="C112" s="5"/>
      <c r="D112" s="5"/>
      <c r="E112" s="5"/>
      <c r="G112" s="5" t="str">
        <f t="shared" si="29"/>
        <v/>
      </c>
      <c r="H112" s="117" t="str">
        <f t="shared" si="27"/>
        <v/>
      </c>
      <c r="I112" s="5" t="str">
        <f t="shared" si="30"/>
        <v/>
      </c>
      <c r="J112" s="5" t="str">
        <f t="shared" si="31"/>
        <v/>
      </c>
      <c r="K112" s="5"/>
      <c r="L112" s="5"/>
      <c r="M112" s="75"/>
      <c r="N112" s="77"/>
      <c r="O112" s="26"/>
      <c r="P112" s="26"/>
      <c r="Q112" s="118" t="str">
        <f t="shared" si="32"/>
        <v/>
      </c>
      <c r="R112" s="153"/>
      <c r="S112" s="138"/>
      <c r="T112" s="148"/>
      <c r="U112" s="146"/>
      <c r="V112" s="146"/>
      <c r="W112" s="139"/>
      <c r="X112" s="139"/>
      <c r="Y112" s="148"/>
      <c r="Z112" s="138" t="str">
        <f t="shared" si="24"/>
        <v/>
      </c>
      <c r="AA112" s="138" t="str">
        <f t="shared" si="26"/>
        <v/>
      </c>
      <c r="AB112" s="239"/>
      <c r="AC112" s="325"/>
      <c r="AD112" s="325"/>
      <c r="AE112" s="325"/>
      <c r="AF112" s="325"/>
      <c r="AG112" s="325"/>
      <c r="AH112" s="325"/>
      <c r="AI112" s="325"/>
      <c r="AJ112" s="325"/>
      <c r="AK112" s="325"/>
      <c r="AL112" s="325"/>
      <c r="AM112" s="325"/>
      <c r="AN112" s="325"/>
      <c r="AO112" s="325"/>
      <c r="AP112" s="136"/>
      <c r="AQ112" s="136"/>
      <c r="AR112" s="136" t="str">
        <f t="shared" si="21"/>
        <v/>
      </c>
      <c r="AS112" s="136" t="str">
        <f t="shared" si="21"/>
        <v/>
      </c>
      <c r="AT112" s="5" t="str">
        <f t="shared" si="22"/>
        <v/>
      </c>
      <c r="AV112" s="27" t="str">
        <f t="shared" si="33"/>
        <v/>
      </c>
      <c r="AW112" s="27"/>
      <c r="AY112" s="122" t="str">
        <f t="shared" si="23"/>
        <v/>
      </c>
    </row>
    <row r="113" spans="2:51" ht="12.75">
      <c r="B113" s="20" t="str">
        <f t="shared" si="25"/>
        <v/>
      </c>
      <c r="C113" s="5"/>
      <c r="D113" s="5"/>
      <c r="E113" s="5"/>
      <c r="G113" s="5" t="str">
        <f t="shared" si="29"/>
        <v/>
      </c>
      <c r="H113" s="117" t="str">
        <f t="shared" si="27"/>
        <v/>
      </c>
      <c r="I113" s="5" t="str">
        <f t="shared" si="30"/>
        <v/>
      </c>
      <c r="J113" s="5" t="str">
        <f t="shared" si="31"/>
        <v/>
      </c>
      <c r="K113" s="5"/>
      <c r="L113" s="5"/>
      <c r="M113" s="75"/>
      <c r="N113" s="77"/>
      <c r="O113" s="26"/>
      <c r="P113" s="26"/>
      <c r="Q113" s="118" t="str">
        <f t="shared" si="32"/>
        <v/>
      </c>
      <c r="R113" s="153"/>
      <c r="S113" s="138"/>
      <c r="T113" s="148"/>
      <c r="U113" s="146"/>
      <c r="V113" s="146"/>
      <c r="W113" s="139"/>
      <c r="X113" s="139"/>
      <c r="Y113" s="148"/>
      <c r="Z113" s="138" t="str">
        <f t="shared" si="24"/>
        <v/>
      </c>
      <c r="AA113" s="138" t="str">
        <f t="shared" si="26"/>
        <v/>
      </c>
      <c r="AB113" s="239"/>
      <c r="AC113" s="325"/>
      <c r="AD113" s="325"/>
      <c r="AE113" s="325"/>
      <c r="AF113" s="325"/>
      <c r="AG113" s="325"/>
      <c r="AH113" s="325"/>
      <c r="AI113" s="325"/>
      <c r="AJ113" s="325"/>
      <c r="AK113" s="325"/>
      <c r="AL113" s="325"/>
      <c r="AM113" s="325"/>
      <c r="AN113" s="325"/>
      <c r="AO113" s="325"/>
      <c r="AP113" s="136"/>
      <c r="AQ113" s="136"/>
      <c r="AR113" s="136" t="str">
        <f t="shared" si="21"/>
        <v/>
      </c>
      <c r="AS113" s="136" t="str">
        <f t="shared" si="21"/>
        <v/>
      </c>
      <c r="AT113" s="5" t="str">
        <f t="shared" si="22"/>
        <v/>
      </c>
      <c r="AV113" s="27" t="str">
        <f t="shared" si="33"/>
        <v/>
      </c>
      <c r="AW113" s="27"/>
      <c r="AY113" s="122" t="str">
        <f t="shared" si="23"/>
        <v/>
      </c>
    </row>
    <row r="114" spans="2:51" ht="12.75">
      <c r="B114" s="20" t="str">
        <f t="shared" si="25"/>
        <v/>
      </c>
      <c r="C114" s="5"/>
      <c r="D114" s="5"/>
      <c r="E114" s="5"/>
      <c r="G114" s="5" t="str">
        <f t="shared" si="29"/>
        <v/>
      </c>
      <c r="H114" s="117" t="str">
        <f t="shared" si="27"/>
        <v/>
      </c>
      <c r="I114" s="5" t="str">
        <f t="shared" si="30"/>
        <v/>
      </c>
      <c r="J114" s="5" t="str">
        <f t="shared" si="31"/>
        <v/>
      </c>
      <c r="K114" s="5"/>
      <c r="L114" s="5"/>
      <c r="M114" s="75"/>
      <c r="N114" s="77"/>
      <c r="O114" s="26"/>
      <c r="P114" s="26"/>
      <c r="Q114" s="118" t="str">
        <f t="shared" si="32"/>
        <v/>
      </c>
      <c r="R114" s="153"/>
      <c r="S114" s="138"/>
      <c r="T114" s="148"/>
      <c r="U114" s="146"/>
      <c r="V114" s="146"/>
      <c r="W114" s="139"/>
      <c r="X114" s="139"/>
      <c r="Y114" s="148"/>
      <c r="Z114" s="138" t="str">
        <f t="shared" si="24"/>
        <v/>
      </c>
      <c r="AA114" s="138" t="str">
        <f t="shared" si="26"/>
        <v/>
      </c>
      <c r="AB114" s="239"/>
      <c r="AC114" s="325"/>
      <c r="AD114" s="325"/>
      <c r="AE114" s="325"/>
      <c r="AF114" s="325"/>
      <c r="AG114" s="325"/>
      <c r="AH114" s="325"/>
      <c r="AI114" s="325"/>
      <c r="AJ114" s="325"/>
      <c r="AK114" s="325"/>
      <c r="AL114" s="325"/>
      <c r="AM114" s="325"/>
      <c r="AN114" s="325"/>
      <c r="AO114" s="325"/>
      <c r="AP114" s="136"/>
      <c r="AQ114" s="136"/>
      <c r="AR114" s="136" t="str">
        <f t="shared" si="21"/>
        <v/>
      </c>
      <c r="AS114" s="136" t="str">
        <f t="shared" si="21"/>
        <v/>
      </c>
      <c r="AT114" s="5" t="str">
        <f t="shared" si="22"/>
        <v/>
      </c>
      <c r="AV114" s="27" t="str">
        <f t="shared" si="33"/>
        <v/>
      </c>
      <c r="AW114" s="27"/>
      <c r="AY114" s="122" t="str">
        <f t="shared" si="23"/>
        <v/>
      </c>
    </row>
    <row r="115" spans="2:51" ht="12.75">
      <c r="B115" s="20" t="str">
        <f t="shared" si="25"/>
        <v/>
      </c>
      <c r="C115" s="5"/>
      <c r="D115" s="5"/>
      <c r="E115" s="5"/>
      <c r="G115" s="5" t="str">
        <f t="shared" si="29"/>
        <v/>
      </c>
      <c r="H115" s="117" t="str">
        <f t="shared" si="27"/>
        <v/>
      </c>
      <c r="I115" s="5" t="str">
        <f t="shared" si="30"/>
        <v/>
      </c>
      <c r="J115" s="5" t="str">
        <f t="shared" si="31"/>
        <v/>
      </c>
      <c r="K115" s="5"/>
      <c r="L115" s="5"/>
      <c r="M115" s="75"/>
      <c r="N115" s="77"/>
      <c r="O115" s="26"/>
      <c r="P115" s="26"/>
      <c r="Q115" s="118" t="str">
        <f t="shared" si="32"/>
        <v/>
      </c>
      <c r="R115" s="153"/>
      <c r="S115" s="138"/>
      <c r="T115" s="148"/>
      <c r="U115" s="146"/>
      <c r="V115" s="146"/>
      <c r="W115" s="139"/>
      <c r="X115" s="139"/>
      <c r="Y115" s="148"/>
      <c r="Z115" s="138" t="str">
        <f t="shared" si="24"/>
        <v/>
      </c>
      <c r="AA115" s="138" t="str">
        <f t="shared" si="26"/>
        <v/>
      </c>
      <c r="AB115" s="239"/>
      <c r="AC115" s="325"/>
      <c r="AD115" s="325"/>
      <c r="AE115" s="325"/>
      <c r="AF115" s="325"/>
      <c r="AG115" s="325"/>
      <c r="AH115" s="325"/>
      <c r="AI115" s="325"/>
      <c r="AJ115" s="325"/>
      <c r="AK115" s="325"/>
      <c r="AL115" s="325"/>
      <c r="AM115" s="325"/>
      <c r="AN115" s="325"/>
      <c r="AO115" s="325"/>
      <c r="AP115" s="136"/>
      <c r="AQ115" s="136"/>
      <c r="AR115" s="136" t="str">
        <f t="shared" si="21"/>
        <v/>
      </c>
      <c r="AS115" s="136" t="str">
        <f t="shared" si="21"/>
        <v/>
      </c>
      <c r="AT115" s="5" t="str">
        <f t="shared" si="22"/>
        <v/>
      </c>
      <c r="AV115" s="27" t="str">
        <f t="shared" si="33"/>
        <v/>
      </c>
      <c r="AW115" s="27"/>
      <c r="AY115" s="122" t="str">
        <f t="shared" si="23"/>
        <v/>
      </c>
    </row>
    <row r="116" spans="2:51">
      <c r="AT116" s="3" t="str">
        <f t="shared" si="22"/>
        <v/>
      </c>
      <c r="AV116" s="28"/>
      <c r="AW116" s="27"/>
      <c r="AY116" s="122" t="str">
        <f t="shared" si="23"/>
        <v/>
      </c>
    </row>
    <row r="117" spans="2:51">
      <c r="B117" s="11" t="s">
        <v>23</v>
      </c>
      <c r="AV117" s="28"/>
      <c r="AW117" s="27"/>
    </row>
    <row r="118" spans="2:51">
      <c r="B118" s="18" t="s">
        <v>17</v>
      </c>
      <c r="C118" s="22" t="str">
        <f>+"By"&amp;D120</f>
        <v>ByRisk</v>
      </c>
      <c r="D118" s="23" t="str">
        <f>SUBSTITUTE(SUBSTITUTE(SUBSTITUTE(SUBSTITUTE(SUBSTITUTE(SUBSTITUTE(SUBSTITUTE(C118," ",""),".",""),"&amp;",""),"(",""),")",""),",",""),"/","")&amp;"_"&amp;TRIM(TEXT(C7,"###"))</f>
        <v>ByRisk_9001</v>
      </c>
      <c r="E118" s="8"/>
      <c r="S118" s="283" t="s">
        <v>906</v>
      </c>
      <c r="AV118" s="27" t="str">
        <f>+" CONSTRAINT ["&amp;D118&amp;"] PRIMARY KEY NONCLUSTERED "</f>
        <v xml:space="preserve"> CONSTRAINT [ByRisk_9001]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4">IFERROR(INDEX($G$16:$G$115,C120),"")</f>
        <v>Risk</v>
      </c>
      <c r="E120" s="10" t="s">
        <v>5</v>
      </c>
      <c r="G120" s="5" t="str">
        <f>CHAR(34)&amp;D120&amp;" LIKE "&amp;H120&amp;"%{0}%"&amp;H120&amp;CHAR(34)&amp;","</f>
        <v>"Risk LIKE '%{0}%'",</v>
      </c>
      <c r="H120" s="3" t="str">
        <f>IF(IFERROR(INDEX($I$16:$I$115,C120),"")="varchar","'","")</f>
        <v>'</v>
      </c>
      <c r="S120" s="282" t="str">
        <f>RIGHT(T2,1)&amp;V3&amp;MID(T2,2,1)&amp;V3&amp;MID(T2,5,1)&amp;LEFT(T2,1)&amp;C7</f>
        <v>KLSC9001</v>
      </c>
      <c r="T120" s="282" t="str">
        <f>+C8</f>
        <v>ClassOfRisk</v>
      </c>
      <c r="U120" s="282" t="str">
        <f>+D120</f>
        <v>Risk</v>
      </c>
      <c r="V120" s="239" t="str">
        <f>+C10</f>
        <v>a138191b-8943-43dc-99a0-21b42837f205</v>
      </c>
      <c r="W120" s="272"/>
      <c r="X120" s="272"/>
      <c r="AV120" s="27" t="str">
        <f t="shared" ref="AV120:AV126" si="35">+IF(D120="","","          ["&amp;D120&amp;"] "&amp;IF(TRIM(E120)="Ascending","ASC","DES")&amp;IF(D121="","",","))</f>
        <v xml:space="preserve">          [Risk] ASC</v>
      </c>
      <c r="AW120" s="28"/>
    </row>
    <row r="121" spans="2:51">
      <c r="B121" s="20" t="str">
        <f>IF(C121=0,"",+B120+1)</f>
        <v/>
      </c>
      <c r="C121" s="10"/>
      <c r="D121" s="21" t="str">
        <f t="shared" si="34"/>
        <v/>
      </c>
      <c r="E121" s="10"/>
      <c r="G121" s="5"/>
      <c r="AV121" s="27" t="str">
        <f t="shared" si="35"/>
        <v/>
      </c>
      <c r="AW121" s="28"/>
    </row>
    <row r="122" spans="2:51">
      <c r="B122" s="20" t="str">
        <f t="shared" ref="B122:B127" si="36">IF(C122=0,"",+B121+1)</f>
        <v/>
      </c>
      <c r="C122" s="10"/>
      <c r="D122" s="21" t="str">
        <f t="shared" si="34"/>
        <v/>
      </c>
      <c r="E122" s="10"/>
      <c r="G122" s="5"/>
      <c r="S122" s="287" t="s">
        <v>574</v>
      </c>
      <c r="AV122" s="27" t="str">
        <f t="shared" si="35"/>
        <v/>
      </c>
      <c r="AW122" s="28"/>
    </row>
    <row r="123" spans="2:51">
      <c r="B123" s="20" t="str">
        <f t="shared" si="36"/>
        <v/>
      </c>
      <c r="C123" s="10"/>
      <c r="D123" s="21" t="str">
        <f t="shared" si="34"/>
        <v/>
      </c>
      <c r="E123" s="10"/>
      <c r="G123" s="5"/>
      <c r="S123" s="288" t="s">
        <v>312</v>
      </c>
      <c r="T123" s="288" t="s">
        <v>393</v>
      </c>
      <c r="U123" s="288" t="s">
        <v>394</v>
      </c>
      <c r="V123" s="288" t="s">
        <v>390</v>
      </c>
      <c r="W123" s="288" t="s">
        <v>391</v>
      </c>
      <c r="X123" s="288" t="s">
        <v>392</v>
      </c>
      <c r="Y123" s="288" t="s">
        <v>400</v>
      </c>
      <c r="Z123" s="288" t="s">
        <v>436</v>
      </c>
      <c r="AV123" s="27" t="str">
        <f t="shared" si="35"/>
        <v/>
      </c>
      <c r="AW123" s="28"/>
    </row>
    <row r="124" spans="2:51">
      <c r="B124" s="20" t="str">
        <f t="shared" si="36"/>
        <v/>
      </c>
      <c r="C124" s="10"/>
      <c r="D124" s="21" t="str">
        <f t="shared" si="34"/>
        <v/>
      </c>
      <c r="E124" s="10"/>
      <c r="G124" s="5"/>
      <c r="S124" s="239" t="s">
        <v>915</v>
      </c>
      <c r="T124" s="239" t="s">
        <v>908</v>
      </c>
      <c r="U124" s="239" t="str">
        <f>+E8</f>
        <v>Class Of Risk</v>
      </c>
      <c r="V124" s="239"/>
      <c r="W124" s="239"/>
      <c r="X124" s="239" t="str">
        <f>"./"&amp;V2</f>
        <v>./KLSC9001.html</v>
      </c>
      <c r="Y124" s="239"/>
      <c r="Z124" s="282" t="str">
        <f>+S120</f>
        <v>KLSC9001</v>
      </c>
      <c r="AV124" s="27" t="str">
        <f t="shared" si="35"/>
        <v/>
      </c>
      <c r="AW124" s="28"/>
    </row>
    <row r="125" spans="2:51">
      <c r="B125" s="20" t="str">
        <f t="shared" si="36"/>
        <v/>
      </c>
      <c r="C125" s="10"/>
      <c r="D125" s="21" t="str">
        <f t="shared" si="34"/>
        <v/>
      </c>
      <c r="E125" s="10"/>
      <c r="G125" s="5"/>
      <c r="AV125" s="27" t="str">
        <f t="shared" si="35"/>
        <v/>
      </c>
      <c r="AW125" s="28"/>
    </row>
    <row r="126" spans="2:51">
      <c r="B126" s="20" t="str">
        <f t="shared" si="36"/>
        <v/>
      </c>
      <c r="C126" s="10"/>
      <c r="D126" s="21" t="str">
        <f t="shared" si="34"/>
        <v/>
      </c>
      <c r="E126" s="10"/>
      <c r="G126" s="5"/>
      <c r="AV126" s="27" t="str">
        <f t="shared" si="35"/>
        <v/>
      </c>
      <c r="AW126" s="28"/>
    </row>
    <row r="127" spans="2:51">
      <c r="B127" s="20" t="str">
        <f t="shared" si="36"/>
        <v/>
      </c>
      <c r="C127" s="19"/>
      <c r="D127" s="21" t="str">
        <f t="shared" si="34"/>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"a138191b-8943-43dc-99a0-21b42837f205",</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"ClassOfRisk",</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"Class Of Risk",</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"Risk,Description,RiskGroupI,RiskGroupII,RiskShortDesc,RiskGovernment,Department",</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["Risk"],</v>
      </c>
      <c r="C137" s="122"/>
      <c r="D137" s="122"/>
      <c r="E137" s="122"/>
      <c r="F137" s="122"/>
      <c r="G137" s="122"/>
      <c r="H137" s="122"/>
      <c r="I137" s="122"/>
      <c r="J137" s="122"/>
      <c r="K137" s="122"/>
      <c r="L137" s="122"/>
      <c r="M137" s="122"/>
    </row>
    <row r="138" spans="2:49">
      <c r="B138" s="273" t="str">
        <f>REPT(" ",6)&amp;CHAR(34)&amp;"QueryStr"&amp;CHAR(34)&amp;": "&amp;G120</f>
        <v xml:space="preserve">      "QueryStr": "Risk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c r="O150" s="14"/>
    </row>
    <row r="151" spans="2:16">
      <c r="B151" s="274"/>
      <c r="C151" s="14"/>
      <c r="D151" s="232"/>
      <c r="E151" s="14"/>
      <c r="F151" s="14"/>
      <c r="G151" s="14"/>
      <c r="H151" s="14"/>
      <c r="I151" s="14"/>
      <c r="J151" s="14"/>
      <c r="K151" s="14"/>
      <c r="L151" s="14"/>
      <c r="M151" s="14"/>
      <c r="N151" s="14"/>
      <c r="O151" s="14"/>
    </row>
    <row r="152" spans="2:16">
      <c r="B152" s="275"/>
      <c r="C152" s="275"/>
      <c r="D152" s="275"/>
      <c r="E152" s="275"/>
      <c r="F152" s="14"/>
      <c r="G152" s="276"/>
      <c r="H152" s="14"/>
      <c r="I152" s="14"/>
      <c r="J152" s="14"/>
      <c r="K152" s="14"/>
      <c r="L152" s="14"/>
      <c r="M152" s="14"/>
      <c r="N152" s="14"/>
      <c r="O152" s="14"/>
      <c r="P152" s="4"/>
    </row>
    <row r="153" spans="2:16">
      <c r="B153" s="277"/>
      <c r="C153" s="277"/>
      <c r="D153" s="278"/>
      <c r="E153" s="14"/>
      <c r="F153" s="14"/>
      <c r="G153" s="14"/>
      <c r="H153" s="14"/>
      <c r="I153" s="14"/>
      <c r="J153" s="14"/>
      <c r="K153" s="14"/>
      <c r="L153" s="14"/>
      <c r="M153" s="14"/>
      <c r="N153" s="14"/>
      <c r="O153" s="14"/>
    </row>
    <row r="154" spans="2:16">
      <c r="B154" s="277"/>
      <c r="C154" s="277"/>
      <c r="D154" s="278"/>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1" spans="11:16">
      <c r="K161" s="107"/>
    </row>
    <row r="162" spans="11:16">
      <c r="K162" s="115"/>
    </row>
    <row r="163" spans="11:16">
      <c r="K163" s="107"/>
      <c r="L163" s="107"/>
    </row>
    <row r="164" spans="11:16">
      <c r="K164" s="107"/>
      <c r="L164" s="107"/>
      <c r="P164" s="107"/>
    </row>
    <row r="165" spans="11:16">
      <c r="K165" s="107"/>
      <c r="L165" s="107"/>
    </row>
    <row r="166" spans="11:16">
      <c r="K166" s="107"/>
      <c r="L166" s="107"/>
      <c r="O166" s="107"/>
    </row>
    <row r="167" spans="11:16">
      <c r="K167" s="107"/>
    </row>
    <row r="168" spans="11:16">
      <c r="K168" s="107"/>
    </row>
    <row r="169" spans="11:16">
      <c r="K169" s="107"/>
    </row>
    <row r="170" spans="11:16">
      <c r="K170" s="107"/>
      <c r="L170" s="107"/>
    </row>
    <row r="171" spans="11:16">
      <c r="K171" s="107"/>
      <c r="L171" s="107"/>
    </row>
    <row r="172" spans="11:16">
      <c r="K172" s="107"/>
      <c r="L172" s="107"/>
    </row>
    <row r="173" spans="11:16">
      <c r="K173" s="107"/>
      <c r="L173" s="107"/>
      <c r="O173" s="107"/>
    </row>
    <row r="174" spans="11:16">
      <c r="K174" s="107"/>
    </row>
  </sheetData>
  <dataConsolidate link="1"/>
  <mergeCells count="1">
    <mergeCell ref="N14:P14"/>
  </mergeCells>
  <dataValidations count="3">
    <dataValidation type="list" showInputMessage="1" showErrorMessage="1" sqref="V16:V115" xr:uid="{F14F3E13-7DC6-4B5E-9005-CD4BBC2ED7B7}">
      <formula1>aFormat</formula1>
    </dataValidation>
    <dataValidation type="list" showInputMessage="1" showErrorMessage="1" sqref="U16:U115" xr:uid="{B93429D6-051C-4E7B-8EF1-A4D781EC4760}">
      <formula1>aDataType</formula1>
    </dataValidation>
    <dataValidation type="list" showInputMessage="1" showErrorMessage="1" sqref="W16:X115 X2 V6:V7 AL11:AL12 T7 X6" xr:uid="{56E2EFFD-4A6E-47A0-AAF8-56032AA686A2}">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A69D8B1E-F014-49B7-816F-9E08C77F4938}">
          <x14:formula1>
            <xm:f>Variables!$B$22:$B$25</xm:f>
          </x14:formula1>
          <xm:sqref>E6</xm:sqref>
        </x14:dataValidation>
        <x14:dataValidation type="list" allowBlank="1" showInputMessage="1" showErrorMessage="1" xr:uid="{2CBCAE9E-8507-4197-B660-C34A5061A127}">
          <x14:formula1>
            <xm:f>Variables!$E$17:$E$22</xm:f>
          </x14:formula1>
          <xm:sqref>C6</xm:sqref>
        </x14:dataValidation>
        <x14:dataValidation type="list" allowBlank="1" showInputMessage="1" showErrorMessage="1" xr:uid="{EC73E43E-4132-4727-A888-181774451A10}">
          <x14:formula1>
            <xm:f>Variables!$I$28:$I$35</xm:f>
          </x14:formula1>
          <xm:sqref>T6</xm:sqref>
        </x14:dataValidation>
        <x14:dataValidation type="list" allowBlank="1" showInputMessage="1" showErrorMessage="1" xr:uid="{6169B13C-5089-4F89-85B2-84E33824AF40}">
          <x14:formula1>
            <xm:f>Variables!$G$6:$G$8</xm:f>
          </x14:formula1>
          <xm:sqref>T5</xm:sqref>
        </x14:dataValidation>
        <x14:dataValidation type="list" allowBlank="1" showInputMessage="1" showErrorMessage="1" xr:uid="{EA7F3F74-EEF9-436D-9E1B-B85EB7C5754B}">
          <x14:formula1>
            <xm:f>Variables!$G$12:$G$14</xm:f>
          </x14:formula1>
          <xm:sqref>AA16:AA115</xm:sqref>
        </x14:dataValidation>
        <x14:dataValidation type="list" showInputMessage="1" showErrorMessage="1" xr:uid="{6A60FC23-091C-4400-BF6A-B913A609D439}">
          <x14:formula1>
            <xm:f>Variables!$G$17:$G$22</xm:f>
          </x14:formula1>
          <xm:sqref>T8:T10</xm:sqref>
        </x14:dataValidation>
        <x14:dataValidation type="list" allowBlank="1" showInputMessage="1" showErrorMessage="1" xr:uid="{650E4FD9-6606-40FC-B825-5CF8218988AA}">
          <x14:formula1>
            <xm:f>Variables!E$28:E$34</xm:f>
          </x14:formula1>
          <xm:sqref>AJ16:AJ115</xm:sqref>
        </x14:dataValidation>
        <x14:dataValidation type="list" allowBlank="1" showInputMessage="1" showErrorMessage="1" xr:uid="{E7DAA9F1-D9F5-4DD6-A0F1-0491D8D1497E}">
          <x14:formula1>
            <xm:f>Variables!E$28:E$34</xm:f>
          </x14:formula1>
          <xm:sqref>AM16:AM115</xm:sqref>
        </x14:dataValidation>
        <x14:dataValidation type="list" allowBlank="1" showInputMessage="1" showErrorMessage="1" xr:uid="{44A8D987-EF06-4090-999C-1C4494CBD71B}">
          <x14:formula1>
            <xm:f>Variables!G$38:G$45</xm:f>
          </x14:formula1>
          <xm:sqref>X5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9A7C8-FFEC-4B4C-95F6-4016707348B8}">
  <sheetPr codeName="Sheet14">
    <tabColor theme="4" tint="0.79998168889431442"/>
  </sheetPr>
  <dimension ref="A1:AY174"/>
  <sheetViews>
    <sheetView showGridLines="0" workbookViewId="0">
      <pane xSplit="6" ySplit="15" topLeftCell="M16" activePane="bottomRight" state="frozen"/>
      <selection activeCell="C12" sqref="C12"/>
      <selection pane="topRight" activeCell="C12" sqref="C12"/>
      <selection pane="bottomLeft" activeCell="C12" sqref="C12"/>
      <selection pane="bottomRight" activeCell="W5" sqref="W5:X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6.85546875" style="134" bestFit="1" customWidth="1"/>
    <col min="23" max="23" width="17.7109375" style="134" customWidth="1"/>
    <col min="24" max="24" width="16.5703125" style="134" bestFit="1" customWidth="1"/>
    <col min="25" max="25" width="11.42578125" style="134" customWidth="1"/>
    <col min="26" max="26" width="12.28515625"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6"/>
      <c r="AV1" s="13" t="s">
        <v>430</v>
      </c>
    </row>
    <row r="2" spans="2:51">
      <c r="S2" s="255" t="s">
        <v>875</v>
      </c>
      <c r="T2" s="240" t="str" cm="1">
        <f t="array" ref="T2">MID(CELL("filename",A1),FIND("]",CELL("filename",A1))+1,255)</f>
        <v>UNDERWRITER</v>
      </c>
      <c r="U2" s="255" t="s">
        <v>874</v>
      </c>
      <c r="V2" s="253" t="str">
        <f>UPPER(RIGHT(T2,1)&amp;V3&amp;MID(T2,2,1)&amp;V3&amp;MID(T2,5,1)&amp;LEFT(T2,1)&amp;C7)&amp;".html"</f>
        <v>RXNXRU9019.html</v>
      </c>
      <c r="W2" s="255" t="s">
        <v>1071</v>
      </c>
      <c r="X2" s="245" t="s">
        <v>367</v>
      </c>
      <c r="AV2" s="27" t="str">
        <f>+"USE "&amp;TRIM(C5)</f>
        <v>USE SIBISDB</v>
      </c>
      <c r="AW2" s="27"/>
    </row>
    <row r="3" spans="2:51">
      <c r="B3" s="222" t="s">
        <v>577</v>
      </c>
      <c r="C3" s="102" t="str">
        <f>+DBTableList!G5</f>
        <v>http://wikran-w10:8081</v>
      </c>
      <c r="D3" s="222" t="s">
        <v>775</v>
      </c>
      <c r="E3" s="5" t="s">
        <v>776</v>
      </c>
      <c r="U3" s="254" t="s">
        <v>876</v>
      </c>
      <c r="V3" s="240" t="str">
        <f>IF(ISERROR(FIND("EntryBy",C11)),"","X")</f>
        <v>X</v>
      </c>
      <c r="AV3" s="27" t="s">
        <v>0</v>
      </c>
      <c r="AW3" s="27"/>
    </row>
    <row r="4" spans="2:51">
      <c r="B4" s="222" t="s">
        <v>854</v>
      </c>
      <c r="C4" s="218" t="str">
        <f>+DBTableList!G6</f>
        <v>pythonLT</v>
      </c>
      <c r="D4" s="229" t="s">
        <v>412</v>
      </c>
      <c r="E4" s="120" t="s">
        <v>407</v>
      </c>
      <c r="S4" s="256" t="s">
        <v>872</v>
      </c>
      <c r="AV4" s="28" t="s">
        <v>1</v>
      </c>
      <c r="AW4" s="27"/>
    </row>
    <row r="5" spans="2:51">
      <c r="B5" s="100" t="s">
        <v>19</v>
      </c>
      <c r="C5" s="101" t="s">
        <v>20</v>
      </c>
      <c r="D5" s="222" t="s">
        <v>408</v>
      </c>
      <c r="E5" s="5" t="str">
        <f>+DBTableList!$G$4</f>
        <v>CBS</v>
      </c>
      <c r="S5" s="241" t="s">
        <v>873</v>
      </c>
      <c r="T5" s="244" t="s">
        <v>569</v>
      </c>
      <c r="U5" s="243" t="s">
        <v>377</v>
      </c>
      <c r="V5" s="240" t="str">
        <f>CHAR(34)&amp;E8&amp;" Info"&amp;CHAR(34)</f>
        <v>"Insurers Info"</v>
      </c>
      <c r="W5" s="242" t="s">
        <v>1436</v>
      </c>
      <c r="X5" s="240" t="s">
        <v>1438</v>
      </c>
      <c r="AV5" s="28" t="s">
        <v>1</v>
      </c>
      <c r="AW5" s="27"/>
    </row>
    <row r="6" spans="2:51">
      <c r="B6" s="250" t="s">
        <v>10</v>
      </c>
      <c r="C6" s="5" t="s">
        <v>852</v>
      </c>
      <c r="D6" s="249" t="s">
        <v>429</v>
      </c>
      <c r="E6" s="5" t="s">
        <v>424</v>
      </c>
      <c r="S6" s="242" t="s">
        <v>514</v>
      </c>
      <c r="T6" s="245" t="s">
        <v>506</v>
      </c>
      <c r="U6" s="242" t="s">
        <v>507</v>
      </c>
      <c r="V6" s="245" t="s">
        <v>367</v>
      </c>
      <c r="W6" s="242" t="s">
        <v>1434</v>
      </c>
      <c r="X6" s="245" t="s">
        <v>367</v>
      </c>
      <c r="AV6" s="27" t="s">
        <v>2</v>
      </c>
      <c r="AW6" s="27"/>
    </row>
    <row r="7" spans="2:51">
      <c r="B7" s="100" t="s">
        <v>315</v>
      </c>
      <c r="C7" s="17">
        <v>9019</v>
      </c>
      <c r="D7" s="230" t="str">
        <f>"LIMIT "&amp;IF(E7=0,"(MAX)","")</f>
        <v>LIMIT (MAX)</v>
      </c>
      <c r="E7" s="17">
        <v>0</v>
      </c>
      <c r="F7" s="228"/>
      <c r="G7" s="228"/>
      <c r="S7" s="242" t="s">
        <v>508</v>
      </c>
      <c r="T7" s="245" t="s">
        <v>379</v>
      </c>
      <c r="U7" s="242" t="s">
        <v>385</v>
      </c>
      <c r="V7" s="245" t="s">
        <v>379</v>
      </c>
      <c r="W7" s="242" t="s">
        <v>1444</v>
      </c>
      <c r="X7" s="240">
        <v>2</v>
      </c>
      <c r="AV7" s="27" t="s">
        <v>0</v>
      </c>
      <c r="AW7" s="27"/>
    </row>
    <row r="8" spans="2:51">
      <c r="B8" s="100" t="s">
        <v>16</v>
      </c>
      <c r="C8" s="17" t="s">
        <v>313</v>
      </c>
      <c r="D8" s="231" t="s">
        <v>847</v>
      </c>
      <c r="E8" s="120" t="s">
        <v>404</v>
      </c>
      <c r="F8" s="14"/>
      <c r="G8" s="14"/>
      <c r="S8" s="242" t="s">
        <v>509</v>
      </c>
      <c r="T8" s="245" t="s">
        <v>379</v>
      </c>
      <c r="U8" s="242" t="s">
        <v>380</v>
      </c>
      <c r="V8" s="246">
        <v>1000</v>
      </c>
      <c r="W8" s="242"/>
      <c r="X8" s="240"/>
      <c r="AV8" s="28" t="s">
        <v>1</v>
      </c>
      <c r="AW8" s="27"/>
    </row>
    <row r="9" spans="2:51">
      <c r="B9" s="105" t="s">
        <v>409</v>
      </c>
      <c r="C9" s="102" t="str">
        <f>VLOOKUP(E6,Variables!$B$22:$C$25,2,FALSE)</f>
        <v>b18e9f22-2069-4f35-9739-4d7f976335eb</v>
      </c>
      <c r="D9" s="104"/>
      <c r="E9" s="103"/>
      <c r="S9" s="242" t="s">
        <v>510</v>
      </c>
      <c r="T9" s="245" t="s">
        <v>1244</v>
      </c>
      <c r="U9" s="242" t="s">
        <v>378</v>
      </c>
      <c r="V9" s="246">
        <v>525</v>
      </c>
      <c r="W9" s="242"/>
      <c r="X9" s="240"/>
      <c r="AV9" s="27" t="s">
        <v>3</v>
      </c>
      <c r="AW9" s="27"/>
    </row>
    <row r="10" spans="2:51">
      <c r="B10" s="217" t="str">
        <f>HYPERLINK("[http://wikran-w10:8080/Gentoken.html]","TBTOKEN")</f>
        <v>TBTOKEN</v>
      </c>
      <c r="C10" s="124" t="s">
        <v>472</v>
      </c>
      <c r="D10" s="104"/>
      <c r="E10" s="167"/>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Underwriter,CrossReference,Name,Address1,Address2,Address3,PostCode,City,PhoneBusiness,PhoneHome,Facsimile,AccountContact,Addressee,Salutation,DaysCredit,TrueUnderwriter,EntryBy,EntryDate,FinanceContact,GeneralClaimContact,Type,InsuranceLine,VATPayType,PhoneFinance,PhoneClaims,FaxFinance,FaxClaims</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http://wikran-w10:8081/pythonLT/A75FCC75-8FB6-4460-B3F6-7070B4437930/2579415e-2599-4fb8-a1f4-3ee3648d87cb/all</v>
      </c>
      <c r="D12" s="64"/>
      <c r="E12" s="64"/>
      <c r="F12" s="64"/>
      <c r="G12" s="64"/>
      <c r="H12" s="64"/>
      <c r="I12" s="64"/>
      <c r="J12" s="64"/>
      <c r="K12" s="64"/>
      <c r="L12" s="65"/>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27</v>
      </c>
      <c r="D14" s="3" t="s">
        <v>496</v>
      </c>
      <c r="E14" s="3">
        <f>+C14+15</f>
        <v>42</v>
      </c>
      <c r="G14" s="16" t="s">
        <v>22</v>
      </c>
      <c r="H14" s="131">
        <f>IF(IFERROR(FIND("varchar",E22),0)&gt;0,IF(D22&gt;8000,"max",D22),"")</f>
        <v>6</v>
      </c>
      <c r="M14" s="107" t="s">
        <v>369</v>
      </c>
      <c r="N14" s="489" t="s">
        <v>305</v>
      </c>
      <c r="O14" s="490"/>
      <c r="P14" s="491"/>
      <c r="S14" s="257" t="s">
        <v>871</v>
      </c>
      <c r="T14" s="149" t="s">
        <v>893</v>
      </c>
      <c r="AJ14" s="347">
        <f>COUNTBLANK(AJ16:AJ115)</f>
        <v>99</v>
      </c>
      <c r="AK14" s="30" t="s">
        <v>1044</v>
      </c>
      <c r="AM14" s="347">
        <f>COUNTBLANK(AM16:AM115)</f>
        <v>99</v>
      </c>
      <c r="AN14" s="30" t="s">
        <v>1036</v>
      </c>
      <c r="AO14" s="347">
        <f>+AM14+AJ14</f>
        <v>198</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[dbo].[Underwriter](</v>
      </c>
      <c r="AW15" s="27"/>
      <c r="AY15" s="122" t="str">
        <f>+"CREATE TABLE "&amp;TRIM(C8)&amp;" ("</f>
        <v>CREATE TABLE Underwriter (</v>
      </c>
    </row>
    <row r="16" spans="2:51" ht="12.75">
      <c r="B16" s="20">
        <f>IF(C16=0,"",1)</f>
        <v>1</v>
      </c>
      <c r="C16" s="5" t="s">
        <v>313</v>
      </c>
      <c r="D16" s="5">
        <v>8</v>
      </c>
      <c r="E16" s="5" t="s">
        <v>11</v>
      </c>
      <c r="G16" s="5" t="str">
        <f t="shared" ref="G16:G32" si="0">SUBSTITUTE(SUBSTITUTE(SUBSTITUTE(SUBSTITUTE(SUBSTITUTE(SUBSTITUTE(SUBSTITUTE(SUBSTITUTE(SUBSTITUTE(C16," ",""),".",""),"#","No"),"%",""),"(",""),"*",""),"-",""),"/",""),")","")</f>
        <v>Underwriter</v>
      </c>
      <c r="H16" s="117">
        <f t="shared" ref="H16:H21" si="1">IF(IFERROR(FIND("varchar",E16),0)&gt;0,IF(D16&gt;8000,"max",D16),"")</f>
        <v>8</v>
      </c>
      <c r="I16" s="5" t="str">
        <f t="shared" ref="I16:I45" si="2">IF(E16=0,"",+E16)</f>
        <v>varchar</v>
      </c>
      <c r="J16" s="5" t="str">
        <f t="shared" ref="J16:J45" si="3">IF(C16=0,"",(IF(ISERROR(VLOOKUP(G16,$D$120:$D$127,1,FALSE)),""," NOT")&amp;" NULL"))</f>
        <v xml:space="preserve"> NOT NULL</v>
      </c>
      <c r="K16" s="5" t="s">
        <v>473</v>
      </c>
      <c r="L16" s="5"/>
      <c r="M16" s="75">
        <v>1</v>
      </c>
      <c r="N16" s="77"/>
      <c r="O16" s="26"/>
      <c r="P16" s="26"/>
      <c r="Q16" s="118">
        <f t="shared" ref="Q16:Q36" si="4">IF(M16=0,"",ROW())</f>
        <v>16</v>
      </c>
      <c r="R16" s="153"/>
      <c r="S16" s="138" t="str">
        <f>IF(+K16=0,"",K16)</f>
        <v>Insurer Code</v>
      </c>
      <c r="T16" s="148"/>
      <c r="U16" s="146"/>
      <c r="V16" s="128"/>
      <c r="W16" s="139" t="s">
        <v>379</v>
      </c>
      <c r="X16" s="139" t="s">
        <v>367</v>
      </c>
      <c r="Y16" s="148">
        <v>100</v>
      </c>
      <c r="Z16" s="138" t="str">
        <f>IF(M16&lt;9000,"","false")</f>
        <v/>
      </c>
      <c r="AA16" s="138" t="str">
        <f>IF($C$120=B16,"asc","")</f>
        <v>asc</v>
      </c>
      <c r="AB16" s="239"/>
      <c r="AC16" s="325"/>
      <c r="AD16" s="325"/>
      <c r="AE16" s="325"/>
      <c r="AF16" s="325"/>
      <c r="AG16" s="325"/>
      <c r="AH16" s="325"/>
      <c r="AI16" s="325"/>
      <c r="AJ16" s="325" t="s">
        <v>1028</v>
      </c>
      <c r="AK16" s="325"/>
      <c r="AL16" s="325"/>
      <c r="AM16" s="325"/>
      <c r="AN16" s="325"/>
      <c r="AO16" s="325"/>
      <c r="AP16" s="136"/>
      <c r="AQ16" s="136"/>
      <c r="AR16" s="136" t="str">
        <f t="shared" ref="AR16:AR47" si="5">IF(O16=0,"",ROW())</f>
        <v/>
      </c>
      <c r="AS16" s="136" t="str">
        <f t="shared" ref="AS16:AS47" si="6">IF(P16=0,"",ROW())</f>
        <v/>
      </c>
      <c r="AT16" s="5" t="str">
        <f t="shared" ref="AT16:AT47" si="7">IF(C16="","",C16&amp;IF(B17="","",","))</f>
        <v>Underwriter,</v>
      </c>
      <c r="AV16" s="27" t="str">
        <f t="shared" ref="AV16:AV35" si="8">IF(G16="","",+"          ["&amp;TRIM(G16)&amp;"] ["&amp;TRIM(I16)&amp;"]"&amp;IF(H16="","","("&amp;H16&amp;")")&amp;" "&amp;TRIM(J16)&amp;IF(G17="","",","))</f>
        <v xml:space="preserve">          [Underwriter] [varchar](8) NOT NULL,</v>
      </c>
      <c r="AW16" s="27"/>
      <c r="AY16" s="122" t="str">
        <f t="shared" ref="AY16:AY47" si="9">IF(G16="",IF(OR(AY15=");",AY15=""),"",");"),+"          "&amp;TRIM(G16)&amp;" "&amp;UPPER(TRIM(I16))&amp;IF(H16="",""," ("&amp;H16&amp;")")&amp;" "&amp;IF(TRIM(J16)="NOT NULL","PRIMARY KEY UNIQUE NOT NULL",TRIM(J16))&amp;IF(G17="","",","))</f>
        <v xml:space="preserve">          Underwriter VARCHAR (8) PRIMARY KEY UNIQUE NOT NULL,</v>
      </c>
    </row>
    <row r="17" spans="2:51" ht="12.75">
      <c r="B17" s="20">
        <f>IF(C17=0,"",+B16+1)</f>
        <v>2</v>
      </c>
      <c r="C17" s="5" t="s">
        <v>455</v>
      </c>
      <c r="D17" s="5">
        <v>8</v>
      </c>
      <c r="E17" s="5" t="s">
        <v>11</v>
      </c>
      <c r="G17" s="5" t="str">
        <f t="shared" si="0"/>
        <v>CrossReference</v>
      </c>
      <c r="H17" s="117">
        <f t="shared" si="1"/>
        <v>8</v>
      </c>
      <c r="I17" s="5" t="str">
        <f t="shared" si="2"/>
        <v>varchar</v>
      </c>
      <c r="J17" s="5" t="str">
        <f t="shared" si="3"/>
        <v xml:space="preserve"> NULL</v>
      </c>
      <c r="K17" s="5" t="s">
        <v>474</v>
      </c>
      <c r="L17" s="5"/>
      <c r="M17" s="75">
        <v>2</v>
      </c>
      <c r="N17" s="77"/>
      <c r="O17" s="26"/>
      <c r="P17" s="26"/>
      <c r="Q17" s="118">
        <f t="shared" si="4"/>
        <v>17</v>
      </c>
      <c r="R17" s="153"/>
      <c r="S17" s="138" t="str">
        <f t="shared" ref="S17:S80" si="10">IF(+K17=0,"",K17)</f>
        <v>Short Name</v>
      </c>
      <c r="T17" s="148"/>
      <c r="U17" s="140"/>
      <c r="V17" s="140"/>
      <c r="W17" s="139"/>
      <c r="X17" s="139"/>
      <c r="Y17" s="148">
        <v>100</v>
      </c>
      <c r="Z17" s="138" t="str">
        <f t="shared" ref="Z17:Z80" si="11">IF(M17&lt;9000,"","false")</f>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5"/>
        <v/>
      </c>
      <c r="AS17" s="136" t="str">
        <f t="shared" si="6"/>
        <v/>
      </c>
      <c r="AT17" s="5" t="str">
        <f t="shared" si="7"/>
        <v>CrossReference,</v>
      </c>
      <c r="AV17" s="27" t="str">
        <f t="shared" si="8"/>
        <v xml:space="preserve">          [CrossReference] [varchar](8) NULL,</v>
      </c>
      <c r="AW17" s="27"/>
      <c r="AY17" s="122" t="str">
        <f t="shared" si="9"/>
        <v xml:space="preserve">          CrossReference VARCHAR (8) NULL,</v>
      </c>
    </row>
    <row r="18" spans="2:51" ht="12.75">
      <c r="B18" s="20">
        <f t="shared" ref="B18:B81" si="12">IF(C18=0,"",+B17+1)</f>
        <v>3</v>
      </c>
      <c r="C18" s="5" t="s">
        <v>443</v>
      </c>
      <c r="D18" s="5">
        <v>100</v>
      </c>
      <c r="E18" s="5" t="s">
        <v>11</v>
      </c>
      <c r="G18" s="5" t="str">
        <f t="shared" si="0"/>
        <v>Name</v>
      </c>
      <c r="H18" s="117">
        <f t="shared" si="1"/>
        <v>100</v>
      </c>
      <c r="I18" s="5" t="str">
        <f t="shared" si="2"/>
        <v>varchar</v>
      </c>
      <c r="J18" s="5" t="str">
        <f t="shared" si="3"/>
        <v xml:space="preserve"> NULL</v>
      </c>
      <c r="K18" s="5" t="s">
        <v>443</v>
      </c>
      <c r="L18" s="5"/>
      <c r="M18" s="75">
        <v>3</v>
      </c>
      <c r="N18" s="77"/>
      <c r="O18" s="26"/>
      <c r="P18" s="26"/>
      <c r="Q18" s="118">
        <f t="shared" si="4"/>
        <v>18</v>
      </c>
      <c r="R18" s="153"/>
      <c r="S18" s="138" t="str">
        <f t="shared" si="10"/>
        <v>Name</v>
      </c>
      <c r="T18" s="148"/>
      <c r="U18" s="140"/>
      <c r="V18" s="140"/>
      <c r="W18" s="139" t="s">
        <v>379</v>
      </c>
      <c r="X18" s="139"/>
      <c r="Y18" s="148">
        <v>900</v>
      </c>
      <c r="Z18" s="138" t="str">
        <f t="shared" si="11"/>
        <v/>
      </c>
      <c r="AA18" s="138" t="str">
        <f t="shared" ref="AA18:AA81" si="13">IF($C$120=B18,"asc","")</f>
        <v/>
      </c>
      <c r="AB18" s="239"/>
      <c r="AC18" s="325"/>
      <c r="AD18" s="325"/>
      <c r="AE18" s="325"/>
      <c r="AF18" s="325"/>
      <c r="AG18" s="325"/>
      <c r="AH18" s="325"/>
      <c r="AI18" s="325"/>
      <c r="AJ18" s="325"/>
      <c r="AK18" s="325"/>
      <c r="AL18" s="325"/>
      <c r="AM18" s="325" t="s">
        <v>1028</v>
      </c>
      <c r="AN18" s="325"/>
      <c r="AO18" s="325"/>
      <c r="AP18" s="136"/>
      <c r="AQ18" s="136"/>
      <c r="AR18" s="136" t="str">
        <f t="shared" si="5"/>
        <v/>
      </c>
      <c r="AS18" s="136" t="str">
        <f t="shared" si="6"/>
        <v/>
      </c>
      <c r="AT18" s="5" t="str">
        <f t="shared" si="7"/>
        <v>Name,</v>
      </c>
      <c r="AV18" s="27" t="str">
        <f t="shared" si="8"/>
        <v xml:space="preserve">          [Name] [varchar](100) NULL,</v>
      </c>
      <c r="AW18" s="27"/>
      <c r="AY18" s="122" t="str">
        <f t="shared" si="9"/>
        <v xml:space="preserve">          Name VARCHAR (100) NULL,</v>
      </c>
    </row>
    <row r="19" spans="2:51" ht="12.75">
      <c r="B19" s="20">
        <f t="shared" si="12"/>
        <v>4</v>
      </c>
      <c r="C19" s="5" t="s">
        <v>316</v>
      </c>
      <c r="D19" s="5">
        <v>35</v>
      </c>
      <c r="E19" s="5" t="s">
        <v>11</v>
      </c>
      <c r="G19" s="5" t="str">
        <f t="shared" si="0"/>
        <v>Address1</v>
      </c>
      <c r="H19" s="117">
        <f t="shared" si="1"/>
        <v>35</v>
      </c>
      <c r="I19" s="5" t="str">
        <f t="shared" si="2"/>
        <v>varchar</v>
      </c>
      <c r="J19" s="5" t="str">
        <f t="shared" si="3"/>
        <v xml:space="preserve"> NULL</v>
      </c>
      <c r="K19" s="5" t="s">
        <v>319</v>
      </c>
      <c r="L19" s="5"/>
      <c r="M19" s="75">
        <v>9001</v>
      </c>
      <c r="N19" s="77"/>
      <c r="O19" s="26"/>
      <c r="P19" s="26"/>
      <c r="Q19" s="118">
        <f t="shared" si="4"/>
        <v>19</v>
      </c>
      <c r="R19" s="153"/>
      <c r="S19" s="138" t="str">
        <f t="shared" si="10"/>
        <v>Address 1</v>
      </c>
      <c r="T19" s="148"/>
      <c r="U19" s="140"/>
      <c r="V19" s="140"/>
      <c r="W19" s="139"/>
      <c r="X19" s="139"/>
      <c r="Y19" s="148"/>
      <c r="Z19" s="138" t="str">
        <f t="shared" si="11"/>
        <v>false</v>
      </c>
      <c r="AA19" s="138" t="str">
        <f t="shared" si="13"/>
        <v/>
      </c>
      <c r="AB19" s="239"/>
      <c r="AC19" s="325"/>
      <c r="AD19" s="325"/>
      <c r="AE19" s="325"/>
      <c r="AF19" s="325"/>
      <c r="AG19" s="325"/>
      <c r="AH19" s="325"/>
      <c r="AI19" s="325"/>
      <c r="AJ19" s="325"/>
      <c r="AK19" s="325"/>
      <c r="AL19" s="325"/>
      <c r="AM19" s="325"/>
      <c r="AN19" s="325"/>
      <c r="AO19" s="325"/>
      <c r="AP19" s="136"/>
      <c r="AQ19" s="136"/>
      <c r="AR19" s="136" t="str">
        <f t="shared" si="5"/>
        <v/>
      </c>
      <c r="AS19" s="136" t="str">
        <f t="shared" si="6"/>
        <v/>
      </c>
      <c r="AT19" s="5" t="str">
        <f t="shared" si="7"/>
        <v>Address1,</v>
      </c>
      <c r="AV19" s="27" t="str">
        <f t="shared" si="8"/>
        <v xml:space="preserve">          [Address1] [varchar](35) NULL,</v>
      </c>
      <c r="AW19" s="27"/>
      <c r="AY19" s="122" t="str">
        <f t="shared" si="9"/>
        <v xml:space="preserve">          Address1 VARCHAR (35) NULL,</v>
      </c>
    </row>
    <row r="20" spans="2:51" ht="12.75">
      <c r="B20" s="20">
        <f t="shared" si="12"/>
        <v>5</v>
      </c>
      <c r="C20" s="5" t="s">
        <v>317</v>
      </c>
      <c r="D20" s="5">
        <v>35</v>
      </c>
      <c r="E20" s="5" t="s">
        <v>11</v>
      </c>
      <c r="G20" s="5" t="str">
        <f t="shared" si="0"/>
        <v>Address2</v>
      </c>
      <c r="H20" s="117">
        <f t="shared" si="1"/>
        <v>35</v>
      </c>
      <c r="I20" s="5" t="str">
        <f t="shared" si="2"/>
        <v>varchar</v>
      </c>
      <c r="J20" s="5" t="str">
        <f t="shared" si="3"/>
        <v xml:space="preserve"> NULL</v>
      </c>
      <c r="K20" s="5" t="s">
        <v>320</v>
      </c>
      <c r="L20" s="5"/>
      <c r="M20" s="75">
        <v>9001</v>
      </c>
      <c r="N20" s="77"/>
      <c r="O20" s="26"/>
      <c r="P20" s="26"/>
      <c r="Q20" s="118">
        <f t="shared" si="4"/>
        <v>20</v>
      </c>
      <c r="R20" s="153"/>
      <c r="S20" s="138" t="str">
        <f t="shared" si="10"/>
        <v>Address 2</v>
      </c>
      <c r="T20" s="148"/>
      <c r="U20" s="140"/>
      <c r="V20" s="140"/>
      <c r="W20" s="139"/>
      <c r="X20" s="139"/>
      <c r="Y20" s="148"/>
      <c r="Z20" s="138" t="str">
        <f t="shared" si="11"/>
        <v>false</v>
      </c>
      <c r="AA20" s="138" t="str">
        <f t="shared" si="13"/>
        <v/>
      </c>
      <c r="AB20" s="239"/>
      <c r="AC20" s="325"/>
      <c r="AD20" s="325"/>
      <c r="AE20" s="325"/>
      <c r="AF20" s="325"/>
      <c r="AG20" s="325"/>
      <c r="AH20" s="325"/>
      <c r="AI20" s="325"/>
      <c r="AJ20" s="325"/>
      <c r="AK20" s="325"/>
      <c r="AL20" s="325"/>
      <c r="AM20" s="325"/>
      <c r="AN20" s="325"/>
      <c r="AO20" s="325"/>
      <c r="AP20" s="136"/>
      <c r="AQ20" s="136"/>
      <c r="AR20" s="136" t="str">
        <f t="shared" si="5"/>
        <v/>
      </c>
      <c r="AS20" s="136" t="str">
        <f t="shared" si="6"/>
        <v/>
      </c>
      <c r="AT20" s="5" t="str">
        <f t="shared" si="7"/>
        <v>Address2,</v>
      </c>
      <c r="AV20" s="27" t="str">
        <f t="shared" si="8"/>
        <v xml:space="preserve">          [Address2] [varchar](35) NULL,</v>
      </c>
      <c r="AW20" s="27"/>
      <c r="AY20" s="122" t="str">
        <f t="shared" si="9"/>
        <v xml:space="preserve">          Address2 VARCHAR (35) NULL,</v>
      </c>
    </row>
    <row r="21" spans="2:51" ht="12.75">
      <c r="B21" s="20">
        <f t="shared" si="12"/>
        <v>6</v>
      </c>
      <c r="C21" s="5" t="s">
        <v>444</v>
      </c>
      <c r="D21" s="5">
        <v>35</v>
      </c>
      <c r="E21" s="5" t="s">
        <v>11</v>
      </c>
      <c r="G21" s="5" t="str">
        <f t="shared" si="0"/>
        <v>Address3</v>
      </c>
      <c r="H21" s="117">
        <f t="shared" si="1"/>
        <v>35</v>
      </c>
      <c r="I21" s="5" t="str">
        <f t="shared" si="2"/>
        <v>varchar</v>
      </c>
      <c r="J21" s="5" t="str">
        <f t="shared" si="3"/>
        <v xml:space="preserve"> NULL</v>
      </c>
      <c r="K21" s="5" t="s">
        <v>445</v>
      </c>
      <c r="L21" s="5"/>
      <c r="M21" s="75">
        <v>9001</v>
      </c>
      <c r="N21" s="77"/>
      <c r="O21" s="26"/>
      <c r="P21" s="26"/>
      <c r="Q21" s="118">
        <f t="shared" si="4"/>
        <v>21</v>
      </c>
      <c r="R21" s="153"/>
      <c r="S21" s="138" t="str">
        <f t="shared" si="10"/>
        <v>Address 3</v>
      </c>
      <c r="T21" s="148"/>
      <c r="U21" s="140"/>
      <c r="V21" s="140"/>
      <c r="W21" s="139"/>
      <c r="X21" s="139"/>
      <c r="Y21" s="148"/>
      <c r="Z21" s="138" t="str">
        <f t="shared" si="11"/>
        <v>false</v>
      </c>
      <c r="AA21" s="138" t="str">
        <f t="shared" si="13"/>
        <v/>
      </c>
      <c r="AB21" s="239"/>
      <c r="AC21" s="325"/>
      <c r="AD21" s="325"/>
      <c r="AE21" s="325"/>
      <c r="AF21" s="325"/>
      <c r="AG21" s="325"/>
      <c r="AH21" s="325"/>
      <c r="AI21" s="325"/>
      <c r="AJ21" s="325"/>
      <c r="AK21" s="325"/>
      <c r="AL21" s="325"/>
      <c r="AM21" s="325"/>
      <c r="AN21" s="325"/>
      <c r="AO21" s="325"/>
      <c r="AP21" s="136"/>
      <c r="AQ21" s="136"/>
      <c r="AR21" s="136" t="str">
        <f t="shared" si="5"/>
        <v/>
      </c>
      <c r="AS21" s="136" t="str">
        <f t="shared" si="6"/>
        <v/>
      </c>
      <c r="AT21" s="5" t="str">
        <f t="shared" si="7"/>
        <v>Address3,</v>
      </c>
      <c r="AV21" s="27" t="str">
        <f t="shared" si="8"/>
        <v xml:space="preserve">          [Address3] [varchar](35) NULL,</v>
      </c>
      <c r="AW21" s="27"/>
      <c r="AY21" s="122" t="str">
        <f t="shared" si="9"/>
        <v xml:space="preserve">          Address3 VARCHAR (35) NULL,</v>
      </c>
    </row>
    <row r="22" spans="2:51" ht="12.75">
      <c r="B22" s="20">
        <f t="shared" si="12"/>
        <v>7</v>
      </c>
      <c r="C22" s="5" t="s">
        <v>456</v>
      </c>
      <c r="D22" s="5">
        <v>6</v>
      </c>
      <c r="E22" s="5" t="s">
        <v>11</v>
      </c>
      <c r="G22" s="5" t="str">
        <f t="shared" si="0"/>
        <v>PostCode</v>
      </c>
      <c r="H22" s="117">
        <f>IF(IFERROR(FIND("varchar",E22),0)&gt;0,IF(D22&gt;8000,"max",D22),"")</f>
        <v>6</v>
      </c>
      <c r="I22" s="5" t="str">
        <f t="shared" si="2"/>
        <v>varchar</v>
      </c>
      <c r="J22" s="5" t="str">
        <f t="shared" si="3"/>
        <v xml:space="preserve"> NULL</v>
      </c>
      <c r="K22" s="5" t="s">
        <v>321</v>
      </c>
      <c r="L22" s="5"/>
      <c r="M22" s="75">
        <v>9001</v>
      </c>
      <c r="N22" s="77"/>
      <c r="O22" s="26"/>
      <c r="P22" s="26"/>
      <c r="Q22" s="118">
        <f t="shared" si="4"/>
        <v>22</v>
      </c>
      <c r="R22" s="153"/>
      <c r="S22" s="138" t="str">
        <f t="shared" si="10"/>
        <v>Zip Code</v>
      </c>
      <c r="T22" s="148"/>
      <c r="U22" s="140"/>
      <c r="V22" s="140"/>
      <c r="W22" s="139"/>
      <c r="X22" s="139"/>
      <c r="Y22" s="148"/>
      <c r="Z22" s="138" t="str">
        <f t="shared" si="11"/>
        <v>false</v>
      </c>
      <c r="AA22" s="138" t="str">
        <f t="shared" si="13"/>
        <v/>
      </c>
      <c r="AB22" s="239"/>
      <c r="AC22" s="325"/>
      <c r="AD22" s="325"/>
      <c r="AE22" s="325"/>
      <c r="AF22" s="325"/>
      <c r="AG22" s="325"/>
      <c r="AH22" s="325"/>
      <c r="AI22" s="325"/>
      <c r="AJ22" s="325"/>
      <c r="AK22" s="325"/>
      <c r="AL22" s="325"/>
      <c r="AM22" s="325"/>
      <c r="AN22" s="325"/>
      <c r="AO22" s="325"/>
      <c r="AP22" s="136"/>
      <c r="AQ22" s="136"/>
      <c r="AR22" s="136" t="str">
        <f t="shared" si="5"/>
        <v/>
      </c>
      <c r="AS22" s="136" t="str">
        <f t="shared" si="6"/>
        <v/>
      </c>
      <c r="AT22" s="5" t="str">
        <f t="shared" si="7"/>
        <v>PostCode,</v>
      </c>
      <c r="AV22" s="27" t="str">
        <f t="shared" si="8"/>
        <v xml:space="preserve">          [PostCode] [varchar](6) NULL,</v>
      </c>
      <c r="AW22" s="27"/>
      <c r="AY22" s="122" t="str">
        <f t="shared" si="9"/>
        <v xml:space="preserve">          PostCode VARCHAR (6) NULL,</v>
      </c>
    </row>
    <row r="23" spans="2:51" ht="12.75">
      <c r="B23" s="20">
        <f t="shared" si="12"/>
        <v>8</v>
      </c>
      <c r="C23" s="5" t="s">
        <v>318</v>
      </c>
      <c r="D23" s="5">
        <v>30</v>
      </c>
      <c r="E23" s="5" t="s">
        <v>11</v>
      </c>
      <c r="G23" s="5" t="str">
        <f t="shared" si="0"/>
        <v>City</v>
      </c>
      <c r="H23" s="117">
        <f t="shared" ref="H23:H86" si="14">IF(IFERROR(FIND("varchar",E23),0)&gt;0,IF(D23&gt;8000,"max",D23),"")</f>
        <v>30</v>
      </c>
      <c r="I23" s="5" t="str">
        <f t="shared" si="2"/>
        <v>varchar</v>
      </c>
      <c r="J23" s="5" t="str">
        <f t="shared" si="3"/>
        <v xml:space="preserve"> NULL</v>
      </c>
      <c r="K23" s="5" t="s">
        <v>318</v>
      </c>
      <c r="L23" s="5"/>
      <c r="M23" s="75">
        <v>9001</v>
      </c>
      <c r="N23" s="77"/>
      <c r="O23" s="26"/>
      <c r="P23" s="26"/>
      <c r="Q23" s="118">
        <f t="shared" si="4"/>
        <v>23</v>
      </c>
      <c r="R23" s="153"/>
      <c r="S23" s="138" t="str">
        <f t="shared" si="10"/>
        <v>City</v>
      </c>
      <c r="T23" s="148"/>
      <c r="U23" s="140"/>
      <c r="V23" s="140"/>
      <c r="W23" s="139"/>
      <c r="X23" s="139"/>
      <c r="Y23" s="148"/>
      <c r="Z23" s="138" t="str">
        <f t="shared" si="11"/>
        <v>false</v>
      </c>
      <c r="AA23" s="138" t="str">
        <f t="shared" si="13"/>
        <v/>
      </c>
      <c r="AB23" s="239"/>
      <c r="AC23" s="325"/>
      <c r="AD23" s="325"/>
      <c r="AE23" s="325"/>
      <c r="AF23" s="325"/>
      <c r="AG23" s="325"/>
      <c r="AH23" s="325"/>
      <c r="AI23" s="325"/>
      <c r="AJ23" s="325"/>
      <c r="AK23" s="325"/>
      <c r="AL23" s="325"/>
      <c r="AM23" s="325"/>
      <c r="AN23" s="325"/>
      <c r="AO23" s="325"/>
      <c r="AP23" s="136"/>
      <c r="AQ23" s="136"/>
      <c r="AR23" s="136" t="str">
        <f t="shared" si="5"/>
        <v/>
      </c>
      <c r="AS23" s="136" t="str">
        <f t="shared" si="6"/>
        <v/>
      </c>
      <c r="AT23" s="5" t="str">
        <f t="shared" si="7"/>
        <v>City,</v>
      </c>
      <c r="AV23" s="27" t="str">
        <f t="shared" si="8"/>
        <v xml:space="preserve">          [City] [varchar](30) NULL,</v>
      </c>
      <c r="AW23" s="27"/>
      <c r="AY23" s="122" t="str">
        <f t="shared" si="9"/>
        <v xml:space="preserve">          City VARCHAR (30) NULL,</v>
      </c>
    </row>
    <row r="24" spans="2:51" ht="12.75">
      <c r="B24" s="20">
        <f t="shared" si="12"/>
        <v>9</v>
      </c>
      <c r="C24" s="5" t="s">
        <v>446</v>
      </c>
      <c r="D24" s="5">
        <v>15</v>
      </c>
      <c r="E24" s="5" t="s">
        <v>11</v>
      </c>
      <c r="G24" s="5" t="str">
        <f t="shared" si="0"/>
        <v>PhoneBusiness</v>
      </c>
      <c r="H24" s="117">
        <f t="shared" si="14"/>
        <v>15</v>
      </c>
      <c r="I24" s="5" t="str">
        <f t="shared" si="2"/>
        <v>varchar</v>
      </c>
      <c r="J24" s="5" t="str">
        <f t="shared" si="3"/>
        <v xml:space="preserve"> NULL</v>
      </c>
      <c r="K24" s="5" t="s">
        <v>476</v>
      </c>
      <c r="L24" s="5"/>
      <c r="M24" s="75">
        <v>9001</v>
      </c>
      <c r="N24" s="77"/>
      <c r="O24" s="26"/>
      <c r="P24" s="26"/>
      <c r="Q24" s="118">
        <f t="shared" si="4"/>
        <v>24</v>
      </c>
      <c r="R24" s="153"/>
      <c r="S24" s="138" t="str">
        <f t="shared" si="10"/>
        <v>Business Tel</v>
      </c>
      <c r="T24" s="148"/>
      <c r="U24" s="140"/>
      <c r="V24" s="140"/>
      <c r="W24" s="139"/>
      <c r="X24" s="139"/>
      <c r="Y24" s="148"/>
      <c r="Z24" s="138" t="str">
        <f t="shared" si="11"/>
        <v>false</v>
      </c>
      <c r="AA24" s="138" t="str">
        <f t="shared" si="13"/>
        <v/>
      </c>
      <c r="AB24" s="239"/>
      <c r="AC24" s="325"/>
      <c r="AD24" s="325"/>
      <c r="AE24" s="325"/>
      <c r="AF24" s="325"/>
      <c r="AG24" s="325"/>
      <c r="AH24" s="325"/>
      <c r="AI24" s="325"/>
      <c r="AJ24" s="325"/>
      <c r="AK24" s="325"/>
      <c r="AL24" s="325"/>
      <c r="AM24" s="325"/>
      <c r="AN24" s="325"/>
      <c r="AO24" s="325"/>
      <c r="AP24" s="136"/>
      <c r="AQ24" s="136"/>
      <c r="AR24" s="136" t="str">
        <f t="shared" si="5"/>
        <v/>
      </c>
      <c r="AS24" s="136" t="str">
        <f t="shared" si="6"/>
        <v/>
      </c>
      <c r="AT24" s="5" t="str">
        <f t="shared" si="7"/>
        <v>PhoneBusiness,</v>
      </c>
      <c r="AV24" s="27" t="str">
        <f t="shared" si="8"/>
        <v xml:space="preserve">          [PhoneBusiness] [varchar](15) NULL,</v>
      </c>
      <c r="AW24" s="27"/>
      <c r="AY24" s="122" t="str">
        <f t="shared" si="9"/>
        <v xml:space="preserve">          PhoneBusiness VARCHAR (15) NULL,</v>
      </c>
    </row>
    <row r="25" spans="2:51" ht="12.75">
      <c r="B25" s="20">
        <f t="shared" si="12"/>
        <v>10</v>
      </c>
      <c r="C25" s="5" t="s">
        <v>447</v>
      </c>
      <c r="D25" s="5">
        <v>15</v>
      </c>
      <c r="E25" s="5" t="s">
        <v>11</v>
      </c>
      <c r="G25" s="5" t="str">
        <f t="shared" si="0"/>
        <v>PhoneHome</v>
      </c>
      <c r="H25" s="117">
        <f t="shared" si="14"/>
        <v>15</v>
      </c>
      <c r="I25" s="5" t="str">
        <f t="shared" si="2"/>
        <v>varchar</v>
      </c>
      <c r="J25" s="5" t="str">
        <f t="shared" si="3"/>
        <v xml:space="preserve"> NULL</v>
      </c>
      <c r="K25" s="5" t="s">
        <v>475</v>
      </c>
      <c r="L25" s="5"/>
      <c r="M25" s="75">
        <v>9001</v>
      </c>
      <c r="N25" s="77"/>
      <c r="O25" s="26"/>
      <c r="P25" s="26"/>
      <c r="Q25" s="118">
        <f t="shared" si="4"/>
        <v>25</v>
      </c>
      <c r="R25" s="153"/>
      <c r="S25" s="138" t="str">
        <f t="shared" si="10"/>
        <v>Home Tel</v>
      </c>
      <c r="T25" s="148"/>
      <c r="U25" s="140"/>
      <c r="V25" s="140"/>
      <c r="W25" s="139"/>
      <c r="X25" s="139"/>
      <c r="Y25" s="148"/>
      <c r="Z25" s="138" t="str">
        <f t="shared" si="11"/>
        <v>false</v>
      </c>
      <c r="AA25" s="138" t="str">
        <f t="shared" si="13"/>
        <v/>
      </c>
      <c r="AB25" s="239"/>
      <c r="AC25" s="325"/>
      <c r="AD25" s="325"/>
      <c r="AE25" s="325"/>
      <c r="AF25" s="325"/>
      <c r="AG25" s="325"/>
      <c r="AH25" s="325"/>
      <c r="AI25" s="325"/>
      <c r="AJ25" s="325"/>
      <c r="AK25" s="325"/>
      <c r="AL25" s="325"/>
      <c r="AM25" s="325"/>
      <c r="AN25" s="325"/>
      <c r="AO25" s="325"/>
      <c r="AP25" s="136"/>
      <c r="AQ25" s="136"/>
      <c r="AR25" s="136" t="str">
        <f t="shared" si="5"/>
        <v/>
      </c>
      <c r="AS25" s="136" t="str">
        <f t="shared" si="6"/>
        <v/>
      </c>
      <c r="AT25" s="5" t="str">
        <f t="shared" si="7"/>
        <v>PhoneHome,</v>
      </c>
      <c r="AV25" s="27" t="str">
        <f t="shared" si="8"/>
        <v xml:space="preserve">          [PhoneHome] [varchar](15) NULL,</v>
      </c>
      <c r="AW25" s="27"/>
      <c r="AY25" s="122" t="str">
        <f t="shared" si="9"/>
        <v xml:space="preserve">          PhoneHome VARCHAR (15) NULL,</v>
      </c>
    </row>
    <row r="26" spans="2:51" ht="12.75">
      <c r="B26" s="20">
        <f t="shared" si="12"/>
        <v>11</v>
      </c>
      <c r="C26" s="5" t="s">
        <v>457</v>
      </c>
      <c r="D26" s="5">
        <v>30</v>
      </c>
      <c r="E26" s="5" t="s">
        <v>11</v>
      </c>
      <c r="G26" s="5" t="str">
        <f t="shared" si="0"/>
        <v>Facsimile</v>
      </c>
      <c r="H26" s="117">
        <f t="shared" si="14"/>
        <v>30</v>
      </c>
      <c r="I26" s="5" t="str">
        <f t="shared" si="2"/>
        <v>varchar</v>
      </c>
      <c r="J26" s="5" t="str">
        <f t="shared" si="3"/>
        <v xml:space="preserve"> NULL</v>
      </c>
      <c r="K26" s="5" t="s">
        <v>477</v>
      </c>
      <c r="L26" s="5"/>
      <c r="M26" s="75">
        <v>9001</v>
      </c>
      <c r="N26" s="77"/>
      <c r="O26" s="26"/>
      <c r="P26" s="26"/>
      <c r="Q26" s="118">
        <f t="shared" si="4"/>
        <v>26</v>
      </c>
      <c r="R26" s="153"/>
      <c r="S26" s="138" t="str">
        <f t="shared" si="10"/>
        <v>Fax</v>
      </c>
      <c r="T26" s="148"/>
      <c r="U26" s="140"/>
      <c r="V26" s="140"/>
      <c r="W26" s="139"/>
      <c r="X26" s="139"/>
      <c r="Y26" s="148"/>
      <c r="Z26" s="138" t="str">
        <f t="shared" si="11"/>
        <v>false</v>
      </c>
      <c r="AA26" s="138" t="str">
        <f t="shared" si="13"/>
        <v/>
      </c>
      <c r="AB26" s="239"/>
      <c r="AC26" s="325"/>
      <c r="AD26" s="325"/>
      <c r="AE26" s="325"/>
      <c r="AF26" s="325"/>
      <c r="AG26" s="325"/>
      <c r="AH26" s="325"/>
      <c r="AI26" s="325"/>
      <c r="AJ26" s="325"/>
      <c r="AK26" s="325"/>
      <c r="AL26" s="325"/>
      <c r="AM26" s="325"/>
      <c r="AN26" s="325"/>
      <c r="AO26" s="325"/>
      <c r="AP26" s="136"/>
      <c r="AQ26" s="136"/>
      <c r="AR26" s="136" t="str">
        <f t="shared" si="5"/>
        <v/>
      </c>
      <c r="AS26" s="136" t="str">
        <f t="shared" si="6"/>
        <v/>
      </c>
      <c r="AT26" s="5" t="str">
        <f t="shared" si="7"/>
        <v>Facsimile,</v>
      </c>
      <c r="AV26" s="27" t="str">
        <f t="shared" si="8"/>
        <v xml:space="preserve">          [Facsimile] [varchar](30) NULL,</v>
      </c>
      <c r="AW26" s="27"/>
      <c r="AY26" s="122" t="str">
        <f t="shared" si="9"/>
        <v xml:space="preserve">          Facsimile VARCHAR (30) NULL,</v>
      </c>
    </row>
    <row r="27" spans="2:51" ht="12.75">
      <c r="B27" s="20">
        <f t="shared" si="12"/>
        <v>12</v>
      </c>
      <c r="C27" s="5" t="s">
        <v>458</v>
      </c>
      <c r="D27" s="5">
        <v>70</v>
      </c>
      <c r="E27" s="5" t="s">
        <v>11</v>
      </c>
      <c r="G27" s="5" t="str">
        <f t="shared" si="0"/>
        <v>AccountContact</v>
      </c>
      <c r="H27" s="117">
        <f t="shared" si="14"/>
        <v>70</v>
      </c>
      <c r="I27" s="5" t="str">
        <f t="shared" si="2"/>
        <v>varchar</v>
      </c>
      <c r="J27" s="5" t="str">
        <f t="shared" si="3"/>
        <v xml:space="preserve"> NULL</v>
      </c>
      <c r="K27" s="5" t="s">
        <v>478</v>
      </c>
      <c r="L27" s="5"/>
      <c r="M27" s="75">
        <v>9001</v>
      </c>
      <c r="N27" s="77"/>
      <c r="O27" s="26"/>
      <c r="P27" s="26"/>
      <c r="Q27" s="118">
        <f t="shared" si="4"/>
        <v>27</v>
      </c>
      <c r="R27" s="153"/>
      <c r="S27" s="138" t="str">
        <f t="shared" si="10"/>
        <v>Account Contact</v>
      </c>
      <c r="T27" s="148"/>
      <c r="U27" s="140"/>
      <c r="V27" s="140"/>
      <c r="W27" s="139"/>
      <c r="X27" s="139"/>
      <c r="Y27" s="148"/>
      <c r="Z27" s="138" t="str">
        <f t="shared" si="11"/>
        <v>false</v>
      </c>
      <c r="AA27" s="138" t="str">
        <f t="shared" si="13"/>
        <v/>
      </c>
      <c r="AB27" s="239"/>
      <c r="AC27" s="325"/>
      <c r="AD27" s="325"/>
      <c r="AE27" s="325"/>
      <c r="AF27" s="325"/>
      <c r="AG27" s="325"/>
      <c r="AH27" s="325"/>
      <c r="AI27" s="325"/>
      <c r="AJ27" s="325"/>
      <c r="AK27" s="325"/>
      <c r="AL27" s="325"/>
      <c r="AM27" s="325"/>
      <c r="AN27" s="325"/>
      <c r="AO27" s="325"/>
      <c r="AP27" s="136"/>
      <c r="AQ27" s="136"/>
      <c r="AR27" s="136" t="str">
        <f t="shared" si="5"/>
        <v/>
      </c>
      <c r="AS27" s="136" t="str">
        <f t="shared" si="6"/>
        <v/>
      </c>
      <c r="AT27" s="5" t="str">
        <f t="shared" si="7"/>
        <v>AccountContact,</v>
      </c>
      <c r="AV27" s="27" t="str">
        <f t="shared" si="8"/>
        <v xml:space="preserve">          [AccountContact] [varchar](70) NULL,</v>
      </c>
      <c r="AW27" s="27"/>
      <c r="AY27" s="122" t="str">
        <f t="shared" si="9"/>
        <v xml:space="preserve">          AccountContact VARCHAR (70) NULL,</v>
      </c>
    </row>
    <row r="28" spans="2:51" ht="12.75">
      <c r="B28" s="20">
        <f t="shared" si="12"/>
        <v>13</v>
      </c>
      <c r="C28" s="5" t="s">
        <v>459</v>
      </c>
      <c r="D28" s="5">
        <v>70</v>
      </c>
      <c r="E28" s="5" t="s">
        <v>11</v>
      </c>
      <c r="G28" s="5" t="str">
        <f t="shared" si="0"/>
        <v>Addressee</v>
      </c>
      <c r="H28" s="117">
        <f t="shared" si="14"/>
        <v>70</v>
      </c>
      <c r="I28" s="5" t="str">
        <f t="shared" si="2"/>
        <v>varchar</v>
      </c>
      <c r="J28" s="5" t="str">
        <f t="shared" si="3"/>
        <v xml:space="preserve"> NULL</v>
      </c>
      <c r="K28" s="5" t="s">
        <v>459</v>
      </c>
      <c r="L28" s="5"/>
      <c r="M28" s="75">
        <v>9001</v>
      </c>
      <c r="N28" s="77"/>
      <c r="O28" s="26"/>
      <c r="P28" s="26"/>
      <c r="Q28" s="118">
        <f t="shared" si="4"/>
        <v>28</v>
      </c>
      <c r="R28" s="153"/>
      <c r="S28" s="138" t="str">
        <f t="shared" si="10"/>
        <v>Addressee</v>
      </c>
      <c r="T28" s="148"/>
      <c r="U28" s="140"/>
      <c r="V28" s="140"/>
      <c r="W28" s="139"/>
      <c r="X28" s="139"/>
      <c r="Y28" s="148"/>
      <c r="Z28" s="138" t="str">
        <f t="shared" si="11"/>
        <v>false</v>
      </c>
      <c r="AA28" s="138" t="str">
        <f t="shared" si="13"/>
        <v/>
      </c>
      <c r="AB28" s="239"/>
      <c r="AC28" s="325"/>
      <c r="AD28" s="325"/>
      <c r="AE28" s="325"/>
      <c r="AF28" s="325"/>
      <c r="AG28" s="325"/>
      <c r="AH28" s="325"/>
      <c r="AI28" s="325"/>
      <c r="AJ28" s="325"/>
      <c r="AK28" s="325"/>
      <c r="AL28" s="325"/>
      <c r="AM28" s="325"/>
      <c r="AN28" s="325"/>
      <c r="AO28" s="325"/>
      <c r="AP28" s="136"/>
      <c r="AQ28" s="136"/>
      <c r="AR28" s="136" t="str">
        <f t="shared" si="5"/>
        <v/>
      </c>
      <c r="AS28" s="136" t="str">
        <f t="shared" si="6"/>
        <v/>
      </c>
      <c r="AT28" s="5" t="str">
        <f t="shared" si="7"/>
        <v>Addressee,</v>
      </c>
      <c r="AV28" s="27" t="str">
        <f t="shared" si="8"/>
        <v xml:space="preserve">          [Addressee] [varchar](70) NULL,</v>
      </c>
      <c r="AW28" s="27"/>
      <c r="AY28" s="122" t="str">
        <f t="shared" si="9"/>
        <v xml:space="preserve">          Addressee VARCHAR (70) NULL,</v>
      </c>
    </row>
    <row r="29" spans="2:51" ht="12.75">
      <c r="B29" s="20">
        <f t="shared" si="12"/>
        <v>14</v>
      </c>
      <c r="C29" s="5" t="s">
        <v>460</v>
      </c>
      <c r="D29" s="5">
        <v>70</v>
      </c>
      <c r="E29" s="5" t="s">
        <v>11</v>
      </c>
      <c r="G29" s="5" t="str">
        <f t="shared" si="0"/>
        <v>Salutation</v>
      </c>
      <c r="H29" s="117">
        <f t="shared" si="14"/>
        <v>70</v>
      </c>
      <c r="I29" s="5" t="str">
        <f t="shared" si="2"/>
        <v>varchar</v>
      </c>
      <c r="J29" s="5" t="str">
        <f t="shared" si="3"/>
        <v xml:space="preserve"> NULL</v>
      </c>
      <c r="K29" s="5" t="s">
        <v>460</v>
      </c>
      <c r="L29" s="5"/>
      <c r="M29" s="75">
        <v>9001</v>
      </c>
      <c r="N29" s="77"/>
      <c r="O29" s="26"/>
      <c r="P29" s="26"/>
      <c r="Q29" s="118">
        <f t="shared" si="4"/>
        <v>29</v>
      </c>
      <c r="R29" s="153"/>
      <c r="S29" s="138" t="str">
        <f t="shared" si="10"/>
        <v>Salutation</v>
      </c>
      <c r="T29" s="148"/>
      <c r="U29" s="140"/>
      <c r="V29" s="140"/>
      <c r="W29" s="139"/>
      <c r="X29" s="139"/>
      <c r="Y29" s="148"/>
      <c r="Z29" s="138" t="str">
        <f t="shared" si="11"/>
        <v>false</v>
      </c>
      <c r="AA29" s="138" t="str">
        <f t="shared" si="13"/>
        <v/>
      </c>
      <c r="AB29" s="239"/>
      <c r="AC29" s="325"/>
      <c r="AD29" s="325"/>
      <c r="AE29" s="325"/>
      <c r="AF29" s="325"/>
      <c r="AG29" s="325"/>
      <c r="AH29" s="325"/>
      <c r="AI29" s="325"/>
      <c r="AJ29" s="325"/>
      <c r="AK29" s="325"/>
      <c r="AL29" s="325"/>
      <c r="AM29" s="325"/>
      <c r="AN29" s="325"/>
      <c r="AO29" s="325"/>
      <c r="AP29" s="136"/>
      <c r="AQ29" s="136"/>
      <c r="AR29" s="136" t="str">
        <f t="shared" si="5"/>
        <v/>
      </c>
      <c r="AS29" s="136" t="str">
        <f t="shared" si="6"/>
        <v/>
      </c>
      <c r="AT29" s="5" t="str">
        <f t="shared" si="7"/>
        <v>Salutation,</v>
      </c>
      <c r="AV29" s="27" t="str">
        <f t="shared" si="8"/>
        <v xml:space="preserve">          [Salutation] [varchar](70) NULL,</v>
      </c>
      <c r="AW29" s="27"/>
      <c r="AY29" s="122" t="str">
        <f t="shared" si="9"/>
        <v xml:space="preserve">          Salutation VARCHAR (70) NULL,</v>
      </c>
    </row>
    <row r="30" spans="2:51" ht="12.75">
      <c r="B30" s="20">
        <f t="shared" si="12"/>
        <v>15</v>
      </c>
      <c r="C30" s="5" t="s">
        <v>461</v>
      </c>
      <c r="D30" s="5"/>
      <c r="E30" s="5" t="s">
        <v>471</v>
      </c>
      <c r="G30" s="5" t="str">
        <f t="shared" si="0"/>
        <v>DaysCredit</v>
      </c>
      <c r="H30" s="117" t="str">
        <f t="shared" ref="H30:H42" si="15">IF(IFERROR(FIND("varchar",E30),0)&gt;0,IF(D30&gt;8000,"max",D30),"")</f>
        <v/>
      </c>
      <c r="I30" s="5" t="str">
        <f t="shared" ref="I30:I42" si="16">IF(E30=0,"",+E30)</f>
        <v>smallint</v>
      </c>
      <c r="J30" s="5" t="str">
        <f t="shared" si="3"/>
        <v xml:space="preserve"> NULL</v>
      </c>
      <c r="K30" s="5" t="s">
        <v>479</v>
      </c>
      <c r="L30" s="5"/>
      <c r="M30" s="75">
        <v>9001</v>
      </c>
      <c r="N30" s="77"/>
      <c r="O30" s="26"/>
      <c r="P30" s="26"/>
      <c r="Q30" s="118">
        <f t="shared" si="4"/>
        <v>30</v>
      </c>
      <c r="R30" s="153"/>
      <c r="S30" s="138" t="str">
        <f t="shared" si="10"/>
        <v>Days Credit</v>
      </c>
      <c r="T30" s="148"/>
      <c r="U30" s="140"/>
      <c r="V30" s="140"/>
      <c r="W30" s="139"/>
      <c r="X30" s="139"/>
      <c r="Y30" s="148"/>
      <c r="Z30" s="138" t="str">
        <f t="shared" si="11"/>
        <v>false</v>
      </c>
      <c r="AA30" s="138" t="str">
        <f t="shared" si="13"/>
        <v/>
      </c>
      <c r="AB30" s="239"/>
      <c r="AC30" s="325"/>
      <c r="AD30" s="325"/>
      <c r="AE30" s="325"/>
      <c r="AF30" s="325"/>
      <c r="AG30" s="325"/>
      <c r="AH30" s="325"/>
      <c r="AI30" s="325"/>
      <c r="AJ30" s="325"/>
      <c r="AK30" s="325"/>
      <c r="AL30" s="325"/>
      <c r="AM30" s="325"/>
      <c r="AN30" s="325"/>
      <c r="AO30" s="325"/>
      <c r="AP30" s="136"/>
      <c r="AQ30" s="136"/>
      <c r="AR30" s="136" t="str">
        <f t="shared" si="5"/>
        <v/>
      </c>
      <c r="AS30" s="136" t="str">
        <f t="shared" si="6"/>
        <v/>
      </c>
      <c r="AT30" s="5" t="str">
        <f t="shared" si="7"/>
        <v>DaysCredit,</v>
      </c>
      <c r="AV30" s="27" t="str">
        <f t="shared" si="8"/>
        <v xml:space="preserve">          [DaysCredit] [smallint] NULL,</v>
      </c>
      <c r="AW30" s="27"/>
      <c r="AY30" s="122" t="str">
        <f t="shared" si="9"/>
        <v xml:space="preserve">          DaysCredit SMALLINT NULL,</v>
      </c>
    </row>
    <row r="31" spans="2:51" ht="12.75">
      <c r="B31" s="20">
        <f t="shared" si="12"/>
        <v>16</v>
      </c>
      <c r="C31" s="5" t="s">
        <v>462</v>
      </c>
      <c r="D31" s="5" t="s">
        <v>1</v>
      </c>
      <c r="E31" s="5" t="s">
        <v>415</v>
      </c>
      <c r="G31" s="5" t="str">
        <f t="shared" si="0"/>
        <v>TrueUnderwriter</v>
      </c>
      <c r="H31" s="117" t="str">
        <f t="shared" si="15"/>
        <v/>
      </c>
      <c r="I31" s="5" t="str">
        <f t="shared" si="16"/>
        <v>bit</v>
      </c>
      <c r="J31" s="5" t="str">
        <f t="shared" si="3"/>
        <v xml:space="preserve"> NULL</v>
      </c>
      <c r="K31" s="5" t="s">
        <v>1079</v>
      </c>
      <c r="L31" s="5"/>
      <c r="M31" s="75">
        <v>4</v>
      </c>
      <c r="N31" s="77"/>
      <c r="O31" s="26"/>
      <c r="P31" s="26"/>
      <c r="Q31" s="118">
        <f t="shared" si="4"/>
        <v>31</v>
      </c>
      <c r="R31" s="153"/>
      <c r="S31" s="138" t="str">
        <f t="shared" si="10"/>
        <v>REAL Underwriter</v>
      </c>
      <c r="T31" s="148">
        <v>1</v>
      </c>
      <c r="U31" s="140"/>
      <c r="V31" s="140"/>
      <c r="W31" s="139"/>
      <c r="X31" s="139"/>
      <c r="Y31" s="148">
        <v>100</v>
      </c>
      <c r="Z31" s="138" t="str">
        <f t="shared" si="11"/>
        <v/>
      </c>
      <c r="AA31" s="138" t="s">
        <v>1065</v>
      </c>
      <c r="AB31" s="239"/>
      <c r="AC31" s="325"/>
      <c r="AD31" s="325"/>
      <c r="AE31" s="325"/>
      <c r="AF31" s="325"/>
      <c r="AG31" s="325"/>
      <c r="AH31" s="325"/>
      <c r="AI31" s="325"/>
      <c r="AJ31" s="325"/>
      <c r="AK31" s="325"/>
      <c r="AL31" s="325"/>
      <c r="AM31" s="325"/>
      <c r="AN31" s="325"/>
      <c r="AO31" s="325"/>
      <c r="AP31" s="136"/>
      <c r="AQ31" s="136"/>
      <c r="AR31" s="136" t="str">
        <f t="shared" si="5"/>
        <v/>
      </c>
      <c r="AS31" s="136" t="str">
        <f t="shared" si="6"/>
        <v/>
      </c>
      <c r="AT31" s="5" t="str">
        <f t="shared" si="7"/>
        <v>TrueUnderwriter,</v>
      </c>
      <c r="AV31" s="27" t="str">
        <f t="shared" si="8"/>
        <v xml:space="preserve">          [TrueUnderwriter] [bit] NULL,</v>
      </c>
      <c r="AW31" s="27"/>
      <c r="AY31" s="122" t="str">
        <f t="shared" si="9"/>
        <v xml:space="preserve">          TrueUnderwriter BIT NULL,</v>
      </c>
    </row>
    <row r="32" spans="2:51" ht="12.75">
      <c r="B32" s="20">
        <f t="shared" si="12"/>
        <v>17</v>
      </c>
      <c r="C32" s="5" t="s">
        <v>74</v>
      </c>
      <c r="D32" s="5">
        <v>10</v>
      </c>
      <c r="E32" s="5" t="s">
        <v>11</v>
      </c>
      <c r="G32" s="5" t="str">
        <f t="shared" si="0"/>
        <v>EntryBy</v>
      </c>
      <c r="H32" s="117">
        <f t="shared" si="15"/>
        <v>10</v>
      </c>
      <c r="I32" s="5" t="str">
        <f t="shared" si="16"/>
        <v>varchar</v>
      </c>
      <c r="J32" s="5" t="str">
        <f t="shared" si="3"/>
        <v xml:space="preserve"> NULL</v>
      </c>
      <c r="K32" s="5" t="s">
        <v>322</v>
      </c>
      <c r="L32" s="5"/>
      <c r="M32" s="75">
        <v>5</v>
      </c>
      <c r="N32" s="77"/>
      <c r="O32" s="26"/>
      <c r="P32" s="26"/>
      <c r="Q32" s="118">
        <f t="shared" si="4"/>
        <v>32</v>
      </c>
      <c r="R32" s="153"/>
      <c r="S32" s="138" t="str">
        <f t="shared" si="10"/>
        <v>Entry By</v>
      </c>
      <c r="T32" s="148"/>
      <c r="U32" s="140"/>
      <c r="V32" s="140"/>
      <c r="W32" s="139"/>
      <c r="X32" s="139"/>
      <c r="Y32" s="148">
        <v>100</v>
      </c>
      <c r="Z32" s="138" t="str">
        <f t="shared" si="11"/>
        <v/>
      </c>
      <c r="AA32" s="138" t="str">
        <f t="shared" si="13"/>
        <v/>
      </c>
      <c r="AB32" s="239"/>
      <c r="AC32" s="325"/>
      <c r="AD32" s="325"/>
      <c r="AE32" s="325"/>
      <c r="AF32" s="325"/>
      <c r="AG32" s="325"/>
      <c r="AH32" s="325"/>
      <c r="AI32" s="325"/>
      <c r="AJ32" s="325"/>
      <c r="AK32" s="325"/>
      <c r="AL32" s="325"/>
      <c r="AM32" s="325"/>
      <c r="AN32" s="325"/>
      <c r="AO32" s="325"/>
      <c r="AP32" s="136"/>
      <c r="AQ32" s="136"/>
      <c r="AR32" s="136" t="str">
        <f t="shared" si="5"/>
        <v/>
      </c>
      <c r="AS32" s="136" t="str">
        <f t="shared" si="6"/>
        <v/>
      </c>
      <c r="AT32" s="5" t="str">
        <f t="shared" si="7"/>
        <v>EntryBy,</v>
      </c>
      <c r="AV32" s="27" t="str">
        <f t="shared" si="8"/>
        <v xml:space="preserve">          [EntryBy] [varchar](10) NULL,</v>
      </c>
      <c r="AW32" s="27"/>
      <c r="AY32" s="122" t="str">
        <f t="shared" si="9"/>
        <v xml:space="preserve">          EntryBy VARCHAR (10) NULL,</v>
      </c>
    </row>
    <row r="33" spans="2:51" ht="12.75">
      <c r="B33" s="20">
        <f t="shared" si="12"/>
        <v>18</v>
      </c>
      <c r="C33" s="5" t="s">
        <v>75</v>
      </c>
      <c r="D33" s="5" t="s">
        <v>1</v>
      </c>
      <c r="E33" s="5" t="s">
        <v>12</v>
      </c>
      <c r="G33" s="5" t="str">
        <f>SUBSTITUTE(SUBSTITUTE(SUBSTITUTE(SUBSTITUTE(SUBSTITUTE(SUBSTITUTE(SUBSTITUTE(SUBSTITUTE(SUBSTITUTE(C33," ",""),".",""),"#","No"),"%",""),"(",""),"*",""),"-",""),"/",""),")","")</f>
        <v>EntryDate</v>
      </c>
      <c r="H33" s="117" t="str">
        <f t="shared" si="15"/>
        <v/>
      </c>
      <c r="I33" s="5" t="str">
        <f t="shared" si="16"/>
        <v>datetime</v>
      </c>
      <c r="J33" s="5" t="str">
        <f t="shared" si="3"/>
        <v xml:space="preserve"> NULL</v>
      </c>
      <c r="K33" s="5" t="s">
        <v>323</v>
      </c>
      <c r="L33" s="5"/>
      <c r="M33" s="75">
        <v>6</v>
      </c>
      <c r="N33" s="77"/>
      <c r="O33" s="26"/>
      <c r="P33" s="26"/>
      <c r="Q33" s="118">
        <f t="shared" si="4"/>
        <v>33</v>
      </c>
      <c r="R33" s="153"/>
      <c r="S33" s="138" t="str">
        <f t="shared" si="10"/>
        <v>Entry Date</v>
      </c>
      <c r="T33" s="148"/>
      <c r="U33" s="140" t="s">
        <v>373</v>
      </c>
      <c r="V33" s="140" t="s">
        <v>433</v>
      </c>
      <c r="W33" s="139"/>
      <c r="X33" s="139"/>
      <c r="Y33" s="148">
        <v>100</v>
      </c>
      <c r="Z33" s="138" t="str">
        <f t="shared" si="11"/>
        <v/>
      </c>
      <c r="AA33" s="138" t="str">
        <f t="shared" si="13"/>
        <v/>
      </c>
      <c r="AB33" s="239"/>
      <c r="AC33" s="325"/>
      <c r="AD33" s="325"/>
      <c r="AE33" s="325"/>
      <c r="AF33" s="325"/>
      <c r="AG33" s="325"/>
      <c r="AH33" s="325"/>
      <c r="AI33" s="325"/>
      <c r="AJ33" s="325"/>
      <c r="AK33" s="325"/>
      <c r="AL33" s="325"/>
      <c r="AM33" s="325"/>
      <c r="AN33" s="325"/>
      <c r="AO33" s="325"/>
      <c r="AP33" s="136"/>
      <c r="AQ33" s="136"/>
      <c r="AR33" s="136" t="str">
        <f t="shared" si="5"/>
        <v/>
      </c>
      <c r="AS33" s="136" t="str">
        <f t="shared" si="6"/>
        <v/>
      </c>
      <c r="AT33" s="5" t="str">
        <f t="shared" si="7"/>
        <v>EntryDate,</v>
      </c>
      <c r="AV33" s="27" t="str">
        <f t="shared" si="8"/>
        <v xml:space="preserve">          [EntryDate] [datetime] NULL,</v>
      </c>
      <c r="AW33" s="27"/>
      <c r="AY33" s="122" t="str">
        <f t="shared" si="9"/>
        <v xml:space="preserve">          EntryDate DATETIME NULL,</v>
      </c>
    </row>
    <row r="34" spans="2:51" ht="12.75">
      <c r="B34" s="20">
        <f t="shared" si="12"/>
        <v>19</v>
      </c>
      <c r="C34" s="5" t="s">
        <v>463</v>
      </c>
      <c r="D34" s="5">
        <v>70</v>
      </c>
      <c r="E34" s="5" t="s">
        <v>11</v>
      </c>
      <c r="G34" s="5" t="str">
        <f>SUBSTITUTE(SUBSTITUTE(SUBSTITUTE(SUBSTITUTE(SUBSTITUTE(SUBSTITUTE(SUBSTITUTE(SUBSTITUTE(SUBSTITUTE(C34," ",""),".",""),"#","No"),"%",""),"(",""),"*",""),"-",""),"/",""),")","")</f>
        <v>FinanceContact</v>
      </c>
      <c r="H34" s="117">
        <f t="shared" si="15"/>
        <v>70</v>
      </c>
      <c r="I34" s="5" t="str">
        <f t="shared" si="16"/>
        <v>varchar</v>
      </c>
      <c r="J34" s="5" t="str">
        <f t="shared" si="3"/>
        <v xml:space="preserve"> NULL</v>
      </c>
      <c r="K34" s="5" t="s">
        <v>480</v>
      </c>
      <c r="L34" s="5"/>
      <c r="M34" s="75">
        <v>9001</v>
      </c>
      <c r="N34" s="77"/>
      <c r="O34" s="26"/>
      <c r="P34" s="26"/>
      <c r="Q34" s="118">
        <f t="shared" si="4"/>
        <v>34</v>
      </c>
      <c r="R34" s="153"/>
      <c r="S34" s="138" t="str">
        <f t="shared" si="10"/>
        <v>Finance Contact</v>
      </c>
      <c r="T34" s="148"/>
      <c r="U34" s="140"/>
      <c r="V34" s="140"/>
      <c r="W34" s="139"/>
      <c r="X34" s="139"/>
      <c r="Y34" s="148"/>
      <c r="Z34" s="138" t="str">
        <f t="shared" si="11"/>
        <v>false</v>
      </c>
      <c r="AA34" s="138" t="str">
        <f t="shared" si="13"/>
        <v/>
      </c>
      <c r="AB34" s="239"/>
      <c r="AC34" s="325"/>
      <c r="AD34" s="325"/>
      <c r="AE34" s="325"/>
      <c r="AF34" s="325"/>
      <c r="AG34" s="325"/>
      <c r="AH34" s="325"/>
      <c r="AI34" s="325"/>
      <c r="AJ34" s="325"/>
      <c r="AK34" s="325"/>
      <c r="AL34" s="325"/>
      <c r="AM34" s="325"/>
      <c r="AN34" s="325"/>
      <c r="AO34" s="325"/>
      <c r="AP34" s="136"/>
      <c r="AQ34" s="136"/>
      <c r="AR34" s="136" t="str">
        <f t="shared" si="5"/>
        <v/>
      </c>
      <c r="AS34" s="136" t="str">
        <f t="shared" si="6"/>
        <v/>
      </c>
      <c r="AT34" s="5" t="str">
        <f t="shared" si="7"/>
        <v>FinanceContact,</v>
      </c>
      <c r="AV34" s="27" t="str">
        <f t="shared" si="8"/>
        <v xml:space="preserve">          [FinanceContact] [varchar](70) NULL,</v>
      </c>
      <c r="AW34" s="27"/>
      <c r="AY34" s="122" t="str">
        <f t="shared" si="9"/>
        <v xml:space="preserve">          FinanceContact VARCHAR (70) NULL,</v>
      </c>
    </row>
    <row r="35" spans="2:51" ht="12.75">
      <c r="B35" s="20">
        <f t="shared" si="12"/>
        <v>20</v>
      </c>
      <c r="C35" s="5" t="s">
        <v>464</v>
      </c>
      <c r="D35" s="5">
        <v>30</v>
      </c>
      <c r="E35" s="5" t="s">
        <v>11</v>
      </c>
      <c r="G35" s="5" t="str">
        <f>SUBSTITUTE(SUBSTITUTE(SUBSTITUTE(SUBSTITUTE(SUBSTITUTE(SUBSTITUTE(SUBSTITUTE(SUBSTITUTE(SUBSTITUTE(C35," ",""),".",""),"#","No"),"%",""),"(",""),"*",""),"-",""),"/",""),")","")</f>
        <v>GeneralClaimContact</v>
      </c>
      <c r="H35" s="117">
        <f t="shared" si="15"/>
        <v>30</v>
      </c>
      <c r="I35" s="5" t="str">
        <f t="shared" si="16"/>
        <v>varchar</v>
      </c>
      <c r="J35" s="5" t="str">
        <f t="shared" si="3"/>
        <v xml:space="preserve"> NULL</v>
      </c>
      <c r="K35" s="5" t="s">
        <v>482</v>
      </c>
      <c r="L35" s="5"/>
      <c r="M35" s="75">
        <v>9001</v>
      </c>
      <c r="N35" s="77"/>
      <c r="O35" s="26"/>
      <c r="P35" s="26"/>
      <c r="Q35" s="118">
        <f t="shared" si="4"/>
        <v>35</v>
      </c>
      <c r="R35" s="153"/>
      <c r="S35" s="138" t="str">
        <f t="shared" si="10"/>
        <v>General Claim Contact</v>
      </c>
      <c r="T35" s="148"/>
      <c r="U35" s="140"/>
      <c r="V35" s="140"/>
      <c r="W35" s="139"/>
      <c r="X35" s="139"/>
      <c r="Y35" s="148"/>
      <c r="Z35" s="138" t="str">
        <f t="shared" si="11"/>
        <v>false</v>
      </c>
      <c r="AA35" s="138" t="str">
        <f t="shared" si="13"/>
        <v/>
      </c>
      <c r="AB35" s="239"/>
      <c r="AC35" s="325"/>
      <c r="AD35" s="325"/>
      <c r="AE35" s="325"/>
      <c r="AF35" s="325"/>
      <c r="AG35" s="325"/>
      <c r="AH35" s="325"/>
      <c r="AI35" s="325"/>
      <c r="AJ35" s="325"/>
      <c r="AK35" s="325"/>
      <c r="AL35" s="325"/>
      <c r="AM35" s="325"/>
      <c r="AN35" s="325"/>
      <c r="AO35" s="325"/>
      <c r="AP35" s="136"/>
      <c r="AQ35" s="136"/>
      <c r="AR35" s="136" t="str">
        <f t="shared" si="5"/>
        <v/>
      </c>
      <c r="AS35" s="136" t="str">
        <f t="shared" si="6"/>
        <v/>
      </c>
      <c r="AT35" s="5" t="str">
        <f t="shared" si="7"/>
        <v>GeneralClaimContact,</v>
      </c>
      <c r="AV35" s="27" t="str">
        <f t="shared" si="8"/>
        <v xml:space="preserve">          [GeneralClaimContact] [varchar](30) NULL,</v>
      </c>
      <c r="AW35" s="27"/>
      <c r="AY35" s="122" t="str">
        <f t="shared" si="9"/>
        <v xml:space="preserve">          GeneralClaimContact VARCHAR (30) NULL,</v>
      </c>
    </row>
    <row r="36" spans="2:51" ht="12.75">
      <c r="B36" s="20">
        <f t="shared" si="12"/>
        <v>21</v>
      </c>
      <c r="C36" s="5" t="s">
        <v>42</v>
      </c>
      <c r="D36" s="5">
        <v>1</v>
      </c>
      <c r="E36" s="5" t="s">
        <v>11</v>
      </c>
      <c r="G36" s="5" t="str">
        <f>SUBSTITUTE(SUBSTITUTE(SUBSTITUTE(SUBSTITUTE(SUBSTITUTE(SUBSTITUTE(SUBSTITUTE(SUBSTITUTE(SUBSTITUTE(C36," ",""),".",""),"#","No"),"%",""),"(",""),"*",""),"-",""),"/",""),")","")</f>
        <v>Type</v>
      </c>
      <c r="H36" s="117">
        <f t="shared" si="15"/>
        <v>1</v>
      </c>
      <c r="I36" s="5" t="str">
        <f t="shared" si="16"/>
        <v>varchar</v>
      </c>
      <c r="J36" s="5" t="str">
        <f t="shared" si="3"/>
        <v xml:space="preserve"> NULL</v>
      </c>
      <c r="K36" s="5" t="s">
        <v>42</v>
      </c>
      <c r="L36" s="5"/>
      <c r="M36" s="75">
        <v>7</v>
      </c>
      <c r="N36" s="77"/>
      <c r="O36" s="26"/>
      <c r="P36" s="26"/>
      <c r="Q36" s="118">
        <f t="shared" si="4"/>
        <v>36</v>
      </c>
      <c r="R36" s="153"/>
      <c r="S36" s="138" t="str">
        <f t="shared" si="10"/>
        <v>Type</v>
      </c>
      <c r="T36" s="148"/>
      <c r="U36" s="140"/>
      <c r="V36" s="140"/>
      <c r="W36" s="139"/>
      <c r="X36" s="139"/>
      <c r="Y36" s="148">
        <v>50</v>
      </c>
      <c r="Z36" s="138" t="str">
        <f t="shared" si="11"/>
        <v/>
      </c>
      <c r="AA36" s="138" t="str">
        <f t="shared" si="13"/>
        <v/>
      </c>
      <c r="AB36" s="239"/>
      <c r="AC36" s="325"/>
      <c r="AD36" s="325"/>
      <c r="AE36" s="325"/>
      <c r="AF36" s="325"/>
      <c r="AG36" s="325"/>
      <c r="AH36" s="325"/>
      <c r="AI36" s="325"/>
      <c r="AJ36" s="325"/>
      <c r="AK36" s="325"/>
      <c r="AL36" s="325"/>
      <c r="AM36" s="325"/>
      <c r="AN36" s="325"/>
      <c r="AO36" s="325"/>
      <c r="AP36" s="136"/>
      <c r="AQ36" s="136"/>
      <c r="AR36" s="136" t="str">
        <f t="shared" si="5"/>
        <v/>
      </c>
      <c r="AS36" s="136" t="str">
        <f t="shared" si="6"/>
        <v/>
      </c>
      <c r="AT36" s="5" t="str">
        <f t="shared" si="7"/>
        <v>Type,</v>
      </c>
      <c r="AV36" s="27" t="str">
        <f>IF(G36="","",+"          ["&amp;TRIM(G36)&amp;"] ["&amp;TRIM(I36)&amp;"]"&amp;IF(H36="","","("&amp;H36&amp;")")&amp;" "&amp;TRIM(J36)&amp;IF(G46="","",","))</f>
        <v xml:space="preserve">          [Type] [varchar](1) NULL</v>
      </c>
      <c r="AW36" s="27"/>
      <c r="AY36" s="122" t="str">
        <f t="shared" si="9"/>
        <v xml:space="preserve">          Type VARCHAR (1) NULL,</v>
      </c>
    </row>
    <row r="37" spans="2:51" ht="12.75">
      <c r="B37" s="20">
        <f t="shared" si="12"/>
        <v>22</v>
      </c>
      <c r="C37" s="5" t="s">
        <v>465</v>
      </c>
      <c r="D37" s="5">
        <v>1</v>
      </c>
      <c r="E37" s="5" t="s">
        <v>11</v>
      </c>
      <c r="G37" s="5" t="str">
        <f t="shared" ref="G37:G45" si="17">SUBSTITUTE(SUBSTITUTE(SUBSTITUTE(SUBSTITUTE(SUBSTITUTE(SUBSTITUTE(SUBSTITUTE(SUBSTITUTE(SUBSTITUTE(C37," ",""),".",""),"#","No"),"%",""),"(",""),"*",""),"-",""),"/",""),")","")</f>
        <v>InsuranceLine</v>
      </c>
      <c r="H37" s="117">
        <f t="shared" si="15"/>
        <v>1</v>
      </c>
      <c r="I37" s="5" t="str">
        <f t="shared" si="16"/>
        <v>varchar</v>
      </c>
      <c r="J37" s="5" t="str">
        <f t="shared" si="3"/>
        <v xml:space="preserve"> NULL</v>
      </c>
      <c r="K37" s="5" t="s">
        <v>481</v>
      </c>
      <c r="L37" s="5"/>
      <c r="M37" s="75">
        <v>9001</v>
      </c>
      <c r="N37" s="77"/>
      <c r="O37" s="26"/>
      <c r="P37" s="26"/>
      <c r="Q37" s="118">
        <f t="shared" ref="Q37:Q45" si="18">IF(M37=0,"",ROW())</f>
        <v>37</v>
      </c>
      <c r="R37" s="153"/>
      <c r="S37" s="138" t="str">
        <f t="shared" si="10"/>
        <v>Insurance Line</v>
      </c>
      <c r="T37" s="148"/>
      <c r="U37" s="140"/>
      <c r="V37" s="140"/>
      <c r="W37" s="139"/>
      <c r="X37" s="139"/>
      <c r="Y37" s="148"/>
      <c r="Z37" s="138" t="str">
        <f t="shared" si="11"/>
        <v>false</v>
      </c>
      <c r="AA37" s="138" t="str">
        <f t="shared" si="13"/>
        <v/>
      </c>
      <c r="AB37" s="239"/>
      <c r="AC37" s="325"/>
      <c r="AD37" s="325"/>
      <c r="AE37" s="325"/>
      <c r="AF37" s="325"/>
      <c r="AG37" s="325"/>
      <c r="AH37" s="325"/>
      <c r="AI37" s="325"/>
      <c r="AJ37" s="325"/>
      <c r="AK37" s="325"/>
      <c r="AL37" s="325"/>
      <c r="AM37" s="325"/>
      <c r="AN37" s="325"/>
      <c r="AO37" s="325"/>
      <c r="AP37" s="136"/>
      <c r="AQ37" s="136"/>
      <c r="AR37" s="136" t="str">
        <f t="shared" si="5"/>
        <v/>
      </c>
      <c r="AS37" s="136" t="str">
        <f t="shared" si="6"/>
        <v/>
      </c>
      <c r="AT37" s="5" t="str">
        <f t="shared" si="7"/>
        <v>InsuranceLine,</v>
      </c>
      <c r="AV37" s="27" t="str">
        <f>IF(G37="","",+"          ["&amp;TRIM(G37)&amp;"] ["&amp;TRIM(I37)&amp;"]"&amp;IF(H37="","","("&amp;H37&amp;")")&amp;" "&amp;TRIM(J37)&amp;IF(G38="","",","))</f>
        <v xml:space="preserve">          [InsuranceLine] [varchar](1) NULL,</v>
      </c>
      <c r="AW37" s="27"/>
      <c r="AY37" s="122" t="str">
        <f t="shared" si="9"/>
        <v xml:space="preserve">          InsuranceLine VARCHAR (1) NULL,</v>
      </c>
    </row>
    <row r="38" spans="2:51" ht="12.75">
      <c r="B38" s="20">
        <f t="shared" si="12"/>
        <v>23</v>
      </c>
      <c r="C38" s="5" t="s">
        <v>466</v>
      </c>
      <c r="D38" s="5">
        <v>1</v>
      </c>
      <c r="E38" s="5" t="s">
        <v>11</v>
      </c>
      <c r="G38" s="5" t="str">
        <f t="shared" si="17"/>
        <v>VATPayType</v>
      </c>
      <c r="H38" s="117">
        <f t="shared" si="15"/>
        <v>1</v>
      </c>
      <c r="I38" s="5" t="str">
        <f t="shared" si="16"/>
        <v>varchar</v>
      </c>
      <c r="J38" s="5" t="str">
        <f t="shared" si="3"/>
        <v xml:space="preserve"> NULL</v>
      </c>
      <c r="K38" s="5" t="s">
        <v>483</v>
      </c>
      <c r="L38" s="5"/>
      <c r="M38" s="75">
        <v>9001</v>
      </c>
      <c r="N38" s="77"/>
      <c r="O38" s="26"/>
      <c r="P38" s="26"/>
      <c r="Q38" s="118">
        <f t="shared" si="18"/>
        <v>38</v>
      </c>
      <c r="R38" s="153"/>
      <c r="S38" s="138" t="str">
        <f t="shared" si="10"/>
        <v>VAT Pay Type</v>
      </c>
      <c r="T38" s="148"/>
      <c r="U38" s="140"/>
      <c r="V38" s="140"/>
      <c r="W38" s="139"/>
      <c r="X38" s="139"/>
      <c r="Y38" s="148"/>
      <c r="Z38" s="138" t="str">
        <f t="shared" si="11"/>
        <v>false</v>
      </c>
      <c r="AA38" s="138" t="str">
        <f t="shared" si="13"/>
        <v/>
      </c>
      <c r="AB38" s="239"/>
      <c r="AC38" s="325"/>
      <c r="AD38" s="325"/>
      <c r="AE38" s="325"/>
      <c r="AF38" s="325"/>
      <c r="AG38" s="325"/>
      <c r="AH38" s="325"/>
      <c r="AI38" s="325"/>
      <c r="AJ38" s="325"/>
      <c r="AK38" s="325"/>
      <c r="AL38" s="325"/>
      <c r="AM38" s="325"/>
      <c r="AN38" s="325"/>
      <c r="AO38" s="325"/>
      <c r="AP38" s="136"/>
      <c r="AQ38" s="136"/>
      <c r="AR38" s="136" t="str">
        <f t="shared" si="5"/>
        <v/>
      </c>
      <c r="AS38" s="136" t="str">
        <f t="shared" si="6"/>
        <v/>
      </c>
      <c r="AT38" s="5" t="str">
        <f t="shared" si="7"/>
        <v>VATPayType,</v>
      </c>
      <c r="AV38" s="27" t="str">
        <f>IF(G38="","",+"          ["&amp;TRIM(G38)&amp;"] ["&amp;TRIM(I38)&amp;"]"&amp;IF(H38="","","("&amp;H38&amp;")")&amp;" "&amp;TRIM(J38)&amp;IF(G39="","",","))</f>
        <v xml:space="preserve">          [VATPayType] [varchar](1) NULL,</v>
      </c>
      <c r="AW38" s="27"/>
      <c r="AY38" s="122" t="str">
        <f t="shared" si="9"/>
        <v xml:space="preserve">          VATPayType VARCHAR (1) NULL,</v>
      </c>
    </row>
    <row r="39" spans="2:51" ht="12.75">
      <c r="B39" s="20">
        <f t="shared" si="12"/>
        <v>24</v>
      </c>
      <c r="C39" s="5" t="s">
        <v>467</v>
      </c>
      <c r="D39" s="5">
        <v>15</v>
      </c>
      <c r="E39" s="5" t="s">
        <v>11</v>
      </c>
      <c r="G39" s="5" t="str">
        <f t="shared" si="17"/>
        <v>PhoneFinance</v>
      </c>
      <c r="H39" s="117">
        <f t="shared" si="15"/>
        <v>15</v>
      </c>
      <c r="I39" s="5" t="str">
        <f t="shared" si="16"/>
        <v>varchar</v>
      </c>
      <c r="J39" s="5" t="str">
        <f t="shared" si="3"/>
        <v xml:space="preserve"> NULL</v>
      </c>
      <c r="K39" s="5" t="s">
        <v>484</v>
      </c>
      <c r="L39" s="5"/>
      <c r="M39" s="75">
        <v>9001</v>
      </c>
      <c r="N39" s="77"/>
      <c r="O39" s="26"/>
      <c r="P39" s="26"/>
      <c r="Q39" s="118">
        <f t="shared" si="18"/>
        <v>39</v>
      </c>
      <c r="R39" s="153"/>
      <c r="S39" s="138" t="str">
        <f t="shared" si="10"/>
        <v>Finance Tel</v>
      </c>
      <c r="T39" s="148"/>
      <c r="U39" s="140"/>
      <c r="V39" s="140"/>
      <c r="W39" s="139"/>
      <c r="X39" s="139"/>
      <c r="Y39" s="148"/>
      <c r="Z39" s="138" t="str">
        <f t="shared" si="11"/>
        <v>false</v>
      </c>
      <c r="AA39" s="138" t="str">
        <f t="shared" si="13"/>
        <v/>
      </c>
      <c r="AB39" s="239"/>
      <c r="AC39" s="325"/>
      <c r="AD39" s="325"/>
      <c r="AE39" s="325"/>
      <c r="AF39" s="325"/>
      <c r="AG39" s="325"/>
      <c r="AH39" s="325"/>
      <c r="AI39" s="325"/>
      <c r="AJ39" s="325"/>
      <c r="AK39" s="325"/>
      <c r="AL39" s="325"/>
      <c r="AM39" s="325"/>
      <c r="AN39" s="325"/>
      <c r="AO39" s="325"/>
      <c r="AP39" s="136"/>
      <c r="AQ39" s="136"/>
      <c r="AR39" s="136" t="str">
        <f t="shared" si="5"/>
        <v/>
      </c>
      <c r="AS39" s="136" t="str">
        <f t="shared" si="6"/>
        <v/>
      </c>
      <c r="AT39" s="5" t="str">
        <f t="shared" si="7"/>
        <v>PhoneFinance,</v>
      </c>
      <c r="AV39" s="27" t="str">
        <f>IF(G39="","",+"          ["&amp;TRIM(G39)&amp;"] ["&amp;TRIM(I39)&amp;"]"&amp;IF(H39="","","("&amp;H39&amp;")")&amp;" "&amp;TRIM(J39)&amp;IF(G69="","",","))</f>
        <v xml:space="preserve">          [PhoneFinance] [varchar](15) NULL</v>
      </c>
      <c r="AW39" s="27"/>
      <c r="AY39" s="122" t="str">
        <f t="shared" si="9"/>
        <v xml:space="preserve">          PhoneFinance VARCHAR (15) NULL,</v>
      </c>
    </row>
    <row r="40" spans="2:51" ht="12.75">
      <c r="B40" s="20">
        <f t="shared" si="12"/>
        <v>25</v>
      </c>
      <c r="C40" s="5" t="s">
        <v>468</v>
      </c>
      <c r="D40" s="5">
        <v>15</v>
      </c>
      <c r="E40" s="5" t="s">
        <v>11</v>
      </c>
      <c r="G40" s="5" t="str">
        <f t="shared" si="17"/>
        <v>PhoneClaims</v>
      </c>
      <c r="H40" s="117">
        <f t="shared" si="15"/>
        <v>15</v>
      </c>
      <c r="I40" s="5" t="str">
        <f t="shared" si="16"/>
        <v>varchar</v>
      </c>
      <c r="J40" s="5" t="str">
        <f t="shared" si="3"/>
        <v xml:space="preserve"> NULL</v>
      </c>
      <c r="K40" s="5" t="s">
        <v>485</v>
      </c>
      <c r="L40" s="5"/>
      <c r="M40" s="75">
        <v>9001</v>
      </c>
      <c r="N40" s="77"/>
      <c r="O40" s="26"/>
      <c r="P40" s="26"/>
      <c r="Q40" s="118">
        <f t="shared" si="18"/>
        <v>40</v>
      </c>
      <c r="R40" s="153"/>
      <c r="S40" s="138" t="str">
        <f t="shared" si="10"/>
        <v>Claims Tel</v>
      </c>
      <c r="T40" s="148"/>
      <c r="U40" s="140"/>
      <c r="V40" s="140"/>
      <c r="W40" s="139"/>
      <c r="X40" s="139"/>
      <c r="Y40" s="148"/>
      <c r="Z40" s="138" t="str">
        <f t="shared" si="11"/>
        <v>false</v>
      </c>
      <c r="AA40" s="138" t="str">
        <f t="shared" si="13"/>
        <v/>
      </c>
      <c r="AB40" s="239"/>
      <c r="AC40" s="325"/>
      <c r="AD40" s="325"/>
      <c r="AE40" s="325"/>
      <c r="AF40" s="325"/>
      <c r="AG40" s="325"/>
      <c r="AH40" s="325"/>
      <c r="AI40" s="325"/>
      <c r="AJ40" s="325"/>
      <c r="AK40" s="325"/>
      <c r="AL40" s="325"/>
      <c r="AM40" s="325"/>
      <c r="AN40" s="325"/>
      <c r="AO40" s="325"/>
      <c r="AP40" s="136"/>
      <c r="AQ40" s="136"/>
      <c r="AR40" s="136" t="str">
        <f t="shared" si="5"/>
        <v/>
      </c>
      <c r="AS40" s="136" t="str">
        <f t="shared" si="6"/>
        <v/>
      </c>
      <c r="AT40" s="5" t="str">
        <f t="shared" si="7"/>
        <v>PhoneClaims,</v>
      </c>
      <c r="AV40" s="27" t="str">
        <f>IF(G40="","",+"          ["&amp;TRIM(G40)&amp;"] ["&amp;TRIM(I40)&amp;"]"&amp;IF(H40="","","("&amp;H40&amp;")")&amp;" "&amp;TRIM(J40)&amp;IF(G68="","",","))</f>
        <v xml:space="preserve">          [PhoneClaims] [varchar](15) NULL</v>
      </c>
      <c r="AW40" s="27"/>
      <c r="AY40" s="122" t="str">
        <f t="shared" si="9"/>
        <v xml:space="preserve">          PhoneClaims VARCHAR (15) NULL,</v>
      </c>
    </row>
    <row r="41" spans="2:51" ht="12.75">
      <c r="B41" s="20">
        <f t="shared" si="12"/>
        <v>26</v>
      </c>
      <c r="C41" s="5" t="s">
        <v>469</v>
      </c>
      <c r="D41" s="5">
        <v>30</v>
      </c>
      <c r="E41" s="5" t="s">
        <v>11</v>
      </c>
      <c r="G41" s="5" t="str">
        <f t="shared" si="17"/>
        <v>FaxFinance</v>
      </c>
      <c r="H41" s="117">
        <f t="shared" si="15"/>
        <v>30</v>
      </c>
      <c r="I41" s="5" t="str">
        <f t="shared" si="16"/>
        <v>varchar</v>
      </c>
      <c r="J41" s="5" t="str">
        <f t="shared" si="3"/>
        <v xml:space="preserve"> NULL</v>
      </c>
      <c r="K41" s="5" t="s">
        <v>486</v>
      </c>
      <c r="L41" s="5"/>
      <c r="M41" s="75">
        <v>9001</v>
      </c>
      <c r="N41" s="77"/>
      <c r="O41" s="26"/>
      <c r="P41" s="26"/>
      <c r="Q41" s="118">
        <f t="shared" si="18"/>
        <v>41</v>
      </c>
      <c r="R41" s="153"/>
      <c r="S41" s="138" t="str">
        <f t="shared" si="10"/>
        <v>Finance Fax</v>
      </c>
      <c r="T41" s="148"/>
      <c r="U41" s="140"/>
      <c r="V41" s="140"/>
      <c r="W41" s="139"/>
      <c r="X41" s="139"/>
      <c r="Y41" s="148"/>
      <c r="Z41" s="138" t="str">
        <f t="shared" si="11"/>
        <v>false</v>
      </c>
      <c r="AA41" s="138" t="str">
        <f t="shared" si="13"/>
        <v/>
      </c>
      <c r="AB41" s="239"/>
      <c r="AC41" s="325"/>
      <c r="AD41" s="325"/>
      <c r="AE41" s="325"/>
      <c r="AF41" s="325"/>
      <c r="AG41" s="325"/>
      <c r="AH41" s="325"/>
      <c r="AI41" s="325"/>
      <c r="AJ41" s="325"/>
      <c r="AK41" s="325"/>
      <c r="AL41" s="325"/>
      <c r="AM41" s="325"/>
      <c r="AN41" s="325"/>
      <c r="AO41" s="325"/>
      <c r="AP41" s="136"/>
      <c r="AQ41" s="136"/>
      <c r="AR41" s="136" t="str">
        <f t="shared" si="5"/>
        <v/>
      </c>
      <c r="AS41" s="136" t="str">
        <f t="shared" si="6"/>
        <v/>
      </c>
      <c r="AT41" s="5" t="str">
        <f t="shared" si="7"/>
        <v>FaxFinance,</v>
      </c>
      <c r="AV41" s="27" t="str">
        <f>IF(G41="","",+"          ["&amp;TRIM(G41)&amp;"] ["&amp;TRIM(I41)&amp;"]"&amp;IF(H41="","","("&amp;H41&amp;")")&amp;" "&amp;TRIM(J41)&amp;IF(G42="","",","))</f>
        <v xml:space="preserve">          [FaxFinance] [varchar](30) NULL,</v>
      </c>
      <c r="AW41" s="27"/>
      <c r="AY41" s="122" t="str">
        <f t="shared" si="9"/>
        <v xml:space="preserve">          FaxFinance VARCHAR (30) NULL,</v>
      </c>
    </row>
    <row r="42" spans="2:51" ht="12.75">
      <c r="B42" s="20">
        <f t="shared" si="12"/>
        <v>27</v>
      </c>
      <c r="C42" s="5" t="s">
        <v>470</v>
      </c>
      <c r="D42" s="5">
        <v>30</v>
      </c>
      <c r="E42" s="5" t="s">
        <v>11</v>
      </c>
      <c r="G42" s="5" t="str">
        <f t="shared" si="17"/>
        <v>FaxClaims</v>
      </c>
      <c r="H42" s="117">
        <f t="shared" si="15"/>
        <v>30</v>
      </c>
      <c r="I42" s="5" t="str">
        <f t="shared" si="16"/>
        <v>varchar</v>
      </c>
      <c r="J42" s="5" t="str">
        <f>IF(C42=0,"",(IF(ISERROR(VLOOKUP(G42,$D$120:$D$127,1,FALSE)),""," NOT")&amp;" NULL"))</f>
        <v xml:space="preserve"> NULL</v>
      </c>
      <c r="K42" s="5" t="s">
        <v>487</v>
      </c>
      <c r="L42" s="5"/>
      <c r="M42" s="75">
        <v>9001</v>
      </c>
      <c r="N42" s="77"/>
      <c r="O42" s="26"/>
      <c r="P42" s="26"/>
      <c r="Q42" s="118">
        <f t="shared" si="18"/>
        <v>42</v>
      </c>
      <c r="R42" s="153"/>
      <c r="S42" s="138" t="str">
        <f t="shared" si="10"/>
        <v>Claims Fax</v>
      </c>
      <c r="T42" s="148"/>
      <c r="U42" s="140"/>
      <c r="V42" s="140"/>
      <c r="W42" s="139"/>
      <c r="X42" s="139"/>
      <c r="Y42" s="148"/>
      <c r="Z42" s="138" t="str">
        <f t="shared" si="11"/>
        <v>false</v>
      </c>
      <c r="AA42" s="138" t="str">
        <f t="shared" si="13"/>
        <v/>
      </c>
      <c r="AB42" s="239"/>
      <c r="AC42" s="325"/>
      <c r="AD42" s="325"/>
      <c r="AE42" s="325"/>
      <c r="AF42" s="325"/>
      <c r="AG42" s="325"/>
      <c r="AH42" s="325"/>
      <c r="AI42" s="325"/>
      <c r="AJ42" s="325"/>
      <c r="AK42" s="325"/>
      <c r="AL42" s="325"/>
      <c r="AM42" s="325"/>
      <c r="AN42" s="325"/>
      <c r="AO42" s="325"/>
      <c r="AP42" s="136"/>
      <c r="AQ42" s="136"/>
      <c r="AR42" s="136" t="str">
        <f t="shared" si="5"/>
        <v/>
      </c>
      <c r="AS42" s="136" t="str">
        <f t="shared" si="6"/>
        <v/>
      </c>
      <c r="AT42" s="5" t="str">
        <f t="shared" si="7"/>
        <v>FaxClaims</v>
      </c>
      <c r="AV42" s="27" t="str">
        <f>IF(G42="","",+"          ["&amp;TRIM(G42)&amp;"] ["&amp;TRIM(I42)&amp;"]"&amp;IF(H42="","","("&amp;H42&amp;")")&amp;" "&amp;TRIM(J42)&amp;IF(G45="","",","))</f>
        <v xml:space="preserve">          [FaxClaims] [varchar](30) NULL</v>
      </c>
      <c r="AW42" s="27"/>
      <c r="AY42" s="122" t="str">
        <f t="shared" si="9"/>
        <v xml:space="preserve">          FaxClaims VARCHAR (30) NULL</v>
      </c>
    </row>
    <row r="43" spans="2:51" ht="12.75">
      <c r="B43" s="20" t="str">
        <f t="shared" si="12"/>
        <v/>
      </c>
      <c r="C43" s="5"/>
      <c r="D43" s="5"/>
      <c r="E43" s="5"/>
      <c r="G43" s="5" t="str">
        <f t="shared" si="17"/>
        <v/>
      </c>
      <c r="H43" s="117" t="str">
        <f t="shared" si="14"/>
        <v/>
      </c>
      <c r="I43" s="5" t="str">
        <f t="shared" si="2"/>
        <v/>
      </c>
      <c r="J43" s="5" t="str">
        <f t="shared" si="3"/>
        <v/>
      </c>
      <c r="K43" s="5"/>
      <c r="L43" s="5"/>
      <c r="M43" s="75"/>
      <c r="N43" s="77"/>
      <c r="O43" s="26"/>
      <c r="P43" s="26"/>
      <c r="Q43" s="118" t="str">
        <f t="shared" si="18"/>
        <v/>
      </c>
      <c r="R43" s="153"/>
      <c r="S43" s="138" t="str">
        <f t="shared" si="10"/>
        <v/>
      </c>
      <c r="T43" s="148"/>
      <c r="U43" s="140"/>
      <c r="V43" s="140"/>
      <c r="W43" s="139"/>
      <c r="X43" s="139"/>
      <c r="Y43" s="148"/>
      <c r="Z43" s="138" t="str">
        <f t="shared" si="11"/>
        <v/>
      </c>
      <c r="AA43" s="138" t="str">
        <f t="shared" si="13"/>
        <v/>
      </c>
      <c r="AB43" s="239"/>
      <c r="AC43" s="325"/>
      <c r="AD43" s="325"/>
      <c r="AE43" s="325"/>
      <c r="AF43" s="325"/>
      <c r="AG43" s="325"/>
      <c r="AH43" s="325"/>
      <c r="AI43" s="325"/>
      <c r="AJ43" s="325"/>
      <c r="AK43" s="325"/>
      <c r="AL43" s="325"/>
      <c r="AM43" s="325"/>
      <c r="AN43" s="325"/>
      <c r="AO43" s="325"/>
      <c r="AP43" s="136"/>
      <c r="AQ43" s="136"/>
      <c r="AR43" s="136" t="str">
        <f t="shared" si="5"/>
        <v/>
      </c>
      <c r="AS43" s="136" t="str">
        <f t="shared" si="6"/>
        <v/>
      </c>
      <c r="AT43" s="5" t="str">
        <f t="shared" si="7"/>
        <v/>
      </c>
      <c r="AV43" s="27" t="str">
        <f>IF(G43="","",+"          ["&amp;TRIM(G43)&amp;"] ["&amp;TRIM(I43)&amp;"]"&amp;IF(H43="","","("&amp;H43&amp;")")&amp;" "&amp;TRIM(J43)&amp;IF(G44="","",","))</f>
        <v/>
      </c>
      <c r="AW43" s="27"/>
      <c r="AY43" s="122" t="str">
        <f t="shared" si="9"/>
        <v>);</v>
      </c>
    </row>
    <row r="44" spans="2:51" ht="12.75">
      <c r="B44" s="20" t="str">
        <f t="shared" si="12"/>
        <v/>
      </c>
      <c r="C44" s="5"/>
      <c r="D44" s="5"/>
      <c r="E44" s="5"/>
      <c r="G44" s="5" t="str">
        <f t="shared" si="17"/>
        <v/>
      </c>
      <c r="H44" s="117" t="str">
        <f t="shared" si="14"/>
        <v/>
      </c>
      <c r="I44" s="5" t="str">
        <f t="shared" si="2"/>
        <v/>
      </c>
      <c r="J44" s="5" t="str">
        <f t="shared" si="3"/>
        <v/>
      </c>
      <c r="K44" s="5"/>
      <c r="L44" s="5"/>
      <c r="M44" s="75"/>
      <c r="N44" s="77"/>
      <c r="O44" s="26"/>
      <c r="P44" s="26"/>
      <c r="Q44" s="118" t="str">
        <f t="shared" si="18"/>
        <v/>
      </c>
      <c r="R44" s="153"/>
      <c r="S44" s="138" t="str">
        <f t="shared" si="10"/>
        <v/>
      </c>
      <c r="T44" s="148"/>
      <c r="U44" s="140"/>
      <c r="V44" s="140"/>
      <c r="W44" s="139"/>
      <c r="X44" s="139"/>
      <c r="Y44" s="148"/>
      <c r="Z44" s="138" t="str">
        <f t="shared" si="11"/>
        <v/>
      </c>
      <c r="AA44" s="138" t="str">
        <f t="shared" si="13"/>
        <v/>
      </c>
      <c r="AB44" s="239"/>
      <c r="AC44" s="325"/>
      <c r="AD44" s="325"/>
      <c r="AE44" s="325"/>
      <c r="AF44" s="325"/>
      <c r="AG44" s="325"/>
      <c r="AH44" s="325"/>
      <c r="AI44" s="325"/>
      <c r="AJ44" s="325"/>
      <c r="AK44" s="325"/>
      <c r="AL44" s="325"/>
      <c r="AM44" s="325"/>
      <c r="AN44" s="325"/>
      <c r="AO44" s="325"/>
      <c r="AP44" s="136"/>
      <c r="AQ44" s="136"/>
      <c r="AR44" s="136" t="str">
        <f t="shared" si="5"/>
        <v/>
      </c>
      <c r="AS44" s="136" t="str">
        <f t="shared" si="6"/>
        <v/>
      </c>
      <c r="AT44" s="5" t="str">
        <f t="shared" si="7"/>
        <v/>
      </c>
      <c r="AV44" s="27" t="str">
        <f>IF(G44="","",+"          ["&amp;TRIM(G44)&amp;"] ["&amp;TRIM(I44)&amp;"]"&amp;IF(H44="","","("&amp;H44&amp;")")&amp;" "&amp;TRIM(J44)&amp;IF(G45="","",","))</f>
        <v/>
      </c>
      <c r="AW44" s="27"/>
      <c r="AY44" s="122" t="str">
        <f t="shared" si="9"/>
        <v/>
      </c>
    </row>
    <row r="45" spans="2:51" ht="12.75">
      <c r="B45" s="20" t="str">
        <f t="shared" si="12"/>
        <v/>
      </c>
      <c r="C45" s="5"/>
      <c r="D45" s="5"/>
      <c r="E45" s="5"/>
      <c r="G45" s="5" t="str">
        <f t="shared" si="17"/>
        <v/>
      </c>
      <c r="H45" s="117" t="str">
        <f t="shared" si="14"/>
        <v/>
      </c>
      <c r="I45" s="5" t="str">
        <f t="shared" si="2"/>
        <v/>
      </c>
      <c r="J45" s="5" t="str">
        <f t="shared" si="3"/>
        <v/>
      </c>
      <c r="K45" s="5"/>
      <c r="L45" s="5"/>
      <c r="M45" s="75"/>
      <c r="N45" s="77"/>
      <c r="O45" s="26"/>
      <c r="P45" s="26"/>
      <c r="Q45" s="118" t="str">
        <f t="shared" si="18"/>
        <v/>
      </c>
      <c r="R45" s="153"/>
      <c r="S45" s="138" t="str">
        <f t="shared" si="10"/>
        <v/>
      </c>
      <c r="T45" s="148"/>
      <c r="U45" s="140"/>
      <c r="V45" s="140"/>
      <c r="W45" s="139"/>
      <c r="X45" s="139"/>
      <c r="Y45" s="148"/>
      <c r="Z45" s="138" t="str">
        <f t="shared" si="11"/>
        <v/>
      </c>
      <c r="AA45" s="138" t="str">
        <f t="shared" si="13"/>
        <v/>
      </c>
      <c r="AB45" s="239"/>
      <c r="AC45" s="325"/>
      <c r="AD45" s="325"/>
      <c r="AE45" s="325"/>
      <c r="AF45" s="325"/>
      <c r="AG45" s="325"/>
      <c r="AH45" s="325"/>
      <c r="AI45" s="325"/>
      <c r="AJ45" s="325"/>
      <c r="AK45" s="325"/>
      <c r="AL45" s="325"/>
      <c r="AM45" s="325"/>
      <c r="AN45" s="325"/>
      <c r="AO45" s="325"/>
      <c r="AP45" s="136"/>
      <c r="AQ45" s="136"/>
      <c r="AR45" s="136" t="str">
        <f t="shared" si="5"/>
        <v/>
      </c>
      <c r="AS45" s="136" t="str">
        <f t="shared" si="6"/>
        <v/>
      </c>
      <c r="AT45" s="5" t="str">
        <f t="shared" si="7"/>
        <v/>
      </c>
      <c r="AV45" s="27" t="str">
        <f>IF(G45="","",+"          ["&amp;TRIM(G45)&amp;"] ["&amp;TRIM(I45)&amp;"]"&amp;IF(H45="","","("&amp;H45&amp;")")&amp;" "&amp;TRIM(J45)&amp;IF(G54="","",","))</f>
        <v/>
      </c>
      <c r="AW45" s="27"/>
      <c r="AY45" s="122" t="str">
        <f t="shared" si="9"/>
        <v/>
      </c>
    </row>
    <row r="46" spans="2:51" ht="12.75">
      <c r="B46" s="20" t="str">
        <f t="shared" si="12"/>
        <v/>
      </c>
      <c r="C46" s="5"/>
      <c r="D46" s="5"/>
      <c r="E46" s="5"/>
      <c r="G46" s="5" t="str">
        <f>SUBSTITUTE(SUBSTITUTE(SUBSTITUTE(SUBSTITUTE(SUBSTITUTE(SUBSTITUTE(SUBSTITUTE(SUBSTITUTE(SUBSTITUTE(C46," ",""),".",""),"#","No"),"%",""),"(",""),"*",""),"-",""),"/",""),")","")</f>
        <v/>
      </c>
      <c r="H46" s="117" t="str">
        <f t="shared" si="14"/>
        <v/>
      </c>
      <c r="I46" s="5" t="str">
        <f>IF(E46=0,"",+E46)</f>
        <v/>
      </c>
      <c r="J46" s="5" t="str">
        <f>IF(C46=0,"",(IF(ISERROR(VLOOKUP(G46,$D$120:$D$127,1,FALSE)),""," NOT")&amp;" NULL"))</f>
        <v/>
      </c>
      <c r="K46" s="5"/>
      <c r="L46" s="5"/>
      <c r="M46" s="75"/>
      <c r="N46" s="77"/>
      <c r="O46" s="26"/>
      <c r="P46" s="26"/>
      <c r="Q46" s="118" t="str">
        <f>IF(M46=0,"",ROW())</f>
        <v/>
      </c>
      <c r="R46" s="153"/>
      <c r="S46" s="138" t="str">
        <f t="shared" si="10"/>
        <v/>
      </c>
      <c r="T46" s="148"/>
      <c r="U46" s="140"/>
      <c r="V46" s="140"/>
      <c r="W46" s="139"/>
      <c r="X46" s="139"/>
      <c r="Y46" s="148"/>
      <c r="Z46" s="138" t="str">
        <f t="shared" si="11"/>
        <v/>
      </c>
      <c r="AA46" s="138" t="str">
        <f t="shared" si="13"/>
        <v/>
      </c>
      <c r="AB46" s="239"/>
      <c r="AC46" s="325"/>
      <c r="AD46" s="325"/>
      <c r="AE46" s="325"/>
      <c r="AF46" s="325"/>
      <c r="AG46" s="325"/>
      <c r="AH46" s="325"/>
      <c r="AI46" s="325"/>
      <c r="AJ46" s="325"/>
      <c r="AK46" s="325"/>
      <c r="AL46" s="325"/>
      <c r="AM46" s="325"/>
      <c r="AN46" s="325"/>
      <c r="AO46" s="325"/>
      <c r="AP46" s="136"/>
      <c r="AQ46" s="136"/>
      <c r="AR46" s="136" t="str">
        <f t="shared" si="5"/>
        <v/>
      </c>
      <c r="AS46" s="136" t="str">
        <f t="shared" si="6"/>
        <v/>
      </c>
      <c r="AT46" s="5" t="str">
        <f t="shared" si="7"/>
        <v/>
      </c>
      <c r="AV46" s="27" t="str">
        <f>IF(G46="","",+"          ["&amp;TRIM(G46)&amp;"] ["&amp;TRIM(I46)&amp;"]"&amp;IF(H46="","","("&amp;H46&amp;")")&amp;" "&amp;TRIM(J46)&amp;IF(G47="","",","))</f>
        <v/>
      </c>
      <c r="AW46" s="27"/>
      <c r="AY46" s="122" t="str">
        <f t="shared" si="9"/>
        <v/>
      </c>
    </row>
    <row r="47" spans="2:51" ht="12.75">
      <c r="B47" s="20" t="str">
        <f t="shared" si="12"/>
        <v/>
      </c>
      <c r="C47" s="5"/>
      <c r="D47" s="5"/>
      <c r="E47" s="5"/>
      <c r="G47" s="5" t="str">
        <f>SUBSTITUTE(SUBSTITUTE(SUBSTITUTE(SUBSTITUTE(SUBSTITUTE(SUBSTITUTE(SUBSTITUTE(SUBSTITUTE(SUBSTITUTE(C47," ",""),".",""),"#","No"),"%",""),"(",""),"*",""),"-",""),"/",""),")","")</f>
        <v/>
      </c>
      <c r="H47" s="117" t="str">
        <f t="shared" si="14"/>
        <v/>
      </c>
      <c r="I47" s="5" t="str">
        <f>IF(E47=0,"",+E47)</f>
        <v/>
      </c>
      <c r="J47" s="5" t="str">
        <f>IF(C47=0,"",(IF(ISERROR(VLOOKUP(G47,$D$120:$D$127,1,FALSE)),""," NOT")&amp;" NULL"))</f>
        <v/>
      </c>
      <c r="K47" s="5"/>
      <c r="L47" s="5"/>
      <c r="M47" s="75"/>
      <c r="N47" s="77"/>
      <c r="O47" s="26"/>
      <c r="P47" s="26"/>
      <c r="Q47" s="118" t="str">
        <f>IF(M47=0,"",ROW())</f>
        <v/>
      </c>
      <c r="R47" s="153"/>
      <c r="S47" s="138" t="str">
        <f t="shared" si="10"/>
        <v/>
      </c>
      <c r="T47" s="148"/>
      <c r="U47" s="140"/>
      <c r="V47" s="140"/>
      <c r="W47" s="139"/>
      <c r="X47" s="139"/>
      <c r="Y47" s="148"/>
      <c r="Z47" s="138" t="str">
        <f t="shared" si="11"/>
        <v/>
      </c>
      <c r="AA47" s="138" t="str">
        <f t="shared" si="13"/>
        <v/>
      </c>
      <c r="AB47" s="239"/>
      <c r="AC47" s="325"/>
      <c r="AD47" s="325"/>
      <c r="AE47" s="325"/>
      <c r="AF47" s="325"/>
      <c r="AG47" s="325"/>
      <c r="AH47" s="325"/>
      <c r="AI47" s="325"/>
      <c r="AJ47" s="325"/>
      <c r="AK47" s="325"/>
      <c r="AL47" s="325"/>
      <c r="AM47" s="325"/>
      <c r="AN47" s="325"/>
      <c r="AO47" s="325"/>
      <c r="AP47" s="136"/>
      <c r="AQ47" s="136"/>
      <c r="AR47" s="136" t="str">
        <f t="shared" si="5"/>
        <v/>
      </c>
      <c r="AS47" s="136" t="str">
        <f t="shared" si="6"/>
        <v/>
      </c>
      <c r="AT47" s="5" t="str">
        <f t="shared" si="7"/>
        <v/>
      </c>
      <c r="AV47" s="27" t="str">
        <f>IF(G47="","",+"          ["&amp;TRIM(G47)&amp;"] ["&amp;TRIM(I47)&amp;"]"&amp;IF(H47="","","("&amp;H47&amp;")")&amp;" "&amp;TRIM(J47)&amp;IF(G48="","",","))</f>
        <v/>
      </c>
      <c r="AW47" s="27"/>
      <c r="AY47" s="122" t="str">
        <f t="shared" si="9"/>
        <v/>
      </c>
    </row>
    <row r="48" spans="2:51" ht="12.75">
      <c r="B48" s="20" t="str">
        <f t="shared" si="12"/>
        <v/>
      </c>
      <c r="C48" s="5"/>
      <c r="D48" s="5"/>
      <c r="E48" s="5"/>
      <c r="G48" s="5" t="str">
        <f>SUBSTITUTE(SUBSTITUTE(SUBSTITUTE(SUBSTITUTE(SUBSTITUTE(SUBSTITUTE(SUBSTITUTE(SUBSTITUTE(SUBSTITUTE(C48," ",""),".",""),"#","No"),"%",""),"(",""),"*",""),"-",""),"/",""),")","")</f>
        <v/>
      </c>
      <c r="H48" s="117" t="str">
        <f t="shared" si="14"/>
        <v/>
      </c>
      <c r="I48" s="5" t="str">
        <f>IF(E48=0,"",+E48)</f>
        <v/>
      </c>
      <c r="J48" s="5" t="str">
        <f>IF(C48=0,"",(IF(ISERROR(VLOOKUP(G48,$D$120:$D$127,1,FALSE)),""," NOT")&amp;" NULL"))</f>
        <v/>
      </c>
      <c r="K48" s="5"/>
      <c r="L48" s="5"/>
      <c r="M48" s="75"/>
      <c r="N48" s="77"/>
      <c r="O48" s="26"/>
      <c r="P48" s="26"/>
      <c r="Q48" s="118" t="str">
        <f>IF(M48=0,"",ROW())</f>
        <v/>
      </c>
      <c r="R48" s="153"/>
      <c r="S48" s="138" t="str">
        <f t="shared" si="10"/>
        <v/>
      </c>
      <c r="T48" s="148"/>
      <c r="U48" s="140"/>
      <c r="V48" s="140"/>
      <c r="W48" s="139"/>
      <c r="X48" s="139"/>
      <c r="Y48" s="148"/>
      <c r="Z48" s="138" t="str">
        <f t="shared" si="11"/>
        <v/>
      </c>
      <c r="AA48" s="138" t="str">
        <f t="shared" si="13"/>
        <v/>
      </c>
      <c r="AB48" s="239"/>
      <c r="AC48" s="325"/>
      <c r="AD48" s="325"/>
      <c r="AE48" s="325"/>
      <c r="AF48" s="325"/>
      <c r="AG48" s="325"/>
      <c r="AH48" s="325"/>
      <c r="AI48" s="325"/>
      <c r="AJ48" s="325"/>
      <c r="AK48" s="325"/>
      <c r="AL48" s="325"/>
      <c r="AM48" s="325"/>
      <c r="AN48" s="325"/>
      <c r="AO48" s="325"/>
      <c r="AP48" s="136"/>
      <c r="AQ48" s="136"/>
      <c r="AR48" s="136" t="str">
        <f t="shared" ref="AR48:AR79" si="19">IF(O48=0,"",ROW())</f>
        <v/>
      </c>
      <c r="AS48" s="136" t="str">
        <f t="shared" ref="AS48:AS79" si="20">IF(P48=0,"",ROW())</f>
        <v/>
      </c>
      <c r="AT48" s="5" t="str">
        <f t="shared" ref="AT48:AT79" si="21">IF(C48="","",C48&amp;IF(B49="","",","))</f>
        <v/>
      </c>
      <c r="AV48" s="27" t="str">
        <f>IF(G48="","",+"          ["&amp;TRIM(G48)&amp;"] ["&amp;TRIM(I48)&amp;"]"&amp;IF(H48="","","("&amp;H48&amp;")")&amp;" "&amp;TRIM(J48)&amp;IF(G96="","",","))</f>
        <v/>
      </c>
      <c r="AW48" s="27"/>
      <c r="AY48" s="122" t="str">
        <f t="shared" ref="AY48:AY79" si="22">IF(G48="",IF(OR(AY47=");",AY47=""),"",");"),+"          "&amp;TRIM(G48)&amp;" "&amp;UPPER(TRIM(I48))&amp;IF(H48="",""," ("&amp;H48&amp;")")&amp;" "&amp;IF(TRIM(J48)="NOT NULL","PRIMARY KEY UNIQUE NOT NULL",TRIM(J48))&amp;IF(G49="","",","))</f>
        <v/>
      </c>
    </row>
    <row r="49" spans="2:51" ht="12.75">
      <c r="B49" s="20" t="str">
        <f t="shared" si="12"/>
        <v/>
      </c>
      <c r="C49" s="5"/>
      <c r="D49" s="5"/>
      <c r="E49" s="5"/>
      <c r="G49" s="5" t="str">
        <f>SUBSTITUTE(SUBSTITUTE(SUBSTITUTE(SUBSTITUTE(SUBSTITUTE(SUBSTITUTE(SUBSTITUTE(SUBSTITUTE(SUBSTITUTE(C49," ",""),".",""),"#","No"),"%",""),"(",""),"*",""),"-",""),"/",""),")","")</f>
        <v/>
      </c>
      <c r="H49" s="117" t="str">
        <f t="shared" si="14"/>
        <v/>
      </c>
      <c r="I49" s="5" t="str">
        <f>IF(E49=0,"",+E49)</f>
        <v/>
      </c>
      <c r="J49" s="5" t="str">
        <f>IF(C49=0,"",(IF(ISERROR(VLOOKUP(G49,$D$120:$D$127,1,FALSE)),""," NOT")&amp;" NULL"))</f>
        <v/>
      </c>
      <c r="K49" s="5"/>
      <c r="L49" s="5"/>
      <c r="M49" s="75"/>
      <c r="N49" s="77"/>
      <c r="O49" s="26"/>
      <c r="P49" s="26"/>
      <c r="Q49" s="118" t="str">
        <f>IF(M49=0,"",ROW())</f>
        <v/>
      </c>
      <c r="R49" s="153"/>
      <c r="S49" s="138" t="str">
        <f t="shared" si="10"/>
        <v/>
      </c>
      <c r="T49" s="148"/>
      <c r="U49" s="140"/>
      <c r="V49" s="140"/>
      <c r="W49" s="139"/>
      <c r="X49" s="139"/>
      <c r="Y49" s="148"/>
      <c r="Z49" s="138" t="str">
        <f t="shared" si="11"/>
        <v/>
      </c>
      <c r="AA49" s="138" t="str">
        <f t="shared" si="13"/>
        <v/>
      </c>
      <c r="AB49" s="239"/>
      <c r="AC49" s="325"/>
      <c r="AD49" s="325"/>
      <c r="AE49" s="325"/>
      <c r="AF49" s="325"/>
      <c r="AG49" s="325"/>
      <c r="AH49" s="325"/>
      <c r="AI49" s="325"/>
      <c r="AJ49" s="325"/>
      <c r="AK49" s="325"/>
      <c r="AL49" s="325"/>
      <c r="AM49" s="325"/>
      <c r="AN49" s="325"/>
      <c r="AO49" s="325"/>
      <c r="AP49" s="136"/>
      <c r="AQ49" s="136"/>
      <c r="AR49" s="136" t="str">
        <f t="shared" si="19"/>
        <v/>
      </c>
      <c r="AS49" s="136" t="str">
        <f t="shared" si="20"/>
        <v/>
      </c>
      <c r="AT49" s="5" t="str">
        <f t="shared" si="21"/>
        <v/>
      </c>
      <c r="AV49" s="27" t="str">
        <f>IF(G49="","",+"          ["&amp;TRIM(G49)&amp;"] ["&amp;TRIM(I49)&amp;"]"&amp;IF(H49="","","("&amp;H49&amp;")")&amp;" "&amp;TRIM(J49)&amp;IF(G95="","",","))</f>
        <v/>
      </c>
      <c r="AW49" s="27"/>
      <c r="AY49" s="122" t="str">
        <f t="shared" si="22"/>
        <v/>
      </c>
    </row>
    <row r="50" spans="2:51" ht="12.75">
      <c r="B50" s="20" t="str">
        <f t="shared" si="12"/>
        <v/>
      </c>
      <c r="C50" s="5"/>
      <c r="D50" s="5"/>
      <c r="E50" s="5"/>
      <c r="G50" s="5" t="str">
        <f t="shared" ref="G50:G93" si="23">SUBSTITUTE(SUBSTITUTE(SUBSTITUTE(SUBSTITUTE(SUBSTITUTE(SUBSTITUTE(SUBSTITUTE(SUBSTITUTE(SUBSTITUTE(C50," ",""),".",""),"#","No"),"%",""),"(",""),"*",""),"-",""),"/",""),")","")</f>
        <v/>
      </c>
      <c r="H50" s="117" t="str">
        <f t="shared" si="14"/>
        <v/>
      </c>
      <c r="I50" s="5" t="str">
        <f t="shared" ref="I50:I93" si="24">IF(E50=0,"",+E50)</f>
        <v/>
      </c>
      <c r="J50" s="5" t="str">
        <f t="shared" ref="J50:J93" si="25">IF(C50=0,"",(IF(ISERROR(VLOOKUP(G50,$D$120:$D$127,1,FALSE)),""," NOT")&amp;" NULL"))</f>
        <v/>
      </c>
      <c r="K50" s="5"/>
      <c r="L50" s="5"/>
      <c r="M50" s="75"/>
      <c r="N50" s="77"/>
      <c r="O50" s="26"/>
      <c r="P50" s="26"/>
      <c r="Q50" s="118" t="str">
        <f t="shared" ref="Q50:Q65" si="26">IF(M50=0,"",ROW())</f>
        <v/>
      </c>
      <c r="R50" s="153"/>
      <c r="S50" s="138" t="str">
        <f t="shared" si="10"/>
        <v/>
      </c>
      <c r="T50" s="148"/>
      <c r="U50" s="140"/>
      <c r="V50" s="140"/>
      <c r="W50" s="139"/>
      <c r="X50" s="139"/>
      <c r="Y50" s="148"/>
      <c r="Z50" s="138" t="str">
        <f t="shared" si="11"/>
        <v/>
      </c>
      <c r="AA50" s="138" t="str">
        <f t="shared" si="13"/>
        <v/>
      </c>
      <c r="AB50" s="239"/>
      <c r="AC50" s="325"/>
      <c r="AD50" s="325"/>
      <c r="AE50" s="325"/>
      <c r="AF50" s="325"/>
      <c r="AG50" s="325"/>
      <c r="AH50" s="325"/>
      <c r="AI50" s="325"/>
      <c r="AJ50" s="325"/>
      <c r="AK50" s="325"/>
      <c r="AL50" s="325"/>
      <c r="AM50" s="325"/>
      <c r="AN50" s="325"/>
      <c r="AO50" s="325"/>
      <c r="AP50" s="136"/>
      <c r="AQ50" s="136"/>
      <c r="AR50" s="136" t="str">
        <f t="shared" si="19"/>
        <v/>
      </c>
      <c r="AS50" s="136" t="str">
        <f t="shared" si="20"/>
        <v/>
      </c>
      <c r="AT50" s="5" t="str">
        <f t="shared" si="21"/>
        <v/>
      </c>
      <c r="AV50" s="27" t="str">
        <f>IF(G50="","",+"          ["&amp;TRIM(G50)&amp;"] ["&amp;TRIM(I50)&amp;"]"&amp;IF(H50="","","("&amp;H50&amp;")")&amp;" "&amp;TRIM(J50)&amp;IF(G51="","",","))</f>
        <v/>
      </c>
      <c r="AW50" s="27"/>
      <c r="AY50" s="122" t="str">
        <f t="shared" si="22"/>
        <v/>
      </c>
    </row>
    <row r="51" spans="2:51" ht="12.75">
      <c r="B51" s="20" t="str">
        <f t="shared" si="12"/>
        <v/>
      </c>
      <c r="C51" s="5"/>
      <c r="D51" s="5"/>
      <c r="E51" s="5"/>
      <c r="G51" s="5" t="str">
        <f t="shared" si="23"/>
        <v/>
      </c>
      <c r="H51" s="117" t="str">
        <f t="shared" si="14"/>
        <v/>
      </c>
      <c r="I51" s="5" t="str">
        <f t="shared" si="24"/>
        <v/>
      </c>
      <c r="J51" s="5" t="str">
        <f t="shared" si="25"/>
        <v/>
      </c>
      <c r="K51" s="5"/>
      <c r="L51" s="5"/>
      <c r="M51" s="75"/>
      <c r="N51" s="77"/>
      <c r="O51" s="26"/>
      <c r="P51" s="26"/>
      <c r="Q51" s="118" t="str">
        <f t="shared" si="26"/>
        <v/>
      </c>
      <c r="R51" s="153"/>
      <c r="S51" s="138" t="str">
        <f t="shared" si="10"/>
        <v/>
      </c>
      <c r="T51" s="148"/>
      <c r="U51" s="140"/>
      <c r="V51" s="140"/>
      <c r="W51" s="139"/>
      <c r="X51" s="139"/>
      <c r="Y51" s="148"/>
      <c r="Z51" s="138" t="str">
        <f t="shared" si="11"/>
        <v/>
      </c>
      <c r="AA51" s="138" t="str">
        <f t="shared" si="13"/>
        <v/>
      </c>
      <c r="AB51" s="239"/>
      <c r="AC51" s="325"/>
      <c r="AD51" s="325"/>
      <c r="AE51" s="325"/>
      <c r="AF51" s="325"/>
      <c r="AG51" s="325"/>
      <c r="AH51" s="325"/>
      <c r="AI51" s="325"/>
      <c r="AJ51" s="325"/>
      <c r="AK51" s="325"/>
      <c r="AL51" s="325"/>
      <c r="AM51" s="325"/>
      <c r="AN51" s="325"/>
      <c r="AO51" s="325"/>
      <c r="AP51" s="136"/>
      <c r="AQ51" s="136"/>
      <c r="AR51" s="136" t="str">
        <f t="shared" si="19"/>
        <v/>
      </c>
      <c r="AS51" s="136" t="str">
        <f t="shared" si="20"/>
        <v/>
      </c>
      <c r="AT51" s="5" t="str">
        <f t="shared" si="21"/>
        <v/>
      </c>
      <c r="AV51" s="27" t="str">
        <f>IF(G51="","",+"          ["&amp;TRIM(G51)&amp;"] ["&amp;TRIM(I51)&amp;"]"&amp;IF(H51="","","("&amp;H51&amp;")")&amp;" "&amp;TRIM(J51)&amp;IF(G54="","",","))</f>
        <v/>
      </c>
      <c r="AW51" s="27"/>
      <c r="AY51" s="122" t="str">
        <f t="shared" si="22"/>
        <v/>
      </c>
    </row>
    <row r="52" spans="2:51" ht="12.75">
      <c r="B52" s="20" t="str">
        <f t="shared" si="12"/>
        <v/>
      </c>
      <c r="C52" s="5"/>
      <c r="D52" s="5"/>
      <c r="E52" s="5"/>
      <c r="G52" s="5" t="str">
        <f t="shared" si="23"/>
        <v/>
      </c>
      <c r="H52" s="117" t="str">
        <f t="shared" si="14"/>
        <v/>
      </c>
      <c r="I52" s="5" t="str">
        <f t="shared" si="24"/>
        <v/>
      </c>
      <c r="J52" s="5" t="str">
        <f t="shared" si="25"/>
        <v/>
      </c>
      <c r="K52" s="5"/>
      <c r="L52" s="5"/>
      <c r="M52" s="75"/>
      <c r="N52" s="77"/>
      <c r="O52" s="26"/>
      <c r="P52" s="26"/>
      <c r="Q52" s="118" t="str">
        <f t="shared" si="26"/>
        <v/>
      </c>
      <c r="R52" s="153"/>
      <c r="S52" s="138" t="str">
        <f t="shared" si="10"/>
        <v/>
      </c>
      <c r="T52" s="148"/>
      <c r="U52" s="140"/>
      <c r="V52" s="140"/>
      <c r="W52" s="139"/>
      <c r="X52" s="139"/>
      <c r="Y52" s="148"/>
      <c r="Z52" s="138" t="str">
        <f t="shared" si="11"/>
        <v/>
      </c>
      <c r="AA52" s="138" t="str">
        <f t="shared" si="13"/>
        <v/>
      </c>
      <c r="AB52" s="239"/>
      <c r="AC52" s="325"/>
      <c r="AD52" s="325"/>
      <c r="AE52" s="325"/>
      <c r="AF52" s="325"/>
      <c r="AG52" s="325"/>
      <c r="AH52" s="325"/>
      <c r="AI52" s="325"/>
      <c r="AJ52" s="325"/>
      <c r="AK52" s="325"/>
      <c r="AL52" s="325"/>
      <c r="AM52" s="325"/>
      <c r="AN52" s="325"/>
      <c r="AO52" s="325"/>
      <c r="AP52" s="136"/>
      <c r="AQ52" s="136"/>
      <c r="AR52" s="136" t="str">
        <f t="shared" si="19"/>
        <v/>
      </c>
      <c r="AS52" s="136" t="str">
        <f t="shared" si="20"/>
        <v/>
      </c>
      <c r="AT52" s="5" t="str">
        <f t="shared" si="21"/>
        <v/>
      </c>
      <c r="AV52" s="27" t="str">
        <f>IF(G52="","",+"          ["&amp;TRIM(G52)&amp;"] ["&amp;TRIM(I52)&amp;"]"&amp;IF(H52="","","("&amp;H52&amp;")")&amp;" "&amp;TRIM(J52)&amp;IF(G53="","",","))</f>
        <v/>
      </c>
      <c r="AW52" s="27"/>
      <c r="AY52" s="122" t="str">
        <f t="shared" si="22"/>
        <v/>
      </c>
    </row>
    <row r="53" spans="2:51" ht="12.75">
      <c r="B53" s="20" t="str">
        <f t="shared" si="12"/>
        <v/>
      </c>
      <c r="C53" s="5"/>
      <c r="D53" s="5"/>
      <c r="E53" s="5"/>
      <c r="G53" s="5" t="str">
        <f t="shared" si="23"/>
        <v/>
      </c>
      <c r="H53" s="117" t="str">
        <f t="shared" si="14"/>
        <v/>
      </c>
      <c r="I53" s="5" t="str">
        <f t="shared" si="24"/>
        <v/>
      </c>
      <c r="J53" s="5" t="str">
        <f t="shared" si="25"/>
        <v/>
      </c>
      <c r="K53" s="5"/>
      <c r="L53" s="5"/>
      <c r="M53" s="75"/>
      <c r="N53" s="77"/>
      <c r="O53" s="26"/>
      <c r="P53" s="26"/>
      <c r="Q53" s="118" t="str">
        <f t="shared" si="26"/>
        <v/>
      </c>
      <c r="R53" s="153"/>
      <c r="S53" s="138" t="str">
        <f t="shared" si="10"/>
        <v/>
      </c>
      <c r="T53" s="148"/>
      <c r="U53" s="140"/>
      <c r="V53" s="140"/>
      <c r="W53" s="139"/>
      <c r="X53" s="139"/>
      <c r="Y53" s="148"/>
      <c r="Z53" s="138" t="str">
        <f t="shared" si="11"/>
        <v/>
      </c>
      <c r="AA53" s="138" t="str">
        <f t="shared" si="13"/>
        <v/>
      </c>
      <c r="AB53" s="239"/>
      <c r="AC53" s="325"/>
      <c r="AD53" s="325"/>
      <c r="AE53" s="325"/>
      <c r="AF53" s="325"/>
      <c r="AG53" s="325"/>
      <c r="AH53" s="325"/>
      <c r="AI53" s="325"/>
      <c r="AJ53" s="325"/>
      <c r="AK53" s="325"/>
      <c r="AL53" s="325"/>
      <c r="AM53" s="325"/>
      <c r="AN53" s="325"/>
      <c r="AO53" s="325"/>
      <c r="AP53" s="136"/>
      <c r="AQ53" s="136"/>
      <c r="AR53" s="136" t="str">
        <f t="shared" si="19"/>
        <v/>
      </c>
      <c r="AS53" s="136" t="str">
        <f t="shared" si="20"/>
        <v/>
      </c>
      <c r="AT53" s="5" t="str">
        <f t="shared" si="21"/>
        <v/>
      </c>
      <c r="AV53" s="27" t="str">
        <f>IF(G53="","",+"          ["&amp;TRIM(G53)&amp;"] ["&amp;TRIM(I53)&amp;"]"&amp;IF(H53="","","("&amp;H53&amp;")")&amp;" "&amp;TRIM(J53)&amp;IF(G54="","",","))</f>
        <v/>
      </c>
      <c r="AW53" s="27"/>
      <c r="AY53" s="122" t="str">
        <f t="shared" si="22"/>
        <v/>
      </c>
    </row>
    <row r="54" spans="2:51" ht="12.75">
      <c r="B54" s="20" t="str">
        <f t="shared" si="12"/>
        <v/>
      </c>
      <c r="C54" s="5"/>
      <c r="D54" s="5"/>
      <c r="E54" s="5"/>
      <c r="G54" s="5" t="str">
        <f t="shared" si="23"/>
        <v/>
      </c>
      <c r="H54" s="117" t="str">
        <f t="shared" si="14"/>
        <v/>
      </c>
      <c r="I54" s="5" t="str">
        <f t="shared" si="24"/>
        <v/>
      </c>
      <c r="J54" s="5" t="str">
        <f t="shared" si="25"/>
        <v/>
      </c>
      <c r="K54" s="5"/>
      <c r="L54" s="5"/>
      <c r="M54" s="75"/>
      <c r="N54" s="77"/>
      <c r="O54" s="26"/>
      <c r="P54" s="26"/>
      <c r="Q54" s="118" t="str">
        <f t="shared" si="26"/>
        <v/>
      </c>
      <c r="R54" s="153"/>
      <c r="S54" s="138" t="str">
        <f t="shared" si="10"/>
        <v/>
      </c>
      <c r="T54" s="148"/>
      <c r="U54" s="140"/>
      <c r="V54" s="140"/>
      <c r="W54" s="139"/>
      <c r="X54" s="139"/>
      <c r="Y54" s="148"/>
      <c r="Z54" s="138" t="str">
        <f t="shared" si="11"/>
        <v/>
      </c>
      <c r="AA54" s="138" t="str">
        <f t="shared" si="13"/>
        <v/>
      </c>
      <c r="AB54" s="239"/>
      <c r="AC54" s="325"/>
      <c r="AD54" s="325"/>
      <c r="AE54" s="325"/>
      <c r="AF54" s="325"/>
      <c r="AG54" s="325"/>
      <c r="AH54" s="325"/>
      <c r="AI54" s="325"/>
      <c r="AJ54" s="325"/>
      <c r="AK54" s="325"/>
      <c r="AL54" s="325"/>
      <c r="AM54" s="325"/>
      <c r="AN54" s="325"/>
      <c r="AO54" s="325"/>
      <c r="AP54" s="136"/>
      <c r="AQ54" s="136"/>
      <c r="AR54" s="136" t="str">
        <f t="shared" si="19"/>
        <v/>
      </c>
      <c r="AS54" s="136" t="str">
        <f t="shared" si="20"/>
        <v/>
      </c>
      <c r="AT54" s="5" t="str">
        <f t="shared" si="21"/>
        <v/>
      </c>
      <c r="AV54" s="27" t="str">
        <f>IF(G54="","",+"          ["&amp;TRIM(G54)&amp;"] ["&amp;TRIM(I54)&amp;"]"&amp;IF(H54="","","("&amp;H54&amp;")")&amp;" "&amp;TRIM(J54)&amp;IF(G63="","",","))</f>
        <v/>
      </c>
      <c r="AW54" s="27"/>
      <c r="AY54" s="122" t="str">
        <f t="shared" si="22"/>
        <v/>
      </c>
    </row>
    <row r="55" spans="2:51" ht="12.75">
      <c r="B55" s="20" t="str">
        <f t="shared" si="12"/>
        <v/>
      </c>
      <c r="C55" s="5"/>
      <c r="D55" s="5"/>
      <c r="E55" s="5"/>
      <c r="G55" s="5" t="str">
        <f t="shared" si="23"/>
        <v/>
      </c>
      <c r="H55" s="117" t="str">
        <f t="shared" si="14"/>
        <v/>
      </c>
      <c r="I55" s="5" t="str">
        <f t="shared" si="24"/>
        <v/>
      </c>
      <c r="J55" s="5" t="str">
        <f t="shared" si="25"/>
        <v/>
      </c>
      <c r="K55" s="5"/>
      <c r="L55" s="5"/>
      <c r="M55" s="75"/>
      <c r="N55" s="77"/>
      <c r="O55" s="26"/>
      <c r="P55" s="26"/>
      <c r="Q55" s="118" t="str">
        <f t="shared" si="26"/>
        <v/>
      </c>
      <c r="R55" s="153"/>
      <c r="S55" s="138" t="str">
        <f t="shared" si="10"/>
        <v/>
      </c>
      <c r="T55" s="148"/>
      <c r="U55" s="140"/>
      <c r="V55" s="140"/>
      <c r="W55" s="139"/>
      <c r="X55" s="139"/>
      <c r="Y55" s="148"/>
      <c r="Z55" s="138" t="str">
        <f t="shared" si="11"/>
        <v/>
      </c>
      <c r="AA55" s="138" t="str">
        <f t="shared" si="13"/>
        <v/>
      </c>
      <c r="AB55" s="239"/>
      <c r="AC55" s="325"/>
      <c r="AD55" s="325"/>
      <c r="AE55" s="325"/>
      <c r="AF55" s="325"/>
      <c r="AG55" s="325"/>
      <c r="AH55" s="325"/>
      <c r="AI55" s="325"/>
      <c r="AJ55" s="325"/>
      <c r="AK55" s="325"/>
      <c r="AL55" s="325"/>
      <c r="AM55" s="325"/>
      <c r="AN55" s="325"/>
      <c r="AO55" s="325"/>
      <c r="AP55" s="136"/>
      <c r="AQ55" s="136"/>
      <c r="AR55" s="136" t="str">
        <f t="shared" si="19"/>
        <v/>
      </c>
      <c r="AS55" s="136" t="str">
        <f t="shared" si="20"/>
        <v/>
      </c>
      <c r="AT55" s="5" t="str">
        <f t="shared" si="21"/>
        <v/>
      </c>
      <c r="AV55" s="27" t="str">
        <f>IF(G55="","",+"          ["&amp;TRIM(G55)&amp;"] ["&amp;TRIM(I55)&amp;"]"&amp;IF(H55="","","("&amp;H55&amp;")")&amp;" "&amp;TRIM(J55)&amp;IF(G56="","",","))</f>
        <v/>
      </c>
      <c r="AW55" s="27"/>
      <c r="AY55" s="122" t="str">
        <f t="shared" si="22"/>
        <v/>
      </c>
    </row>
    <row r="56" spans="2:51" ht="12.75">
      <c r="B56" s="20" t="str">
        <f t="shared" si="12"/>
        <v/>
      </c>
      <c r="C56" s="5"/>
      <c r="D56" s="5"/>
      <c r="E56" s="5"/>
      <c r="G56" s="5" t="str">
        <f t="shared" si="23"/>
        <v/>
      </c>
      <c r="H56" s="117" t="str">
        <f t="shared" si="14"/>
        <v/>
      </c>
      <c r="I56" s="5" t="str">
        <f t="shared" si="24"/>
        <v/>
      </c>
      <c r="J56" s="5" t="str">
        <f t="shared" si="25"/>
        <v/>
      </c>
      <c r="K56" s="5"/>
      <c r="L56" s="5"/>
      <c r="M56" s="75"/>
      <c r="N56" s="77"/>
      <c r="O56" s="26"/>
      <c r="P56" s="26"/>
      <c r="Q56" s="118" t="str">
        <f t="shared" si="26"/>
        <v/>
      </c>
      <c r="R56" s="153"/>
      <c r="S56" s="138" t="str">
        <f t="shared" si="10"/>
        <v/>
      </c>
      <c r="T56" s="148"/>
      <c r="U56" s="140"/>
      <c r="V56" s="140"/>
      <c r="W56" s="139"/>
      <c r="X56" s="139"/>
      <c r="Y56" s="148"/>
      <c r="Z56" s="138" t="str">
        <f t="shared" si="11"/>
        <v/>
      </c>
      <c r="AA56" s="138" t="str">
        <f t="shared" si="13"/>
        <v/>
      </c>
      <c r="AB56" s="239"/>
      <c r="AC56" s="325"/>
      <c r="AD56" s="325"/>
      <c r="AE56" s="325"/>
      <c r="AF56" s="325"/>
      <c r="AG56" s="325"/>
      <c r="AH56" s="325"/>
      <c r="AI56" s="325"/>
      <c r="AJ56" s="325"/>
      <c r="AK56" s="325"/>
      <c r="AL56" s="325"/>
      <c r="AM56" s="325"/>
      <c r="AN56" s="325"/>
      <c r="AO56" s="325"/>
      <c r="AP56" s="136"/>
      <c r="AQ56" s="136"/>
      <c r="AR56" s="136" t="str">
        <f t="shared" si="19"/>
        <v/>
      </c>
      <c r="AS56" s="136" t="str">
        <f t="shared" si="20"/>
        <v/>
      </c>
      <c r="AT56" s="5" t="str">
        <f t="shared" si="21"/>
        <v/>
      </c>
      <c r="AV56" s="27" t="str">
        <f>IF(G56="","",+"          ["&amp;TRIM(G56)&amp;"] ["&amp;TRIM(I56)&amp;"]"&amp;IF(H56="","","("&amp;H56&amp;")")&amp;" "&amp;TRIM(J56)&amp;IF(G62="","",","))</f>
        <v/>
      </c>
      <c r="AW56" s="27"/>
      <c r="AY56" s="122" t="str">
        <f t="shared" si="22"/>
        <v/>
      </c>
    </row>
    <row r="57" spans="2:51" ht="12.75">
      <c r="B57" s="20" t="str">
        <f t="shared" si="12"/>
        <v/>
      </c>
      <c r="C57" s="5"/>
      <c r="D57" s="5"/>
      <c r="E57" s="5"/>
      <c r="G57" s="5" t="str">
        <f t="shared" si="23"/>
        <v/>
      </c>
      <c r="H57" s="117" t="str">
        <f t="shared" si="14"/>
        <v/>
      </c>
      <c r="I57" s="5" t="str">
        <f t="shared" si="24"/>
        <v/>
      </c>
      <c r="J57" s="5" t="str">
        <f t="shared" si="25"/>
        <v/>
      </c>
      <c r="K57" s="5"/>
      <c r="L57" s="5"/>
      <c r="M57" s="75"/>
      <c r="N57" s="77"/>
      <c r="O57" s="26"/>
      <c r="P57" s="26"/>
      <c r="Q57" s="118" t="str">
        <f t="shared" si="26"/>
        <v/>
      </c>
      <c r="R57" s="153"/>
      <c r="S57" s="138" t="str">
        <f t="shared" si="10"/>
        <v/>
      </c>
      <c r="T57" s="148"/>
      <c r="U57" s="140"/>
      <c r="V57" s="140"/>
      <c r="W57" s="139"/>
      <c r="X57" s="139"/>
      <c r="Y57" s="148"/>
      <c r="Z57" s="138" t="str">
        <f t="shared" si="11"/>
        <v/>
      </c>
      <c r="AA57" s="138" t="str">
        <f t="shared" si="13"/>
        <v/>
      </c>
      <c r="AB57" s="239"/>
      <c r="AC57" s="325"/>
      <c r="AD57" s="325"/>
      <c r="AE57" s="325"/>
      <c r="AF57" s="325"/>
      <c r="AG57" s="325"/>
      <c r="AH57" s="325"/>
      <c r="AI57" s="325"/>
      <c r="AJ57" s="325"/>
      <c r="AK57" s="325"/>
      <c r="AL57" s="325"/>
      <c r="AM57" s="325"/>
      <c r="AN57" s="325"/>
      <c r="AO57" s="325"/>
      <c r="AP57" s="136"/>
      <c r="AQ57" s="136"/>
      <c r="AR57" s="136" t="str">
        <f t="shared" si="19"/>
        <v/>
      </c>
      <c r="AS57" s="136" t="str">
        <f t="shared" si="20"/>
        <v/>
      </c>
      <c r="AT57" s="5" t="str">
        <f t="shared" si="21"/>
        <v/>
      </c>
      <c r="AV57" s="27" t="str">
        <f>IF(G57="","",+"          ["&amp;TRIM(G57)&amp;"] ["&amp;TRIM(I57)&amp;"]"&amp;IF(H57="","","("&amp;H57&amp;")")&amp;" "&amp;TRIM(J57)&amp;IF(G58="","",","))</f>
        <v/>
      </c>
      <c r="AW57" s="27"/>
      <c r="AY57" s="122" t="str">
        <f t="shared" si="22"/>
        <v/>
      </c>
    </row>
    <row r="58" spans="2:51" ht="12.75">
      <c r="B58" s="20" t="str">
        <f t="shared" si="12"/>
        <v/>
      </c>
      <c r="C58" s="5"/>
      <c r="D58" s="5"/>
      <c r="E58" s="5"/>
      <c r="G58" s="5" t="str">
        <f t="shared" si="23"/>
        <v/>
      </c>
      <c r="H58" s="117" t="str">
        <f t="shared" si="14"/>
        <v/>
      </c>
      <c r="I58" s="5" t="str">
        <f t="shared" si="24"/>
        <v/>
      </c>
      <c r="J58" s="5" t="str">
        <f t="shared" si="25"/>
        <v/>
      </c>
      <c r="K58" s="5"/>
      <c r="L58" s="5"/>
      <c r="M58" s="75"/>
      <c r="N58" s="77"/>
      <c r="O58" s="26"/>
      <c r="P58" s="26"/>
      <c r="Q58" s="118" t="str">
        <f t="shared" si="26"/>
        <v/>
      </c>
      <c r="R58" s="153"/>
      <c r="S58" s="138" t="str">
        <f t="shared" si="10"/>
        <v/>
      </c>
      <c r="T58" s="148"/>
      <c r="U58" s="140"/>
      <c r="V58" s="140"/>
      <c r="W58" s="139"/>
      <c r="X58" s="139"/>
      <c r="Y58" s="148"/>
      <c r="Z58" s="138" t="str">
        <f t="shared" si="11"/>
        <v/>
      </c>
      <c r="AA58" s="138" t="str">
        <f t="shared" si="13"/>
        <v/>
      </c>
      <c r="AB58" s="239"/>
      <c r="AC58" s="325"/>
      <c r="AD58" s="325"/>
      <c r="AE58" s="325"/>
      <c r="AF58" s="325"/>
      <c r="AG58" s="325"/>
      <c r="AH58" s="325"/>
      <c r="AI58" s="325"/>
      <c r="AJ58" s="325"/>
      <c r="AK58" s="325"/>
      <c r="AL58" s="325"/>
      <c r="AM58" s="325"/>
      <c r="AN58" s="325"/>
      <c r="AO58" s="325"/>
      <c r="AP58" s="136"/>
      <c r="AQ58" s="136"/>
      <c r="AR58" s="136" t="str">
        <f t="shared" si="19"/>
        <v/>
      </c>
      <c r="AS58" s="136" t="str">
        <f t="shared" si="20"/>
        <v/>
      </c>
      <c r="AT58" s="5" t="str">
        <f t="shared" si="21"/>
        <v/>
      </c>
      <c r="AV58" s="27" t="str">
        <f>IF(G58="","",+"          ["&amp;TRIM(G58)&amp;"] ["&amp;TRIM(I58)&amp;"]"&amp;IF(H58="","","("&amp;H58&amp;")")&amp;" "&amp;TRIM(J58)&amp;IF(G61="","",","))</f>
        <v/>
      </c>
      <c r="AW58" s="27"/>
      <c r="AY58" s="122" t="str">
        <f t="shared" si="22"/>
        <v/>
      </c>
    </row>
    <row r="59" spans="2:51" ht="12.75">
      <c r="B59" s="20" t="str">
        <f t="shared" si="12"/>
        <v/>
      </c>
      <c r="C59" s="5"/>
      <c r="D59" s="5"/>
      <c r="E59" s="5"/>
      <c r="G59" s="5" t="str">
        <f t="shared" si="23"/>
        <v/>
      </c>
      <c r="H59" s="117" t="str">
        <f t="shared" si="14"/>
        <v/>
      </c>
      <c r="I59" s="5" t="str">
        <f t="shared" si="24"/>
        <v/>
      </c>
      <c r="J59" s="5" t="str">
        <f t="shared" si="25"/>
        <v/>
      </c>
      <c r="K59" s="5"/>
      <c r="L59" s="5"/>
      <c r="M59" s="75"/>
      <c r="N59" s="77"/>
      <c r="O59" s="26"/>
      <c r="P59" s="26"/>
      <c r="Q59" s="118" t="str">
        <f t="shared" si="26"/>
        <v/>
      </c>
      <c r="R59" s="153"/>
      <c r="S59" s="138" t="str">
        <f t="shared" si="10"/>
        <v/>
      </c>
      <c r="T59" s="148"/>
      <c r="U59" s="140"/>
      <c r="V59" s="140"/>
      <c r="W59" s="139"/>
      <c r="X59" s="139"/>
      <c r="Y59" s="148"/>
      <c r="Z59" s="138" t="str">
        <f t="shared" si="11"/>
        <v/>
      </c>
      <c r="AA59" s="138" t="str">
        <f t="shared" si="13"/>
        <v/>
      </c>
      <c r="AB59" s="239"/>
      <c r="AC59" s="325"/>
      <c r="AD59" s="325"/>
      <c r="AE59" s="325"/>
      <c r="AF59" s="325"/>
      <c r="AG59" s="325"/>
      <c r="AH59" s="325"/>
      <c r="AI59" s="325"/>
      <c r="AJ59" s="325"/>
      <c r="AK59" s="325"/>
      <c r="AL59" s="325"/>
      <c r="AM59" s="325"/>
      <c r="AN59" s="325"/>
      <c r="AO59" s="325"/>
      <c r="AP59" s="136"/>
      <c r="AQ59" s="136"/>
      <c r="AR59" s="136" t="str">
        <f t="shared" si="19"/>
        <v/>
      </c>
      <c r="AS59" s="136" t="str">
        <f t="shared" si="20"/>
        <v/>
      </c>
      <c r="AT59" s="5" t="str">
        <f t="shared" si="21"/>
        <v/>
      </c>
      <c r="AV59" s="27" t="str">
        <f t="shared" ref="AV59:AV64" si="27">IF(G59="","",+"          ["&amp;TRIM(G59)&amp;"] ["&amp;TRIM(I59)&amp;"]"&amp;IF(H59="","","("&amp;H59&amp;")")&amp;" "&amp;TRIM(J59)&amp;IF(G60="","",","))</f>
        <v/>
      </c>
      <c r="AW59" s="27"/>
      <c r="AY59" s="122" t="str">
        <f t="shared" si="22"/>
        <v/>
      </c>
    </row>
    <row r="60" spans="2:51" ht="12.75">
      <c r="B60" s="20" t="str">
        <f t="shared" si="12"/>
        <v/>
      </c>
      <c r="C60" s="5"/>
      <c r="D60" s="5"/>
      <c r="E60" s="5"/>
      <c r="G60" s="5" t="str">
        <f t="shared" si="23"/>
        <v/>
      </c>
      <c r="H60" s="117" t="str">
        <f t="shared" si="14"/>
        <v/>
      </c>
      <c r="I60" s="5" t="str">
        <f t="shared" si="24"/>
        <v/>
      </c>
      <c r="J60" s="5" t="str">
        <f t="shared" si="25"/>
        <v/>
      </c>
      <c r="K60" s="5"/>
      <c r="L60" s="5"/>
      <c r="M60" s="75"/>
      <c r="N60" s="77"/>
      <c r="O60" s="26"/>
      <c r="P60" s="26"/>
      <c r="Q60" s="118" t="str">
        <f t="shared" si="26"/>
        <v/>
      </c>
      <c r="R60" s="153"/>
      <c r="S60" s="138" t="str">
        <f t="shared" si="10"/>
        <v/>
      </c>
      <c r="T60" s="148"/>
      <c r="U60" s="140"/>
      <c r="V60" s="140"/>
      <c r="W60" s="139"/>
      <c r="X60" s="139"/>
      <c r="Y60" s="148"/>
      <c r="Z60" s="138" t="str">
        <f t="shared" si="11"/>
        <v/>
      </c>
      <c r="AA60" s="138" t="str">
        <f t="shared" si="13"/>
        <v/>
      </c>
      <c r="AB60" s="239"/>
      <c r="AC60" s="325"/>
      <c r="AD60" s="325"/>
      <c r="AE60" s="325"/>
      <c r="AF60" s="325"/>
      <c r="AG60" s="325"/>
      <c r="AH60" s="325"/>
      <c r="AI60" s="325"/>
      <c r="AJ60" s="325"/>
      <c r="AK60" s="325"/>
      <c r="AL60" s="325"/>
      <c r="AM60" s="325"/>
      <c r="AN60" s="325"/>
      <c r="AO60" s="325"/>
      <c r="AP60" s="136"/>
      <c r="AQ60" s="136"/>
      <c r="AR60" s="136" t="str">
        <f t="shared" si="19"/>
        <v/>
      </c>
      <c r="AS60" s="136" t="str">
        <f t="shared" si="20"/>
        <v/>
      </c>
      <c r="AT60" s="5" t="str">
        <f t="shared" si="21"/>
        <v/>
      </c>
      <c r="AV60" s="27" t="str">
        <f t="shared" si="27"/>
        <v/>
      </c>
      <c r="AW60" s="27"/>
      <c r="AY60" s="122" t="str">
        <f t="shared" si="22"/>
        <v/>
      </c>
    </row>
    <row r="61" spans="2:51" ht="12.75">
      <c r="B61" s="20" t="str">
        <f t="shared" si="12"/>
        <v/>
      </c>
      <c r="C61" s="5"/>
      <c r="D61" s="5"/>
      <c r="E61" s="5"/>
      <c r="G61" s="5" t="str">
        <f t="shared" si="23"/>
        <v/>
      </c>
      <c r="H61" s="117" t="str">
        <f t="shared" si="14"/>
        <v/>
      </c>
      <c r="I61" s="5" t="str">
        <f t="shared" si="24"/>
        <v/>
      </c>
      <c r="J61" s="5" t="str">
        <f t="shared" si="25"/>
        <v/>
      </c>
      <c r="K61" s="5"/>
      <c r="L61" s="5"/>
      <c r="M61" s="75"/>
      <c r="N61" s="77"/>
      <c r="O61" s="26"/>
      <c r="P61" s="26"/>
      <c r="Q61" s="118" t="str">
        <f t="shared" si="26"/>
        <v/>
      </c>
      <c r="R61" s="153"/>
      <c r="S61" s="138" t="str">
        <f t="shared" si="10"/>
        <v/>
      </c>
      <c r="T61" s="148"/>
      <c r="U61" s="140"/>
      <c r="V61" s="140"/>
      <c r="W61" s="139"/>
      <c r="X61" s="139"/>
      <c r="Y61" s="148"/>
      <c r="Z61" s="138" t="str">
        <f t="shared" si="11"/>
        <v/>
      </c>
      <c r="AA61" s="138" t="str">
        <f t="shared" si="13"/>
        <v/>
      </c>
      <c r="AB61" s="239"/>
      <c r="AC61" s="325"/>
      <c r="AD61" s="325"/>
      <c r="AE61" s="325"/>
      <c r="AF61" s="325"/>
      <c r="AG61" s="325"/>
      <c r="AH61" s="325"/>
      <c r="AI61" s="325"/>
      <c r="AJ61" s="325"/>
      <c r="AK61" s="325"/>
      <c r="AL61" s="325"/>
      <c r="AM61" s="325"/>
      <c r="AN61" s="325"/>
      <c r="AO61" s="325"/>
      <c r="AP61" s="136"/>
      <c r="AQ61" s="136"/>
      <c r="AR61" s="136" t="str">
        <f t="shared" si="19"/>
        <v/>
      </c>
      <c r="AS61" s="136" t="str">
        <f t="shared" si="20"/>
        <v/>
      </c>
      <c r="AT61" s="5" t="str">
        <f t="shared" si="21"/>
        <v/>
      </c>
      <c r="AV61" s="27" t="str">
        <f t="shared" si="27"/>
        <v/>
      </c>
      <c r="AW61" s="27"/>
      <c r="AY61" s="122" t="str">
        <f t="shared" si="22"/>
        <v/>
      </c>
    </row>
    <row r="62" spans="2:51" ht="12.75">
      <c r="B62" s="20" t="str">
        <f t="shared" si="12"/>
        <v/>
      </c>
      <c r="C62" s="5"/>
      <c r="D62" s="5"/>
      <c r="E62" s="5"/>
      <c r="G62" s="5" t="str">
        <f t="shared" si="23"/>
        <v/>
      </c>
      <c r="H62" s="117" t="str">
        <f t="shared" si="14"/>
        <v/>
      </c>
      <c r="I62" s="5" t="str">
        <f t="shared" si="24"/>
        <v/>
      </c>
      <c r="J62" s="5" t="str">
        <f t="shared" si="25"/>
        <v/>
      </c>
      <c r="K62" s="5"/>
      <c r="L62" s="5"/>
      <c r="M62" s="75"/>
      <c r="N62" s="77"/>
      <c r="O62" s="26"/>
      <c r="P62" s="26"/>
      <c r="Q62" s="118" t="str">
        <f t="shared" si="26"/>
        <v/>
      </c>
      <c r="R62" s="153"/>
      <c r="S62" s="138" t="str">
        <f t="shared" si="10"/>
        <v/>
      </c>
      <c r="T62" s="148"/>
      <c r="U62" s="140"/>
      <c r="V62" s="140"/>
      <c r="W62" s="139"/>
      <c r="X62" s="139"/>
      <c r="Y62" s="148"/>
      <c r="Z62" s="138" t="str">
        <f t="shared" si="11"/>
        <v/>
      </c>
      <c r="AA62" s="138" t="str">
        <f t="shared" si="13"/>
        <v/>
      </c>
      <c r="AB62" s="239"/>
      <c r="AC62" s="325"/>
      <c r="AD62" s="325"/>
      <c r="AE62" s="325"/>
      <c r="AF62" s="325"/>
      <c r="AG62" s="325"/>
      <c r="AH62" s="325"/>
      <c r="AI62" s="325"/>
      <c r="AJ62" s="325"/>
      <c r="AK62" s="325"/>
      <c r="AL62" s="325"/>
      <c r="AM62" s="325"/>
      <c r="AN62" s="325"/>
      <c r="AO62" s="325"/>
      <c r="AP62" s="136"/>
      <c r="AQ62" s="136"/>
      <c r="AR62" s="136" t="str">
        <f t="shared" si="19"/>
        <v/>
      </c>
      <c r="AS62" s="136" t="str">
        <f t="shared" si="20"/>
        <v/>
      </c>
      <c r="AT62" s="5" t="str">
        <f t="shared" si="21"/>
        <v/>
      </c>
      <c r="AV62" s="27" t="str">
        <f t="shared" si="27"/>
        <v/>
      </c>
      <c r="AW62" s="27"/>
      <c r="AY62" s="122" t="str">
        <f t="shared" si="22"/>
        <v/>
      </c>
    </row>
    <row r="63" spans="2:51" ht="12.75">
      <c r="B63" s="20" t="str">
        <f t="shared" si="12"/>
        <v/>
      </c>
      <c r="C63" s="5"/>
      <c r="D63" s="5"/>
      <c r="E63" s="5"/>
      <c r="G63" s="5" t="str">
        <f t="shared" si="23"/>
        <v/>
      </c>
      <c r="H63" s="117" t="str">
        <f t="shared" si="14"/>
        <v/>
      </c>
      <c r="I63" s="5" t="str">
        <f t="shared" si="24"/>
        <v/>
      </c>
      <c r="J63" s="5" t="str">
        <f t="shared" si="25"/>
        <v/>
      </c>
      <c r="K63" s="5"/>
      <c r="L63" s="5"/>
      <c r="M63" s="75"/>
      <c r="N63" s="77"/>
      <c r="O63" s="26"/>
      <c r="P63" s="26"/>
      <c r="Q63" s="118" t="str">
        <f t="shared" si="26"/>
        <v/>
      </c>
      <c r="R63" s="153"/>
      <c r="S63" s="138" t="str">
        <f t="shared" si="10"/>
        <v/>
      </c>
      <c r="T63" s="148"/>
      <c r="U63" s="140"/>
      <c r="V63" s="140"/>
      <c r="W63" s="139"/>
      <c r="X63" s="139"/>
      <c r="Y63" s="148"/>
      <c r="Z63" s="138" t="str">
        <f t="shared" si="11"/>
        <v/>
      </c>
      <c r="AA63" s="138" t="str">
        <f t="shared" si="13"/>
        <v/>
      </c>
      <c r="AB63" s="239"/>
      <c r="AC63" s="325"/>
      <c r="AD63" s="325"/>
      <c r="AE63" s="325"/>
      <c r="AF63" s="325"/>
      <c r="AG63" s="325"/>
      <c r="AH63" s="325"/>
      <c r="AI63" s="325"/>
      <c r="AJ63" s="325"/>
      <c r="AK63" s="325"/>
      <c r="AL63" s="325"/>
      <c r="AM63" s="325"/>
      <c r="AN63" s="325"/>
      <c r="AO63" s="325"/>
      <c r="AP63" s="136"/>
      <c r="AQ63" s="136"/>
      <c r="AR63" s="136" t="str">
        <f t="shared" si="19"/>
        <v/>
      </c>
      <c r="AS63" s="136" t="str">
        <f t="shared" si="20"/>
        <v/>
      </c>
      <c r="AT63" s="5" t="str">
        <f t="shared" si="21"/>
        <v/>
      </c>
      <c r="AV63" s="27" t="str">
        <f t="shared" si="27"/>
        <v/>
      </c>
      <c r="AW63" s="27"/>
      <c r="AY63" s="122" t="str">
        <f t="shared" si="22"/>
        <v/>
      </c>
    </row>
    <row r="64" spans="2:51" ht="12.75">
      <c r="B64" s="20" t="str">
        <f t="shared" si="12"/>
        <v/>
      </c>
      <c r="C64" s="5"/>
      <c r="D64" s="5"/>
      <c r="E64" s="5"/>
      <c r="G64" s="5" t="str">
        <f t="shared" si="23"/>
        <v/>
      </c>
      <c r="H64" s="117" t="str">
        <f t="shared" si="14"/>
        <v/>
      </c>
      <c r="I64" s="5" t="str">
        <f t="shared" si="24"/>
        <v/>
      </c>
      <c r="J64" s="5" t="str">
        <f t="shared" si="25"/>
        <v/>
      </c>
      <c r="K64" s="5"/>
      <c r="L64" s="5"/>
      <c r="M64" s="75"/>
      <c r="N64" s="77"/>
      <c r="O64" s="26"/>
      <c r="P64" s="26"/>
      <c r="Q64" s="118" t="str">
        <f t="shared" si="26"/>
        <v/>
      </c>
      <c r="R64" s="153"/>
      <c r="S64" s="138" t="str">
        <f t="shared" si="10"/>
        <v/>
      </c>
      <c r="T64" s="148"/>
      <c r="U64" s="140"/>
      <c r="V64" s="140"/>
      <c r="W64" s="139"/>
      <c r="X64" s="139"/>
      <c r="Y64" s="148"/>
      <c r="Z64" s="138" t="str">
        <f t="shared" si="11"/>
        <v/>
      </c>
      <c r="AA64" s="138" t="str">
        <f t="shared" si="13"/>
        <v/>
      </c>
      <c r="AB64" s="239"/>
      <c r="AC64" s="325"/>
      <c r="AD64" s="325"/>
      <c r="AE64" s="325"/>
      <c r="AF64" s="325"/>
      <c r="AG64" s="325"/>
      <c r="AH64" s="325"/>
      <c r="AI64" s="325"/>
      <c r="AJ64" s="325"/>
      <c r="AK64" s="325"/>
      <c r="AL64" s="325"/>
      <c r="AM64" s="325"/>
      <c r="AN64" s="325"/>
      <c r="AO64" s="325"/>
      <c r="AP64" s="136"/>
      <c r="AQ64" s="136"/>
      <c r="AR64" s="136" t="str">
        <f t="shared" si="19"/>
        <v/>
      </c>
      <c r="AS64" s="136" t="str">
        <f t="shared" si="20"/>
        <v/>
      </c>
      <c r="AT64" s="5" t="str">
        <f t="shared" si="21"/>
        <v/>
      </c>
      <c r="AV64" s="27" t="str">
        <f t="shared" si="27"/>
        <v/>
      </c>
      <c r="AW64" s="27"/>
      <c r="AY64" s="122" t="str">
        <f t="shared" si="22"/>
        <v/>
      </c>
    </row>
    <row r="65" spans="2:51" ht="12.75">
      <c r="B65" s="20" t="str">
        <f t="shared" si="12"/>
        <v/>
      </c>
      <c r="C65" s="5"/>
      <c r="D65" s="5"/>
      <c r="E65" s="5"/>
      <c r="G65" s="5" t="str">
        <f t="shared" si="23"/>
        <v/>
      </c>
      <c r="H65" s="117" t="str">
        <f t="shared" si="14"/>
        <v/>
      </c>
      <c r="I65" s="5" t="str">
        <f t="shared" si="24"/>
        <v/>
      </c>
      <c r="J65" s="5" t="str">
        <f t="shared" si="25"/>
        <v/>
      </c>
      <c r="K65" s="5"/>
      <c r="L65" s="5"/>
      <c r="M65" s="75"/>
      <c r="N65" s="77"/>
      <c r="O65" s="26"/>
      <c r="P65" s="26"/>
      <c r="Q65" s="118" t="str">
        <f t="shared" si="26"/>
        <v/>
      </c>
      <c r="R65" s="153"/>
      <c r="S65" s="138" t="str">
        <f t="shared" si="10"/>
        <v/>
      </c>
      <c r="T65" s="148"/>
      <c r="U65" s="140"/>
      <c r="V65" s="140"/>
      <c r="W65" s="139"/>
      <c r="X65" s="139"/>
      <c r="Y65" s="148"/>
      <c r="Z65" s="138" t="str">
        <f t="shared" si="11"/>
        <v/>
      </c>
      <c r="AA65" s="138" t="str">
        <f t="shared" si="13"/>
        <v/>
      </c>
      <c r="AB65" s="239"/>
      <c r="AC65" s="325"/>
      <c r="AD65" s="325"/>
      <c r="AE65" s="325"/>
      <c r="AF65" s="325"/>
      <c r="AG65" s="325"/>
      <c r="AH65" s="325"/>
      <c r="AI65" s="325"/>
      <c r="AJ65" s="325"/>
      <c r="AK65" s="325"/>
      <c r="AL65" s="325"/>
      <c r="AM65" s="325"/>
      <c r="AN65" s="325"/>
      <c r="AO65" s="325"/>
      <c r="AP65" s="136"/>
      <c r="AQ65" s="136"/>
      <c r="AR65" s="136" t="str">
        <f t="shared" si="19"/>
        <v/>
      </c>
      <c r="AS65" s="136" t="str">
        <f t="shared" si="20"/>
        <v/>
      </c>
      <c r="AT65" s="5" t="str">
        <f t="shared" si="21"/>
        <v/>
      </c>
      <c r="AV65" s="27" t="str">
        <f>IF(G65="","",+"          ["&amp;TRIM(G65)&amp;"] ["&amp;TRIM(I65)&amp;"]"&amp;IF(H65="","","("&amp;H65&amp;")")&amp;" "&amp;TRIM(J65)&amp;IF(G68="","",","))</f>
        <v/>
      </c>
      <c r="AW65" s="27"/>
      <c r="AY65" s="122" t="str">
        <f t="shared" si="22"/>
        <v/>
      </c>
    </row>
    <row r="66" spans="2:51" ht="12.75">
      <c r="B66" s="20" t="str">
        <f t="shared" si="12"/>
        <v/>
      </c>
      <c r="C66" s="5"/>
      <c r="D66" s="5"/>
      <c r="E66" s="5"/>
      <c r="G66" s="5" t="str">
        <f t="shared" si="23"/>
        <v/>
      </c>
      <c r="H66" s="117" t="str">
        <f t="shared" si="14"/>
        <v/>
      </c>
      <c r="I66" s="5" t="str">
        <f t="shared" si="24"/>
        <v/>
      </c>
      <c r="J66" s="5" t="str">
        <f t="shared" si="25"/>
        <v/>
      </c>
      <c r="K66" s="5"/>
      <c r="L66" s="5"/>
      <c r="M66" s="75"/>
      <c r="N66" s="77"/>
      <c r="O66" s="26"/>
      <c r="P66" s="26"/>
      <c r="Q66" s="118" t="str">
        <f t="shared" ref="Q66:Q81" si="28">IF(M66=0,"",ROW())</f>
        <v/>
      </c>
      <c r="R66" s="153"/>
      <c r="S66" s="138" t="str">
        <f t="shared" si="10"/>
        <v/>
      </c>
      <c r="T66" s="148"/>
      <c r="U66" s="140"/>
      <c r="V66" s="140"/>
      <c r="W66" s="139"/>
      <c r="X66" s="139"/>
      <c r="Y66" s="148"/>
      <c r="Z66" s="138" t="str">
        <f t="shared" si="11"/>
        <v/>
      </c>
      <c r="AA66" s="138" t="str">
        <f t="shared" si="13"/>
        <v/>
      </c>
      <c r="AB66" s="239"/>
      <c r="AC66" s="325"/>
      <c r="AD66" s="325"/>
      <c r="AE66" s="325"/>
      <c r="AF66" s="325"/>
      <c r="AG66" s="325"/>
      <c r="AH66" s="325"/>
      <c r="AI66" s="325"/>
      <c r="AJ66" s="325"/>
      <c r="AK66" s="325"/>
      <c r="AL66" s="325"/>
      <c r="AM66" s="325"/>
      <c r="AN66" s="325"/>
      <c r="AO66" s="325"/>
      <c r="AP66" s="136"/>
      <c r="AQ66" s="136"/>
      <c r="AR66" s="136" t="str">
        <f t="shared" si="19"/>
        <v/>
      </c>
      <c r="AS66" s="136" t="str">
        <f t="shared" si="20"/>
        <v/>
      </c>
      <c r="AT66" s="5" t="str">
        <f t="shared" si="21"/>
        <v/>
      </c>
      <c r="AV66" s="27" t="str">
        <f>IF(G66="","",+"          ["&amp;TRIM(G66)&amp;"] ["&amp;TRIM(I66)&amp;"]"&amp;IF(H66="","","("&amp;H66&amp;")")&amp;" "&amp;TRIM(J66)&amp;IF(G67="","",","))</f>
        <v/>
      </c>
      <c r="AW66" s="27"/>
      <c r="AY66" s="122" t="str">
        <f t="shared" si="22"/>
        <v/>
      </c>
    </row>
    <row r="67" spans="2:51" ht="12.75">
      <c r="B67" s="20" t="str">
        <f t="shared" si="12"/>
        <v/>
      </c>
      <c r="C67" s="5"/>
      <c r="D67" s="5"/>
      <c r="E67" s="5"/>
      <c r="G67" s="5" t="str">
        <f t="shared" si="23"/>
        <v/>
      </c>
      <c r="H67" s="117" t="str">
        <f t="shared" si="14"/>
        <v/>
      </c>
      <c r="I67" s="5" t="str">
        <f t="shared" si="24"/>
        <v/>
      </c>
      <c r="J67" s="5" t="str">
        <f t="shared" si="25"/>
        <v/>
      </c>
      <c r="K67" s="5"/>
      <c r="L67" s="5"/>
      <c r="M67" s="75"/>
      <c r="N67" s="77"/>
      <c r="O67" s="26"/>
      <c r="P67" s="26"/>
      <c r="Q67" s="118" t="str">
        <f t="shared" si="28"/>
        <v/>
      </c>
      <c r="R67" s="153"/>
      <c r="S67" s="138" t="str">
        <f t="shared" si="10"/>
        <v/>
      </c>
      <c r="T67" s="148"/>
      <c r="U67" s="140"/>
      <c r="V67" s="140"/>
      <c r="W67" s="139"/>
      <c r="X67" s="139"/>
      <c r="Y67" s="148"/>
      <c r="Z67" s="138" t="str">
        <f t="shared" si="11"/>
        <v/>
      </c>
      <c r="AA67" s="138" t="str">
        <f t="shared" si="13"/>
        <v/>
      </c>
      <c r="AB67" s="239"/>
      <c r="AC67" s="325"/>
      <c r="AD67" s="325"/>
      <c r="AE67" s="325"/>
      <c r="AF67" s="325"/>
      <c r="AG67" s="325"/>
      <c r="AH67" s="325"/>
      <c r="AI67" s="325"/>
      <c r="AJ67" s="325"/>
      <c r="AK67" s="325"/>
      <c r="AL67" s="325"/>
      <c r="AM67" s="325"/>
      <c r="AN67" s="325"/>
      <c r="AO67" s="325"/>
      <c r="AP67" s="136"/>
      <c r="AQ67" s="136"/>
      <c r="AR67" s="136" t="str">
        <f t="shared" si="19"/>
        <v/>
      </c>
      <c r="AS67" s="136" t="str">
        <f t="shared" si="20"/>
        <v/>
      </c>
      <c r="AT67" s="5" t="str">
        <f t="shared" si="21"/>
        <v/>
      </c>
      <c r="AV67" s="27" t="str">
        <f>IF(G67="","",+"          ["&amp;TRIM(G67)&amp;"] ["&amp;TRIM(I67)&amp;"]"&amp;IF(H67="","","("&amp;H67&amp;")")&amp;" "&amp;TRIM(J67)&amp;IF(G68="","",","))</f>
        <v/>
      </c>
      <c r="AW67" s="27"/>
      <c r="AY67" s="122" t="str">
        <f t="shared" si="22"/>
        <v/>
      </c>
    </row>
    <row r="68" spans="2:51" ht="12.75">
      <c r="B68" s="20" t="str">
        <f t="shared" si="12"/>
        <v/>
      </c>
      <c r="C68" s="5"/>
      <c r="D68" s="5"/>
      <c r="E68" s="5"/>
      <c r="G68" s="5" t="str">
        <f t="shared" si="23"/>
        <v/>
      </c>
      <c r="H68" s="117" t="str">
        <f t="shared" si="14"/>
        <v/>
      </c>
      <c r="I68" s="5" t="str">
        <f t="shared" si="24"/>
        <v/>
      </c>
      <c r="J68" s="5" t="str">
        <f t="shared" si="25"/>
        <v/>
      </c>
      <c r="K68" s="5"/>
      <c r="L68" s="5"/>
      <c r="M68" s="75"/>
      <c r="N68" s="77"/>
      <c r="O68" s="26"/>
      <c r="P68" s="26"/>
      <c r="Q68" s="118" t="str">
        <f t="shared" si="28"/>
        <v/>
      </c>
      <c r="R68" s="153"/>
      <c r="S68" s="138" t="str">
        <f t="shared" si="10"/>
        <v/>
      </c>
      <c r="T68" s="148"/>
      <c r="U68" s="140"/>
      <c r="V68" s="140"/>
      <c r="W68" s="139"/>
      <c r="X68" s="139"/>
      <c r="Y68" s="148"/>
      <c r="Z68" s="138" t="str">
        <f t="shared" si="11"/>
        <v/>
      </c>
      <c r="AA68" s="138" t="str">
        <f t="shared" si="13"/>
        <v/>
      </c>
      <c r="AB68" s="239"/>
      <c r="AC68" s="325"/>
      <c r="AD68" s="325"/>
      <c r="AE68" s="325"/>
      <c r="AF68" s="325"/>
      <c r="AG68" s="325"/>
      <c r="AH68" s="325"/>
      <c r="AI68" s="325"/>
      <c r="AJ68" s="325"/>
      <c r="AK68" s="325"/>
      <c r="AL68" s="325"/>
      <c r="AM68" s="325"/>
      <c r="AN68" s="325"/>
      <c r="AO68" s="325"/>
      <c r="AP68" s="136"/>
      <c r="AQ68" s="136"/>
      <c r="AR68" s="136" t="str">
        <f t="shared" si="19"/>
        <v/>
      </c>
      <c r="AS68" s="136" t="str">
        <f t="shared" si="20"/>
        <v/>
      </c>
      <c r="AT68" s="5" t="str">
        <f t="shared" si="21"/>
        <v/>
      </c>
      <c r="AV68" s="27" t="str">
        <f>IF(G68="","",+"          ["&amp;TRIM(G68)&amp;"] ["&amp;TRIM(I68)&amp;"]"&amp;IF(H68="","","("&amp;H68&amp;")")&amp;" "&amp;TRIM(J68)&amp;IF(G95="","",","))</f>
        <v/>
      </c>
      <c r="AW68" s="27"/>
      <c r="AY68" s="122" t="str">
        <f t="shared" si="22"/>
        <v/>
      </c>
    </row>
    <row r="69" spans="2:51" ht="12.75">
      <c r="B69" s="20" t="str">
        <f t="shared" si="12"/>
        <v/>
      </c>
      <c r="C69" s="5"/>
      <c r="D69" s="5"/>
      <c r="E69" s="5"/>
      <c r="G69" s="5" t="str">
        <f t="shared" si="23"/>
        <v/>
      </c>
      <c r="H69" s="117" t="str">
        <f t="shared" si="14"/>
        <v/>
      </c>
      <c r="I69" s="5" t="str">
        <f t="shared" si="24"/>
        <v/>
      </c>
      <c r="J69" s="5" t="str">
        <f t="shared" si="25"/>
        <v/>
      </c>
      <c r="K69" s="5"/>
      <c r="L69" s="5"/>
      <c r="M69" s="75"/>
      <c r="N69" s="77"/>
      <c r="O69" s="26"/>
      <c r="P69" s="26"/>
      <c r="Q69" s="118" t="str">
        <f t="shared" si="28"/>
        <v/>
      </c>
      <c r="R69" s="153"/>
      <c r="S69" s="138" t="str">
        <f t="shared" si="10"/>
        <v/>
      </c>
      <c r="T69" s="148"/>
      <c r="U69" s="140"/>
      <c r="V69" s="140"/>
      <c r="W69" s="139"/>
      <c r="X69" s="139"/>
      <c r="Y69" s="148"/>
      <c r="Z69" s="138" t="str">
        <f t="shared" si="11"/>
        <v/>
      </c>
      <c r="AA69" s="138" t="str">
        <f t="shared" si="13"/>
        <v/>
      </c>
      <c r="AB69" s="239"/>
      <c r="AC69" s="325"/>
      <c r="AD69" s="325"/>
      <c r="AE69" s="325"/>
      <c r="AF69" s="325"/>
      <c r="AG69" s="325"/>
      <c r="AH69" s="325"/>
      <c r="AI69" s="325"/>
      <c r="AJ69" s="325"/>
      <c r="AK69" s="325"/>
      <c r="AL69" s="325"/>
      <c r="AM69" s="325"/>
      <c r="AN69" s="325"/>
      <c r="AO69" s="325"/>
      <c r="AP69" s="136"/>
      <c r="AQ69" s="136"/>
      <c r="AR69" s="136" t="str">
        <f t="shared" si="19"/>
        <v/>
      </c>
      <c r="AS69" s="136" t="str">
        <f t="shared" si="20"/>
        <v/>
      </c>
      <c r="AT69" s="5" t="str">
        <f t="shared" si="21"/>
        <v/>
      </c>
      <c r="AV69" s="27" t="str">
        <f>IF(G69="","",+"          ["&amp;TRIM(G69)&amp;"] ["&amp;TRIM(I69)&amp;"]"&amp;IF(H69="","","("&amp;H69&amp;")")&amp;" "&amp;TRIM(J69)&amp;IF(G70="","",","))</f>
        <v/>
      </c>
      <c r="AW69" s="27"/>
      <c r="AY69" s="122" t="str">
        <f t="shared" si="22"/>
        <v/>
      </c>
    </row>
    <row r="70" spans="2:51" ht="12.75">
      <c r="B70" s="20" t="str">
        <f t="shared" si="12"/>
        <v/>
      </c>
      <c r="C70" s="5"/>
      <c r="D70" s="5"/>
      <c r="E70" s="5"/>
      <c r="G70" s="5" t="str">
        <f t="shared" si="23"/>
        <v/>
      </c>
      <c r="H70" s="117" t="str">
        <f t="shared" si="14"/>
        <v/>
      </c>
      <c r="I70" s="5" t="str">
        <f t="shared" si="24"/>
        <v/>
      </c>
      <c r="J70" s="5" t="str">
        <f t="shared" si="25"/>
        <v/>
      </c>
      <c r="K70" s="5"/>
      <c r="L70" s="5"/>
      <c r="M70" s="75"/>
      <c r="N70" s="77"/>
      <c r="O70" s="26"/>
      <c r="P70" s="26"/>
      <c r="Q70" s="118" t="str">
        <f t="shared" si="28"/>
        <v/>
      </c>
      <c r="R70" s="153"/>
      <c r="S70" s="138" t="str">
        <f t="shared" si="10"/>
        <v/>
      </c>
      <c r="T70" s="148"/>
      <c r="U70" s="140"/>
      <c r="V70" s="140"/>
      <c r="W70" s="139"/>
      <c r="X70" s="139"/>
      <c r="Y70" s="148"/>
      <c r="Z70" s="138" t="str">
        <f t="shared" si="11"/>
        <v/>
      </c>
      <c r="AA70" s="138" t="str">
        <f t="shared" si="13"/>
        <v/>
      </c>
      <c r="AB70" s="239"/>
      <c r="AC70" s="325"/>
      <c r="AD70" s="325"/>
      <c r="AE70" s="325"/>
      <c r="AF70" s="325"/>
      <c r="AG70" s="325"/>
      <c r="AH70" s="325"/>
      <c r="AI70" s="325"/>
      <c r="AJ70" s="325"/>
      <c r="AK70" s="325"/>
      <c r="AL70" s="325"/>
      <c r="AM70" s="325"/>
      <c r="AN70" s="325"/>
      <c r="AO70" s="325"/>
      <c r="AP70" s="136"/>
      <c r="AQ70" s="136"/>
      <c r="AR70" s="136" t="str">
        <f t="shared" si="19"/>
        <v/>
      </c>
      <c r="AS70" s="136" t="str">
        <f t="shared" si="20"/>
        <v/>
      </c>
      <c r="AT70" s="5" t="str">
        <f t="shared" si="21"/>
        <v/>
      </c>
      <c r="AV70" s="27" t="str">
        <f>IF(G70="","",+"          ["&amp;TRIM(G70)&amp;"] ["&amp;TRIM(I70)&amp;"]"&amp;IF(H70="","","("&amp;H70&amp;")")&amp;" "&amp;TRIM(J70)&amp;IF(G94="","",","))</f>
        <v/>
      </c>
      <c r="AW70" s="27"/>
      <c r="AY70" s="122" t="str">
        <f t="shared" si="22"/>
        <v/>
      </c>
    </row>
    <row r="71" spans="2:51" ht="12.75">
      <c r="B71" s="20" t="str">
        <f t="shared" si="12"/>
        <v/>
      </c>
      <c r="C71" s="5"/>
      <c r="D71" s="5"/>
      <c r="E71" s="5"/>
      <c r="G71" s="5" t="str">
        <f t="shared" si="23"/>
        <v/>
      </c>
      <c r="H71" s="117" t="str">
        <f t="shared" si="14"/>
        <v/>
      </c>
      <c r="I71" s="5" t="str">
        <f t="shared" si="24"/>
        <v/>
      </c>
      <c r="J71" s="5" t="str">
        <f t="shared" si="25"/>
        <v/>
      </c>
      <c r="K71" s="5"/>
      <c r="L71" s="5"/>
      <c r="M71" s="75"/>
      <c r="N71" s="77"/>
      <c r="O71" s="26"/>
      <c r="P71" s="26"/>
      <c r="Q71" s="118" t="str">
        <f t="shared" si="28"/>
        <v/>
      </c>
      <c r="R71" s="153"/>
      <c r="S71" s="138" t="str">
        <f t="shared" si="10"/>
        <v/>
      </c>
      <c r="T71" s="148"/>
      <c r="U71" s="140"/>
      <c r="V71" s="140"/>
      <c r="W71" s="139"/>
      <c r="X71" s="139"/>
      <c r="Y71" s="148"/>
      <c r="Z71" s="138" t="str">
        <f t="shared" si="11"/>
        <v/>
      </c>
      <c r="AA71" s="138" t="str">
        <f t="shared" si="13"/>
        <v/>
      </c>
      <c r="AB71" s="239"/>
      <c r="AC71" s="325"/>
      <c r="AD71" s="325"/>
      <c r="AE71" s="325"/>
      <c r="AF71" s="325"/>
      <c r="AG71" s="325"/>
      <c r="AH71" s="325"/>
      <c r="AI71" s="325"/>
      <c r="AJ71" s="325"/>
      <c r="AK71" s="325"/>
      <c r="AL71" s="325"/>
      <c r="AM71" s="325"/>
      <c r="AN71" s="325"/>
      <c r="AO71" s="325"/>
      <c r="AP71" s="136"/>
      <c r="AQ71" s="136"/>
      <c r="AR71" s="136" t="str">
        <f t="shared" si="19"/>
        <v/>
      </c>
      <c r="AS71" s="136" t="str">
        <f t="shared" si="20"/>
        <v/>
      </c>
      <c r="AT71" s="5" t="str">
        <f t="shared" si="21"/>
        <v/>
      </c>
      <c r="AV71" s="27" t="str">
        <f>IF(G71="","",+"          ["&amp;TRIM(G71)&amp;"] ["&amp;TRIM(I71)&amp;"]"&amp;IF(H71="","","("&amp;H71&amp;")")&amp;" "&amp;TRIM(J71)&amp;IF(G72="","",","))</f>
        <v/>
      </c>
      <c r="AW71" s="27"/>
      <c r="AY71" s="122" t="str">
        <f t="shared" si="22"/>
        <v/>
      </c>
    </row>
    <row r="72" spans="2:51" ht="12.75">
      <c r="B72" s="20" t="str">
        <f t="shared" si="12"/>
        <v/>
      </c>
      <c r="C72" s="5"/>
      <c r="D72" s="5"/>
      <c r="E72" s="5"/>
      <c r="G72" s="5" t="str">
        <f t="shared" si="23"/>
        <v/>
      </c>
      <c r="H72" s="117" t="str">
        <f t="shared" si="14"/>
        <v/>
      </c>
      <c r="I72" s="5" t="str">
        <f t="shared" si="24"/>
        <v/>
      </c>
      <c r="J72" s="5" t="str">
        <f t="shared" si="25"/>
        <v/>
      </c>
      <c r="K72" s="5"/>
      <c r="L72" s="5"/>
      <c r="M72" s="75"/>
      <c r="N72" s="77"/>
      <c r="O72" s="26"/>
      <c r="P72" s="26"/>
      <c r="Q72" s="118" t="str">
        <f t="shared" si="28"/>
        <v/>
      </c>
      <c r="R72" s="153"/>
      <c r="S72" s="138" t="str">
        <f t="shared" si="10"/>
        <v/>
      </c>
      <c r="T72" s="148"/>
      <c r="U72" s="140"/>
      <c r="V72" s="140"/>
      <c r="W72" s="139"/>
      <c r="X72" s="139"/>
      <c r="Y72" s="148"/>
      <c r="Z72" s="138" t="str">
        <f t="shared" si="11"/>
        <v/>
      </c>
      <c r="AA72" s="138" t="str">
        <f t="shared" si="13"/>
        <v/>
      </c>
      <c r="AB72" s="239"/>
      <c r="AC72" s="325"/>
      <c r="AD72" s="325"/>
      <c r="AE72" s="325"/>
      <c r="AF72" s="325"/>
      <c r="AG72" s="325"/>
      <c r="AH72" s="325"/>
      <c r="AI72" s="325"/>
      <c r="AJ72" s="325"/>
      <c r="AK72" s="325"/>
      <c r="AL72" s="325"/>
      <c r="AM72" s="325"/>
      <c r="AN72" s="325"/>
      <c r="AO72" s="325"/>
      <c r="AP72" s="136"/>
      <c r="AQ72" s="136"/>
      <c r="AR72" s="136" t="str">
        <f t="shared" si="19"/>
        <v/>
      </c>
      <c r="AS72" s="136" t="str">
        <f t="shared" si="20"/>
        <v/>
      </c>
      <c r="AT72" s="5" t="str">
        <f t="shared" si="21"/>
        <v/>
      </c>
      <c r="AV72" s="27" t="str">
        <f>IF(G72="","",+"          ["&amp;TRIM(G72)&amp;"] ["&amp;TRIM(I72)&amp;"]"&amp;IF(H72="","","("&amp;H72&amp;")")&amp;" "&amp;TRIM(J72)&amp;IF(G75="","",","))</f>
        <v/>
      </c>
      <c r="AW72" s="27"/>
      <c r="AY72" s="122" t="str">
        <f t="shared" si="22"/>
        <v/>
      </c>
    </row>
    <row r="73" spans="2:51" ht="12.75">
      <c r="B73" s="20" t="str">
        <f t="shared" si="12"/>
        <v/>
      </c>
      <c r="C73" s="5"/>
      <c r="D73" s="5"/>
      <c r="E73" s="5"/>
      <c r="G73" s="5" t="str">
        <f t="shared" si="23"/>
        <v/>
      </c>
      <c r="H73" s="117" t="str">
        <f t="shared" si="14"/>
        <v/>
      </c>
      <c r="I73" s="5" t="str">
        <f t="shared" si="24"/>
        <v/>
      </c>
      <c r="J73" s="5" t="str">
        <f t="shared" si="25"/>
        <v/>
      </c>
      <c r="K73" s="5"/>
      <c r="L73" s="5"/>
      <c r="M73" s="75"/>
      <c r="N73" s="77"/>
      <c r="O73" s="26"/>
      <c r="P73" s="26"/>
      <c r="Q73" s="118" t="str">
        <f t="shared" si="28"/>
        <v/>
      </c>
      <c r="R73" s="153"/>
      <c r="S73" s="138" t="str">
        <f t="shared" si="10"/>
        <v/>
      </c>
      <c r="T73" s="148"/>
      <c r="U73" s="140"/>
      <c r="V73" s="140"/>
      <c r="W73" s="139"/>
      <c r="X73" s="139"/>
      <c r="Y73" s="148"/>
      <c r="Z73" s="138" t="str">
        <f t="shared" si="11"/>
        <v/>
      </c>
      <c r="AA73" s="138" t="str">
        <f t="shared" si="13"/>
        <v/>
      </c>
      <c r="AB73" s="239"/>
      <c r="AC73" s="325"/>
      <c r="AD73" s="325"/>
      <c r="AE73" s="325"/>
      <c r="AF73" s="325"/>
      <c r="AG73" s="325"/>
      <c r="AH73" s="325"/>
      <c r="AI73" s="325"/>
      <c r="AJ73" s="325"/>
      <c r="AK73" s="325"/>
      <c r="AL73" s="325"/>
      <c r="AM73" s="325"/>
      <c r="AN73" s="325"/>
      <c r="AO73" s="325"/>
      <c r="AP73" s="136"/>
      <c r="AQ73" s="136"/>
      <c r="AR73" s="136" t="str">
        <f t="shared" si="19"/>
        <v/>
      </c>
      <c r="AS73" s="136" t="str">
        <f t="shared" si="20"/>
        <v/>
      </c>
      <c r="AT73" s="5" t="str">
        <f t="shared" si="21"/>
        <v/>
      </c>
      <c r="AV73" s="27" t="str">
        <f>IF(G73="","",+"          ["&amp;TRIM(G73)&amp;"] ["&amp;TRIM(I73)&amp;"]"&amp;IF(H73="","","("&amp;H73&amp;")")&amp;" "&amp;TRIM(J73)&amp;IF(G74="","",","))</f>
        <v/>
      </c>
      <c r="AW73" s="27"/>
      <c r="AY73" s="122" t="str">
        <f t="shared" si="22"/>
        <v/>
      </c>
    </row>
    <row r="74" spans="2:51" ht="12.75">
      <c r="B74" s="20" t="str">
        <f t="shared" si="12"/>
        <v/>
      </c>
      <c r="C74" s="5"/>
      <c r="D74" s="5"/>
      <c r="E74" s="5"/>
      <c r="G74" s="5" t="str">
        <f t="shared" si="23"/>
        <v/>
      </c>
      <c r="H74" s="117" t="str">
        <f t="shared" si="14"/>
        <v/>
      </c>
      <c r="I74" s="5" t="str">
        <f t="shared" si="24"/>
        <v/>
      </c>
      <c r="J74" s="5" t="str">
        <f t="shared" si="25"/>
        <v/>
      </c>
      <c r="K74" s="5"/>
      <c r="L74" s="5"/>
      <c r="M74" s="75"/>
      <c r="N74" s="77"/>
      <c r="O74" s="26"/>
      <c r="P74" s="26"/>
      <c r="Q74" s="118" t="str">
        <f t="shared" si="28"/>
        <v/>
      </c>
      <c r="R74" s="153"/>
      <c r="S74" s="138" t="str">
        <f t="shared" si="10"/>
        <v/>
      </c>
      <c r="T74" s="148"/>
      <c r="U74" s="140"/>
      <c r="V74" s="140"/>
      <c r="W74" s="139"/>
      <c r="X74" s="139"/>
      <c r="Y74" s="148"/>
      <c r="Z74" s="138" t="str">
        <f t="shared" si="11"/>
        <v/>
      </c>
      <c r="AA74" s="138" t="str">
        <f t="shared" si="13"/>
        <v/>
      </c>
      <c r="AB74" s="239"/>
      <c r="AC74" s="325"/>
      <c r="AD74" s="325"/>
      <c r="AE74" s="325"/>
      <c r="AF74" s="325"/>
      <c r="AG74" s="325"/>
      <c r="AH74" s="325"/>
      <c r="AI74" s="325"/>
      <c r="AJ74" s="325"/>
      <c r="AK74" s="325"/>
      <c r="AL74" s="325"/>
      <c r="AM74" s="325"/>
      <c r="AN74" s="325"/>
      <c r="AO74" s="325"/>
      <c r="AP74" s="136"/>
      <c r="AQ74" s="136"/>
      <c r="AR74" s="136" t="str">
        <f t="shared" si="19"/>
        <v/>
      </c>
      <c r="AS74" s="136" t="str">
        <f t="shared" si="20"/>
        <v/>
      </c>
      <c r="AT74" s="5" t="str">
        <f t="shared" si="21"/>
        <v/>
      </c>
      <c r="AV74" s="27" t="str">
        <f>IF(G74="","",+"          ["&amp;TRIM(G74)&amp;"] ["&amp;TRIM(I74)&amp;"]"&amp;IF(H74="","","("&amp;H74&amp;")")&amp;" "&amp;TRIM(J74)&amp;IF(G75="","",","))</f>
        <v/>
      </c>
      <c r="AW74" s="27"/>
      <c r="AY74" s="122" t="str">
        <f t="shared" si="22"/>
        <v/>
      </c>
    </row>
    <row r="75" spans="2:51" ht="12.75">
      <c r="B75" s="20" t="str">
        <f t="shared" si="12"/>
        <v/>
      </c>
      <c r="C75" s="5"/>
      <c r="D75" s="5"/>
      <c r="E75" s="5"/>
      <c r="G75" s="5" t="str">
        <f t="shared" si="23"/>
        <v/>
      </c>
      <c r="H75" s="117" t="str">
        <f t="shared" si="14"/>
        <v/>
      </c>
      <c r="I75" s="5" t="str">
        <f t="shared" si="24"/>
        <v/>
      </c>
      <c r="J75" s="5" t="str">
        <f t="shared" si="25"/>
        <v/>
      </c>
      <c r="K75" s="5"/>
      <c r="L75" s="5"/>
      <c r="M75" s="75"/>
      <c r="N75" s="77"/>
      <c r="O75" s="26"/>
      <c r="P75" s="26"/>
      <c r="Q75" s="118" t="str">
        <f t="shared" si="28"/>
        <v/>
      </c>
      <c r="R75" s="153"/>
      <c r="S75" s="138" t="str">
        <f t="shared" si="10"/>
        <v/>
      </c>
      <c r="T75" s="148"/>
      <c r="U75" s="140"/>
      <c r="V75" s="140"/>
      <c r="W75" s="139"/>
      <c r="X75" s="139"/>
      <c r="Y75" s="148"/>
      <c r="Z75" s="138" t="str">
        <f t="shared" si="11"/>
        <v/>
      </c>
      <c r="AA75" s="138" t="str">
        <f t="shared" si="13"/>
        <v/>
      </c>
      <c r="AB75" s="239"/>
      <c r="AC75" s="325"/>
      <c r="AD75" s="325"/>
      <c r="AE75" s="325"/>
      <c r="AF75" s="325"/>
      <c r="AG75" s="325"/>
      <c r="AH75" s="325"/>
      <c r="AI75" s="325"/>
      <c r="AJ75" s="325"/>
      <c r="AK75" s="325"/>
      <c r="AL75" s="325"/>
      <c r="AM75" s="325"/>
      <c r="AN75" s="325"/>
      <c r="AO75" s="325"/>
      <c r="AP75" s="136"/>
      <c r="AQ75" s="136"/>
      <c r="AR75" s="136" t="str">
        <f t="shared" si="19"/>
        <v/>
      </c>
      <c r="AS75" s="136" t="str">
        <f t="shared" si="20"/>
        <v/>
      </c>
      <c r="AT75" s="5" t="str">
        <f t="shared" si="21"/>
        <v/>
      </c>
      <c r="AV75" s="27" t="str">
        <f>IF(G75="","",+"          ["&amp;TRIM(G75)&amp;"] ["&amp;TRIM(I75)&amp;"]"&amp;IF(H75="","","("&amp;H75&amp;")")&amp;" "&amp;TRIM(J75)&amp;IF(G94="","",","))</f>
        <v/>
      </c>
      <c r="AW75" s="27"/>
      <c r="AY75" s="122" t="str">
        <f t="shared" si="22"/>
        <v/>
      </c>
    </row>
    <row r="76" spans="2:51" ht="12.75">
      <c r="B76" s="20" t="str">
        <f t="shared" si="12"/>
        <v/>
      </c>
      <c r="C76" s="5"/>
      <c r="D76" s="5"/>
      <c r="E76" s="5"/>
      <c r="G76" s="5" t="str">
        <f t="shared" si="23"/>
        <v/>
      </c>
      <c r="H76" s="117" t="str">
        <f t="shared" si="14"/>
        <v/>
      </c>
      <c r="I76" s="5" t="str">
        <f t="shared" si="24"/>
        <v/>
      </c>
      <c r="J76" s="5" t="str">
        <f t="shared" si="25"/>
        <v/>
      </c>
      <c r="K76" s="5"/>
      <c r="L76" s="5"/>
      <c r="M76" s="75"/>
      <c r="N76" s="77"/>
      <c r="O76" s="26"/>
      <c r="P76" s="26"/>
      <c r="Q76" s="118" t="str">
        <f t="shared" si="28"/>
        <v/>
      </c>
      <c r="R76" s="153"/>
      <c r="S76" s="138" t="str">
        <f t="shared" si="10"/>
        <v/>
      </c>
      <c r="T76" s="148"/>
      <c r="U76" s="140"/>
      <c r="V76" s="140"/>
      <c r="W76" s="139"/>
      <c r="X76" s="139"/>
      <c r="Y76" s="148"/>
      <c r="Z76" s="138" t="str">
        <f t="shared" si="11"/>
        <v/>
      </c>
      <c r="AA76" s="138" t="str">
        <f t="shared" si="13"/>
        <v/>
      </c>
      <c r="AB76" s="239"/>
      <c r="AC76" s="325"/>
      <c r="AD76" s="325"/>
      <c r="AE76" s="325"/>
      <c r="AF76" s="325"/>
      <c r="AG76" s="325"/>
      <c r="AH76" s="325"/>
      <c r="AI76" s="325"/>
      <c r="AJ76" s="325"/>
      <c r="AK76" s="325"/>
      <c r="AL76" s="325"/>
      <c r="AM76" s="325"/>
      <c r="AN76" s="325"/>
      <c r="AO76" s="325"/>
      <c r="AP76" s="136"/>
      <c r="AQ76" s="136"/>
      <c r="AR76" s="136" t="str">
        <f t="shared" si="19"/>
        <v/>
      </c>
      <c r="AS76" s="136" t="str">
        <f t="shared" si="20"/>
        <v/>
      </c>
      <c r="AT76" s="5" t="str">
        <f t="shared" si="21"/>
        <v/>
      </c>
      <c r="AV76" s="27" t="str">
        <f>IF(G76="","",+"          ["&amp;TRIM(G76)&amp;"] ["&amp;TRIM(I76)&amp;"]"&amp;IF(H76="","","("&amp;H76&amp;")")&amp;" "&amp;TRIM(J76)&amp;IF(G77="","",","))</f>
        <v/>
      </c>
      <c r="AW76" s="27"/>
      <c r="AY76" s="122" t="str">
        <f t="shared" si="22"/>
        <v/>
      </c>
    </row>
    <row r="77" spans="2:51" ht="12.75">
      <c r="B77" s="20" t="str">
        <f t="shared" si="12"/>
        <v/>
      </c>
      <c r="C77" s="5"/>
      <c r="D77" s="5"/>
      <c r="E77" s="5"/>
      <c r="G77" s="5" t="str">
        <f t="shared" si="23"/>
        <v/>
      </c>
      <c r="H77" s="117" t="str">
        <f t="shared" si="14"/>
        <v/>
      </c>
      <c r="I77" s="5" t="str">
        <f t="shared" si="24"/>
        <v/>
      </c>
      <c r="J77" s="5" t="str">
        <f t="shared" si="25"/>
        <v/>
      </c>
      <c r="K77" s="5"/>
      <c r="L77" s="5"/>
      <c r="M77" s="75"/>
      <c r="N77" s="77"/>
      <c r="O77" s="26"/>
      <c r="P77" s="26"/>
      <c r="Q77" s="118" t="str">
        <f t="shared" si="28"/>
        <v/>
      </c>
      <c r="R77" s="153"/>
      <c r="S77" s="138" t="str">
        <f t="shared" si="10"/>
        <v/>
      </c>
      <c r="T77" s="148"/>
      <c r="U77" s="140"/>
      <c r="V77" s="140"/>
      <c r="W77" s="139"/>
      <c r="X77" s="139"/>
      <c r="Y77" s="148"/>
      <c r="Z77" s="138" t="str">
        <f t="shared" si="11"/>
        <v/>
      </c>
      <c r="AA77" s="138" t="str">
        <f t="shared" si="13"/>
        <v/>
      </c>
      <c r="AB77" s="239"/>
      <c r="AC77" s="325"/>
      <c r="AD77" s="325"/>
      <c r="AE77" s="325"/>
      <c r="AF77" s="325"/>
      <c r="AG77" s="325"/>
      <c r="AH77" s="325"/>
      <c r="AI77" s="325"/>
      <c r="AJ77" s="325"/>
      <c r="AK77" s="325"/>
      <c r="AL77" s="325"/>
      <c r="AM77" s="325"/>
      <c r="AN77" s="325"/>
      <c r="AO77" s="325"/>
      <c r="AP77" s="136"/>
      <c r="AQ77" s="136"/>
      <c r="AR77" s="136" t="str">
        <f t="shared" si="19"/>
        <v/>
      </c>
      <c r="AS77" s="136" t="str">
        <f t="shared" si="20"/>
        <v/>
      </c>
      <c r="AT77" s="5" t="str">
        <f t="shared" si="21"/>
        <v/>
      </c>
      <c r="AV77" s="27" t="str">
        <f>IF(G77="","",+"          ["&amp;TRIM(G77)&amp;"] ["&amp;TRIM(I77)&amp;"]"&amp;IF(H77="","","("&amp;H77&amp;")")&amp;" "&amp;TRIM(J77)&amp;IF(G78="","",","))</f>
        <v/>
      </c>
      <c r="AW77" s="27"/>
      <c r="AY77" s="122" t="str">
        <f t="shared" si="22"/>
        <v/>
      </c>
    </row>
    <row r="78" spans="2:51" ht="12.75">
      <c r="B78" s="20" t="str">
        <f t="shared" si="12"/>
        <v/>
      </c>
      <c r="C78" s="5"/>
      <c r="D78" s="5"/>
      <c r="E78" s="5"/>
      <c r="G78" s="5" t="str">
        <f t="shared" si="23"/>
        <v/>
      </c>
      <c r="H78" s="117" t="str">
        <f t="shared" si="14"/>
        <v/>
      </c>
      <c r="I78" s="5" t="str">
        <f t="shared" si="24"/>
        <v/>
      </c>
      <c r="J78" s="5" t="str">
        <f t="shared" si="25"/>
        <v/>
      </c>
      <c r="K78" s="5"/>
      <c r="L78" s="5"/>
      <c r="M78" s="75"/>
      <c r="N78" s="77"/>
      <c r="O78" s="26"/>
      <c r="P78" s="26"/>
      <c r="Q78" s="118" t="str">
        <f t="shared" si="28"/>
        <v/>
      </c>
      <c r="R78" s="153"/>
      <c r="S78" s="138" t="str">
        <f t="shared" si="10"/>
        <v/>
      </c>
      <c r="T78" s="148"/>
      <c r="U78" s="140"/>
      <c r="V78" s="140"/>
      <c r="W78" s="139"/>
      <c r="X78" s="139"/>
      <c r="Y78" s="148"/>
      <c r="Z78" s="138" t="str">
        <f t="shared" si="11"/>
        <v/>
      </c>
      <c r="AA78" s="138" t="str">
        <f t="shared" si="13"/>
        <v/>
      </c>
      <c r="AB78" s="239"/>
      <c r="AC78" s="325"/>
      <c r="AD78" s="325"/>
      <c r="AE78" s="325"/>
      <c r="AF78" s="325"/>
      <c r="AG78" s="325"/>
      <c r="AH78" s="325"/>
      <c r="AI78" s="325"/>
      <c r="AJ78" s="325"/>
      <c r="AK78" s="325"/>
      <c r="AL78" s="325"/>
      <c r="AM78" s="325"/>
      <c r="AN78" s="325"/>
      <c r="AO78" s="325"/>
      <c r="AP78" s="136"/>
      <c r="AQ78" s="136"/>
      <c r="AR78" s="136" t="str">
        <f t="shared" si="19"/>
        <v/>
      </c>
      <c r="AS78" s="136" t="str">
        <f t="shared" si="20"/>
        <v/>
      </c>
      <c r="AT78" s="5" t="str">
        <f t="shared" si="21"/>
        <v/>
      </c>
      <c r="AV78" s="27" t="str">
        <f>IF(G78="","",+"          ["&amp;TRIM(G78)&amp;"] ["&amp;TRIM(I78)&amp;"]"&amp;IF(H78="","","("&amp;H78&amp;")")&amp;" "&amp;TRIM(J78)&amp;IF(G93="","",","))</f>
        <v/>
      </c>
      <c r="AW78" s="27"/>
      <c r="AY78" s="122" t="str">
        <f t="shared" si="22"/>
        <v/>
      </c>
    </row>
    <row r="79" spans="2:51" ht="12.75">
      <c r="B79" s="20" t="str">
        <f t="shared" si="12"/>
        <v/>
      </c>
      <c r="C79" s="5"/>
      <c r="D79" s="5"/>
      <c r="E79" s="5"/>
      <c r="G79" s="5" t="str">
        <f t="shared" si="23"/>
        <v/>
      </c>
      <c r="H79" s="117" t="str">
        <f t="shared" si="14"/>
        <v/>
      </c>
      <c r="I79" s="5" t="str">
        <f t="shared" si="24"/>
        <v/>
      </c>
      <c r="J79" s="5" t="str">
        <f t="shared" si="25"/>
        <v/>
      </c>
      <c r="K79" s="5"/>
      <c r="L79" s="5"/>
      <c r="M79" s="75"/>
      <c r="N79" s="77"/>
      <c r="O79" s="26"/>
      <c r="P79" s="26"/>
      <c r="Q79" s="118" t="str">
        <f t="shared" si="28"/>
        <v/>
      </c>
      <c r="R79" s="153"/>
      <c r="S79" s="138" t="str">
        <f t="shared" si="10"/>
        <v/>
      </c>
      <c r="T79" s="148"/>
      <c r="U79" s="140"/>
      <c r="V79" s="140"/>
      <c r="W79" s="139"/>
      <c r="X79" s="139"/>
      <c r="Y79" s="148"/>
      <c r="Z79" s="138" t="str">
        <f t="shared" si="11"/>
        <v/>
      </c>
      <c r="AA79" s="138" t="str">
        <f t="shared" si="13"/>
        <v/>
      </c>
      <c r="AB79" s="239"/>
      <c r="AC79" s="325"/>
      <c r="AD79" s="325"/>
      <c r="AE79" s="325"/>
      <c r="AF79" s="325"/>
      <c r="AG79" s="325"/>
      <c r="AH79" s="325"/>
      <c r="AI79" s="325"/>
      <c r="AJ79" s="325"/>
      <c r="AK79" s="325"/>
      <c r="AL79" s="325"/>
      <c r="AM79" s="325"/>
      <c r="AN79" s="325"/>
      <c r="AO79" s="325"/>
      <c r="AP79" s="136"/>
      <c r="AQ79" s="136"/>
      <c r="AR79" s="136" t="str">
        <f t="shared" si="19"/>
        <v/>
      </c>
      <c r="AS79" s="136" t="str">
        <f t="shared" si="20"/>
        <v/>
      </c>
      <c r="AT79" s="5" t="str">
        <f t="shared" si="21"/>
        <v/>
      </c>
      <c r="AV79" s="27" t="str">
        <f>IF(G79="","",+"          ["&amp;TRIM(G79)&amp;"] ["&amp;TRIM(I79)&amp;"]"&amp;IF(H79="","","("&amp;H79&amp;")")&amp;" "&amp;TRIM(J79)&amp;IF(G80="","",","))</f>
        <v/>
      </c>
      <c r="AW79" s="27"/>
      <c r="AY79" s="122" t="str">
        <f t="shared" si="22"/>
        <v/>
      </c>
    </row>
    <row r="80" spans="2:51" ht="12.75">
      <c r="B80" s="20" t="str">
        <f t="shared" si="12"/>
        <v/>
      </c>
      <c r="C80" s="5"/>
      <c r="D80" s="5"/>
      <c r="E80" s="5"/>
      <c r="G80" s="5" t="str">
        <f t="shared" si="23"/>
        <v/>
      </c>
      <c r="H80" s="117" t="str">
        <f t="shared" si="14"/>
        <v/>
      </c>
      <c r="I80" s="5" t="str">
        <f t="shared" si="24"/>
        <v/>
      </c>
      <c r="J80" s="5" t="str">
        <f t="shared" si="25"/>
        <v/>
      </c>
      <c r="K80" s="5"/>
      <c r="L80" s="5"/>
      <c r="M80" s="75"/>
      <c r="N80" s="77"/>
      <c r="O80" s="26"/>
      <c r="P80" s="26"/>
      <c r="Q80" s="118" t="str">
        <f t="shared" si="28"/>
        <v/>
      </c>
      <c r="R80" s="153"/>
      <c r="S80" s="138" t="str">
        <f t="shared" si="10"/>
        <v/>
      </c>
      <c r="T80" s="148"/>
      <c r="U80" s="140"/>
      <c r="V80" s="140"/>
      <c r="W80" s="139"/>
      <c r="X80" s="139"/>
      <c r="Y80" s="148"/>
      <c r="Z80" s="138" t="str">
        <f t="shared" si="11"/>
        <v/>
      </c>
      <c r="AA80" s="138" t="str">
        <f t="shared" si="13"/>
        <v/>
      </c>
      <c r="AB80" s="239"/>
      <c r="AC80" s="325"/>
      <c r="AD80" s="325"/>
      <c r="AE80" s="325"/>
      <c r="AF80" s="325"/>
      <c r="AG80" s="325"/>
      <c r="AH80" s="325"/>
      <c r="AI80" s="325"/>
      <c r="AJ80" s="325"/>
      <c r="AK80" s="325"/>
      <c r="AL80" s="325"/>
      <c r="AM80" s="325"/>
      <c r="AN80" s="325"/>
      <c r="AO80" s="325"/>
      <c r="AP80" s="136"/>
      <c r="AQ80" s="136"/>
      <c r="AR80" s="136" t="str">
        <f t="shared" ref="AR80:AR115" si="29">IF(O80=0,"",ROW())</f>
        <v/>
      </c>
      <c r="AS80" s="136" t="str">
        <f t="shared" ref="AS80:AS115" si="30">IF(P80=0,"",ROW())</f>
        <v/>
      </c>
      <c r="AT80" s="5" t="str">
        <f t="shared" ref="AT80:AT116" si="31">IF(C80="","",C80&amp;IF(B81="","",","))</f>
        <v/>
      </c>
      <c r="AV80" s="27" t="str">
        <f>IF(G80="","",+"          ["&amp;TRIM(G80)&amp;"] ["&amp;TRIM(I80)&amp;"]"&amp;IF(H80="","","("&amp;H80&amp;")")&amp;" "&amp;TRIM(J80)&amp;IF(G83="","",","))</f>
        <v/>
      </c>
      <c r="AW80" s="27"/>
      <c r="AY80" s="122" t="str">
        <f t="shared" ref="AY80:AY116" si="32">IF(G80="",IF(OR(AY79=");",AY79=""),"",");"),+"          "&amp;TRIM(G80)&amp;" "&amp;UPPER(TRIM(I80))&amp;IF(H80="",""," ("&amp;H80&amp;")")&amp;" "&amp;IF(TRIM(J80)="NOT NULL","PRIMARY KEY UNIQUE NOT NULL",TRIM(J80))&amp;IF(G81="","",","))</f>
        <v/>
      </c>
    </row>
    <row r="81" spans="2:51" ht="12.75">
      <c r="B81" s="20" t="str">
        <f t="shared" si="12"/>
        <v/>
      </c>
      <c r="C81" s="5"/>
      <c r="D81" s="5"/>
      <c r="E81" s="5"/>
      <c r="G81" s="5" t="str">
        <f t="shared" si="23"/>
        <v/>
      </c>
      <c r="H81" s="117" t="str">
        <f t="shared" si="14"/>
        <v/>
      </c>
      <c r="I81" s="5" t="str">
        <f t="shared" si="24"/>
        <v/>
      </c>
      <c r="J81" s="5" t="str">
        <f t="shared" si="25"/>
        <v/>
      </c>
      <c r="K81" s="5"/>
      <c r="L81" s="5"/>
      <c r="M81" s="75"/>
      <c r="N81" s="77"/>
      <c r="O81" s="26"/>
      <c r="P81" s="26"/>
      <c r="Q81" s="118" t="str">
        <f t="shared" si="28"/>
        <v/>
      </c>
      <c r="R81" s="153"/>
      <c r="S81" s="138" t="str">
        <f t="shared" ref="S81:S115" si="33">IF(+K81=0,"",K81)</f>
        <v/>
      </c>
      <c r="T81" s="148"/>
      <c r="U81" s="140"/>
      <c r="V81" s="140"/>
      <c r="W81" s="139"/>
      <c r="X81" s="139"/>
      <c r="Y81" s="148"/>
      <c r="Z81" s="138" t="str">
        <f t="shared" ref="Z81:Z115" si="34">IF(M81&lt;9000,"","false")</f>
        <v/>
      </c>
      <c r="AA81" s="138" t="str">
        <f t="shared" si="13"/>
        <v/>
      </c>
      <c r="AB81" s="239"/>
      <c r="AC81" s="325"/>
      <c r="AD81" s="325"/>
      <c r="AE81" s="325"/>
      <c r="AF81" s="325"/>
      <c r="AG81" s="325"/>
      <c r="AH81" s="325"/>
      <c r="AI81" s="325"/>
      <c r="AJ81" s="325"/>
      <c r="AK81" s="325"/>
      <c r="AL81" s="325"/>
      <c r="AM81" s="325"/>
      <c r="AN81" s="325"/>
      <c r="AO81" s="325"/>
      <c r="AP81" s="136"/>
      <c r="AQ81" s="136"/>
      <c r="AR81" s="136" t="str">
        <f t="shared" si="29"/>
        <v/>
      </c>
      <c r="AS81" s="136" t="str">
        <f t="shared" si="30"/>
        <v/>
      </c>
      <c r="AT81" s="5" t="str">
        <f t="shared" si="31"/>
        <v/>
      </c>
      <c r="AV81" s="27" t="str">
        <f>IF(G81="","",+"          ["&amp;TRIM(G81)&amp;"] ["&amp;TRIM(I81)&amp;"]"&amp;IF(H81="","","("&amp;H81&amp;")")&amp;" "&amp;TRIM(J81)&amp;IF(G82="","",","))</f>
        <v/>
      </c>
      <c r="AW81" s="27"/>
      <c r="AY81" s="122" t="str">
        <f t="shared" si="32"/>
        <v/>
      </c>
    </row>
    <row r="82" spans="2:51" ht="12.75">
      <c r="B82" s="20" t="str">
        <f t="shared" ref="B82:B115" si="35">IF(C82=0,"",+B81+1)</f>
        <v/>
      </c>
      <c r="C82" s="5"/>
      <c r="D82" s="5"/>
      <c r="E82" s="5"/>
      <c r="G82" s="5" t="str">
        <f t="shared" si="23"/>
        <v/>
      </c>
      <c r="H82" s="117" t="str">
        <f t="shared" si="14"/>
        <v/>
      </c>
      <c r="I82" s="5" t="str">
        <f t="shared" si="24"/>
        <v/>
      </c>
      <c r="J82" s="5" t="str">
        <f t="shared" si="25"/>
        <v/>
      </c>
      <c r="K82" s="5"/>
      <c r="L82" s="5"/>
      <c r="M82" s="75"/>
      <c r="N82" s="77"/>
      <c r="O82" s="26"/>
      <c r="P82" s="26"/>
      <c r="Q82" s="118" t="str">
        <f t="shared" ref="Q82:Q93" si="36">IF(M82=0,"",ROW())</f>
        <v/>
      </c>
      <c r="R82" s="153"/>
      <c r="S82" s="138" t="str">
        <f t="shared" si="33"/>
        <v/>
      </c>
      <c r="T82" s="148"/>
      <c r="U82" s="140"/>
      <c r="V82" s="140"/>
      <c r="W82" s="139"/>
      <c r="X82" s="139"/>
      <c r="Y82" s="148"/>
      <c r="Z82" s="138" t="str">
        <f t="shared" si="34"/>
        <v/>
      </c>
      <c r="AA82" s="138" t="str">
        <f t="shared" ref="AA82:AA115" si="37">IF($C$120=B82,"asc","")</f>
        <v/>
      </c>
      <c r="AB82" s="239"/>
      <c r="AC82" s="325"/>
      <c r="AD82" s="325"/>
      <c r="AE82" s="325"/>
      <c r="AF82" s="325"/>
      <c r="AG82" s="325"/>
      <c r="AH82" s="325"/>
      <c r="AI82" s="325"/>
      <c r="AJ82" s="325"/>
      <c r="AK82" s="325"/>
      <c r="AL82" s="325"/>
      <c r="AM82" s="325"/>
      <c r="AN82" s="325"/>
      <c r="AO82" s="325"/>
      <c r="AP82" s="136"/>
      <c r="AQ82" s="136"/>
      <c r="AR82" s="136" t="str">
        <f t="shared" si="29"/>
        <v/>
      </c>
      <c r="AS82" s="136" t="str">
        <f t="shared" si="30"/>
        <v/>
      </c>
      <c r="AT82" s="5" t="str">
        <f t="shared" si="31"/>
        <v/>
      </c>
      <c r="AV82" s="27" t="str">
        <f>IF(G82="","",+"          ["&amp;TRIM(G82)&amp;"] ["&amp;TRIM(I82)&amp;"]"&amp;IF(H82="","","("&amp;H82&amp;")")&amp;" "&amp;TRIM(J82)&amp;IF(G83="","",","))</f>
        <v/>
      </c>
      <c r="AW82" s="27"/>
      <c r="AY82" s="122" t="str">
        <f t="shared" si="32"/>
        <v/>
      </c>
    </row>
    <row r="83" spans="2:51" ht="12.75">
      <c r="B83" s="20" t="str">
        <f t="shared" si="35"/>
        <v/>
      </c>
      <c r="C83" s="5"/>
      <c r="D83" s="5"/>
      <c r="E83" s="5"/>
      <c r="G83" s="5" t="str">
        <f t="shared" si="23"/>
        <v/>
      </c>
      <c r="H83" s="117" t="str">
        <f t="shared" si="14"/>
        <v/>
      </c>
      <c r="I83" s="5" t="str">
        <f t="shared" si="24"/>
        <v/>
      </c>
      <c r="J83" s="5" t="str">
        <f t="shared" si="25"/>
        <v/>
      </c>
      <c r="K83" s="5"/>
      <c r="L83" s="5"/>
      <c r="M83" s="75"/>
      <c r="N83" s="77"/>
      <c r="O83" s="26"/>
      <c r="P83" s="26"/>
      <c r="Q83" s="118" t="str">
        <f t="shared" si="36"/>
        <v/>
      </c>
      <c r="R83" s="153"/>
      <c r="S83" s="138" t="str">
        <f t="shared" si="33"/>
        <v/>
      </c>
      <c r="T83" s="148"/>
      <c r="U83" s="140"/>
      <c r="V83" s="140"/>
      <c r="W83" s="139"/>
      <c r="X83" s="139"/>
      <c r="Y83" s="148"/>
      <c r="Z83" s="138" t="str">
        <f t="shared" si="34"/>
        <v/>
      </c>
      <c r="AA83" s="138" t="str">
        <f t="shared" si="37"/>
        <v/>
      </c>
      <c r="AB83" s="239"/>
      <c r="AC83" s="325"/>
      <c r="AD83" s="325"/>
      <c r="AE83" s="325"/>
      <c r="AF83" s="325"/>
      <c r="AG83" s="325"/>
      <c r="AH83" s="325"/>
      <c r="AI83" s="325"/>
      <c r="AJ83" s="325"/>
      <c r="AK83" s="325"/>
      <c r="AL83" s="325"/>
      <c r="AM83" s="325"/>
      <c r="AN83" s="325"/>
      <c r="AO83" s="325"/>
      <c r="AP83" s="136"/>
      <c r="AQ83" s="136"/>
      <c r="AR83" s="136" t="str">
        <f t="shared" si="29"/>
        <v/>
      </c>
      <c r="AS83" s="136" t="str">
        <f t="shared" si="30"/>
        <v/>
      </c>
      <c r="AT83" s="5" t="str">
        <f t="shared" si="31"/>
        <v/>
      </c>
      <c r="AV83" s="27" t="str">
        <f>IF(G83="","",+"          ["&amp;TRIM(G83)&amp;"] ["&amp;TRIM(I83)&amp;"]"&amp;IF(H83="","","("&amp;H83&amp;")")&amp;" "&amp;TRIM(J83)&amp;IF(G93="","",","))</f>
        <v/>
      </c>
      <c r="AW83" s="27"/>
      <c r="AY83" s="122" t="str">
        <f t="shared" si="32"/>
        <v/>
      </c>
    </row>
    <row r="84" spans="2:51" ht="12.75">
      <c r="B84" s="20" t="str">
        <f t="shared" si="35"/>
        <v/>
      </c>
      <c r="C84" s="5"/>
      <c r="D84" s="5"/>
      <c r="E84" s="5"/>
      <c r="G84" s="5" t="str">
        <f t="shared" si="23"/>
        <v/>
      </c>
      <c r="H84" s="117" t="str">
        <f t="shared" si="14"/>
        <v/>
      </c>
      <c r="I84" s="5" t="str">
        <f t="shared" si="24"/>
        <v/>
      </c>
      <c r="J84" s="5" t="str">
        <f t="shared" si="25"/>
        <v/>
      </c>
      <c r="K84" s="5"/>
      <c r="L84" s="5"/>
      <c r="M84" s="75"/>
      <c r="N84" s="77"/>
      <c r="O84" s="26"/>
      <c r="P84" s="26"/>
      <c r="Q84" s="118" t="str">
        <f t="shared" si="36"/>
        <v/>
      </c>
      <c r="R84" s="153"/>
      <c r="S84" s="138" t="str">
        <f t="shared" si="33"/>
        <v/>
      </c>
      <c r="T84" s="148"/>
      <c r="U84" s="140"/>
      <c r="V84" s="140"/>
      <c r="W84" s="139"/>
      <c r="X84" s="139"/>
      <c r="Y84" s="148"/>
      <c r="Z84" s="138" t="str">
        <f t="shared" si="34"/>
        <v/>
      </c>
      <c r="AA84" s="138" t="str">
        <f t="shared" si="37"/>
        <v/>
      </c>
      <c r="AB84" s="239"/>
      <c r="AC84" s="325"/>
      <c r="AD84" s="325"/>
      <c r="AE84" s="325"/>
      <c r="AF84" s="325"/>
      <c r="AG84" s="325"/>
      <c r="AH84" s="325"/>
      <c r="AI84" s="325"/>
      <c r="AJ84" s="325"/>
      <c r="AK84" s="325"/>
      <c r="AL84" s="325"/>
      <c r="AM84" s="325"/>
      <c r="AN84" s="325"/>
      <c r="AO84" s="325"/>
      <c r="AP84" s="136"/>
      <c r="AQ84" s="136"/>
      <c r="AR84" s="136" t="str">
        <f t="shared" si="29"/>
        <v/>
      </c>
      <c r="AS84" s="136" t="str">
        <f t="shared" si="30"/>
        <v/>
      </c>
      <c r="AT84" s="5" t="str">
        <f t="shared" si="31"/>
        <v/>
      </c>
      <c r="AV84" s="27" t="str">
        <f>IF(G84="","",+"          ["&amp;TRIM(G84)&amp;"] ["&amp;TRIM(I84)&amp;"]"&amp;IF(H84="","","("&amp;H84&amp;")")&amp;" "&amp;TRIM(J84)&amp;IF(G85="","",","))</f>
        <v/>
      </c>
      <c r="AW84" s="27"/>
      <c r="AY84" s="122" t="str">
        <f t="shared" si="32"/>
        <v/>
      </c>
    </row>
    <row r="85" spans="2:51" ht="12.75">
      <c r="B85" s="20" t="str">
        <f t="shared" si="35"/>
        <v/>
      </c>
      <c r="C85" s="5"/>
      <c r="D85" s="5"/>
      <c r="E85" s="5"/>
      <c r="G85" s="5" t="str">
        <f t="shared" si="23"/>
        <v/>
      </c>
      <c r="H85" s="117" t="str">
        <f t="shared" si="14"/>
        <v/>
      </c>
      <c r="I85" s="5" t="str">
        <f t="shared" si="24"/>
        <v/>
      </c>
      <c r="J85" s="5" t="str">
        <f t="shared" si="25"/>
        <v/>
      </c>
      <c r="K85" s="5"/>
      <c r="L85" s="5"/>
      <c r="M85" s="75"/>
      <c r="N85" s="77"/>
      <c r="O85" s="26"/>
      <c r="P85" s="26"/>
      <c r="Q85" s="118" t="str">
        <f t="shared" si="36"/>
        <v/>
      </c>
      <c r="R85" s="153"/>
      <c r="S85" s="138" t="str">
        <f t="shared" si="33"/>
        <v/>
      </c>
      <c r="T85" s="148"/>
      <c r="U85" s="140"/>
      <c r="V85" s="140"/>
      <c r="W85" s="139"/>
      <c r="X85" s="139"/>
      <c r="Y85" s="148"/>
      <c r="Z85" s="138" t="str">
        <f t="shared" si="34"/>
        <v/>
      </c>
      <c r="AA85" s="138" t="str">
        <f t="shared" si="37"/>
        <v/>
      </c>
      <c r="AB85" s="239"/>
      <c r="AC85" s="325"/>
      <c r="AD85" s="325"/>
      <c r="AE85" s="325"/>
      <c r="AF85" s="325"/>
      <c r="AG85" s="325"/>
      <c r="AH85" s="325"/>
      <c r="AI85" s="325"/>
      <c r="AJ85" s="325"/>
      <c r="AK85" s="325"/>
      <c r="AL85" s="325"/>
      <c r="AM85" s="325"/>
      <c r="AN85" s="325"/>
      <c r="AO85" s="325"/>
      <c r="AP85" s="136"/>
      <c r="AQ85" s="136"/>
      <c r="AR85" s="136" t="str">
        <f t="shared" si="29"/>
        <v/>
      </c>
      <c r="AS85" s="136" t="str">
        <f t="shared" si="30"/>
        <v/>
      </c>
      <c r="AT85" s="5" t="str">
        <f t="shared" si="31"/>
        <v/>
      </c>
      <c r="AV85" s="27" t="str">
        <f>IF(G85="","",+"          ["&amp;TRIM(G85)&amp;"] ["&amp;TRIM(I85)&amp;"]"&amp;IF(H85="","","("&amp;H85&amp;")")&amp;" "&amp;TRIM(J85)&amp;IF(G86="","",","))</f>
        <v/>
      </c>
      <c r="AW85" s="27"/>
      <c r="AY85" s="122" t="str">
        <f t="shared" si="32"/>
        <v/>
      </c>
    </row>
    <row r="86" spans="2:51" ht="12.75">
      <c r="B86" s="20" t="str">
        <f t="shared" si="35"/>
        <v/>
      </c>
      <c r="C86" s="5"/>
      <c r="D86" s="5"/>
      <c r="E86" s="5"/>
      <c r="G86" s="5" t="str">
        <f t="shared" si="23"/>
        <v/>
      </c>
      <c r="H86" s="117" t="str">
        <f t="shared" si="14"/>
        <v/>
      </c>
      <c r="I86" s="5" t="str">
        <f t="shared" si="24"/>
        <v/>
      </c>
      <c r="J86" s="5" t="str">
        <f t="shared" si="25"/>
        <v/>
      </c>
      <c r="K86" s="5"/>
      <c r="L86" s="5"/>
      <c r="M86" s="75"/>
      <c r="N86" s="77"/>
      <c r="O86" s="26"/>
      <c r="P86" s="26"/>
      <c r="Q86" s="118" t="str">
        <f t="shared" si="36"/>
        <v/>
      </c>
      <c r="R86" s="153"/>
      <c r="S86" s="138" t="str">
        <f t="shared" si="33"/>
        <v/>
      </c>
      <c r="T86" s="148"/>
      <c r="U86" s="140"/>
      <c r="V86" s="140"/>
      <c r="W86" s="139"/>
      <c r="X86" s="139"/>
      <c r="Y86" s="148"/>
      <c r="Z86" s="138" t="str">
        <f t="shared" si="34"/>
        <v/>
      </c>
      <c r="AA86" s="138" t="str">
        <f t="shared" si="37"/>
        <v/>
      </c>
      <c r="AB86" s="239"/>
      <c r="AC86" s="325"/>
      <c r="AD86" s="325"/>
      <c r="AE86" s="325"/>
      <c r="AF86" s="325"/>
      <c r="AG86" s="325"/>
      <c r="AH86" s="325"/>
      <c r="AI86" s="325"/>
      <c r="AJ86" s="325"/>
      <c r="AK86" s="325"/>
      <c r="AL86" s="325"/>
      <c r="AM86" s="325"/>
      <c r="AN86" s="325"/>
      <c r="AO86" s="325"/>
      <c r="AP86" s="136"/>
      <c r="AQ86" s="136"/>
      <c r="AR86" s="136" t="str">
        <f t="shared" si="29"/>
        <v/>
      </c>
      <c r="AS86" s="136" t="str">
        <f t="shared" si="30"/>
        <v/>
      </c>
      <c r="AT86" s="5" t="str">
        <f t="shared" si="31"/>
        <v/>
      </c>
      <c r="AV86" s="27" t="str">
        <f>IF(G86="","",+"          ["&amp;TRIM(G86)&amp;"] ["&amp;TRIM(I86)&amp;"]"&amp;IF(H86="","","("&amp;H86&amp;")")&amp;" "&amp;TRIM(J86)&amp;IF(G87="","",","))</f>
        <v/>
      </c>
      <c r="AW86" s="27"/>
      <c r="AY86" s="122" t="str">
        <f t="shared" si="32"/>
        <v/>
      </c>
    </row>
    <row r="87" spans="2:51" ht="12.75">
      <c r="B87" s="20" t="str">
        <f t="shared" si="35"/>
        <v/>
      </c>
      <c r="C87" s="5"/>
      <c r="D87" s="5"/>
      <c r="E87" s="5"/>
      <c r="G87" s="5" t="str">
        <f t="shared" si="23"/>
        <v/>
      </c>
      <c r="H87" s="117" t="str">
        <f t="shared" ref="H87:H115" si="38">IF(IFERROR(FIND("varchar",E87),0)&gt;0,IF(D87&gt;8000,"max",D87),"")</f>
        <v/>
      </c>
      <c r="I87" s="5" t="str">
        <f t="shared" si="24"/>
        <v/>
      </c>
      <c r="J87" s="5" t="str">
        <f t="shared" si="25"/>
        <v/>
      </c>
      <c r="K87" s="5"/>
      <c r="L87" s="5"/>
      <c r="M87" s="75"/>
      <c r="N87" s="77"/>
      <c r="O87" s="26"/>
      <c r="P87" s="26"/>
      <c r="Q87" s="118" t="str">
        <f t="shared" si="36"/>
        <v/>
      </c>
      <c r="R87" s="153"/>
      <c r="S87" s="138" t="str">
        <f t="shared" si="33"/>
        <v/>
      </c>
      <c r="T87" s="148"/>
      <c r="U87" s="140"/>
      <c r="V87" s="140"/>
      <c r="W87" s="139"/>
      <c r="X87" s="139"/>
      <c r="Y87" s="148"/>
      <c r="Z87" s="138" t="str">
        <f t="shared" si="34"/>
        <v/>
      </c>
      <c r="AA87" s="138" t="str">
        <f t="shared" si="37"/>
        <v/>
      </c>
      <c r="AB87" s="239"/>
      <c r="AC87" s="325"/>
      <c r="AD87" s="325"/>
      <c r="AE87" s="325"/>
      <c r="AF87" s="325"/>
      <c r="AG87" s="325"/>
      <c r="AH87" s="325"/>
      <c r="AI87" s="325"/>
      <c r="AJ87" s="325"/>
      <c r="AK87" s="325"/>
      <c r="AL87" s="325"/>
      <c r="AM87" s="325"/>
      <c r="AN87" s="325"/>
      <c r="AO87" s="325"/>
      <c r="AP87" s="136"/>
      <c r="AQ87" s="136"/>
      <c r="AR87" s="136" t="str">
        <f t="shared" si="29"/>
        <v/>
      </c>
      <c r="AS87" s="136" t="str">
        <f t="shared" si="30"/>
        <v/>
      </c>
      <c r="AT87" s="5" t="str">
        <f t="shared" si="31"/>
        <v/>
      </c>
      <c r="AV87" s="27" t="str">
        <f>IF(G87="","",+"          ["&amp;TRIM(G87)&amp;"] ["&amp;TRIM(I87)&amp;"]"&amp;IF(H87="","","("&amp;H87&amp;")")&amp;" "&amp;TRIM(J87)&amp;IF(G93="","",","))</f>
        <v/>
      </c>
      <c r="AW87" s="27"/>
      <c r="AY87" s="122" t="str">
        <f t="shared" si="32"/>
        <v/>
      </c>
    </row>
    <row r="88" spans="2:51" ht="12.75">
      <c r="B88" s="20" t="str">
        <f t="shared" si="35"/>
        <v/>
      </c>
      <c r="C88" s="5"/>
      <c r="D88" s="5"/>
      <c r="E88" s="5"/>
      <c r="G88" s="5" t="str">
        <f t="shared" si="23"/>
        <v/>
      </c>
      <c r="H88" s="117" t="str">
        <f t="shared" si="38"/>
        <v/>
      </c>
      <c r="I88" s="5" t="str">
        <f t="shared" si="24"/>
        <v/>
      </c>
      <c r="J88" s="5" t="str">
        <f t="shared" si="25"/>
        <v/>
      </c>
      <c r="K88" s="5"/>
      <c r="L88" s="5"/>
      <c r="M88" s="75"/>
      <c r="N88" s="77"/>
      <c r="O88" s="26"/>
      <c r="P88" s="26"/>
      <c r="Q88" s="118" t="str">
        <f t="shared" si="36"/>
        <v/>
      </c>
      <c r="R88" s="153"/>
      <c r="S88" s="138" t="str">
        <f t="shared" si="33"/>
        <v/>
      </c>
      <c r="T88" s="148"/>
      <c r="U88" s="140"/>
      <c r="V88" s="140"/>
      <c r="W88" s="139"/>
      <c r="X88" s="139"/>
      <c r="Y88" s="148"/>
      <c r="Z88" s="138" t="str">
        <f t="shared" si="34"/>
        <v/>
      </c>
      <c r="AA88" s="138" t="str">
        <f t="shared" si="37"/>
        <v/>
      </c>
      <c r="AB88" s="239"/>
      <c r="AC88" s="325"/>
      <c r="AD88" s="325"/>
      <c r="AE88" s="325"/>
      <c r="AF88" s="325"/>
      <c r="AG88" s="325"/>
      <c r="AH88" s="325"/>
      <c r="AI88" s="325"/>
      <c r="AJ88" s="325"/>
      <c r="AK88" s="325"/>
      <c r="AL88" s="325"/>
      <c r="AM88" s="325"/>
      <c r="AN88" s="325"/>
      <c r="AO88" s="325"/>
      <c r="AP88" s="136"/>
      <c r="AQ88" s="136"/>
      <c r="AR88" s="136" t="str">
        <f t="shared" si="29"/>
        <v/>
      </c>
      <c r="AS88" s="136" t="str">
        <f t="shared" si="30"/>
        <v/>
      </c>
      <c r="AT88" s="5" t="str">
        <f t="shared" si="31"/>
        <v/>
      </c>
      <c r="AV88" s="27" t="str">
        <f>IF(G88="","",+"          ["&amp;TRIM(G88)&amp;"] ["&amp;TRIM(I88)&amp;"]"&amp;IF(H88="","","("&amp;H88&amp;")")&amp;" "&amp;TRIM(J88)&amp;IF(G89="","",","))</f>
        <v/>
      </c>
      <c r="AW88" s="27"/>
      <c r="AY88" s="122" t="str">
        <f t="shared" si="32"/>
        <v/>
      </c>
    </row>
    <row r="89" spans="2:51" ht="12.75">
      <c r="B89" s="20" t="str">
        <f t="shared" si="35"/>
        <v/>
      </c>
      <c r="C89" s="5"/>
      <c r="D89" s="5"/>
      <c r="E89" s="5"/>
      <c r="G89" s="5" t="str">
        <f t="shared" si="23"/>
        <v/>
      </c>
      <c r="H89" s="117" t="str">
        <f t="shared" si="38"/>
        <v/>
      </c>
      <c r="I89" s="5" t="str">
        <f t="shared" si="24"/>
        <v/>
      </c>
      <c r="J89" s="5" t="str">
        <f t="shared" si="25"/>
        <v/>
      </c>
      <c r="K89" s="5"/>
      <c r="L89" s="5"/>
      <c r="M89" s="75"/>
      <c r="N89" s="77"/>
      <c r="O89" s="26"/>
      <c r="P89" s="26"/>
      <c r="Q89" s="118" t="str">
        <f t="shared" si="36"/>
        <v/>
      </c>
      <c r="R89" s="153"/>
      <c r="S89" s="138" t="str">
        <f t="shared" si="33"/>
        <v/>
      </c>
      <c r="T89" s="148"/>
      <c r="U89" s="140"/>
      <c r="V89" s="140"/>
      <c r="W89" s="139"/>
      <c r="X89" s="139"/>
      <c r="Y89" s="148"/>
      <c r="Z89" s="138" t="str">
        <f t="shared" si="34"/>
        <v/>
      </c>
      <c r="AA89" s="138" t="str">
        <f t="shared" si="37"/>
        <v/>
      </c>
      <c r="AB89" s="239"/>
      <c r="AC89" s="325"/>
      <c r="AD89" s="325"/>
      <c r="AE89" s="325"/>
      <c r="AF89" s="325"/>
      <c r="AG89" s="325"/>
      <c r="AH89" s="325"/>
      <c r="AI89" s="325"/>
      <c r="AJ89" s="325"/>
      <c r="AK89" s="325"/>
      <c r="AL89" s="325"/>
      <c r="AM89" s="325"/>
      <c r="AN89" s="325"/>
      <c r="AO89" s="325"/>
      <c r="AP89" s="136"/>
      <c r="AQ89" s="136"/>
      <c r="AR89" s="136" t="str">
        <f t="shared" si="29"/>
        <v/>
      </c>
      <c r="AS89" s="136" t="str">
        <f t="shared" si="30"/>
        <v/>
      </c>
      <c r="AT89" s="5" t="str">
        <f t="shared" si="31"/>
        <v/>
      </c>
      <c r="AV89" s="27" t="str">
        <f>IF(G89="","",+"          ["&amp;TRIM(G89)&amp;"] ["&amp;TRIM(I89)&amp;"]"&amp;IF(H89="","","("&amp;H89&amp;")")&amp;" "&amp;TRIM(J89)&amp;IF(G92="","",","))</f>
        <v/>
      </c>
      <c r="AW89" s="27"/>
      <c r="AY89" s="122" t="str">
        <f t="shared" si="32"/>
        <v/>
      </c>
    </row>
    <row r="90" spans="2:51" ht="12.75">
      <c r="B90" s="20" t="str">
        <f t="shared" si="35"/>
        <v/>
      </c>
      <c r="C90" s="5"/>
      <c r="D90" s="5"/>
      <c r="E90" s="5"/>
      <c r="G90" s="5" t="str">
        <f t="shared" si="23"/>
        <v/>
      </c>
      <c r="H90" s="117" t="str">
        <f t="shared" si="38"/>
        <v/>
      </c>
      <c r="I90" s="5" t="str">
        <f t="shared" si="24"/>
        <v/>
      </c>
      <c r="J90" s="5" t="str">
        <f t="shared" si="25"/>
        <v/>
      </c>
      <c r="K90" s="5"/>
      <c r="L90" s="5"/>
      <c r="M90" s="75"/>
      <c r="N90" s="77"/>
      <c r="O90" s="26"/>
      <c r="P90" s="26"/>
      <c r="Q90" s="118" t="str">
        <f t="shared" si="36"/>
        <v/>
      </c>
      <c r="R90" s="153"/>
      <c r="S90" s="138" t="str">
        <f t="shared" si="33"/>
        <v/>
      </c>
      <c r="T90" s="148"/>
      <c r="U90" s="140"/>
      <c r="V90" s="140"/>
      <c r="W90" s="139"/>
      <c r="X90" s="139"/>
      <c r="Y90" s="148"/>
      <c r="Z90" s="138" t="str">
        <f t="shared" si="34"/>
        <v/>
      </c>
      <c r="AA90" s="138" t="str">
        <f t="shared" si="37"/>
        <v/>
      </c>
      <c r="AB90" s="239"/>
      <c r="AC90" s="325"/>
      <c r="AD90" s="325"/>
      <c r="AE90" s="325"/>
      <c r="AF90" s="325"/>
      <c r="AG90" s="325"/>
      <c r="AH90" s="325"/>
      <c r="AI90" s="325"/>
      <c r="AJ90" s="325"/>
      <c r="AK90" s="325"/>
      <c r="AL90" s="325"/>
      <c r="AM90" s="325"/>
      <c r="AN90" s="325"/>
      <c r="AO90" s="325"/>
      <c r="AP90" s="136"/>
      <c r="AQ90" s="136"/>
      <c r="AR90" s="136" t="str">
        <f t="shared" si="29"/>
        <v/>
      </c>
      <c r="AS90" s="136" t="str">
        <f t="shared" si="30"/>
        <v/>
      </c>
      <c r="AT90" s="5" t="str">
        <f t="shared" si="31"/>
        <v/>
      </c>
      <c r="AV90" s="27" t="str">
        <f t="shared" ref="AV90:AV95" si="39">IF(G90="","",+"          ["&amp;TRIM(G90)&amp;"] ["&amp;TRIM(I90)&amp;"]"&amp;IF(H90="","","("&amp;H90&amp;")")&amp;" "&amp;TRIM(J90)&amp;IF(G91="","",","))</f>
        <v/>
      </c>
      <c r="AW90" s="27"/>
      <c r="AY90" s="122" t="str">
        <f t="shared" si="32"/>
        <v/>
      </c>
    </row>
    <row r="91" spans="2:51" ht="12.75">
      <c r="B91" s="20" t="str">
        <f t="shared" si="35"/>
        <v/>
      </c>
      <c r="C91" s="5"/>
      <c r="D91" s="5"/>
      <c r="E91" s="5"/>
      <c r="G91" s="5" t="str">
        <f t="shared" si="23"/>
        <v/>
      </c>
      <c r="H91" s="117" t="str">
        <f t="shared" si="38"/>
        <v/>
      </c>
      <c r="I91" s="5" t="str">
        <f t="shared" si="24"/>
        <v/>
      </c>
      <c r="J91" s="5" t="str">
        <f t="shared" si="25"/>
        <v/>
      </c>
      <c r="K91" s="5"/>
      <c r="L91" s="5"/>
      <c r="M91" s="75"/>
      <c r="N91" s="77"/>
      <c r="O91" s="26"/>
      <c r="P91" s="26"/>
      <c r="Q91" s="118" t="str">
        <f t="shared" si="36"/>
        <v/>
      </c>
      <c r="R91" s="153"/>
      <c r="S91" s="138" t="str">
        <f t="shared" si="33"/>
        <v/>
      </c>
      <c r="T91" s="148"/>
      <c r="U91" s="140"/>
      <c r="V91" s="140"/>
      <c r="W91" s="139"/>
      <c r="X91" s="139"/>
      <c r="Y91" s="148"/>
      <c r="Z91" s="138" t="str">
        <f t="shared" si="34"/>
        <v/>
      </c>
      <c r="AA91" s="138" t="str">
        <f t="shared" si="37"/>
        <v/>
      </c>
      <c r="AB91" s="239"/>
      <c r="AC91" s="325"/>
      <c r="AD91" s="325"/>
      <c r="AE91" s="325"/>
      <c r="AF91" s="325"/>
      <c r="AG91" s="325"/>
      <c r="AH91" s="325"/>
      <c r="AI91" s="325"/>
      <c r="AJ91" s="325"/>
      <c r="AK91" s="325"/>
      <c r="AL91" s="325"/>
      <c r="AM91" s="325"/>
      <c r="AN91" s="325"/>
      <c r="AO91" s="325"/>
      <c r="AP91" s="136"/>
      <c r="AQ91" s="136"/>
      <c r="AR91" s="136" t="str">
        <f t="shared" si="29"/>
        <v/>
      </c>
      <c r="AS91" s="136" t="str">
        <f t="shared" si="30"/>
        <v/>
      </c>
      <c r="AT91" s="5" t="str">
        <f t="shared" si="31"/>
        <v/>
      </c>
      <c r="AV91" s="27" t="str">
        <f t="shared" si="39"/>
        <v/>
      </c>
      <c r="AW91" s="27"/>
      <c r="AY91" s="122" t="str">
        <f t="shared" si="32"/>
        <v/>
      </c>
    </row>
    <row r="92" spans="2:51" ht="12.75">
      <c r="B92" s="20" t="str">
        <f t="shared" si="35"/>
        <v/>
      </c>
      <c r="C92" s="5"/>
      <c r="D92" s="5"/>
      <c r="E92" s="5"/>
      <c r="G92" s="5" t="str">
        <f t="shared" si="23"/>
        <v/>
      </c>
      <c r="H92" s="117" t="str">
        <f t="shared" si="38"/>
        <v/>
      </c>
      <c r="I92" s="5" t="str">
        <f t="shared" si="24"/>
        <v/>
      </c>
      <c r="J92" s="5" t="str">
        <f t="shared" si="25"/>
        <v/>
      </c>
      <c r="K92" s="5"/>
      <c r="L92" s="5"/>
      <c r="M92" s="75"/>
      <c r="N92" s="77"/>
      <c r="O92" s="26"/>
      <c r="P92" s="26"/>
      <c r="Q92" s="118" t="str">
        <f t="shared" si="36"/>
        <v/>
      </c>
      <c r="R92" s="153"/>
      <c r="S92" s="138" t="str">
        <f t="shared" si="33"/>
        <v/>
      </c>
      <c r="T92" s="148"/>
      <c r="U92" s="140"/>
      <c r="V92" s="140"/>
      <c r="W92" s="139"/>
      <c r="X92" s="139"/>
      <c r="Y92" s="148"/>
      <c r="Z92" s="138" t="str">
        <f t="shared" si="34"/>
        <v/>
      </c>
      <c r="AA92" s="138" t="str">
        <f t="shared" si="37"/>
        <v/>
      </c>
      <c r="AB92" s="239"/>
      <c r="AC92" s="325"/>
      <c r="AD92" s="325"/>
      <c r="AE92" s="325"/>
      <c r="AF92" s="325"/>
      <c r="AG92" s="325"/>
      <c r="AH92" s="325"/>
      <c r="AI92" s="325"/>
      <c r="AJ92" s="325"/>
      <c r="AK92" s="325"/>
      <c r="AL92" s="325"/>
      <c r="AM92" s="325"/>
      <c r="AN92" s="325"/>
      <c r="AO92" s="325"/>
      <c r="AP92" s="136"/>
      <c r="AQ92" s="136"/>
      <c r="AR92" s="136" t="str">
        <f t="shared" si="29"/>
        <v/>
      </c>
      <c r="AS92" s="136" t="str">
        <f t="shared" si="30"/>
        <v/>
      </c>
      <c r="AT92" s="5" t="str">
        <f t="shared" si="31"/>
        <v/>
      </c>
      <c r="AV92" s="27" t="str">
        <f t="shared" si="39"/>
        <v/>
      </c>
      <c r="AW92" s="27"/>
      <c r="AY92" s="122" t="str">
        <f t="shared" si="32"/>
        <v/>
      </c>
    </row>
    <row r="93" spans="2:51" ht="12.75">
      <c r="B93" s="20" t="str">
        <f t="shared" si="35"/>
        <v/>
      </c>
      <c r="C93" s="5"/>
      <c r="D93" s="5"/>
      <c r="E93" s="5"/>
      <c r="G93" s="5" t="str">
        <f t="shared" si="23"/>
        <v/>
      </c>
      <c r="H93" s="117" t="str">
        <f t="shared" si="38"/>
        <v/>
      </c>
      <c r="I93" s="5" t="str">
        <f t="shared" si="24"/>
        <v/>
      </c>
      <c r="J93" s="5" t="str">
        <f t="shared" si="25"/>
        <v/>
      </c>
      <c r="K93" s="5"/>
      <c r="L93" s="5"/>
      <c r="M93" s="75"/>
      <c r="N93" s="77"/>
      <c r="O93" s="26"/>
      <c r="P93" s="26"/>
      <c r="Q93" s="118" t="str">
        <f t="shared" si="36"/>
        <v/>
      </c>
      <c r="R93" s="153"/>
      <c r="S93" s="138" t="str">
        <f t="shared" si="33"/>
        <v/>
      </c>
      <c r="T93" s="148"/>
      <c r="U93" s="140"/>
      <c r="V93" s="140"/>
      <c r="W93" s="139"/>
      <c r="X93" s="139"/>
      <c r="Y93" s="148"/>
      <c r="Z93" s="138" t="str">
        <f t="shared" si="34"/>
        <v/>
      </c>
      <c r="AA93" s="138" t="str">
        <f t="shared" si="37"/>
        <v/>
      </c>
      <c r="AB93" s="239"/>
      <c r="AC93" s="325"/>
      <c r="AD93" s="325"/>
      <c r="AE93" s="325"/>
      <c r="AF93" s="325"/>
      <c r="AG93" s="325"/>
      <c r="AH93" s="325"/>
      <c r="AI93" s="325"/>
      <c r="AJ93" s="325"/>
      <c r="AK93" s="325"/>
      <c r="AL93" s="325"/>
      <c r="AM93" s="325"/>
      <c r="AN93" s="325"/>
      <c r="AO93" s="325"/>
      <c r="AP93" s="136"/>
      <c r="AQ93" s="136"/>
      <c r="AR93" s="136" t="str">
        <f t="shared" si="29"/>
        <v/>
      </c>
      <c r="AS93" s="136" t="str">
        <f t="shared" si="30"/>
        <v/>
      </c>
      <c r="AT93" s="5" t="str">
        <f t="shared" si="31"/>
        <v/>
      </c>
      <c r="AV93" s="27" t="str">
        <f t="shared" si="39"/>
        <v/>
      </c>
      <c r="AW93" s="27"/>
      <c r="AY93" s="122" t="str">
        <f t="shared" si="32"/>
        <v/>
      </c>
    </row>
    <row r="94" spans="2:51" ht="12.75">
      <c r="B94" s="20" t="str">
        <f t="shared" si="35"/>
        <v/>
      </c>
      <c r="C94" s="5"/>
      <c r="D94" s="5"/>
      <c r="E94" s="5"/>
      <c r="G94" s="5" t="str">
        <f>SUBSTITUTE(SUBSTITUTE(SUBSTITUTE(SUBSTITUTE(SUBSTITUTE(SUBSTITUTE(SUBSTITUTE(SUBSTITUTE(SUBSTITUTE(C94," ",""),".",""),"#","No"),"%",""),"(",""),"*",""),"-",""),"/",""),")","")</f>
        <v/>
      </c>
      <c r="H94" s="117" t="str">
        <f t="shared" si="38"/>
        <v/>
      </c>
      <c r="I94" s="5" t="str">
        <f>IF(E94=0,"",+E94)</f>
        <v/>
      </c>
      <c r="J94" s="5" t="str">
        <f>IF(C94=0,"",(IF(ISERROR(VLOOKUP(G94,$D$120:$D$127,1,FALSE)),""," NOT")&amp;" NULL"))</f>
        <v/>
      </c>
      <c r="K94" s="5"/>
      <c r="L94" s="5"/>
      <c r="M94" s="75"/>
      <c r="N94" s="77"/>
      <c r="O94" s="26"/>
      <c r="P94" s="26"/>
      <c r="Q94" s="118" t="str">
        <f>IF(M94=0,"",ROW())</f>
        <v/>
      </c>
      <c r="R94" s="153"/>
      <c r="S94" s="138" t="str">
        <f t="shared" si="33"/>
        <v/>
      </c>
      <c r="T94" s="148"/>
      <c r="U94" s="140"/>
      <c r="V94" s="140"/>
      <c r="W94" s="139"/>
      <c r="X94" s="139"/>
      <c r="Y94" s="148"/>
      <c r="Z94" s="138" t="str">
        <f t="shared" si="34"/>
        <v/>
      </c>
      <c r="AA94" s="138" t="str">
        <f t="shared" si="37"/>
        <v/>
      </c>
      <c r="AB94" s="239"/>
      <c r="AC94" s="325"/>
      <c r="AD94" s="325"/>
      <c r="AE94" s="325"/>
      <c r="AF94" s="325"/>
      <c r="AG94" s="325"/>
      <c r="AH94" s="325"/>
      <c r="AI94" s="325"/>
      <c r="AJ94" s="325"/>
      <c r="AK94" s="325"/>
      <c r="AL94" s="325"/>
      <c r="AM94" s="325"/>
      <c r="AN94" s="325"/>
      <c r="AO94" s="325"/>
      <c r="AP94" s="136"/>
      <c r="AQ94" s="136"/>
      <c r="AR94" s="136" t="str">
        <f t="shared" si="29"/>
        <v/>
      </c>
      <c r="AS94" s="136" t="str">
        <f t="shared" si="30"/>
        <v/>
      </c>
      <c r="AT94" s="5" t="str">
        <f t="shared" si="31"/>
        <v/>
      </c>
      <c r="AV94" s="27" t="str">
        <f t="shared" si="39"/>
        <v/>
      </c>
      <c r="AW94" s="27"/>
      <c r="AY94" s="122" t="str">
        <f t="shared" si="32"/>
        <v/>
      </c>
    </row>
    <row r="95" spans="2:51" ht="12.75">
      <c r="B95" s="20" t="str">
        <f t="shared" si="35"/>
        <v/>
      </c>
      <c r="C95" s="5"/>
      <c r="D95" s="5"/>
      <c r="E95" s="5"/>
      <c r="G95" s="5" t="str">
        <f>SUBSTITUTE(SUBSTITUTE(SUBSTITUTE(SUBSTITUTE(SUBSTITUTE(SUBSTITUTE(SUBSTITUTE(SUBSTITUTE(SUBSTITUTE(C95," ",""),".",""),"#","No"),"%",""),"(",""),"*",""),"-",""),"/",""),")","")</f>
        <v/>
      </c>
      <c r="H95" s="117" t="str">
        <f t="shared" si="38"/>
        <v/>
      </c>
      <c r="I95" s="5" t="str">
        <f>IF(E95=0,"",+E95)</f>
        <v/>
      </c>
      <c r="J95" s="5" t="str">
        <f>IF(C95=0,"",(IF(ISERROR(VLOOKUP(G95,$D$120:$D$127,1,FALSE)),""," NOT")&amp;" NULL"))</f>
        <v/>
      </c>
      <c r="K95" s="5"/>
      <c r="L95" s="5"/>
      <c r="M95" s="75"/>
      <c r="N95" s="77"/>
      <c r="O95" s="26"/>
      <c r="P95" s="26"/>
      <c r="Q95" s="118" t="str">
        <f>IF(M95=0,"",ROW())</f>
        <v/>
      </c>
      <c r="R95" s="153"/>
      <c r="S95" s="138" t="str">
        <f t="shared" si="33"/>
        <v/>
      </c>
      <c r="T95" s="148"/>
      <c r="U95" s="140"/>
      <c r="V95" s="140"/>
      <c r="W95" s="139"/>
      <c r="X95" s="139"/>
      <c r="Y95" s="148"/>
      <c r="Z95" s="138" t="str">
        <f t="shared" si="34"/>
        <v/>
      </c>
      <c r="AA95" s="138" t="str">
        <f t="shared" si="37"/>
        <v/>
      </c>
      <c r="AB95" s="239"/>
      <c r="AC95" s="325"/>
      <c r="AD95" s="325"/>
      <c r="AE95" s="325"/>
      <c r="AF95" s="325"/>
      <c r="AG95" s="325"/>
      <c r="AH95" s="325"/>
      <c r="AI95" s="325"/>
      <c r="AJ95" s="325"/>
      <c r="AK95" s="325"/>
      <c r="AL95" s="325"/>
      <c r="AM95" s="325"/>
      <c r="AN95" s="325"/>
      <c r="AO95" s="325"/>
      <c r="AP95" s="136"/>
      <c r="AQ95" s="136"/>
      <c r="AR95" s="136" t="str">
        <f t="shared" si="29"/>
        <v/>
      </c>
      <c r="AS95" s="136" t="str">
        <f t="shared" si="30"/>
        <v/>
      </c>
      <c r="AT95" s="5" t="str">
        <f t="shared" si="31"/>
        <v/>
      </c>
      <c r="AV95" s="27" t="str">
        <f t="shared" si="39"/>
        <v/>
      </c>
      <c r="AW95" s="27"/>
      <c r="AY95" s="122" t="str">
        <f t="shared" si="32"/>
        <v/>
      </c>
    </row>
    <row r="96" spans="2:51" ht="12.75">
      <c r="B96" s="20" t="str">
        <f t="shared" si="35"/>
        <v/>
      </c>
      <c r="C96" s="5"/>
      <c r="D96" s="5"/>
      <c r="E96" s="5"/>
      <c r="G96" s="5" t="str">
        <f>SUBSTITUTE(SUBSTITUTE(SUBSTITUTE(SUBSTITUTE(SUBSTITUTE(SUBSTITUTE(SUBSTITUTE(SUBSTITUTE(SUBSTITUTE(C96," ",""),".",""),"#","No"),"%",""),"(",""),"*",""),"-",""),"/",""),")","")</f>
        <v/>
      </c>
      <c r="H96" s="117" t="str">
        <f t="shared" si="38"/>
        <v/>
      </c>
      <c r="I96" s="5" t="str">
        <f>IF(E96=0,"",+E96)</f>
        <v/>
      </c>
      <c r="J96" s="5" t="str">
        <f>IF(C96=0,"",(IF(ISERROR(VLOOKUP(G96,$D$120:$D$127,1,FALSE)),""," NOT")&amp;" NULL"))</f>
        <v/>
      </c>
      <c r="K96" s="5"/>
      <c r="L96" s="5"/>
      <c r="M96" s="75"/>
      <c r="N96" s="77"/>
      <c r="O96" s="26"/>
      <c r="P96" s="26"/>
      <c r="Q96" s="118" t="str">
        <f>IF(M96=0,"",ROW())</f>
        <v/>
      </c>
      <c r="R96" s="153"/>
      <c r="S96" s="138" t="str">
        <f t="shared" si="33"/>
        <v/>
      </c>
      <c r="T96" s="148"/>
      <c r="U96" s="140"/>
      <c r="V96" s="140"/>
      <c r="W96" s="139"/>
      <c r="X96" s="139"/>
      <c r="Y96" s="148"/>
      <c r="Z96" s="138" t="str">
        <f t="shared" si="34"/>
        <v/>
      </c>
      <c r="AA96" s="138" t="str">
        <f t="shared" si="37"/>
        <v/>
      </c>
      <c r="AB96" s="239"/>
      <c r="AC96" s="325"/>
      <c r="AD96" s="325"/>
      <c r="AE96" s="325"/>
      <c r="AF96" s="325"/>
      <c r="AG96" s="325"/>
      <c r="AH96" s="325"/>
      <c r="AI96" s="325"/>
      <c r="AJ96" s="325"/>
      <c r="AK96" s="325"/>
      <c r="AL96" s="325"/>
      <c r="AM96" s="325"/>
      <c r="AN96" s="325"/>
      <c r="AO96" s="325"/>
      <c r="AP96" s="136"/>
      <c r="AQ96" s="136"/>
      <c r="AR96" s="136" t="str">
        <f t="shared" si="29"/>
        <v/>
      </c>
      <c r="AS96" s="136" t="str">
        <f t="shared" si="30"/>
        <v/>
      </c>
      <c r="AT96" s="5" t="str">
        <f t="shared" si="31"/>
        <v/>
      </c>
      <c r="AV96" s="27" t="str">
        <f>IF(G96="","",+"          ["&amp;TRIM(G96)&amp;"] ["&amp;TRIM(I96)&amp;"]"&amp;IF(H96="","","("&amp;H96&amp;")")&amp;" "&amp;TRIM(J96)&amp;IF(G108="","",","))</f>
        <v/>
      </c>
      <c r="AW96" s="27"/>
      <c r="AY96" s="122" t="str">
        <f t="shared" si="32"/>
        <v/>
      </c>
    </row>
    <row r="97" spans="2:51" ht="12.75">
      <c r="B97" s="20" t="str">
        <f t="shared" si="35"/>
        <v/>
      </c>
      <c r="C97" s="5"/>
      <c r="D97" s="5"/>
      <c r="E97" s="5"/>
      <c r="G97" s="5" t="str">
        <f t="shared" ref="G97:G115" si="40">SUBSTITUTE(SUBSTITUTE(SUBSTITUTE(SUBSTITUTE(SUBSTITUTE(SUBSTITUTE(SUBSTITUTE(SUBSTITUTE(SUBSTITUTE(C97," ",""),".",""),"#","No"),"%",""),"(",""),"*",""),"-",""),"/",""),")","")</f>
        <v/>
      </c>
      <c r="H97" s="117" t="str">
        <f t="shared" si="38"/>
        <v/>
      </c>
      <c r="I97" s="5" t="str">
        <f t="shared" ref="I97:I115" si="41">IF(E97=0,"",+E97)</f>
        <v/>
      </c>
      <c r="J97" s="5" t="str">
        <f t="shared" ref="J97:J115" si="42">IF(C97=0,"",(IF(ISERROR(VLOOKUP(G97,$D$120:$D$127,1,FALSE)),""," NOT")&amp;" NULL"))</f>
        <v/>
      </c>
      <c r="K97" s="5"/>
      <c r="L97" s="5"/>
      <c r="M97" s="75"/>
      <c r="N97" s="77"/>
      <c r="O97" s="26"/>
      <c r="P97" s="26"/>
      <c r="Q97" s="118" t="str">
        <f t="shared" ref="Q97:Q112" si="43">IF(M97=0,"",ROW())</f>
        <v/>
      </c>
      <c r="R97" s="153"/>
      <c r="S97" s="138" t="str">
        <f t="shared" si="33"/>
        <v/>
      </c>
      <c r="T97" s="148"/>
      <c r="U97" s="140"/>
      <c r="V97" s="140"/>
      <c r="W97" s="139"/>
      <c r="X97" s="139"/>
      <c r="Y97" s="148"/>
      <c r="Z97" s="138" t="str">
        <f t="shared" si="34"/>
        <v/>
      </c>
      <c r="AA97" s="138" t="str">
        <f t="shared" si="37"/>
        <v/>
      </c>
      <c r="AB97" s="239"/>
      <c r="AC97" s="325"/>
      <c r="AD97" s="325"/>
      <c r="AE97" s="325"/>
      <c r="AF97" s="325"/>
      <c r="AG97" s="325"/>
      <c r="AH97" s="325"/>
      <c r="AI97" s="325"/>
      <c r="AJ97" s="325"/>
      <c r="AK97" s="325"/>
      <c r="AL97" s="325"/>
      <c r="AM97" s="325"/>
      <c r="AN97" s="325"/>
      <c r="AO97" s="325"/>
      <c r="AP97" s="136"/>
      <c r="AQ97" s="136"/>
      <c r="AR97" s="136" t="str">
        <f t="shared" si="29"/>
        <v/>
      </c>
      <c r="AS97" s="136" t="str">
        <f t="shared" si="30"/>
        <v/>
      </c>
      <c r="AT97" s="5" t="str">
        <f t="shared" si="31"/>
        <v/>
      </c>
      <c r="AV97" s="27" t="str">
        <f>IF(G97="","",+"          ["&amp;TRIM(G97)&amp;"] ["&amp;TRIM(I97)&amp;"]"&amp;IF(H97="","","("&amp;H97&amp;")")&amp;" "&amp;TRIM(J97)&amp;IF(G98="","",","))</f>
        <v/>
      </c>
      <c r="AW97" s="27"/>
      <c r="AY97" s="122" t="str">
        <f t="shared" si="32"/>
        <v/>
      </c>
    </row>
    <row r="98" spans="2:51" ht="12.75">
      <c r="B98" s="20" t="str">
        <f t="shared" si="35"/>
        <v/>
      </c>
      <c r="C98" s="5"/>
      <c r="D98" s="5"/>
      <c r="E98" s="5"/>
      <c r="G98" s="5" t="str">
        <f t="shared" si="40"/>
        <v/>
      </c>
      <c r="H98" s="117" t="str">
        <f t="shared" si="38"/>
        <v/>
      </c>
      <c r="I98" s="5" t="str">
        <f t="shared" si="41"/>
        <v/>
      </c>
      <c r="J98" s="5" t="str">
        <f t="shared" si="42"/>
        <v/>
      </c>
      <c r="K98" s="5"/>
      <c r="L98" s="5"/>
      <c r="M98" s="75"/>
      <c r="N98" s="77"/>
      <c r="O98" s="26"/>
      <c r="P98" s="26"/>
      <c r="Q98" s="118" t="str">
        <f t="shared" si="43"/>
        <v/>
      </c>
      <c r="R98" s="153"/>
      <c r="S98" s="138" t="str">
        <f t="shared" si="33"/>
        <v/>
      </c>
      <c r="T98" s="148"/>
      <c r="U98" s="140"/>
      <c r="V98" s="140"/>
      <c r="W98" s="139"/>
      <c r="X98" s="139"/>
      <c r="Y98" s="148"/>
      <c r="Z98" s="138" t="str">
        <f t="shared" si="34"/>
        <v/>
      </c>
      <c r="AA98" s="138" t="str">
        <f t="shared" si="37"/>
        <v/>
      </c>
      <c r="AB98" s="239"/>
      <c r="AC98" s="325"/>
      <c r="AD98" s="325"/>
      <c r="AE98" s="325"/>
      <c r="AF98" s="325"/>
      <c r="AG98" s="325"/>
      <c r="AH98" s="325"/>
      <c r="AI98" s="325"/>
      <c r="AJ98" s="325"/>
      <c r="AK98" s="325"/>
      <c r="AL98" s="325"/>
      <c r="AM98" s="325"/>
      <c r="AN98" s="325"/>
      <c r="AO98" s="325"/>
      <c r="AP98" s="136"/>
      <c r="AQ98" s="136"/>
      <c r="AR98" s="136" t="str">
        <f t="shared" si="29"/>
        <v/>
      </c>
      <c r="AS98" s="136" t="str">
        <f t="shared" si="30"/>
        <v/>
      </c>
      <c r="AT98" s="5" t="str">
        <f t="shared" si="31"/>
        <v/>
      </c>
      <c r="AV98" s="27" t="str">
        <f>IF(G98="","",+"          ["&amp;TRIM(G98)&amp;"] ["&amp;TRIM(I98)&amp;"]"&amp;IF(H98="","","("&amp;H98&amp;")")&amp;" "&amp;TRIM(J98)&amp;IF(G107="","",","))</f>
        <v/>
      </c>
      <c r="AW98" s="27"/>
      <c r="AY98" s="122" t="str">
        <f t="shared" si="32"/>
        <v/>
      </c>
    </row>
    <row r="99" spans="2:51" ht="12.75">
      <c r="B99" s="20" t="str">
        <f t="shared" si="35"/>
        <v/>
      </c>
      <c r="C99" s="5"/>
      <c r="D99" s="5"/>
      <c r="E99" s="5"/>
      <c r="G99" s="5" t="str">
        <f t="shared" si="40"/>
        <v/>
      </c>
      <c r="H99" s="117" t="str">
        <f t="shared" si="38"/>
        <v/>
      </c>
      <c r="I99" s="5" t="str">
        <f t="shared" si="41"/>
        <v/>
      </c>
      <c r="J99" s="5" t="str">
        <f t="shared" si="42"/>
        <v/>
      </c>
      <c r="K99" s="5"/>
      <c r="L99" s="5"/>
      <c r="M99" s="75"/>
      <c r="N99" s="77"/>
      <c r="O99" s="26"/>
      <c r="P99" s="26"/>
      <c r="Q99" s="118" t="str">
        <f t="shared" si="43"/>
        <v/>
      </c>
      <c r="R99" s="153"/>
      <c r="S99" s="138" t="str">
        <f t="shared" si="33"/>
        <v/>
      </c>
      <c r="T99" s="148"/>
      <c r="U99" s="140"/>
      <c r="V99" s="140"/>
      <c r="W99" s="139"/>
      <c r="X99" s="139"/>
      <c r="Y99" s="148"/>
      <c r="Z99" s="138" t="str">
        <f t="shared" si="34"/>
        <v/>
      </c>
      <c r="AA99" s="138" t="str">
        <f t="shared" si="37"/>
        <v/>
      </c>
      <c r="AB99" s="239"/>
      <c r="AC99" s="325"/>
      <c r="AD99" s="325"/>
      <c r="AE99" s="325"/>
      <c r="AF99" s="325"/>
      <c r="AG99" s="325"/>
      <c r="AH99" s="325"/>
      <c r="AI99" s="325"/>
      <c r="AJ99" s="325"/>
      <c r="AK99" s="325"/>
      <c r="AL99" s="325"/>
      <c r="AM99" s="325"/>
      <c r="AN99" s="325"/>
      <c r="AO99" s="325"/>
      <c r="AP99" s="136"/>
      <c r="AQ99" s="136"/>
      <c r="AR99" s="136" t="str">
        <f t="shared" si="29"/>
        <v/>
      </c>
      <c r="AS99" s="136" t="str">
        <f t="shared" si="30"/>
        <v/>
      </c>
      <c r="AT99" s="5" t="str">
        <f t="shared" si="31"/>
        <v/>
      </c>
      <c r="AV99" s="27" t="str">
        <f>IF(G99="","",+"          ["&amp;TRIM(G99)&amp;"] ["&amp;TRIM(I99)&amp;"]"&amp;IF(H99="","","("&amp;H99&amp;")")&amp;" "&amp;TRIM(J99)&amp;IF(G106="","",","))</f>
        <v/>
      </c>
      <c r="AW99" s="27"/>
      <c r="AY99" s="122" t="str">
        <f t="shared" si="32"/>
        <v/>
      </c>
    </row>
    <row r="100" spans="2:51" ht="12.75">
      <c r="B100" s="20" t="str">
        <f t="shared" si="35"/>
        <v/>
      </c>
      <c r="C100" s="5"/>
      <c r="D100" s="5"/>
      <c r="E100" s="5"/>
      <c r="G100" s="5" t="str">
        <f t="shared" si="40"/>
        <v/>
      </c>
      <c r="H100" s="117" t="str">
        <f t="shared" si="38"/>
        <v/>
      </c>
      <c r="I100" s="5" t="str">
        <f t="shared" si="41"/>
        <v/>
      </c>
      <c r="J100" s="5" t="str">
        <f t="shared" si="42"/>
        <v/>
      </c>
      <c r="K100" s="5"/>
      <c r="L100" s="5"/>
      <c r="M100" s="75"/>
      <c r="N100" s="77"/>
      <c r="O100" s="26"/>
      <c r="P100" s="26"/>
      <c r="Q100" s="118" t="str">
        <f t="shared" si="43"/>
        <v/>
      </c>
      <c r="R100" s="153"/>
      <c r="S100" s="138" t="str">
        <f t="shared" si="33"/>
        <v/>
      </c>
      <c r="T100" s="148"/>
      <c r="U100" s="140"/>
      <c r="V100" s="140"/>
      <c r="W100" s="139"/>
      <c r="X100" s="139"/>
      <c r="Y100" s="148"/>
      <c r="Z100" s="138" t="str">
        <f t="shared" si="34"/>
        <v/>
      </c>
      <c r="AA100" s="138" t="str">
        <f t="shared" si="37"/>
        <v/>
      </c>
      <c r="AB100" s="239"/>
      <c r="AC100" s="325"/>
      <c r="AD100" s="325"/>
      <c r="AE100" s="325"/>
      <c r="AF100" s="325"/>
      <c r="AG100" s="325"/>
      <c r="AH100" s="325"/>
      <c r="AI100" s="325"/>
      <c r="AJ100" s="325"/>
      <c r="AK100" s="325"/>
      <c r="AL100" s="325"/>
      <c r="AM100" s="325"/>
      <c r="AN100" s="325"/>
      <c r="AO100" s="325"/>
      <c r="AP100" s="136"/>
      <c r="AQ100" s="136"/>
      <c r="AR100" s="136" t="str">
        <f t="shared" si="29"/>
        <v/>
      </c>
      <c r="AS100" s="136" t="str">
        <f t="shared" si="30"/>
        <v/>
      </c>
      <c r="AT100" s="5" t="str">
        <f t="shared" si="31"/>
        <v/>
      </c>
      <c r="AV100" s="27" t="str">
        <f>IF(G100="","",+"          ["&amp;TRIM(G100)&amp;"] ["&amp;TRIM(I100)&amp;"]"&amp;IF(H100="","","("&amp;H100&amp;")")&amp;" "&amp;TRIM(J100)&amp;IF(G101="","",","))</f>
        <v/>
      </c>
      <c r="AW100" s="27"/>
      <c r="AY100" s="122" t="str">
        <f t="shared" si="32"/>
        <v/>
      </c>
    </row>
    <row r="101" spans="2:51" ht="12.75">
      <c r="B101" s="20" t="str">
        <f t="shared" si="35"/>
        <v/>
      </c>
      <c r="C101" s="5"/>
      <c r="D101" s="5"/>
      <c r="E101" s="5"/>
      <c r="G101" s="5" t="str">
        <f t="shared" si="40"/>
        <v/>
      </c>
      <c r="H101" s="117" t="str">
        <f t="shared" si="38"/>
        <v/>
      </c>
      <c r="I101" s="5" t="str">
        <f t="shared" si="41"/>
        <v/>
      </c>
      <c r="J101" s="5" t="str">
        <f t="shared" si="42"/>
        <v/>
      </c>
      <c r="K101" s="5"/>
      <c r="L101" s="5"/>
      <c r="M101" s="75"/>
      <c r="N101" s="77"/>
      <c r="O101" s="26"/>
      <c r="P101" s="26"/>
      <c r="Q101" s="118" t="str">
        <f t="shared" si="43"/>
        <v/>
      </c>
      <c r="R101" s="153"/>
      <c r="S101" s="138" t="str">
        <f t="shared" si="33"/>
        <v/>
      </c>
      <c r="T101" s="148"/>
      <c r="U101" s="140"/>
      <c r="V101" s="140"/>
      <c r="W101" s="139"/>
      <c r="X101" s="139"/>
      <c r="Y101" s="148"/>
      <c r="Z101" s="138" t="str">
        <f t="shared" si="34"/>
        <v/>
      </c>
      <c r="AA101" s="138" t="str">
        <f t="shared" si="37"/>
        <v/>
      </c>
      <c r="AB101" s="239"/>
      <c r="AC101" s="325"/>
      <c r="AD101" s="325"/>
      <c r="AE101" s="325"/>
      <c r="AF101" s="325"/>
      <c r="AG101" s="325"/>
      <c r="AH101" s="325"/>
      <c r="AI101" s="325"/>
      <c r="AJ101" s="325"/>
      <c r="AK101" s="325"/>
      <c r="AL101" s="325"/>
      <c r="AM101" s="325"/>
      <c r="AN101" s="325"/>
      <c r="AO101" s="325"/>
      <c r="AP101" s="136"/>
      <c r="AQ101" s="136"/>
      <c r="AR101" s="136" t="str">
        <f t="shared" si="29"/>
        <v/>
      </c>
      <c r="AS101" s="136" t="str">
        <f t="shared" si="30"/>
        <v/>
      </c>
      <c r="AT101" s="5" t="str">
        <f t="shared" si="31"/>
        <v/>
      </c>
      <c r="AV101" s="27" t="str">
        <f>IF(G101="","",+"          ["&amp;TRIM(G101)&amp;"] ["&amp;TRIM(I101)&amp;"]"&amp;IF(H101="","","("&amp;H101&amp;")")&amp;" "&amp;TRIM(J101)&amp;IF(G102="","",","))</f>
        <v/>
      </c>
      <c r="AW101" s="27"/>
      <c r="AY101" s="122" t="str">
        <f t="shared" si="32"/>
        <v/>
      </c>
    </row>
    <row r="102" spans="2:51" ht="12.75">
      <c r="B102" s="20" t="str">
        <f t="shared" si="35"/>
        <v/>
      </c>
      <c r="C102" s="5"/>
      <c r="D102" s="5"/>
      <c r="E102" s="5"/>
      <c r="G102" s="5" t="str">
        <f t="shared" si="40"/>
        <v/>
      </c>
      <c r="H102" s="117" t="str">
        <f t="shared" si="38"/>
        <v/>
      </c>
      <c r="I102" s="5" t="str">
        <f t="shared" si="41"/>
        <v/>
      </c>
      <c r="J102" s="5" t="str">
        <f t="shared" si="42"/>
        <v/>
      </c>
      <c r="K102" s="5"/>
      <c r="L102" s="5"/>
      <c r="M102" s="75"/>
      <c r="N102" s="77"/>
      <c r="O102" s="26"/>
      <c r="P102" s="26"/>
      <c r="Q102" s="118" t="str">
        <f t="shared" si="43"/>
        <v/>
      </c>
      <c r="R102" s="153"/>
      <c r="S102" s="138" t="str">
        <f t="shared" si="33"/>
        <v/>
      </c>
      <c r="T102" s="148"/>
      <c r="U102" s="140"/>
      <c r="V102" s="140"/>
      <c r="W102" s="139"/>
      <c r="X102" s="139"/>
      <c r="Y102" s="148"/>
      <c r="Z102" s="138" t="str">
        <f t="shared" si="34"/>
        <v/>
      </c>
      <c r="AA102" s="138" t="str">
        <f t="shared" si="37"/>
        <v/>
      </c>
      <c r="AB102" s="239"/>
      <c r="AC102" s="325"/>
      <c r="AD102" s="325"/>
      <c r="AE102" s="325"/>
      <c r="AF102" s="325"/>
      <c r="AG102" s="325"/>
      <c r="AH102" s="325"/>
      <c r="AI102" s="325"/>
      <c r="AJ102" s="325"/>
      <c r="AK102" s="325"/>
      <c r="AL102" s="325"/>
      <c r="AM102" s="325"/>
      <c r="AN102" s="325"/>
      <c r="AO102" s="325"/>
      <c r="AP102" s="136"/>
      <c r="AQ102" s="136"/>
      <c r="AR102" s="136" t="str">
        <f t="shared" si="29"/>
        <v/>
      </c>
      <c r="AS102" s="136" t="str">
        <f t="shared" si="30"/>
        <v/>
      </c>
      <c r="AT102" s="5" t="str">
        <f t="shared" si="31"/>
        <v/>
      </c>
      <c r="AV102" s="27" t="str">
        <f>IF(G102="","",+"          ["&amp;TRIM(G102)&amp;"] ["&amp;TRIM(I102)&amp;"]"&amp;IF(H102="","","("&amp;H102&amp;")")&amp;" "&amp;TRIM(J102)&amp;IF(G103="","",","))</f>
        <v/>
      </c>
      <c r="AW102" s="27"/>
      <c r="AY102" s="122" t="str">
        <f t="shared" si="32"/>
        <v/>
      </c>
    </row>
    <row r="103" spans="2:51" ht="12.75">
      <c r="B103" s="20" t="str">
        <f t="shared" si="35"/>
        <v/>
      </c>
      <c r="C103" s="5"/>
      <c r="D103" s="5"/>
      <c r="E103" s="5"/>
      <c r="G103" s="5" t="str">
        <f t="shared" si="40"/>
        <v/>
      </c>
      <c r="H103" s="117" t="str">
        <f t="shared" si="38"/>
        <v/>
      </c>
      <c r="I103" s="5" t="str">
        <f t="shared" si="41"/>
        <v/>
      </c>
      <c r="J103" s="5" t="str">
        <f t="shared" si="42"/>
        <v/>
      </c>
      <c r="K103" s="5"/>
      <c r="L103" s="5"/>
      <c r="M103" s="75"/>
      <c r="N103" s="77"/>
      <c r="O103" s="26"/>
      <c r="P103" s="26"/>
      <c r="Q103" s="118" t="str">
        <f t="shared" si="43"/>
        <v/>
      </c>
      <c r="R103" s="153"/>
      <c r="S103" s="138" t="str">
        <f t="shared" si="33"/>
        <v/>
      </c>
      <c r="T103" s="148"/>
      <c r="U103" s="140"/>
      <c r="V103" s="140"/>
      <c r="W103" s="139"/>
      <c r="X103" s="139"/>
      <c r="Y103" s="148"/>
      <c r="Z103" s="138" t="str">
        <f t="shared" si="34"/>
        <v/>
      </c>
      <c r="AA103" s="138" t="str">
        <f t="shared" si="37"/>
        <v/>
      </c>
      <c r="AB103" s="239"/>
      <c r="AC103" s="325"/>
      <c r="AD103" s="325"/>
      <c r="AE103" s="325"/>
      <c r="AF103" s="325"/>
      <c r="AG103" s="325"/>
      <c r="AH103" s="325"/>
      <c r="AI103" s="325"/>
      <c r="AJ103" s="325"/>
      <c r="AK103" s="325"/>
      <c r="AL103" s="325"/>
      <c r="AM103" s="325"/>
      <c r="AN103" s="325"/>
      <c r="AO103" s="325"/>
      <c r="AP103" s="136"/>
      <c r="AQ103" s="136"/>
      <c r="AR103" s="136" t="str">
        <f t="shared" si="29"/>
        <v/>
      </c>
      <c r="AS103" s="136" t="str">
        <f t="shared" si="30"/>
        <v/>
      </c>
      <c r="AT103" s="5" t="str">
        <f t="shared" si="31"/>
        <v/>
      </c>
      <c r="AV103" s="27" t="str">
        <f>IF(G103="","",+"          ["&amp;TRIM(G103)&amp;"] ["&amp;TRIM(I103)&amp;"]"&amp;IF(H103="","","("&amp;H103&amp;")")&amp;" "&amp;TRIM(J103)&amp;IF(G106="","",","))</f>
        <v/>
      </c>
      <c r="AW103" s="27"/>
      <c r="AY103" s="122" t="str">
        <f t="shared" si="32"/>
        <v/>
      </c>
    </row>
    <row r="104" spans="2:51" ht="12.75">
      <c r="B104" s="20" t="str">
        <f t="shared" si="35"/>
        <v/>
      </c>
      <c r="C104" s="5"/>
      <c r="D104" s="5"/>
      <c r="E104" s="5"/>
      <c r="G104" s="5" t="str">
        <f t="shared" si="40"/>
        <v/>
      </c>
      <c r="H104" s="117" t="str">
        <f t="shared" si="38"/>
        <v/>
      </c>
      <c r="I104" s="5" t="str">
        <f t="shared" si="41"/>
        <v/>
      </c>
      <c r="J104" s="5" t="str">
        <f t="shared" si="42"/>
        <v/>
      </c>
      <c r="K104" s="5"/>
      <c r="L104" s="5"/>
      <c r="M104" s="75"/>
      <c r="N104" s="77"/>
      <c r="O104" s="26"/>
      <c r="P104" s="26"/>
      <c r="Q104" s="118" t="str">
        <f t="shared" si="43"/>
        <v/>
      </c>
      <c r="R104" s="153"/>
      <c r="S104" s="138" t="str">
        <f t="shared" si="33"/>
        <v/>
      </c>
      <c r="T104" s="148"/>
      <c r="U104" s="140"/>
      <c r="V104" s="140"/>
      <c r="W104" s="139"/>
      <c r="X104" s="139"/>
      <c r="Y104" s="148"/>
      <c r="Z104" s="138" t="str">
        <f t="shared" si="34"/>
        <v/>
      </c>
      <c r="AA104" s="138" t="str">
        <f t="shared" si="37"/>
        <v/>
      </c>
      <c r="AB104" s="239"/>
      <c r="AC104" s="325"/>
      <c r="AD104" s="325"/>
      <c r="AE104" s="325"/>
      <c r="AF104" s="325"/>
      <c r="AG104" s="325"/>
      <c r="AH104" s="325"/>
      <c r="AI104" s="325"/>
      <c r="AJ104" s="325"/>
      <c r="AK104" s="325"/>
      <c r="AL104" s="325"/>
      <c r="AM104" s="325"/>
      <c r="AN104" s="325"/>
      <c r="AO104" s="325"/>
      <c r="AP104" s="136"/>
      <c r="AQ104" s="136"/>
      <c r="AR104" s="136" t="str">
        <f t="shared" si="29"/>
        <v/>
      </c>
      <c r="AS104" s="136" t="str">
        <f t="shared" si="30"/>
        <v/>
      </c>
      <c r="AT104" s="5" t="str">
        <f t="shared" si="31"/>
        <v/>
      </c>
      <c r="AV104" s="27" t="str">
        <f t="shared" ref="AV104:AV115" si="44">IF(G104="","",+"          ["&amp;TRIM(G104)&amp;"] ["&amp;TRIM(I104)&amp;"]"&amp;IF(H104="","","("&amp;H104&amp;")")&amp;" "&amp;TRIM(J104)&amp;IF(G105="","",","))</f>
        <v/>
      </c>
      <c r="AW104" s="27"/>
      <c r="AY104" s="122" t="str">
        <f t="shared" si="32"/>
        <v/>
      </c>
    </row>
    <row r="105" spans="2:51" ht="12.75">
      <c r="B105" s="20" t="str">
        <f t="shared" si="35"/>
        <v/>
      </c>
      <c r="C105" s="5"/>
      <c r="D105" s="5"/>
      <c r="E105" s="5"/>
      <c r="G105" s="5" t="str">
        <f t="shared" si="40"/>
        <v/>
      </c>
      <c r="H105" s="117" t="str">
        <f t="shared" si="38"/>
        <v/>
      </c>
      <c r="I105" s="5" t="str">
        <f t="shared" si="41"/>
        <v/>
      </c>
      <c r="J105" s="5" t="str">
        <f t="shared" si="42"/>
        <v/>
      </c>
      <c r="K105" s="5"/>
      <c r="L105" s="5"/>
      <c r="M105" s="75"/>
      <c r="N105" s="77"/>
      <c r="O105" s="26"/>
      <c r="P105" s="26"/>
      <c r="Q105" s="118" t="str">
        <f t="shared" si="43"/>
        <v/>
      </c>
      <c r="R105" s="153"/>
      <c r="S105" s="138" t="str">
        <f t="shared" si="33"/>
        <v/>
      </c>
      <c r="T105" s="148"/>
      <c r="U105" s="140"/>
      <c r="V105" s="140"/>
      <c r="W105" s="139"/>
      <c r="X105" s="139"/>
      <c r="Y105" s="148"/>
      <c r="Z105" s="138" t="str">
        <f t="shared" si="34"/>
        <v/>
      </c>
      <c r="AA105" s="138" t="str">
        <f t="shared" si="37"/>
        <v/>
      </c>
      <c r="AB105" s="239"/>
      <c r="AC105" s="325"/>
      <c r="AD105" s="325"/>
      <c r="AE105" s="325"/>
      <c r="AF105" s="325"/>
      <c r="AG105" s="325"/>
      <c r="AH105" s="325"/>
      <c r="AI105" s="325"/>
      <c r="AJ105" s="325"/>
      <c r="AK105" s="325"/>
      <c r="AL105" s="325"/>
      <c r="AM105" s="325"/>
      <c r="AN105" s="325"/>
      <c r="AO105" s="325"/>
      <c r="AP105" s="136"/>
      <c r="AQ105" s="136"/>
      <c r="AR105" s="136" t="str">
        <f t="shared" si="29"/>
        <v/>
      </c>
      <c r="AS105" s="136" t="str">
        <f t="shared" si="30"/>
        <v/>
      </c>
      <c r="AT105" s="5" t="str">
        <f t="shared" si="31"/>
        <v/>
      </c>
      <c r="AV105" s="27" t="str">
        <f t="shared" si="44"/>
        <v/>
      </c>
      <c r="AW105" s="27"/>
      <c r="AY105" s="122" t="str">
        <f t="shared" si="32"/>
        <v/>
      </c>
    </row>
    <row r="106" spans="2:51" ht="12.75">
      <c r="B106" s="20" t="str">
        <f t="shared" si="35"/>
        <v/>
      </c>
      <c r="C106" s="5"/>
      <c r="D106" s="5"/>
      <c r="E106" s="5"/>
      <c r="G106" s="5" t="str">
        <f t="shared" si="40"/>
        <v/>
      </c>
      <c r="H106" s="117" t="str">
        <f t="shared" si="38"/>
        <v/>
      </c>
      <c r="I106" s="5" t="str">
        <f t="shared" si="41"/>
        <v/>
      </c>
      <c r="J106" s="5" t="str">
        <f t="shared" si="42"/>
        <v/>
      </c>
      <c r="K106" s="5"/>
      <c r="L106" s="5"/>
      <c r="M106" s="75"/>
      <c r="N106" s="77"/>
      <c r="O106" s="26"/>
      <c r="P106" s="26"/>
      <c r="Q106" s="118" t="str">
        <f t="shared" si="43"/>
        <v/>
      </c>
      <c r="R106" s="153"/>
      <c r="S106" s="138" t="str">
        <f t="shared" si="33"/>
        <v/>
      </c>
      <c r="T106" s="148"/>
      <c r="U106" s="140"/>
      <c r="V106" s="140"/>
      <c r="W106" s="139"/>
      <c r="X106" s="139"/>
      <c r="Y106" s="148"/>
      <c r="Z106" s="138" t="str">
        <f t="shared" si="34"/>
        <v/>
      </c>
      <c r="AA106" s="138" t="str">
        <f t="shared" si="37"/>
        <v/>
      </c>
      <c r="AB106" s="239"/>
      <c r="AC106" s="325"/>
      <c r="AD106" s="325"/>
      <c r="AE106" s="325"/>
      <c r="AF106" s="325"/>
      <c r="AG106" s="325"/>
      <c r="AH106" s="325"/>
      <c r="AI106" s="325"/>
      <c r="AJ106" s="325"/>
      <c r="AK106" s="325"/>
      <c r="AL106" s="325"/>
      <c r="AM106" s="325"/>
      <c r="AN106" s="325"/>
      <c r="AO106" s="325"/>
      <c r="AP106" s="136"/>
      <c r="AQ106" s="136"/>
      <c r="AR106" s="136" t="str">
        <f t="shared" si="29"/>
        <v/>
      </c>
      <c r="AS106" s="136" t="str">
        <f t="shared" si="30"/>
        <v/>
      </c>
      <c r="AT106" s="5" t="str">
        <f t="shared" si="31"/>
        <v/>
      </c>
      <c r="AV106" s="27" t="str">
        <f t="shared" si="44"/>
        <v/>
      </c>
      <c r="AW106" s="27"/>
      <c r="AY106" s="122" t="str">
        <f t="shared" si="32"/>
        <v/>
      </c>
    </row>
    <row r="107" spans="2:51" ht="12.75">
      <c r="B107" s="20" t="str">
        <f t="shared" si="35"/>
        <v/>
      </c>
      <c r="C107" s="5"/>
      <c r="D107" s="5"/>
      <c r="E107" s="5"/>
      <c r="G107" s="5" t="str">
        <f t="shared" si="40"/>
        <v/>
      </c>
      <c r="H107" s="117" t="str">
        <f t="shared" si="38"/>
        <v/>
      </c>
      <c r="I107" s="5" t="str">
        <f t="shared" si="41"/>
        <v/>
      </c>
      <c r="J107" s="5" t="str">
        <f t="shared" si="42"/>
        <v/>
      </c>
      <c r="K107" s="5"/>
      <c r="L107" s="5"/>
      <c r="M107" s="75"/>
      <c r="N107" s="77"/>
      <c r="O107" s="26"/>
      <c r="P107" s="26"/>
      <c r="Q107" s="118" t="str">
        <f t="shared" si="43"/>
        <v/>
      </c>
      <c r="R107" s="153"/>
      <c r="S107" s="138" t="str">
        <f t="shared" si="33"/>
        <v/>
      </c>
      <c r="T107" s="148"/>
      <c r="U107" s="140"/>
      <c r="V107" s="140"/>
      <c r="W107" s="139"/>
      <c r="X107" s="139"/>
      <c r="Y107" s="148"/>
      <c r="Z107" s="138" t="str">
        <f t="shared" si="34"/>
        <v/>
      </c>
      <c r="AA107" s="138" t="str">
        <f t="shared" si="37"/>
        <v/>
      </c>
      <c r="AB107" s="239"/>
      <c r="AC107" s="325"/>
      <c r="AD107" s="325"/>
      <c r="AE107" s="325"/>
      <c r="AF107" s="325"/>
      <c r="AG107" s="325"/>
      <c r="AH107" s="325"/>
      <c r="AI107" s="325"/>
      <c r="AJ107" s="325"/>
      <c r="AK107" s="325"/>
      <c r="AL107" s="325"/>
      <c r="AM107" s="325"/>
      <c r="AN107" s="325"/>
      <c r="AO107" s="325"/>
      <c r="AP107" s="136"/>
      <c r="AQ107" s="136"/>
      <c r="AR107" s="136" t="str">
        <f t="shared" si="29"/>
        <v/>
      </c>
      <c r="AS107" s="136" t="str">
        <f t="shared" si="30"/>
        <v/>
      </c>
      <c r="AT107" s="5" t="str">
        <f t="shared" si="31"/>
        <v/>
      </c>
      <c r="AV107" s="27" t="str">
        <f t="shared" si="44"/>
        <v/>
      </c>
      <c r="AW107" s="27"/>
      <c r="AY107" s="122" t="str">
        <f t="shared" si="32"/>
        <v/>
      </c>
    </row>
    <row r="108" spans="2:51" ht="12.75">
      <c r="B108" s="20" t="str">
        <f t="shared" si="35"/>
        <v/>
      </c>
      <c r="C108" s="5"/>
      <c r="D108" s="5"/>
      <c r="E108" s="5"/>
      <c r="G108" s="5" t="str">
        <f t="shared" si="40"/>
        <v/>
      </c>
      <c r="H108" s="117" t="str">
        <f t="shared" si="38"/>
        <v/>
      </c>
      <c r="I108" s="5" t="str">
        <f t="shared" si="41"/>
        <v/>
      </c>
      <c r="J108" s="5" t="str">
        <f t="shared" si="42"/>
        <v/>
      </c>
      <c r="K108" s="5"/>
      <c r="L108" s="5"/>
      <c r="M108" s="75"/>
      <c r="N108" s="77"/>
      <c r="O108" s="26"/>
      <c r="P108" s="26"/>
      <c r="Q108" s="118" t="str">
        <f t="shared" si="43"/>
        <v/>
      </c>
      <c r="R108" s="153"/>
      <c r="S108" s="138" t="str">
        <f t="shared" si="33"/>
        <v/>
      </c>
      <c r="T108" s="148"/>
      <c r="U108" s="140"/>
      <c r="V108" s="140"/>
      <c r="W108" s="139"/>
      <c r="X108" s="139"/>
      <c r="Y108" s="148"/>
      <c r="Z108" s="138" t="str">
        <f t="shared" si="34"/>
        <v/>
      </c>
      <c r="AA108" s="138" t="str">
        <f t="shared" si="37"/>
        <v/>
      </c>
      <c r="AB108" s="239"/>
      <c r="AC108" s="325"/>
      <c r="AD108" s="325"/>
      <c r="AE108" s="325"/>
      <c r="AF108" s="325"/>
      <c r="AG108" s="325"/>
      <c r="AH108" s="325"/>
      <c r="AI108" s="325"/>
      <c r="AJ108" s="325"/>
      <c r="AK108" s="325"/>
      <c r="AL108" s="325"/>
      <c r="AM108" s="325"/>
      <c r="AN108" s="325"/>
      <c r="AO108" s="325"/>
      <c r="AP108" s="136"/>
      <c r="AQ108" s="136"/>
      <c r="AR108" s="136" t="str">
        <f t="shared" si="29"/>
        <v/>
      </c>
      <c r="AS108" s="136" t="str">
        <f t="shared" si="30"/>
        <v/>
      </c>
      <c r="AT108" s="5" t="str">
        <f t="shared" si="31"/>
        <v/>
      </c>
      <c r="AV108" s="27" t="str">
        <f t="shared" si="44"/>
        <v/>
      </c>
      <c r="AW108" s="27"/>
      <c r="AY108" s="122" t="str">
        <f t="shared" si="32"/>
        <v/>
      </c>
    </row>
    <row r="109" spans="2:51" ht="12.75">
      <c r="B109" s="20" t="str">
        <f t="shared" si="35"/>
        <v/>
      </c>
      <c r="C109" s="5"/>
      <c r="D109" s="5"/>
      <c r="E109" s="5"/>
      <c r="G109" s="5" t="str">
        <f t="shared" si="40"/>
        <v/>
      </c>
      <c r="H109" s="117" t="str">
        <f t="shared" si="38"/>
        <v/>
      </c>
      <c r="I109" s="5" t="str">
        <f t="shared" si="41"/>
        <v/>
      </c>
      <c r="J109" s="5" t="str">
        <f t="shared" si="42"/>
        <v/>
      </c>
      <c r="K109" s="5"/>
      <c r="L109" s="5"/>
      <c r="M109" s="75"/>
      <c r="N109" s="77"/>
      <c r="O109" s="26"/>
      <c r="P109" s="26"/>
      <c r="Q109" s="118" t="str">
        <f t="shared" si="43"/>
        <v/>
      </c>
      <c r="R109" s="153"/>
      <c r="S109" s="138" t="str">
        <f t="shared" si="33"/>
        <v/>
      </c>
      <c r="T109" s="148"/>
      <c r="U109" s="140"/>
      <c r="V109" s="140"/>
      <c r="W109" s="139"/>
      <c r="X109" s="139"/>
      <c r="Y109" s="148"/>
      <c r="Z109" s="138" t="str">
        <f t="shared" si="34"/>
        <v/>
      </c>
      <c r="AA109" s="138" t="str">
        <f t="shared" si="37"/>
        <v/>
      </c>
      <c r="AB109" s="239"/>
      <c r="AC109" s="325"/>
      <c r="AD109" s="325"/>
      <c r="AE109" s="325"/>
      <c r="AF109" s="325"/>
      <c r="AG109" s="325"/>
      <c r="AH109" s="325"/>
      <c r="AI109" s="325"/>
      <c r="AJ109" s="325"/>
      <c r="AK109" s="325"/>
      <c r="AL109" s="325"/>
      <c r="AM109" s="325"/>
      <c r="AN109" s="325"/>
      <c r="AO109" s="325"/>
      <c r="AP109" s="136"/>
      <c r="AQ109" s="136"/>
      <c r="AR109" s="136" t="str">
        <f t="shared" si="29"/>
        <v/>
      </c>
      <c r="AS109" s="136" t="str">
        <f t="shared" si="30"/>
        <v/>
      </c>
      <c r="AT109" s="5" t="str">
        <f t="shared" si="31"/>
        <v/>
      </c>
      <c r="AV109" s="27" t="str">
        <f t="shared" si="44"/>
        <v/>
      </c>
      <c r="AW109" s="27"/>
      <c r="AY109" s="122" t="str">
        <f t="shared" si="32"/>
        <v/>
      </c>
    </row>
    <row r="110" spans="2:51" ht="12.75">
      <c r="B110" s="20" t="str">
        <f t="shared" si="35"/>
        <v/>
      </c>
      <c r="C110" s="5"/>
      <c r="D110" s="5"/>
      <c r="E110" s="5"/>
      <c r="G110" s="5" t="str">
        <f t="shared" si="40"/>
        <v/>
      </c>
      <c r="H110" s="117" t="str">
        <f t="shared" si="38"/>
        <v/>
      </c>
      <c r="I110" s="5" t="str">
        <f t="shared" si="41"/>
        <v/>
      </c>
      <c r="J110" s="5" t="str">
        <f t="shared" si="42"/>
        <v/>
      </c>
      <c r="K110" s="5"/>
      <c r="L110" s="5"/>
      <c r="M110" s="75"/>
      <c r="N110" s="77"/>
      <c r="O110" s="26"/>
      <c r="P110" s="26"/>
      <c r="Q110" s="118" t="str">
        <f t="shared" si="43"/>
        <v/>
      </c>
      <c r="R110" s="153"/>
      <c r="S110" s="138" t="str">
        <f t="shared" si="33"/>
        <v/>
      </c>
      <c r="T110" s="148"/>
      <c r="U110" s="140"/>
      <c r="V110" s="140"/>
      <c r="W110" s="139"/>
      <c r="X110" s="139"/>
      <c r="Y110" s="148"/>
      <c r="Z110" s="138" t="str">
        <f t="shared" si="34"/>
        <v/>
      </c>
      <c r="AA110" s="138" t="str">
        <f t="shared" si="37"/>
        <v/>
      </c>
      <c r="AB110" s="239"/>
      <c r="AC110" s="325"/>
      <c r="AD110" s="325"/>
      <c r="AE110" s="325"/>
      <c r="AF110" s="325"/>
      <c r="AG110" s="325"/>
      <c r="AH110" s="325"/>
      <c r="AI110" s="325"/>
      <c r="AJ110" s="325"/>
      <c r="AK110" s="325"/>
      <c r="AL110" s="325"/>
      <c r="AM110" s="325"/>
      <c r="AN110" s="325"/>
      <c r="AO110" s="325"/>
      <c r="AP110" s="136"/>
      <c r="AQ110" s="136"/>
      <c r="AR110" s="136" t="str">
        <f t="shared" si="29"/>
        <v/>
      </c>
      <c r="AS110" s="136" t="str">
        <f t="shared" si="30"/>
        <v/>
      </c>
      <c r="AT110" s="5" t="str">
        <f t="shared" si="31"/>
        <v/>
      </c>
      <c r="AV110" s="27" t="str">
        <f t="shared" si="44"/>
        <v/>
      </c>
      <c r="AW110" s="27"/>
      <c r="AY110" s="122" t="str">
        <f t="shared" si="32"/>
        <v/>
      </c>
    </row>
    <row r="111" spans="2:51" ht="12.75">
      <c r="B111" s="20" t="str">
        <f t="shared" si="35"/>
        <v/>
      </c>
      <c r="C111" s="5"/>
      <c r="D111" s="5"/>
      <c r="E111" s="5"/>
      <c r="G111" s="5" t="str">
        <f t="shared" si="40"/>
        <v/>
      </c>
      <c r="H111" s="117" t="str">
        <f t="shared" si="38"/>
        <v/>
      </c>
      <c r="I111" s="5" t="str">
        <f t="shared" si="41"/>
        <v/>
      </c>
      <c r="J111" s="5" t="str">
        <f t="shared" si="42"/>
        <v/>
      </c>
      <c r="K111" s="5"/>
      <c r="L111" s="5"/>
      <c r="M111" s="75"/>
      <c r="N111" s="77"/>
      <c r="O111" s="26"/>
      <c r="P111" s="26"/>
      <c r="Q111" s="118" t="str">
        <f t="shared" si="43"/>
        <v/>
      </c>
      <c r="R111" s="153"/>
      <c r="S111" s="138" t="str">
        <f t="shared" si="33"/>
        <v/>
      </c>
      <c r="T111" s="148"/>
      <c r="U111" s="140"/>
      <c r="V111" s="140"/>
      <c r="W111" s="139"/>
      <c r="X111" s="139"/>
      <c r="Y111" s="148"/>
      <c r="Z111" s="138" t="str">
        <f t="shared" si="34"/>
        <v/>
      </c>
      <c r="AA111" s="138" t="str">
        <f t="shared" si="37"/>
        <v/>
      </c>
      <c r="AB111" s="239"/>
      <c r="AC111" s="325"/>
      <c r="AD111" s="325"/>
      <c r="AE111" s="325"/>
      <c r="AF111" s="325"/>
      <c r="AG111" s="325"/>
      <c r="AH111" s="325"/>
      <c r="AI111" s="325"/>
      <c r="AJ111" s="325"/>
      <c r="AK111" s="325"/>
      <c r="AL111" s="325"/>
      <c r="AM111" s="325"/>
      <c r="AN111" s="325"/>
      <c r="AO111" s="325"/>
      <c r="AP111" s="136"/>
      <c r="AQ111" s="136"/>
      <c r="AR111" s="136" t="str">
        <f t="shared" si="29"/>
        <v/>
      </c>
      <c r="AS111" s="136" t="str">
        <f t="shared" si="30"/>
        <v/>
      </c>
      <c r="AT111" s="5" t="str">
        <f t="shared" si="31"/>
        <v/>
      </c>
      <c r="AV111" s="27" t="str">
        <f t="shared" si="44"/>
        <v/>
      </c>
      <c r="AW111" s="27"/>
      <c r="AY111" s="122" t="str">
        <f t="shared" si="32"/>
        <v/>
      </c>
    </row>
    <row r="112" spans="2:51" ht="12.75">
      <c r="B112" s="20" t="str">
        <f t="shared" si="35"/>
        <v/>
      </c>
      <c r="C112" s="5"/>
      <c r="D112" s="5"/>
      <c r="E112" s="5"/>
      <c r="G112" s="5" t="str">
        <f t="shared" si="40"/>
        <v/>
      </c>
      <c r="H112" s="117" t="str">
        <f t="shared" si="38"/>
        <v/>
      </c>
      <c r="I112" s="5" t="str">
        <f t="shared" si="41"/>
        <v/>
      </c>
      <c r="J112" s="5" t="str">
        <f t="shared" si="42"/>
        <v/>
      </c>
      <c r="K112" s="5"/>
      <c r="L112" s="5"/>
      <c r="M112" s="75"/>
      <c r="N112" s="77"/>
      <c r="O112" s="26"/>
      <c r="P112" s="26"/>
      <c r="Q112" s="118" t="str">
        <f t="shared" si="43"/>
        <v/>
      </c>
      <c r="R112" s="153"/>
      <c r="S112" s="138" t="str">
        <f t="shared" si="33"/>
        <v/>
      </c>
      <c r="T112" s="148"/>
      <c r="U112" s="140"/>
      <c r="V112" s="140"/>
      <c r="W112" s="139"/>
      <c r="X112" s="139"/>
      <c r="Y112" s="148"/>
      <c r="Z112" s="138" t="str">
        <f t="shared" si="34"/>
        <v/>
      </c>
      <c r="AA112" s="138" t="str">
        <f t="shared" si="37"/>
        <v/>
      </c>
      <c r="AB112" s="239"/>
      <c r="AC112" s="325"/>
      <c r="AD112" s="325"/>
      <c r="AE112" s="325"/>
      <c r="AF112" s="325"/>
      <c r="AG112" s="325"/>
      <c r="AH112" s="325"/>
      <c r="AI112" s="325"/>
      <c r="AJ112" s="325"/>
      <c r="AK112" s="325"/>
      <c r="AL112" s="325"/>
      <c r="AM112" s="325"/>
      <c r="AN112" s="325"/>
      <c r="AO112" s="325"/>
      <c r="AP112" s="136"/>
      <c r="AQ112" s="136"/>
      <c r="AR112" s="136" t="str">
        <f t="shared" si="29"/>
        <v/>
      </c>
      <c r="AS112" s="136" t="str">
        <f t="shared" si="30"/>
        <v/>
      </c>
      <c r="AT112" s="5" t="str">
        <f t="shared" si="31"/>
        <v/>
      </c>
      <c r="AV112" s="27" t="str">
        <f t="shared" si="44"/>
        <v/>
      </c>
      <c r="AW112" s="27"/>
      <c r="AY112" s="122" t="str">
        <f t="shared" si="32"/>
        <v/>
      </c>
    </row>
    <row r="113" spans="2:51" ht="12.75">
      <c r="B113" s="20" t="str">
        <f t="shared" si="35"/>
        <v/>
      </c>
      <c r="C113" s="5"/>
      <c r="D113" s="5"/>
      <c r="E113" s="5"/>
      <c r="G113" s="5" t="str">
        <f t="shared" si="40"/>
        <v/>
      </c>
      <c r="H113" s="117" t="str">
        <f t="shared" si="38"/>
        <v/>
      </c>
      <c r="I113" s="5" t="str">
        <f t="shared" si="41"/>
        <v/>
      </c>
      <c r="J113" s="5" t="str">
        <f t="shared" si="42"/>
        <v/>
      </c>
      <c r="K113" s="5"/>
      <c r="L113" s="5"/>
      <c r="M113" s="75"/>
      <c r="N113" s="77"/>
      <c r="O113" s="26"/>
      <c r="P113" s="26"/>
      <c r="Q113" s="118" t="str">
        <f>IF(M113=0,"",ROW())</f>
        <v/>
      </c>
      <c r="R113" s="153"/>
      <c r="S113" s="138" t="str">
        <f t="shared" si="33"/>
        <v/>
      </c>
      <c r="T113" s="148"/>
      <c r="U113" s="140"/>
      <c r="V113" s="140"/>
      <c r="W113" s="139"/>
      <c r="X113" s="139"/>
      <c r="Y113" s="148"/>
      <c r="Z113" s="138" t="str">
        <f t="shared" si="34"/>
        <v/>
      </c>
      <c r="AA113" s="138" t="str">
        <f t="shared" si="37"/>
        <v/>
      </c>
      <c r="AB113" s="239"/>
      <c r="AC113" s="325"/>
      <c r="AD113" s="325"/>
      <c r="AE113" s="325"/>
      <c r="AF113" s="325"/>
      <c r="AG113" s="325"/>
      <c r="AH113" s="325"/>
      <c r="AI113" s="325"/>
      <c r="AJ113" s="325"/>
      <c r="AK113" s="325"/>
      <c r="AL113" s="325"/>
      <c r="AM113" s="325"/>
      <c r="AN113" s="325"/>
      <c r="AO113" s="325"/>
      <c r="AP113" s="136"/>
      <c r="AQ113" s="136"/>
      <c r="AR113" s="136" t="str">
        <f t="shared" si="29"/>
        <v/>
      </c>
      <c r="AS113" s="136" t="str">
        <f t="shared" si="30"/>
        <v/>
      </c>
      <c r="AT113" s="5" t="str">
        <f t="shared" si="31"/>
        <v/>
      </c>
      <c r="AV113" s="27" t="str">
        <f t="shared" si="44"/>
        <v/>
      </c>
      <c r="AW113" s="27"/>
      <c r="AY113" s="122" t="str">
        <f t="shared" si="32"/>
        <v/>
      </c>
    </row>
    <row r="114" spans="2:51" ht="12.75">
      <c r="B114" s="20" t="str">
        <f t="shared" si="35"/>
        <v/>
      </c>
      <c r="C114" s="5"/>
      <c r="D114" s="5"/>
      <c r="E114" s="5"/>
      <c r="G114" s="5" t="str">
        <f t="shared" si="40"/>
        <v/>
      </c>
      <c r="H114" s="117" t="str">
        <f t="shared" si="38"/>
        <v/>
      </c>
      <c r="I114" s="5" t="str">
        <f t="shared" si="41"/>
        <v/>
      </c>
      <c r="J114" s="5" t="str">
        <f t="shared" si="42"/>
        <v/>
      </c>
      <c r="K114" s="5"/>
      <c r="L114" s="5"/>
      <c r="M114" s="75"/>
      <c r="N114" s="77"/>
      <c r="O114" s="26"/>
      <c r="P114" s="26"/>
      <c r="Q114" s="118" t="str">
        <f>IF(M114=0,"",ROW())</f>
        <v/>
      </c>
      <c r="R114" s="153"/>
      <c r="S114" s="138" t="str">
        <f t="shared" si="33"/>
        <v/>
      </c>
      <c r="T114" s="148"/>
      <c r="U114" s="140"/>
      <c r="V114" s="140"/>
      <c r="W114" s="139"/>
      <c r="X114" s="139"/>
      <c r="Y114" s="148"/>
      <c r="Z114" s="138" t="str">
        <f t="shared" si="34"/>
        <v/>
      </c>
      <c r="AA114" s="138" t="str">
        <f t="shared" si="37"/>
        <v/>
      </c>
      <c r="AB114" s="239"/>
      <c r="AC114" s="325"/>
      <c r="AD114" s="325"/>
      <c r="AE114" s="325"/>
      <c r="AF114" s="325"/>
      <c r="AG114" s="325"/>
      <c r="AH114" s="325"/>
      <c r="AI114" s="325"/>
      <c r="AJ114" s="325"/>
      <c r="AK114" s="325"/>
      <c r="AL114" s="325"/>
      <c r="AM114" s="325"/>
      <c r="AN114" s="325"/>
      <c r="AO114" s="325"/>
      <c r="AP114" s="136"/>
      <c r="AQ114" s="136"/>
      <c r="AR114" s="136" t="str">
        <f t="shared" si="29"/>
        <v/>
      </c>
      <c r="AS114" s="136" t="str">
        <f t="shared" si="30"/>
        <v/>
      </c>
      <c r="AT114" s="5" t="str">
        <f t="shared" si="31"/>
        <v/>
      </c>
      <c r="AV114" s="27" t="str">
        <f t="shared" si="44"/>
        <v/>
      </c>
      <c r="AW114" s="27"/>
      <c r="AY114" s="122" t="str">
        <f t="shared" si="32"/>
        <v/>
      </c>
    </row>
    <row r="115" spans="2:51" ht="12.75">
      <c r="B115" s="20" t="str">
        <f t="shared" si="35"/>
        <v/>
      </c>
      <c r="C115" s="5"/>
      <c r="D115" s="5"/>
      <c r="E115" s="5"/>
      <c r="G115" s="5" t="str">
        <f t="shared" si="40"/>
        <v/>
      </c>
      <c r="H115" s="117" t="str">
        <f t="shared" si="38"/>
        <v/>
      </c>
      <c r="I115" s="5" t="str">
        <f t="shared" si="41"/>
        <v/>
      </c>
      <c r="J115" s="5" t="str">
        <f t="shared" si="42"/>
        <v/>
      </c>
      <c r="K115" s="5"/>
      <c r="L115" s="5"/>
      <c r="M115" s="75"/>
      <c r="N115" s="77"/>
      <c r="O115" s="26"/>
      <c r="P115" s="26"/>
      <c r="Q115" s="118" t="str">
        <f>IF(M115=0,"",ROW())</f>
        <v/>
      </c>
      <c r="R115" s="153"/>
      <c r="S115" s="138" t="str">
        <f t="shared" si="33"/>
        <v/>
      </c>
      <c r="T115" s="148"/>
      <c r="U115" s="140"/>
      <c r="V115" s="140"/>
      <c r="W115" s="139"/>
      <c r="X115" s="139"/>
      <c r="Y115" s="148"/>
      <c r="Z115" s="138" t="str">
        <f t="shared" si="34"/>
        <v/>
      </c>
      <c r="AA115" s="138" t="str">
        <f t="shared" si="37"/>
        <v/>
      </c>
      <c r="AB115" s="239"/>
      <c r="AC115" s="325"/>
      <c r="AD115" s="325"/>
      <c r="AE115" s="325"/>
      <c r="AF115" s="325"/>
      <c r="AG115" s="325"/>
      <c r="AH115" s="325"/>
      <c r="AI115" s="325"/>
      <c r="AJ115" s="325"/>
      <c r="AK115" s="325"/>
      <c r="AL115" s="325"/>
      <c r="AM115" s="325"/>
      <c r="AN115" s="325"/>
      <c r="AO115" s="325"/>
      <c r="AP115" s="136"/>
      <c r="AQ115" s="136"/>
      <c r="AR115" s="136" t="str">
        <f t="shared" si="29"/>
        <v/>
      </c>
      <c r="AS115" s="136" t="str">
        <f t="shared" si="30"/>
        <v/>
      </c>
      <c r="AT115" s="5" t="str">
        <f t="shared" si="31"/>
        <v/>
      </c>
      <c r="AV115" s="27" t="str">
        <f t="shared" si="44"/>
        <v/>
      </c>
      <c r="AW115" s="27"/>
      <c r="AY115" s="122" t="str">
        <f t="shared" si="32"/>
        <v/>
      </c>
    </row>
    <row r="116" spans="2:51">
      <c r="AT116" s="3" t="str">
        <f t="shared" si="31"/>
        <v/>
      </c>
      <c r="AV116" s="28"/>
      <c r="AW116" s="27"/>
      <c r="AY116" s="122" t="str">
        <f t="shared" si="32"/>
        <v/>
      </c>
    </row>
    <row r="117" spans="2:51">
      <c r="B117" s="11" t="s">
        <v>23</v>
      </c>
      <c r="AV117" s="28"/>
      <c r="AW117" s="27"/>
    </row>
    <row r="118" spans="2:51">
      <c r="B118" s="18" t="s">
        <v>17</v>
      </c>
      <c r="C118" s="22" t="str">
        <f>+"By"&amp;D120</f>
        <v>ByUnderwriter</v>
      </c>
      <c r="D118" s="23" t="str">
        <f>SUBSTITUTE(SUBSTITUTE(SUBSTITUTE(SUBSTITUTE(SUBSTITUTE(SUBSTITUTE(SUBSTITUTE(C118," ",""),".",""),"&amp;",""),"(",""),")",""),",",""),"/","")&amp;"_"&amp;TRIM(TEXT(C7,"###"))</f>
        <v>ByUnderwriter_9019</v>
      </c>
      <c r="E118" s="8"/>
      <c r="S118" s="283" t="s">
        <v>906</v>
      </c>
      <c r="AV118" s="27" t="str">
        <f>+" CONSTRAINT ["&amp;D118&amp;"] PRIMARY KEY NONCLUSTERED "</f>
        <v xml:space="preserve"> CONSTRAINT [ByUnderwriter_9019]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45">IFERROR(INDEX($G$16:$G$115,C120),"")</f>
        <v>Underwriter</v>
      </c>
      <c r="E120" s="10" t="s">
        <v>5</v>
      </c>
      <c r="G120" s="5" t="str">
        <f>CHAR(34)&amp;D120&amp;" LIKE "&amp;H120&amp;"%{0}%"&amp;H120&amp;CHAR(34)&amp;","</f>
        <v>"Underwriter LIKE '%{0}%'",</v>
      </c>
      <c r="H120" s="3" t="str">
        <f>IF(IFERROR(INDEX($I$16:$I$115,C120),"")="varchar","'","")</f>
        <v>'</v>
      </c>
      <c r="S120" s="282" t="str">
        <f>RIGHT(T2,1)&amp;V3&amp;MID(T2,2,1)&amp;V3&amp;MID(T2,5,1)&amp;LEFT(T2,1)&amp;C7</f>
        <v>RXNXRU9019</v>
      </c>
      <c r="T120" s="282" t="str">
        <f>+C8</f>
        <v>Underwriter</v>
      </c>
      <c r="U120" s="282" t="str">
        <f>+D120</f>
        <v>Underwriter</v>
      </c>
      <c r="V120" s="239" t="str">
        <f>+C10</f>
        <v>2579415e-2599-4fb8-a1f4-3ee3648d87cb</v>
      </c>
      <c r="W120" s="272"/>
      <c r="X120" s="272"/>
      <c r="AV120" s="27" t="str">
        <f t="shared" ref="AV120:AV126" si="46">+IF(D120="","","          ["&amp;D120&amp;"] "&amp;IF(TRIM(E120)="Ascending","ASC","DES")&amp;IF(D121="","",","))</f>
        <v xml:space="preserve">          [Underwriter] ASC</v>
      </c>
      <c r="AW120" s="28"/>
    </row>
    <row r="121" spans="2:51">
      <c r="B121" s="20" t="str">
        <f>IF(C121=0,"",+B120+1)</f>
        <v/>
      </c>
      <c r="C121" s="10"/>
      <c r="D121" s="21" t="str">
        <f t="shared" si="45"/>
        <v/>
      </c>
      <c r="E121" s="10"/>
      <c r="G121" s="5"/>
      <c r="AV121" s="27" t="str">
        <f t="shared" si="46"/>
        <v/>
      </c>
      <c r="AW121" s="28"/>
    </row>
    <row r="122" spans="2:51">
      <c r="B122" s="20" t="str">
        <f t="shared" ref="B122:B127" si="47">IF(C122=0,"",+B121+1)</f>
        <v/>
      </c>
      <c r="C122" s="10"/>
      <c r="D122" s="21" t="str">
        <f t="shared" si="45"/>
        <v/>
      </c>
      <c r="E122" s="10"/>
      <c r="G122" s="5"/>
      <c r="S122" s="287" t="s">
        <v>574</v>
      </c>
      <c r="AV122" s="27" t="str">
        <f t="shared" si="46"/>
        <v/>
      </c>
      <c r="AW122" s="28"/>
    </row>
    <row r="123" spans="2:51">
      <c r="B123" s="20" t="str">
        <f t="shared" si="47"/>
        <v/>
      </c>
      <c r="C123" s="10"/>
      <c r="D123" s="21" t="str">
        <f t="shared" si="45"/>
        <v/>
      </c>
      <c r="E123" s="10"/>
      <c r="G123" s="5"/>
      <c r="S123" s="288" t="s">
        <v>312</v>
      </c>
      <c r="T123" s="288" t="s">
        <v>393</v>
      </c>
      <c r="U123" s="288" t="s">
        <v>394</v>
      </c>
      <c r="V123" s="288" t="s">
        <v>390</v>
      </c>
      <c r="W123" s="288" t="s">
        <v>391</v>
      </c>
      <c r="X123" s="288" t="s">
        <v>392</v>
      </c>
      <c r="Y123" s="288" t="s">
        <v>400</v>
      </c>
      <c r="Z123" s="288" t="s">
        <v>436</v>
      </c>
      <c r="AV123" s="27" t="str">
        <f t="shared" si="46"/>
        <v/>
      </c>
      <c r="AW123" s="28"/>
    </row>
    <row r="124" spans="2:51">
      <c r="B124" s="20" t="str">
        <f t="shared" si="47"/>
        <v/>
      </c>
      <c r="C124" s="10"/>
      <c r="D124" s="21" t="str">
        <f t="shared" si="45"/>
        <v/>
      </c>
      <c r="E124" s="10"/>
      <c r="G124" s="5"/>
      <c r="S124" s="239" t="s">
        <v>916</v>
      </c>
      <c r="T124" s="239" t="s">
        <v>908</v>
      </c>
      <c r="U124" s="239" t="str">
        <f>+E8</f>
        <v>Insurers</v>
      </c>
      <c r="V124" s="239"/>
      <c r="W124" s="239"/>
      <c r="X124" s="239" t="str">
        <f>"./"&amp;V2</f>
        <v>./RXNXRU9019.html</v>
      </c>
      <c r="Y124" s="239"/>
      <c r="Z124" s="282" t="str">
        <f>+S120</f>
        <v>RXNXRU9019</v>
      </c>
      <c r="AV124" s="27" t="str">
        <f t="shared" si="46"/>
        <v/>
      </c>
      <c r="AW124" s="28"/>
    </row>
    <row r="125" spans="2:51">
      <c r="B125" s="20" t="str">
        <f t="shared" si="47"/>
        <v/>
      </c>
      <c r="C125" s="10"/>
      <c r="D125" s="21" t="str">
        <f t="shared" si="45"/>
        <v/>
      </c>
      <c r="E125" s="10"/>
      <c r="G125" s="5"/>
      <c r="AV125" s="27" t="str">
        <f t="shared" si="46"/>
        <v/>
      </c>
      <c r="AW125" s="28"/>
    </row>
    <row r="126" spans="2:51">
      <c r="B126" s="20" t="str">
        <f t="shared" si="47"/>
        <v/>
      </c>
      <c r="C126" s="10"/>
      <c r="D126" s="21" t="str">
        <f t="shared" si="45"/>
        <v/>
      </c>
      <c r="E126" s="10"/>
      <c r="G126" s="5"/>
      <c r="AV126" s="27" t="str">
        <f t="shared" si="46"/>
        <v/>
      </c>
      <c r="AW126" s="28"/>
    </row>
    <row r="127" spans="2:51">
      <c r="B127" s="20" t="str">
        <f t="shared" si="47"/>
        <v/>
      </c>
      <c r="C127" s="19"/>
      <c r="D127" s="21" t="str">
        <f t="shared" si="45"/>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N132" s="122"/>
      <c r="O132" s="122"/>
      <c r="P132" s="122"/>
      <c r="Q132" s="160"/>
      <c r="R132" s="161"/>
      <c r="S132" s="162"/>
      <c r="T132" s="162"/>
      <c r="U132" s="162"/>
      <c r="V132" s="162"/>
      <c r="W132" s="162"/>
      <c r="X132" s="162"/>
      <c r="Y132" s="162"/>
      <c r="AV132" s="27" t="s">
        <v>0</v>
      </c>
      <c r="AW132" s="28"/>
    </row>
    <row r="133" spans="2:49">
      <c r="B133" s="273" t="str">
        <f>REPT(" ",6)&amp;CHAR(34)&amp;"TokenKey"&amp;CHAR(34)&amp;": "&amp;CHAR(34)&amp;C10&amp;CHAR(34)&amp;","</f>
        <v xml:space="preserve">      "TokenKey": "2579415e-2599-4fb8-a1f4-3ee3648d87cb",</v>
      </c>
      <c r="C133" s="122"/>
      <c r="D133" s="122"/>
      <c r="E133" s="122"/>
      <c r="F133" s="122"/>
      <c r="G133" s="122"/>
      <c r="H133" s="122"/>
      <c r="I133" s="122"/>
      <c r="J133" s="122"/>
      <c r="K133" s="122"/>
      <c r="L133" s="122"/>
      <c r="M133" s="122"/>
      <c r="N133" s="122"/>
      <c r="O133" s="122"/>
      <c r="P133" s="122"/>
      <c r="Q133" s="160"/>
      <c r="R133" s="161"/>
      <c r="S133" s="162"/>
      <c r="T133" s="162"/>
      <c r="U133" s="162"/>
      <c r="V133" s="162"/>
      <c r="W133" s="162"/>
      <c r="X133" s="162"/>
      <c r="Y133" s="162"/>
      <c r="AV133" s="28" t="s">
        <v>1</v>
      </c>
      <c r="AW133" s="28"/>
    </row>
    <row r="134" spans="2:49">
      <c r="B134" s="273" t="str">
        <f>REPT(" ",6)&amp;CHAR(34)&amp;"TableName"&amp;CHAR(34)&amp;": "&amp;CHAR(34)&amp;C8&amp;CHAR(34)&amp;","</f>
        <v xml:space="preserve">      "TableName": "Underwriter",</v>
      </c>
      <c r="C134" s="122"/>
      <c r="D134" s="122"/>
      <c r="E134" s="122"/>
      <c r="F134" s="122"/>
      <c r="G134" s="122"/>
      <c r="H134" s="122"/>
      <c r="I134" s="122"/>
      <c r="J134" s="122"/>
      <c r="K134" s="122"/>
      <c r="L134" s="122"/>
      <c r="M134" s="122"/>
      <c r="N134" s="122"/>
      <c r="O134" s="122"/>
      <c r="P134" s="122"/>
      <c r="Q134" s="160"/>
      <c r="R134" s="161"/>
      <c r="S134" s="162"/>
      <c r="T134" s="162"/>
      <c r="U134" s="162"/>
      <c r="V134" s="162"/>
      <c r="W134" s="162"/>
      <c r="X134" s="162"/>
      <c r="Y134" s="162"/>
      <c r="AV134" s="27" t="s">
        <v>9</v>
      </c>
      <c r="AW134" s="28"/>
    </row>
    <row r="135" spans="2:49">
      <c r="B135" s="273" t="str">
        <f>REPT(" ",6)&amp;CHAR(34)&amp;"Description"&amp;CHAR(34)&amp;": "&amp;CHAR(34)&amp;E8&amp;CHAR(34)&amp;","</f>
        <v xml:space="preserve">      "Description": "Insurers",</v>
      </c>
      <c r="C135" s="122"/>
      <c r="D135" s="122"/>
      <c r="E135" s="122"/>
      <c r="F135" s="122"/>
      <c r="G135" s="122"/>
      <c r="H135" s="122"/>
      <c r="I135" s="122"/>
      <c r="J135" s="122"/>
      <c r="K135" s="122"/>
      <c r="L135" s="122"/>
      <c r="M135" s="122"/>
      <c r="N135" s="122"/>
      <c r="O135" s="122"/>
      <c r="P135" s="122"/>
      <c r="Q135" s="160"/>
      <c r="R135" s="161"/>
      <c r="S135" s="162"/>
      <c r="T135" s="162"/>
      <c r="U135" s="162"/>
      <c r="V135" s="162"/>
      <c r="W135" s="162"/>
      <c r="X135" s="162"/>
      <c r="Y135" s="162"/>
      <c r="AV135" s="27" t="s">
        <v>0</v>
      </c>
      <c r="AW135" s="28"/>
    </row>
    <row r="136" spans="2:49">
      <c r="B136" s="273" t="str">
        <f>REPT(" ",6)&amp;CHAR(34)&amp;"SelectFields"&amp;CHAR(34)&amp;": "&amp;CHAR(34)&amp;C11&amp;CHAR(34)&amp;","</f>
        <v xml:space="preserve">      "SelectFields": "Underwriter,CrossReference,Name,Address1,Address2,Address3,PostCode,City,PhoneBusiness,PhoneHome,Facsimile,AccountContact,Addressee,Salutation,DaysCredit,TrueUnderwriter,EntryBy,EntryDate,FinanceContact,GeneralClaimContact,Type,InsuranceLine,VATPayType,PhoneFinance,PhoneClaims,FaxFinance,FaxClaims",</v>
      </c>
      <c r="C136" s="122"/>
      <c r="D136" s="122"/>
      <c r="E136" s="122"/>
      <c r="F136" s="122"/>
      <c r="G136" s="122"/>
      <c r="H136" s="122"/>
      <c r="I136" s="122"/>
      <c r="J136" s="122"/>
      <c r="K136" s="122"/>
      <c r="L136" s="122"/>
      <c r="M136" s="122"/>
      <c r="N136" s="122"/>
      <c r="O136" s="122"/>
      <c r="P136" s="122"/>
      <c r="Q136" s="160"/>
      <c r="R136" s="161"/>
      <c r="S136" s="162"/>
      <c r="T136" s="162"/>
      <c r="U136" s="162"/>
      <c r="V136" s="162"/>
      <c r="W136" s="162"/>
      <c r="X136" s="162"/>
      <c r="Y136" s="162"/>
      <c r="AV136" s="28" t="s">
        <v>1</v>
      </c>
      <c r="AW136" s="28"/>
    </row>
    <row r="137" spans="2:49">
      <c r="B137" s="273" t="str">
        <f>REPT(" ",6)&amp;CHAR(34)&amp;"Primarykeys"&amp;CHAR(34)&amp;": ["&amp;CHAR(34)&amp;D120&amp;CHAR(34)&amp;"],"</f>
        <v xml:space="preserve">      "Primarykeys": ["Underwriter"],</v>
      </c>
      <c r="C137" s="122"/>
      <c r="D137" s="122"/>
      <c r="E137" s="122"/>
      <c r="F137" s="122"/>
      <c r="G137" s="122"/>
      <c r="H137" s="122"/>
      <c r="I137" s="122"/>
      <c r="J137" s="122"/>
      <c r="K137" s="122"/>
      <c r="L137" s="122"/>
      <c r="M137" s="122"/>
      <c r="N137" s="122"/>
      <c r="O137" s="122"/>
      <c r="P137" s="122"/>
      <c r="Q137" s="160"/>
      <c r="R137" s="161"/>
      <c r="S137" s="162"/>
      <c r="T137" s="162"/>
      <c r="U137" s="162"/>
      <c r="V137" s="162"/>
      <c r="W137" s="162"/>
      <c r="X137" s="162"/>
      <c r="Y137" s="162"/>
    </row>
    <row r="138" spans="2:49">
      <c r="B138" s="273" t="str">
        <f>REPT(" ",6)&amp;CHAR(34)&amp;"QueryStr"&amp;CHAR(34)&amp;": "&amp;G120</f>
        <v xml:space="preserve">      "QueryStr": "Underwriter LIKE '%{0}%'",</v>
      </c>
      <c r="C138" s="122"/>
      <c r="D138" s="122"/>
      <c r="E138" s="122"/>
      <c r="F138" s="122"/>
      <c r="G138" s="122"/>
      <c r="H138" s="122"/>
      <c r="I138" s="122"/>
      <c r="J138" s="122"/>
      <c r="K138" s="122"/>
      <c r="L138" s="122"/>
      <c r="M138" s="122"/>
      <c r="N138" s="122"/>
      <c r="O138" s="122"/>
      <c r="P138" s="122"/>
      <c r="Q138" s="160"/>
      <c r="R138" s="161"/>
      <c r="S138" s="162"/>
      <c r="T138" s="162"/>
      <c r="U138" s="162"/>
      <c r="V138" s="162"/>
      <c r="W138" s="162"/>
      <c r="X138" s="162"/>
      <c r="Y138" s="162"/>
    </row>
    <row r="139" spans="2:49">
      <c r="B139" s="273" t="str">
        <f>REPT(" ",6)&amp;CHAR(34)&amp;"Limit"&amp;CHAR(34)&amp;": "&amp;E7&amp;","</f>
        <v xml:space="preserve">      "Limit": 0,</v>
      </c>
      <c r="C139" s="122"/>
      <c r="D139" s="122"/>
      <c r="E139" s="122"/>
      <c r="F139" s="122"/>
      <c r="G139" s="122"/>
      <c r="H139" s="122"/>
      <c r="I139" s="122"/>
      <c r="J139" s="122"/>
      <c r="K139" s="122"/>
      <c r="L139" s="122"/>
      <c r="M139" s="122"/>
      <c r="N139" s="122"/>
      <c r="O139" s="122"/>
      <c r="P139" s="122"/>
      <c r="Q139" s="160"/>
      <c r="R139" s="161"/>
      <c r="S139" s="162"/>
      <c r="T139" s="162"/>
      <c r="U139" s="162"/>
      <c r="V139" s="162"/>
      <c r="W139" s="162"/>
      <c r="X139" s="162"/>
      <c r="Y139" s="162"/>
    </row>
    <row r="140" spans="2:49">
      <c r="B140" s="273" t="str">
        <f>REPT(" ",6)&amp;CHAR(34)&amp;"TaskModels"&amp;CHAR(34)&amp;": [],"</f>
        <v xml:space="preserve">      "TaskModels": [],</v>
      </c>
      <c r="C140" s="122"/>
      <c r="D140" s="122"/>
      <c r="E140" s="122"/>
      <c r="F140" s="122"/>
      <c r="G140" s="122"/>
      <c r="H140" s="122"/>
      <c r="I140" s="122"/>
      <c r="J140" s="122"/>
      <c r="K140" s="122"/>
      <c r="L140" s="122"/>
      <c r="M140" s="122"/>
      <c r="N140" s="122"/>
      <c r="O140" s="122"/>
      <c r="P140" s="122"/>
      <c r="Q140" s="160"/>
      <c r="R140" s="161"/>
      <c r="S140" s="162"/>
      <c r="T140" s="162"/>
      <c r="U140" s="162"/>
      <c r="V140" s="162"/>
      <c r="W140" s="162"/>
      <c r="X140" s="162"/>
      <c r="Y140" s="16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c r="N141" s="122"/>
      <c r="O141" s="122"/>
      <c r="P141" s="122"/>
      <c r="Q141" s="160"/>
      <c r="R141" s="161"/>
      <c r="S141" s="162"/>
      <c r="T141" s="162"/>
      <c r="U141" s="162"/>
      <c r="V141" s="162"/>
      <c r="W141" s="162"/>
      <c r="X141" s="162"/>
      <c r="Y141" s="16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c r="N142" s="122"/>
      <c r="O142" s="122"/>
      <c r="P142" s="122"/>
      <c r="Q142" s="160"/>
      <c r="R142" s="161"/>
      <c r="S142" s="162"/>
      <c r="T142" s="162"/>
      <c r="U142" s="162"/>
      <c r="V142" s="162"/>
      <c r="W142" s="162"/>
      <c r="X142" s="162"/>
      <c r="Y142" s="16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c r="N143" s="122"/>
      <c r="O143" s="122"/>
      <c r="P143" s="122"/>
      <c r="Q143" s="160"/>
      <c r="R143" s="161"/>
      <c r="S143" s="162"/>
      <c r="T143" s="162"/>
      <c r="U143" s="162"/>
      <c r="V143" s="162"/>
      <c r="W143" s="162"/>
      <c r="X143" s="162"/>
      <c r="Y143" s="162"/>
    </row>
    <row r="144" spans="2:49">
      <c r="B144" s="273" t="str">
        <f>REPT(" ",6)&amp;CHAR(34)&amp;"LinkSubTasks"&amp;CHAR(34)&amp;": [],"</f>
        <v xml:space="preserve">      "LinkSubTasks": [],</v>
      </c>
      <c r="C144" s="122"/>
      <c r="D144" s="122"/>
      <c r="E144" s="122"/>
      <c r="F144" s="122"/>
      <c r="G144" s="122"/>
      <c r="H144" s="122"/>
      <c r="I144" s="122"/>
      <c r="J144" s="122"/>
      <c r="K144" s="122"/>
      <c r="L144" s="122"/>
      <c r="M144" s="122"/>
      <c r="N144" s="122"/>
      <c r="O144" s="122"/>
      <c r="P144" s="122"/>
      <c r="Q144" s="160"/>
      <c r="R144" s="161"/>
      <c r="S144" s="162"/>
      <c r="T144" s="162"/>
      <c r="U144" s="162"/>
      <c r="V144" s="162"/>
      <c r="W144" s="162"/>
      <c r="X144" s="162"/>
      <c r="Y144" s="162"/>
    </row>
    <row r="145" spans="1:25">
      <c r="B145" s="273" t="str">
        <f>REPT(" ",6)&amp;CHAR(34)&amp;"KeyRights"&amp;CHAR(34)&amp;": "&amp;CHAR(34)&amp;CHAR(34)&amp;","</f>
        <v xml:space="preserve">      "KeyRights": "",</v>
      </c>
      <c r="C145" s="122"/>
      <c r="D145" s="122"/>
      <c r="E145" s="122"/>
      <c r="F145" s="122"/>
      <c r="G145" s="122"/>
      <c r="H145" s="122"/>
      <c r="I145" s="122"/>
      <c r="J145" s="122"/>
      <c r="K145" s="122"/>
      <c r="L145" s="122"/>
      <c r="M145" s="122"/>
      <c r="N145" s="122"/>
      <c r="O145" s="122"/>
      <c r="P145" s="122"/>
      <c r="Q145" s="160"/>
      <c r="R145" s="161"/>
      <c r="S145" s="162"/>
      <c r="T145" s="162"/>
      <c r="U145" s="162"/>
      <c r="V145" s="162"/>
      <c r="W145" s="162"/>
      <c r="X145" s="162"/>
      <c r="Y145" s="162"/>
    </row>
    <row r="146" spans="1:25">
      <c r="B146" s="273" t="str">
        <f>REPT(" ",6)&amp;CHAR(34)&amp;"Active"&amp;CHAR(34)&amp;": "&amp;CHAR(34)&amp;"True"&amp;CHAR(34)&amp;","</f>
        <v xml:space="preserve">      "Active": "True",</v>
      </c>
      <c r="C146" s="122"/>
      <c r="D146" s="122"/>
      <c r="E146" s="122"/>
      <c r="F146" s="122"/>
      <c r="G146" s="122"/>
      <c r="H146" s="122"/>
      <c r="I146" s="122"/>
      <c r="J146" s="122"/>
      <c r="K146" s="122"/>
      <c r="L146" s="122"/>
      <c r="M146" s="122"/>
      <c r="N146" s="122"/>
      <c r="O146" s="122"/>
      <c r="P146" s="122"/>
      <c r="Q146" s="160"/>
      <c r="R146" s="161"/>
      <c r="S146" s="162"/>
      <c r="T146" s="162"/>
      <c r="U146" s="162"/>
      <c r="V146" s="162"/>
      <c r="W146" s="162"/>
      <c r="X146" s="162"/>
      <c r="Y146" s="162"/>
    </row>
    <row r="147" spans="1:25">
      <c r="B147" s="273" t="str">
        <f>REPT(" ",6)&amp;CHAR(34)&amp;"Category"&amp;CHAR(34)&amp;": "&amp;CHAR(34)&amp;E5&amp;CHAR(34)&amp;","</f>
        <v xml:space="preserve">      "Category": "CBS",</v>
      </c>
      <c r="C147" s="122"/>
      <c r="D147" s="122"/>
      <c r="E147" s="122"/>
      <c r="F147" s="122"/>
      <c r="G147" s="122"/>
      <c r="H147" s="122"/>
      <c r="I147" s="122"/>
      <c r="J147" s="122"/>
      <c r="K147" s="122"/>
      <c r="L147" s="122"/>
      <c r="M147" s="122"/>
      <c r="N147" s="122"/>
      <c r="O147" s="122"/>
      <c r="P147" s="122"/>
      <c r="Q147" s="160"/>
      <c r="R147" s="161"/>
      <c r="S147" s="162"/>
      <c r="T147" s="162"/>
      <c r="U147" s="162"/>
      <c r="V147" s="162"/>
      <c r="W147" s="162"/>
      <c r="X147" s="162"/>
      <c r="Y147" s="162"/>
    </row>
    <row r="148" spans="1:25">
      <c r="B148" s="273" t="str">
        <f>"     }"</f>
        <v xml:space="preserve">     }</v>
      </c>
      <c r="C148" s="122"/>
      <c r="D148" s="122"/>
      <c r="E148" s="122"/>
      <c r="F148" s="122"/>
      <c r="G148" s="122"/>
      <c r="H148" s="122"/>
      <c r="I148" s="122"/>
      <c r="J148" s="122"/>
      <c r="K148" s="122"/>
      <c r="L148" s="122"/>
      <c r="M148" s="122"/>
      <c r="N148" s="122"/>
      <c r="O148" s="122"/>
      <c r="P148" s="122"/>
      <c r="Q148" s="160"/>
      <c r="R148" s="161"/>
      <c r="S148" s="162"/>
      <c r="T148" s="162"/>
      <c r="U148" s="162"/>
      <c r="V148" s="162"/>
      <c r="W148" s="162"/>
      <c r="X148" s="162"/>
      <c r="Y148" s="162"/>
    </row>
    <row r="149" spans="1:25">
      <c r="B149" s="273" t="s">
        <v>898</v>
      </c>
      <c r="C149" s="122"/>
      <c r="D149" s="122"/>
      <c r="E149" s="122"/>
      <c r="F149" s="122"/>
      <c r="G149" s="122"/>
      <c r="H149" s="122"/>
      <c r="I149" s="122"/>
      <c r="J149" s="122"/>
      <c r="K149" s="122"/>
      <c r="L149" s="122"/>
      <c r="M149" s="122"/>
    </row>
    <row r="150" spans="1:25">
      <c r="A150" s="14"/>
      <c r="B150" s="14"/>
      <c r="C150" s="14"/>
      <c r="D150" s="14"/>
      <c r="E150" s="14"/>
      <c r="F150" s="14"/>
      <c r="G150" s="14"/>
      <c r="H150" s="14"/>
      <c r="I150" s="14"/>
      <c r="J150" s="14"/>
      <c r="K150" s="14"/>
      <c r="L150" s="14"/>
      <c r="M150" s="14"/>
      <c r="N150" s="14"/>
      <c r="O150" s="14"/>
    </row>
    <row r="151" spans="1:25">
      <c r="A151" s="14"/>
      <c r="B151" s="274"/>
      <c r="C151" s="14"/>
      <c r="D151" s="232"/>
      <c r="E151" s="14"/>
      <c r="F151" s="14"/>
      <c r="G151" s="14"/>
      <c r="H151" s="14"/>
      <c r="I151" s="14"/>
      <c r="J151" s="14"/>
      <c r="K151" s="14"/>
      <c r="L151" s="14"/>
      <c r="M151" s="14"/>
      <c r="N151" s="14"/>
      <c r="O151" s="14"/>
    </row>
    <row r="152" spans="1:25">
      <c r="A152" s="14"/>
      <c r="B152" s="275"/>
      <c r="C152" s="275"/>
      <c r="D152" s="275"/>
      <c r="E152" s="275"/>
      <c r="F152" s="14"/>
      <c r="G152" s="276"/>
      <c r="H152" s="14"/>
      <c r="I152" s="14"/>
      <c r="J152" s="14"/>
      <c r="K152" s="14"/>
      <c r="L152" s="14"/>
      <c r="M152" s="14"/>
      <c r="N152" s="14"/>
      <c r="O152" s="14"/>
      <c r="P152" s="4"/>
    </row>
    <row r="153" spans="1:25">
      <c r="A153" s="14"/>
      <c r="B153" s="277"/>
      <c r="C153" s="277"/>
      <c r="D153" s="278"/>
      <c r="E153" s="14"/>
      <c r="F153" s="14"/>
      <c r="G153" s="14"/>
      <c r="H153" s="14"/>
      <c r="I153" s="14"/>
      <c r="J153" s="14"/>
      <c r="K153" s="14"/>
      <c r="L153" s="14"/>
      <c r="M153" s="14"/>
      <c r="N153" s="14"/>
      <c r="O153" s="14"/>
    </row>
    <row r="154" spans="1:25">
      <c r="A154" s="14"/>
      <c r="B154" s="277"/>
      <c r="C154" s="277"/>
      <c r="D154" s="278"/>
      <c r="E154" s="14"/>
      <c r="F154" s="14"/>
      <c r="G154" s="14"/>
      <c r="H154" s="14"/>
      <c r="I154" s="14"/>
      <c r="J154" s="14"/>
      <c r="K154" s="14"/>
      <c r="L154" s="14"/>
      <c r="M154" s="14"/>
      <c r="N154" s="14"/>
      <c r="O154" s="14"/>
    </row>
    <row r="155" spans="1:25">
      <c r="A155" s="14"/>
      <c r="B155" s="14"/>
      <c r="C155" s="14"/>
      <c r="D155" s="14"/>
      <c r="E155" s="14"/>
      <c r="F155" s="14"/>
      <c r="G155" s="14"/>
      <c r="H155" s="14"/>
      <c r="I155" s="14"/>
      <c r="J155" s="14"/>
      <c r="K155" s="14"/>
      <c r="L155" s="14"/>
      <c r="M155" s="14"/>
      <c r="N155" s="14"/>
      <c r="O155" s="14"/>
    </row>
    <row r="156" spans="1:25">
      <c r="A156" s="14"/>
      <c r="B156" s="14"/>
      <c r="C156" s="14"/>
      <c r="D156" s="14"/>
      <c r="E156" s="14"/>
      <c r="F156" s="14"/>
      <c r="G156" s="14"/>
      <c r="H156" s="14"/>
      <c r="I156" s="14"/>
      <c r="J156" s="14"/>
      <c r="K156" s="14"/>
      <c r="L156" s="14"/>
      <c r="M156" s="14"/>
      <c r="N156" s="14"/>
      <c r="O156" s="14"/>
    </row>
    <row r="157" spans="1:25">
      <c r="A157" s="14"/>
      <c r="B157" s="14"/>
      <c r="C157" s="14"/>
      <c r="D157" s="14"/>
      <c r="E157" s="14"/>
      <c r="F157" s="14"/>
      <c r="G157" s="14"/>
      <c r="H157" s="14"/>
      <c r="I157" s="14"/>
      <c r="J157" s="14"/>
      <c r="K157" s="14"/>
      <c r="L157" s="14"/>
      <c r="M157" s="14"/>
      <c r="N157" s="14"/>
      <c r="O157" s="14"/>
    </row>
    <row r="158" spans="1:25">
      <c r="A158" s="14"/>
      <c r="B158" s="14"/>
      <c r="C158" s="14"/>
      <c r="D158" s="14"/>
      <c r="E158" s="14"/>
      <c r="F158" s="14"/>
      <c r="G158" s="14"/>
      <c r="H158" s="14"/>
      <c r="I158" s="14"/>
      <c r="J158" s="14"/>
      <c r="K158" s="14"/>
      <c r="L158" s="14"/>
      <c r="M158" s="14"/>
      <c r="N158" s="14"/>
      <c r="O158" s="14"/>
    </row>
    <row r="161" spans="11:16">
      <c r="K161" s="107"/>
    </row>
    <row r="162" spans="11:16">
      <c r="K162" s="115"/>
    </row>
    <row r="163" spans="11:16">
      <c r="K163" s="107"/>
      <c r="L163" s="107"/>
    </row>
    <row r="164" spans="11:16">
      <c r="K164" s="107"/>
      <c r="L164" s="107"/>
      <c r="P164" s="107"/>
    </row>
    <row r="165" spans="11:16">
      <c r="K165" s="107"/>
      <c r="L165" s="107"/>
    </row>
    <row r="166" spans="11:16">
      <c r="K166" s="107"/>
      <c r="L166" s="107"/>
      <c r="O166" s="107"/>
    </row>
    <row r="167" spans="11:16">
      <c r="K167" s="107"/>
    </row>
    <row r="168" spans="11:16">
      <c r="K168" s="107"/>
    </row>
    <row r="169" spans="11:16">
      <c r="K169" s="107"/>
    </row>
    <row r="170" spans="11:16">
      <c r="K170" s="107"/>
      <c r="L170" s="107"/>
    </row>
    <row r="171" spans="11:16">
      <c r="K171" s="107"/>
      <c r="L171" s="107"/>
    </row>
    <row r="172" spans="11:16">
      <c r="K172" s="107"/>
      <c r="L172" s="107"/>
    </row>
    <row r="173" spans="11:16">
      <c r="K173" s="107"/>
      <c r="L173" s="107"/>
      <c r="O173" s="107"/>
    </row>
    <row r="174" spans="11:16">
      <c r="K174" s="107"/>
    </row>
  </sheetData>
  <mergeCells count="1">
    <mergeCell ref="N14:P14"/>
  </mergeCells>
  <dataValidations count="3">
    <dataValidation type="list" showInputMessage="1" showErrorMessage="1" sqref="W16:X115 X2 V6:V7 AL11:AL12 T7 X6" xr:uid="{7FC17F30-302E-407B-814D-32FE1C88BED0}">
      <formula1>aBoolean</formula1>
    </dataValidation>
    <dataValidation type="list" showInputMessage="1" showErrorMessage="1" sqref="U16" xr:uid="{DE078E27-7FE6-4329-8DC1-48CC0257FFA2}">
      <formula1>aDataType</formula1>
    </dataValidation>
    <dataValidation type="list" showInputMessage="1" showErrorMessage="1" sqref="V16" xr:uid="{D399EBE4-154F-4A72-B449-AD48699B7714}">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4746F924-281A-48B3-93B9-D07BAF9E45DF}">
          <x14:formula1>
            <xm:f>Variables!$B$22:$B$25</xm:f>
          </x14:formula1>
          <xm:sqref>E6</xm:sqref>
        </x14:dataValidation>
        <x14:dataValidation type="list" allowBlank="1" showInputMessage="1" showErrorMessage="1" xr:uid="{A8E53496-758A-40E8-87F2-C9F4C022142F}">
          <x14:formula1>
            <xm:f>Variables!$E$17:$E$22</xm:f>
          </x14:formula1>
          <xm:sqref>C6</xm:sqref>
        </x14:dataValidation>
        <x14:dataValidation type="list" allowBlank="1" showInputMessage="1" showErrorMessage="1" xr:uid="{7E8017D2-6170-4032-978F-E116F6F92E96}">
          <x14:formula1>
            <xm:f>Variables!$I$28:$I$35</xm:f>
          </x14:formula1>
          <xm:sqref>T6</xm:sqref>
        </x14:dataValidation>
        <x14:dataValidation type="list" allowBlank="1" showInputMessage="1" showErrorMessage="1" xr:uid="{6E4B2E07-9A7F-4470-BD2C-E4A723F80A7F}">
          <x14:formula1>
            <xm:f>Variables!$G$6:$G$8</xm:f>
          </x14:formula1>
          <xm:sqref>T5</xm:sqref>
        </x14:dataValidation>
        <x14:dataValidation type="list" allowBlank="1" showInputMessage="1" showErrorMessage="1" xr:uid="{58B20B23-B897-4C87-8336-0A0A6F43D0BC}">
          <x14:formula1>
            <xm:f>Variables!$G$12:$G$14</xm:f>
          </x14:formula1>
          <xm:sqref>AA16:AA115</xm:sqref>
        </x14:dataValidation>
        <x14:dataValidation type="list" showInputMessage="1" showErrorMessage="1" xr:uid="{DFF9B646-AFBD-4B4F-9867-F877A2DAFEB5}">
          <x14:formula1>
            <xm:f>Variables!$G$17:$G$22</xm:f>
          </x14:formula1>
          <xm:sqref>T8:T10</xm:sqref>
        </x14:dataValidation>
        <x14:dataValidation type="list" allowBlank="1" showInputMessage="1" showErrorMessage="1" xr:uid="{C361C23D-0BD1-48A8-B295-CCEE2A350991}">
          <x14:formula1>
            <xm:f>Variables!E$28:E$34</xm:f>
          </x14:formula1>
          <xm:sqref>AJ16:AJ115</xm:sqref>
        </x14:dataValidation>
        <x14:dataValidation type="list" allowBlank="1" showInputMessage="1" showErrorMessage="1" xr:uid="{2092E54C-5890-4DF5-A70E-5E4B36503215}">
          <x14:formula1>
            <xm:f>Variables!E$28:E$34</xm:f>
          </x14:formula1>
          <xm:sqref>AM16:AM115</xm:sqref>
        </x14:dataValidation>
        <x14:dataValidation type="list" allowBlank="1" showInputMessage="1" showErrorMessage="1" xr:uid="{1D602489-6C49-46E3-8C98-00F12729C2EF}">
          <x14:formula1>
            <xm:f>Variables!G$38:G$45</xm:f>
          </x14:formula1>
          <xm:sqref>X5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F00F6-8F68-495A-869A-5C60D8ABB687}">
  <sheetPr codeName="Sheet22">
    <tabColor theme="4" tint="0.79998168889431442"/>
  </sheetPr>
  <dimension ref="B1:AY174"/>
  <sheetViews>
    <sheetView showGridLines="0" workbookViewId="0">
      <pane xSplit="6" ySplit="15" topLeftCell="G16" activePane="bottomRight" state="frozen"/>
      <selection activeCell="C12" sqref="C12"/>
      <selection pane="topRight" activeCell="C12" sqref="C12"/>
      <selection pane="bottomLeft" activeCell="C12" sqref="C12"/>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5.5703125" style="134" bestFit="1" customWidth="1"/>
    <col min="23" max="23" width="13.5703125" style="134" bestFit="1" customWidth="1"/>
    <col min="24" max="24" width="14" style="134" bestFit="1" customWidth="1"/>
    <col min="25" max="25" width="10.85546875" style="134" customWidth="1"/>
    <col min="26" max="26" width="10"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6"/>
      <c r="AV1" s="13" t="s">
        <v>430</v>
      </c>
    </row>
    <row r="2" spans="2:51">
      <c r="S2" s="255" t="s">
        <v>875</v>
      </c>
      <c r="T2" s="240" t="str" cm="1">
        <f t="array" ref="T2">MID(CELL("filename",A1),FIND("]",CELL("filename",A1))+1,255)</f>
        <v>USERS</v>
      </c>
      <c r="U2" s="255" t="s">
        <v>874</v>
      </c>
      <c r="V2" s="253" t="str">
        <f>UPPER(RIGHT(T2,1)&amp;V3&amp;MID(T2,2,1)&amp;V3&amp;MID(T2,5,1)&amp;LEFT(T2,1)&amp;C7)&amp;".html"</f>
        <v>SSSU9019.html</v>
      </c>
      <c r="W2" s="255" t="s">
        <v>1071</v>
      </c>
      <c r="X2" s="245" t="s">
        <v>379</v>
      </c>
      <c r="AV2" s="27" t="str">
        <f>+"USE "&amp;TRIM(C5)</f>
        <v>USE SIBISDB</v>
      </c>
      <c r="AW2" s="27"/>
    </row>
    <row r="3" spans="2:51">
      <c r="B3" s="222" t="s">
        <v>577</v>
      </c>
      <c r="C3" s="102" t="str">
        <f>+DBTableList!G5</f>
        <v>http://wikran-w10:8081</v>
      </c>
      <c r="D3" s="222" t="s">
        <v>775</v>
      </c>
      <c r="E3" s="5" t="s">
        <v>776</v>
      </c>
      <c r="U3" s="254" t="s">
        <v>876</v>
      </c>
      <c r="V3" s="240" t="str">
        <f>IF(ISERROR(FIND("EntryBy",C11)),"","X")</f>
        <v/>
      </c>
      <c r="AV3" s="27" t="s">
        <v>0</v>
      </c>
      <c r="AW3" s="27"/>
    </row>
    <row r="4" spans="2:51">
      <c r="B4" s="222" t="s">
        <v>854</v>
      </c>
      <c r="C4" s="218" t="str">
        <f>+DBTableList!G6</f>
        <v>pythonLT</v>
      </c>
      <c r="D4" s="105" t="s">
        <v>412</v>
      </c>
      <c r="E4" s="120" t="s">
        <v>407</v>
      </c>
      <c r="S4" s="256" t="s">
        <v>872</v>
      </c>
      <c r="AV4" s="28" t="s">
        <v>1</v>
      </c>
      <c r="AW4" s="27"/>
    </row>
    <row r="5" spans="2:51">
      <c r="B5" s="100" t="s">
        <v>19</v>
      </c>
      <c r="C5" s="101" t="s">
        <v>20</v>
      </c>
      <c r="D5" s="248" t="s">
        <v>408</v>
      </c>
      <c r="E5" s="5" t="str">
        <f>+DBTableList!$G$4</f>
        <v>CBS</v>
      </c>
      <c r="S5" s="241" t="s">
        <v>873</v>
      </c>
      <c r="T5" s="244" t="s">
        <v>569</v>
      </c>
      <c r="U5" s="243" t="s">
        <v>377</v>
      </c>
      <c r="V5" s="240" t="str">
        <f>CHAR(34)&amp;E8&amp;" Info"&amp;CHAR(34)</f>
        <v>"Main User Info"</v>
      </c>
      <c r="W5" s="242"/>
      <c r="X5" s="240"/>
      <c r="AV5" s="28" t="s">
        <v>1</v>
      </c>
      <c r="AW5" s="27"/>
    </row>
    <row r="6" spans="2:51">
      <c r="B6" s="250" t="s">
        <v>10</v>
      </c>
      <c r="C6" s="5" t="s">
        <v>849</v>
      </c>
      <c r="D6" s="249" t="s">
        <v>429</v>
      </c>
      <c r="E6" s="5" t="s">
        <v>423</v>
      </c>
      <c r="G6" s="216"/>
      <c r="S6" s="242" t="s">
        <v>514</v>
      </c>
      <c r="T6" s="245" t="s">
        <v>506</v>
      </c>
      <c r="U6" s="242" t="s">
        <v>507</v>
      </c>
      <c r="V6" s="245" t="s">
        <v>367</v>
      </c>
      <c r="W6" s="242"/>
      <c r="X6" s="240"/>
      <c r="AV6" s="27" t="s">
        <v>2</v>
      </c>
      <c r="AW6" s="27"/>
    </row>
    <row r="7" spans="2:51">
      <c r="B7" s="100" t="s">
        <v>315</v>
      </c>
      <c r="C7" s="17">
        <v>9019</v>
      </c>
      <c r="D7" s="100" t="str">
        <f>"LIMIT "&amp;IF(E7=0,"(MAX)","")</f>
        <v>LIMIT (MAX)</v>
      </c>
      <c r="E7" s="17">
        <v>0</v>
      </c>
      <c r="F7" s="216"/>
      <c r="G7" s="216"/>
      <c r="S7" s="242" t="s">
        <v>508</v>
      </c>
      <c r="T7" s="245" t="s">
        <v>379</v>
      </c>
      <c r="U7" s="242" t="s">
        <v>385</v>
      </c>
      <c r="V7" s="245" t="s">
        <v>379</v>
      </c>
      <c r="W7" s="242"/>
      <c r="X7" s="240"/>
      <c r="AV7" s="27" t="s">
        <v>0</v>
      </c>
      <c r="AW7" s="27"/>
    </row>
    <row r="8" spans="2:51">
      <c r="B8" s="100" t="s">
        <v>16</v>
      </c>
      <c r="C8" s="17" t="s">
        <v>520</v>
      </c>
      <c r="D8" s="105" t="s">
        <v>410</v>
      </c>
      <c r="E8" s="120" t="s">
        <v>521</v>
      </c>
      <c r="S8" s="242" t="s">
        <v>509</v>
      </c>
      <c r="T8" s="245" t="s">
        <v>379</v>
      </c>
      <c r="U8" s="242" t="s">
        <v>380</v>
      </c>
      <c r="V8" s="246">
        <v>1000</v>
      </c>
      <c r="W8" s="242"/>
      <c r="X8" s="240"/>
      <c r="AV8" s="28" t="s">
        <v>1</v>
      </c>
      <c r="AW8" s="27"/>
    </row>
    <row r="9" spans="2:51">
      <c r="B9" s="105" t="s">
        <v>409</v>
      </c>
      <c r="C9" s="102" t="str">
        <f>VLOOKUP(E6,Variables!$B$22:$C$25,2,FALSE)</f>
        <v>cbb91dcb-9e28-438f-91ad-ed5ffe143802</v>
      </c>
      <c r="D9" s="104"/>
      <c r="E9" s="103"/>
      <c r="F9" s="14"/>
      <c r="G9" s="14"/>
      <c r="S9" s="242" t="s">
        <v>510</v>
      </c>
      <c r="T9" s="245" t="s">
        <v>1244</v>
      </c>
      <c r="U9" s="242" t="s">
        <v>378</v>
      </c>
      <c r="V9" s="246">
        <v>525</v>
      </c>
      <c r="W9" s="242"/>
      <c r="X9" s="240"/>
      <c r="AV9" s="27" t="s">
        <v>3</v>
      </c>
      <c r="AW9" s="27"/>
    </row>
    <row r="10" spans="2:51">
      <c r="B10" s="217" t="str">
        <f>HYPERLINK("[http://wikran-w10:8080/Gentoken.html]","TBTOKEN")</f>
        <v>TBTOKEN</v>
      </c>
      <c r="C10" s="102" t="s">
        <v>525</v>
      </c>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IDUsr,LGName,Pword,Description,Kright,Tkey,Active,Gright,Scopebase,Department,Division,Nickname,PictureLoc,email,telephone,otp</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http://wikran-w10:8081/pythonLT/A75FCC75-8FB6-4460-B3F6-7070B4437930/01f518c9-c818-4e9f-85cb-6245ee1a2637/all</v>
      </c>
      <c r="D12" s="104"/>
      <c r="E12" s="104"/>
      <c r="F12" s="104"/>
      <c r="G12" s="104"/>
      <c r="H12" s="104"/>
      <c r="I12" s="104"/>
      <c r="J12" s="104"/>
      <c r="K12" s="104"/>
      <c r="L12" s="103"/>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16</v>
      </c>
      <c r="D14" s="3" t="s">
        <v>496</v>
      </c>
      <c r="E14" s="3">
        <f>+C14+15</f>
        <v>31</v>
      </c>
      <c r="G14" s="16" t="s">
        <v>22</v>
      </c>
      <c r="H14" s="131" t="str">
        <f>IF(IFERROR(FIND("varchar",E22),0)&gt;0,IF(D22&gt;8000,"max",D22),"")</f>
        <v/>
      </c>
      <c r="M14" s="107" t="s">
        <v>369</v>
      </c>
      <c r="N14" s="489" t="s">
        <v>305</v>
      </c>
      <c r="O14" s="490"/>
      <c r="P14" s="491"/>
      <c r="S14" s="257" t="s">
        <v>871</v>
      </c>
      <c r="T14" s="149" t="s">
        <v>893</v>
      </c>
      <c r="AJ14" s="347">
        <f>COUNTBLANK(AJ16:AJ115)</f>
        <v>100</v>
      </c>
      <c r="AK14" s="30" t="s">
        <v>1044</v>
      </c>
      <c r="AM14" s="347">
        <f>COUNTBLANK(AM16:AM115)</f>
        <v>100</v>
      </c>
      <c r="AN14" s="30" t="s">
        <v>1036</v>
      </c>
      <c r="AO14" s="347">
        <f>+AM14+AJ14</f>
        <v>200</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[dbo].[MainUsrs](</v>
      </c>
      <c r="AW15" s="27"/>
      <c r="AY15" s="122" t="str">
        <f>+"CREATE TABLE "&amp;TRIM(C8)&amp;" ("</f>
        <v>CREATE TABLE MainUsrs (</v>
      </c>
    </row>
    <row r="16" spans="2:51" ht="12.75">
      <c r="B16" s="20">
        <f>IF(C16=0,"",1)</f>
        <v>1</v>
      </c>
      <c r="C16" s="5" t="s">
        <v>522</v>
      </c>
      <c r="D16" s="5">
        <v>50</v>
      </c>
      <c r="E16" s="5" t="s">
        <v>11</v>
      </c>
      <c r="G16" s="5" t="str">
        <f t="shared" ref="G16:G32" si="0">SUBSTITUTE(SUBSTITUTE(SUBSTITUTE(SUBSTITUTE(SUBSTITUTE(SUBSTITUTE(SUBSTITUTE(SUBSTITUTE(SUBSTITUTE(C16," ",""),".",""),"#","No"),"%",""),"(",""),"*",""),"-",""),"/",""),")","")</f>
        <v>IDUsr</v>
      </c>
      <c r="H16" s="117">
        <f t="shared" ref="H16:H21" si="1">IF(IFERROR(FIND("varchar",E16),0)&gt;0,IF(D16&gt;8000,"max",D16),"")</f>
        <v>50</v>
      </c>
      <c r="I16" s="5" t="str">
        <f t="shared" ref="I16:I45" si="2">IF(E16=0,"",+E16)</f>
        <v>varchar</v>
      </c>
      <c r="J16" s="5" t="str">
        <f t="shared" ref="J16:J45" si="3">IF(C16=0,"",(IF(ISERROR(VLOOKUP(G16,$D$120:$D$127,1,FALSE)),""," NOT")&amp;" NULL"))</f>
        <v xml:space="preserve"> NOT NULL</v>
      </c>
      <c r="K16" s="5" t="s">
        <v>499</v>
      </c>
      <c r="L16" s="5"/>
      <c r="M16" s="75">
        <v>1</v>
      </c>
      <c r="N16" s="77"/>
      <c r="O16" s="26"/>
      <c r="P16" s="26"/>
      <c r="Q16" s="118">
        <f t="shared" ref="Q16:Q45" si="4">IF(M16=0,"",ROW())</f>
        <v>16</v>
      </c>
      <c r="R16" s="153"/>
      <c r="S16" s="138" t="str">
        <f>IF(+K16=0,"",K16)</f>
        <v>User ID</v>
      </c>
      <c r="T16" s="148"/>
      <c r="U16" s="146"/>
      <c r="V16" s="146"/>
      <c r="W16" s="139" t="s">
        <v>379</v>
      </c>
      <c r="X16" s="139" t="s">
        <v>367</v>
      </c>
      <c r="Y16" s="148">
        <v>100</v>
      </c>
      <c r="Z16" s="138" t="str">
        <f>IF(M16&lt;9000,"","false")</f>
        <v/>
      </c>
      <c r="AA16" s="138" t="str">
        <f>IF($C$120=B16,"asc","")</f>
        <v>asc</v>
      </c>
      <c r="AB16" s="239"/>
      <c r="AC16" s="325"/>
      <c r="AD16" s="325"/>
      <c r="AE16" s="325"/>
      <c r="AF16" s="325"/>
      <c r="AG16" s="325"/>
      <c r="AH16" s="325"/>
      <c r="AI16" s="325"/>
      <c r="AJ16" s="325"/>
      <c r="AK16" s="325"/>
      <c r="AL16" s="325"/>
      <c r="AM16" s="325"/>
      <c r="AN16" s="325"/>
      <c r="AO16" s="325"/>
      <c r="AP16" s="136"/>
      <c r="AQ16" s="136"/>
      <c r="AR16" s="136" t="str">
        <f t="shared" ref="AR16:AS47" si="5">IF(O16=0,"",ROW())</f>
        <v/>
      </c>
      <c r="AS16" s="136" t="str">
        <f t="shared" si="5"/>
        <v/>
      </c>
      <c r="AT16" s="5" t="str">
        <f t="shared" ref="AT16:AT47" si="6">IF(C16="","",C16&amp;IF(B17="","",","))</f>
        <v>IDUsr,</v>
      </c>
      <c r="AV16" s="27" t="str">
        <f t="shared" ref="AV16:AV35" si="7">IF(G16="","",+"          ["&amp;TRIM(G16)&amp;"] ["&amp;TRIM(I16)&amp;"]"&amp;IF(H16="","","("&amp;H16&amp;")")&amp;" "&amp;TRIM(J16)&amp;IF(G17="","",","))</f>
        <v xml:space="preserve">          [IDUsr] [varchar](50) NOT NULL,</v>
      </c>
      <c r="AW16" s="27"/>
      <c r="AY16" s="122" t="str">
        <f t="shared" ref="AY16:AY79" si="8">IF(G16="",IF(OR(AY15=");",AY15=""),"",");"),+"          "&amp;TRIM(G16)&amp;" "&amp;UPPER(TRIM(I16))&amp;IF(H16="",""," ("&amp;H16&amp;")")&amp;" "&amp;IF(TRIM(J16)="NOT NULL","PRIMARY KEY UNIQUE NOT NULL",TRIM(J16))&amp;IF(G17="","",","))</f>
        <v xml:space="preserve">          IDUsr VARCHAR (50) PRIMARY KEY UNIQUE NOT NULL,</v>
      </c>
    </row>
    <row r="17" spans="2:51" ht="12.75">
      <c r="B17" s="20">
        <f>IF(C17=0,"",+B16+1)</f>
        <v>2</v>
      </c>
      <c r="C17" s="5" t="s">
        <v>523</v>
      </c>
      <c r="D17" s="5">
        <v>200</v>
      </c>
      <c r="E17" s="5" t="s">
        <v>11</v>
      </c>
      <c r="G17" s="5" t="str">
        <f t="shared" si="0"/>
        <v>LGName</v>
      </c>
      <c r="H17" s="117">
        <f t="shared" si="1"/>
        <v>200</v>
      </c>
      <c r="I17" s="5" t="str">
        <f t="shared" si="2"/>
        <v>varchar</v>
      </c>
      <c r="J17" s="5" t="str">
        <f t="shared" si="3"/>
        <v xml:space="preserve"> NULL</v>
      </c>
      <c r="K17" s="5" t="s">
        <v>493</v>
      </c>
      <c r="L17" s="5"/>
      <c r="M17" s="75">
        <v>2</v>
      </c>
      <c r="N17" s="77"/>
      <c r="O17" s="26"/>
      <c r="P17" s="26"/>
      <c r="Q17" s="118">
        <f t="shared" si="4"/>
        <v>17</v>
      </c>
      <c r="R17" s="153"/>
      <c r="S17" s="138" t="str">
        <f t="shared" ref="S17:S80" si="9">IF(+K17=0,"",K17)</f>
        <v>User Name</v>
      </c>
      <c r="T17" s="148"/>
      <c r="U17" s="146"/>
      <c r="V17" s="146"/>
      <c r="W17" s="139"/>
      <c r="X17" s="139"/>
      <c r="Y17" s="148"/>
      <c r="Z17" s="138" t="str">
        <f t="shared" ref="Z17:Z80" si="10">IF(M17&lt;9000,"","false")</f>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5"/>
        <v/>
      </c>
      <c r="AS17" s="136" t="str">
        <f t="shared" si="5"/>
        <v/>
      </c>
      <c r="AT17" s="5" t="str">
        <f t="shared" si="6"/>
        <v>LGName,</v>
      </c>
      <c r="AV17" s="27" t="str">
        <f t="shared" si="7"/>
        <v xml:space="preserve">          [LGName] [varchar](200) NULL,</v>
      </c>
      <c r="AW17" s="27"/>
      <c r="AY17" s="122" t="str">
        <f t="shared" si="8"/>
        <v xml:space="preserve">          LGName VARCHAR (200) NULL,</v>
      </c>
    </row>
    <row r="18" spans="2:51" ht="12.75">
      <c r="B18" s="20">
        <f t="shared" ref="B18:B81" si="11">IF(C18=0,"",+B17+1)</f>
        <v>3</v>
      </c>
      <c r="C18" s="5" t="s">
        <v>516</v>
      </c>
      <c r="D18" s="5">
        <v>200</v>
      </c>
      <c r="E18" s="5" t="s">
        <v>11</v>
      </c>
      <c r="G18" s="5" t="str">
        <f t="shared" si="0"/>
        <v>Pword</v>
      </c>
      <c r="H18" s="117">
        <f t="shared" si="1"/>
        <v>200</v>
      </c>
      <c r="I18" s="5" t="str">
        <f t="shared" si="2"/>
        <v>varchar</v>
      </c>
      <c r="J18" s="5" t="str">
        <f t="shared" si="3"/>
        <v xml:space="preserve"> NULL</v>
      </c>
      <c r="K18" s="5" t="s">
        <v>413</v>
      </c>
      <c r="L18" s="5"/>
      <c r="M18" s="75">
        <v>9001</v>
      </c>
      <c r="N18" s="77"/>
      <c r="O18" s="26"/>
      <c r="P18" s="26"/>
      <c r="Q18" s="118">
        <f t="shared" si="4"/>
        <v>18</v>
      </c>
      <c r="R18" s="153"/>
      <c r="S18" s="138" t="str">
        <f t="shared" si="9"/>
        <v>Password</v>
      </c>
      <c r="T18" s="148"/>
      <c r="U18" s="146"/>
      <c r="V18" s="146"/>
      <c r="W18" s="139"/>
      <c r="X18" s="139"/>
      <c r="Y18" s="148"/>
      <c r="Z18" s="138" t="str">
        <f t="shared" si="10"/>
        <v>false</v>
      </c>
      <c r="AA18" s="138" t="str">
        <f t="shared" ref="AA18:AA81" si="12">IF($C$120=B18,"asc","")</f>
        <v/>
      </c>
      <c r="AB18" s="239"/>
      <c r="AC18" s="325"/>
      <c r="AD18" s="325"/>
      <c r="AE18" s="325"/>
      <c r="AF18" s="325"/>
      <c r="AG18" s="325"/>
      <c r="AH18" s="325"/>
      <c r="AI18" s="325"/>
      <c r="AJ18" s="325"/>
      <c r="AK18" s="325"/>
      <c r="AL18" s="325"/>
      <c r="AM18" s="325"/>
      <c r="AN18" s="325"/>
      <c r="AO18" s="325"/>
      <c r="AP18" s="136"/>
      <c r="AQ18" s="136"/>
      <c r="AR18" s="136" t="str">
        <f t="shared" si="5"/>
        <v/>
      </c>
      <c r="AS18" s="136" t="str">
        <f t="shared" si="5"/>
        <v/>
      </c>
      <c r="AT18" s="5" t="str">
        <f t="shared" si="6"/>
        <v>Pword,</v>
      </c>
      <c r="AV18" s="27" t="str">
        <f t="shared" si="7"/>
        <v xml:space="preserve">          [Pword] [varchar](200) NULL,</v>
      </c>
      <c r="AW18" s="27"/>
      <c r="AY18" s="122" t="str">
        <f t="shared" si="8"/>
        <v xml:space="preserve">          Pword VARCHAR (200) NULL,</v>
      </c>
    </row>
    <row r="19" spans="2:51" ht="12.75">
      <c r="B19" s="20">
        <f t="shared" si="11"/>
        <v>4</v>
      </c>
      <c r="C19" s="5" t="s">
        <v>54</v>
      </c>
      <c r="D19" s="5">
        <v>200</v>
      </c>
      <c r="E19" s="5" t="s">
        <v>11</v>
      </c>
      <c r="G19" s="5" t="str">
        <f t="shared" si="0"/>
        <v>Description</v>
      </c>
      <c r="H19" s="117">
        <f t="shared" si="1"/>
        <v>200</v>
      </c>
      <c r="I19" s="5" t="str">
        <f t="shared" si="2"/>
        <v>varchar</v>
      </c>
      <c r="J19" s="5" t="str">
        <f t="shared" si="3"/>
        <v xml:space="preserve"> NULL</v>
      </c>
      <c r="K19" s="5" t="s">
        <v>54</v>
      </c>
      <c r="L19" s="5"/>
      <c r="M19" s="75">
        <v>4</v>
      </c>
      <c r="N19" s="77"/>
      <c r="O19" s="26"/>
      <c r="P19" s="26"/>
      <c r="Q19" s="118">
        <f t="shared" si="4"/>
        <v>19</v>
      </c>
      <c r="R19" s="153"/>
      <c r="S19" s="138" t="str">
        <f t="shared" si="9"/>
        <v>Description</v>
      </c>
      <c r="T19" s="148"/>
      <c r="U19" s="146"/>
      <c r="V19" s="146"/>
      <c r="W19" s="139"/>
      <c r="X19" s="139"/>
      <c r="Y19" s="148"/>
      <c r="Z19" s="138" t="str">
        <f t="shared" si="10"/>
        <v/>
      </c>
      <c r="AA19" s="138" t="str">
        <f t="shared" si="12"/>
        <v/>
      </c>
      <c r="AB19" s="239"/>
      <c r="AC19" s="325"/>
      <c r="AD19" s="325"/>
      <c r="AE19" s="325"/>
      <c r="AF19" s="325"/>
      <c r="AG19" s="325"/>
      <c r="AH19" s="325"/>
      <c r="AI19" s="325"/>
      <c r="AJ19" s="325"/>
      <c r="AK19" s="325"/>
      <c r="AL19" s="325"/>
      <c r="AM19" s="325"/>
      <c r="AN19" s="325"/>
      <c r="AO19" s="325"/>
      <c r="AP19" s="136"/>
      <c r="AQ19" s="136"/>
      <c r="AR19" s="136" t="str">
        <f t="shared" si="5"/>
        <v/>
      </c>
      <c r="AS19" s="136" t="str">
        <f t="shared" si="5"/>
        <v/>
      </c>
      <c r="AT19" s="5" t="str">
        <f t="shared" si="6"/>
        <v>Description,</v>
      </c>
      <c r="AV19" s="27" t="str">
        <f t="shared" si="7"/>
        <v xml:space="preserve">          [Description] [varchar](200) NULL,</v>
      </c>
      <c r="AW19" s="27"/>
      <c r="AY19" s="122" t="str">
        <f t="shared" si="8"/>
        <v xml:space="preserve">          Description VARCHAR (200) NULL,</v>
      </c>
    </row>
    <row r="20" spans="2:51" ht="12.75">
      <c r="B20" s="20">
        <f t="shared" si="11"/>
        <v>5</v>
      </c>
      <c r="C20" s="5" t="s">
        <v>517</v>
      </c>
      <c r="D20" s="5">
        <v>200</v>
      </c>
      <c r="E20" s="5" t="s">
        <v>11</v>
      </c>
      <c r="G20" s="5" t="str">
        <f t="shared" si="0"/>
        <v>Kright</v>
      </c>
      <c r="H20" s="117">
        <f t="shared" si="1"/>
        <v>200</v>
      </c>
      <c r="I20" s="5" t="str">
        <f t="shared" si="2"/>
        <v>varchar</v>
      </c>
      <c r="J20" s="5" t="str">
        <f t="shared" si="3"/>
        <v xml:space="preserve"> NULL</v>
      </c>
      <c r="K20" s="5" t="s">
        <v>500</v>
      </c>
      <c r="L20" s="5"/>
      <c r="M20" s="75">
        <v>5</v>
      </c>
      <c r="N20" s="77"/>
      <c r="O20" s="26"/>
      <c r="P20" s="26"/>
      <c r="Q20" s="118">
        <f t="shared" si="4"/>
        <v>20</v>
      </c>
      <c r="R20" s="153"/>
      <c r="S20" s="138" t="str">
        <f t="shared" si="9"/>
        <v>Key Rights</v>
      </c>
      <c r="T20" s="148"/>
      <c r="U20" s="146"/>
      <c r="V20" s="146"/>
      <c r="W20" s="139"/>
      <c r="X20" s="139"/>
      <c r="Y20" s="148"/>
      <c r="Z20" s="138" t="str">
        <f t="shared" si="10"/>
        <v/>
      </c>
      <c r="AA20" s="138" t="str">
        <f t="shared" si="12"/>
        <v/>
      </c>
      <c r="AB20" s="239"/>
      <c r="AC20" s="325"/>
      <c r="AD20" s="325"/>
      <c r="AE20" s="325"/>
      <c r="AF20" s="325"/>
      <c r="AG20" s="325"/>
      <c r="AH20" s="325"/>
      <c r="AI20" s="325"/>
      <c r="AJ20" s="325"/>
      <c r="AK20" s="325"/>
      <c r="AL20" s="325"/>
      <c r="AM20" s="325"/>
      <c r="AN20" s="325"/>
      <c r="AO20" s="325"/>
      <c r="AP20" s="136"/>
      <c r="AQ20" s="136"/>
      <c r="AR20" s="136" t="str">
        <f t="shared" si="5"/>
        <v/>
      </c>
      <c r="AS20" s="136" t="str">
        <f t="shared" si="5"/>
        <v/>
      </c>
      <c r="AT20" s="5" t="str">
        <f t="shared" si="6"/>
        <v>Kright,</v>
      </c>
      <c r="AV20" s="27" t="str">
        <f t="shared" si="7"/>
        <v xml:space="preserve">          [Kright] [varchar](200) NULL,</v>
      </c>
      <c r="AW20" s="27"/>
      <c r="AY20" s="122" t="str">
        <f t="shared" si="8"/>
        <v xml:space="preserve">          Kright VARCHAR (200) NULL,</v>
      </c>
    </row>
    <row r="21" spans="2:51" ht="12.75">
      <c r="B21" s="20">
        <f t="shared" si="11"/>
        <v>6</v>
      </c>
      <c r="C21" s="5" t="s">
        <v>518</v>
      </c>
      <c r="D21" s="5">
        <v>200</v>
      </c>
      <c r="E21" s="5" t="s">
        <v>11</v>
      </c>
      <c r="G21" s="5" t="str">
        <f t="shared" si="0"/>
        <v>Tkey</v>
      </c>
      <c r="H21" s="117">
        <f t="shared" si="1"/>
        <v>200</v>
      </c>
      <c r="I21" s="5" t="str">
        <f t="shared" si="2"/>
        <v>varchar</v>
      </c>
      <c r="J21" s="5" t="str">
        <f t="shared" si="3"/>
        <v xml:space="preserve"> NULL</v>
      </c>
      <c r="K21" s="5" t="s">
        <v>494</v>
      </c>
      <c r="L21" s="5"/>
      <c r="M21" s="75">
        <v>9001</v>
      </c>
      <c r="N21" s="77"/>
      <c r="O21" s="26"/>
      <c r="P21" s="26"/>
      <c r="Q21" s="118">
        <f t="shared" si="4"/>
        <v>21</v>
      </c>
      <c r="R21" s="153"/>
      <c r="S21" s="138" t="str">
        <f t="shared" si="9"/>
        <v>Token Key</v>
      </c>
      <c r="T21" s="148"/>
      <c r="U21" s="146"/>
      <c r="V21" s="146"/>
      <c r="W21" s="139"/>
      <c r="X21" s="139"/>
      <c r="Y21" s="148"/>
      <c r="Z21" s="138" t="str">
        <f t="shared" si="10"/>
        <v>false</v>
      </c>
      <c r="AA21" s="138" t="str">
        <f t="shared" si="12"/>
        <v/>
      </c>
      <c r="AB21" s="239"/>
      <c r="AC21" s="325"/>
      <c r="AD21" s="325"/>
      <c r="AE21" s="325"/>
      <c r="AF21" s="325"/>
      <c r="AG21" s="325"/>
      <c r="AH21" s="325"/>
      <c r="AI21" s="325"/>
      <c r="AJ21" s="325"/>
      <c r="AK21" s="325"/>
      <c r="AL21" s="325"/>
      <c r="AM21" s="325"/>
      <c r="AN21" s="325"/>
      <c r="AO21" s="325"/>
      <c r="AP21" s="136"/>
      <c r="AQ21" s="136"/>
      <c r="AR21" s="136" t="str">
        <f t="shared" si="5"/>
        <v/>
      </c>
      <c r="AS21" s="136" t="str">
        <f t="shared" si="5"/>
        <v/>
      </c>
      <c r="AT21" s="5" t="str">
        <f t="shared" si="6"/>
        <v>Tkey,</v>
      </c>
      <c r="AV21" s="27" t="str">
        <f t="shared" si="7"/>
        <v xml:space="preserve">          [Tkey] [varchar](200) NULL,</v>
      </c>
      <c r="AW21" s="27"/>
      <c r="AY21" s="122" t="str">
        <f t="shared" si="8"/>
        <v xml:space="preserve">          Tkey VARCHAR (200) NULL,</v>
      </c>
    </row>
    <row r="22" spans="2:51" ht="12.75">
      <c r="B22" s="20">
        <f t="shared" si="11"/>
        <v>7</v>
      </c>
      <c r="C22" s="5" t="s">
        <v>414</v>
      </c>
      <c r="D22" s="5"/>
      <c r="E22" s="5" t="s">
        <v>524</v>
      </c>
      <c r="G22" s="5" t="str">
        <f t="shared" si="0"/>
        <v>Active</v>
      </c>
      <c r="H22" s="117" t="str">
        <f>IF(IFERROR(FIND("varchar",E22),0)&gt;0,IF(D22&gt;8000,"max",D22),"")</f>
        <v/>
      </c>
      <c r="I22" s="5" t="str">
        <f t="shared" si="2"/>
        <v>boolean</v>
      </c>
      <c r="J22" s="5" t="str">
        <f t="shared" si="3"/>
        <v xml:space="preserve"> NULL</v>
      </c>
      <c r="K22" s="5" t="s">
        <v>414</v>
      </c>
      <c r="L22" s="5"/>
      <c r="M22" s="75">
        <v>9</v>
      </c>
      <c r="N22" s="77"/>
      <c r="O22" s="26"/>
      <c r="P22" s="26"/>
      <c r="Q22" s="118">
        <f t="shared" si="4"/>
        <v>22</v>
      </c>
      <c r="R22" s="153"/>
      <c r="S22" s="138" t="str">
        <f t="shared" si="9"/>
        <v>Active</v>
      </c>
      <c r="T22" s="148"/>
      <c r="U22" s="146"/>
      <c r="V22" s="146"/>
      <c r="W22" s="139"/>
      <c r="X22" s="139"/>
      <c r="Y22" s="148">
        <v>100</v>
      </c>
      <c r="Z22" s="138" t="str">
        <f t="shared" si="10"/>
        <v/>
      </c>
      <c r="AA22" s="138" t="str">
        <f t="shared" si="12"/>
        <v/>
      </c>
      <c r="AB22" s="239"/>
      <c r="AC22" s="325"/>
      <c r="AD22" s="325"/>
      <c r="AE22" s="325"/>
      <c r="AF22" s="325"/>
      <c r="AG22" s="325"/>
      <c r="AH22" s="325"/>
      <c r="AI22" s="325"/>
      <c r="AJ22" s="325"/>
      <c r="AK22" s="325"/>
      <c r="AL22" s="325"/>
      <c r="AM22" s="325"/>
      <c r="AN22" s="325"/>
      <c r="AO22" s="325"/>
      <c r="AP22" s="136"/>
      <c r="AQ22" s="136"/>
      <c r="AR22" s="136" t="str">
        <f t="shared" si="5"/>
        <v/>
      </c>
      <c r="AS22" s="136" t="str">
        <f t="shared" si="5"/>
        <v/>
      </c>
      <c r="AT22" s="5" t="str">
        <f t="shared" si="6"/>
        <v>Active,</v>
      </c>
      <c r="AV22" s="27" t="str">
        <f t="shared" si="7"/>
        <v xml:space="preserve">          [Active] [boolean] NULL,</v>
      </c>
      <c r="AW22" s="27"/>
      <c r="AY22" s="122" t="str">
        <f t="shared" si="8"/>
        <v xml:space="preserve">          Active BOOLEAN NULL,</v>
      </c>
    </row>
    <row r="23" spans="2:51" ht="12.75">
      <c r="B23" s="20">
        <f t="shared" si="11"/>
        <v>8</v>
      </c>
      <c r="C23" s="5" t="s">
        <v>519</v>
      </c>
      <c r="D23" s="5">
        <v>100</v>
      </c>
      <c r="E23" s="5" t="s">
        <v>11</v>
      </c>
      <c r="G23" s="5" t="str">
        <f t="shared" si="0"/>
        <v>Gright</v>
      </c>
      <c r="H23" s="117">
        <f t="shared" ref="H23:H86" si="13">IF(IFERROR(FIND("varchar",E23),0)&gt;0,IF(D23&gt;8000,"max",D23),"")</f>
        <v>100</v>
      </c>
      <c r="I23" s="5" t="str">
        <f t="shared" si="2"/>
        <v>varchar</v>
      </c>
      <c r="J23" s="5" t="str">
        <f t="shared" si="3"/>
        <v xml:space="preserve"> NULL</v>
      </c>
      <c r="K23" s="5" t="s">
        <v>495</v>
      </c>
      <c r="L23" s="5"/>
      <c r="M23" s="75">
        <v>9001</v>
      </c>
      <c r="N23" s="77"/>
      <c r="O23" s="26"/>
      <c r="P23" s="26"/>
      <c r="Q23" s="118">
        <f t="shared" si="4"/>
        <v>23</v>
      </c>
      <c r="R23" s="153"/>
      <c r="S23" s="138" t="str">
        <f t="shared" si="9"/>
        <v>Group Rights</v>
      </c>
      <c r="T23" s="148"/>
      <c r="U23" s="146"/>
      <c r="V23" s="146"/>
      <c r="W23" s="139"/>
      <c r="X23" s="139"/>
      <c r="Y23" s="148">
        <v>100</v>
      </c>
      <c r="Z23" s="138" t="str">
        <f t="shared" si="10"/>
        <v>false</v>
      </c>
      <c r="AA23" s="138" t="str">
        <f t="shared" si="12"/>
        <v/>
      </c>
      <c r="AB23" s="239"/>
      <c r="AC23" s="325"/>
      <c r="AD23" s="325"/>
      <c r="AE23" s="325"/>
      <c r="AF23" s="325"/>
      <c r="AG23" s="325"/>
      <c r="AH23" s="325"/>
      <c r="AI23" s="325"/>
      <c r="AJ23" s="325"/>
      <c r="AK23" s="325"/>
      <c r="AL23" s="325"/>
      <c r="AM23" s="325"/>
      <c r="AN23" s="325"/>
      <c r="AO23" s="325"/>
      <c r="AP23" s="136"/>
      <c r="AQ23" s="136"/>
      <c r="AR23" s="136" t="str">
        <f t="shared" si="5"/>
        <v/>
      </c>
      <c r="AS23" s="136" t="str">
        <f t="shared" si="5"/>
        <v/>
      </c>
      <c r="AT23" s="5" t="str">
        <f t="shared" si="6"/>
        <v>Gright,</v>
      </c>
      <c r="AV23" s="27" t="str">
        <f t="shared" si="7"/>
        <v xml:space="preserve">          [Gright] [varchar](100) NULL,</v>
      </c>
      <c r="AW23" s="27"/>
      <c r="AY23" s="122" t="str">
        <f t="shared" si="8"/>
        <v xml:space="preserve">          Gright VARCHAR (100) NULL,</v>
      </c>
    </row>
    <row r="24" spans="2:51" ht="12.75">
      <c r="B24" s="20">
        <f t="shared" si="11"/>
        <v>9</v>
      </c>
      <c r="C24" s="5" t="s">
        <v>416</v>
      </c>
      <c r="D24" s="5">
        <v>1000</v>
      </c>
      <c r="E24" s="5" t="s">
        <v>11</v>
      </c>
      <c r="G24" s="5" t="str">
        <f t="shared" si="0"/>
        <v>Scopebase</v>
      </c>
      <c r="H24" s="117">
        <f t="shared" si="13"/>
        <v>1000</v>
      </c>
      <c r="I24" s="5" t="str">
        <f t="shared" si="2"/>
        <v>varchar</v>
      </c>
      <c r="J24" s="5" t="str">
        <f t="shared" si="3"/>
        <v xml:space="preserve"> NULL</v>
      </c>
      <c r="K24" s="5" t="s">
        <v>416</v>
      </c>
      <c r="L24" s="5"/>
      <c r="M24" s="75">
        <v>9001</v>
      </c>
      <c r="N24" s="77"/>
      <c r="O24" s="26"/>
      <c r="P24" s="26"/>
      <c r="Q24" s="118">
        <f t="shared" si="4"/>
        <v>24</v>
      </c>
      <c r="R24" s="153"/>
      <c r="S24" s="138" t="str">
        <f t="shared" si="9"/>
        <v>Scopebase</v>
      </c>
      <c r="T24" s="148"/>
      <c r="U24" s="146"/>
      <c r="V24" s="146"/>
      <c r="W24" s="139"/>
      <c r="X24" s="139"/>
      <c r="Y24" s="148"/>
      <c r="Z24" s="138" t="str">
        <f t="shared" si="10"/>
        <v>false</v>
      </c>
      <c r="AA24" s="138" t="str">
        <f t="shared" si="12"/>
        <v/>
      </c>
      <c r="AB24" s="239"/>
      <c r="AC24" s="325"/>
      <c r="AD24" s="325"/>
      <c r="AE24" s="325"/>
      <c r="AF24" s="325"/>
      <c r="AG24" s="325"/>
      <c r="AH24" s="325"/>
      <c r="AI24" s="325"/>
      <c r="AJ24" s="325"/>
      <c r="AK24" s="325"/>
      <c r="AL24" s="325"/>
      <c r="AM24" s="325"/>
      <c r="AN24" s="325"/>
      <c r="AO24" s="325"/>
      <c r="AP24" s="136"/>
      <c r="AQ24" s="136"/>
      <c r="AR24" s="136" t="str">
        <f t="shared" si="5"/>
        <v/>
      </c>
      <c r="AS24" s="136" t="str">
        <f t="shared" si="5"/>
        <v/>
      </c>
      <c r="AT24" s="5" t="str">
        <f t="shared" si="6"/>
        <v>Scopebase,</v>
      </c>
      <c r="AV24" s="27" t="str">
        <f t="shared" si="7"/>
        <v xml:space="preserve">          [Scopebase] [varchar](1000) NULL,</v>
      </c>
      <c r="AW24" s="27"/>
      <c r="AY24" s="122" t="str">
        <f t="shared" si="8"/>
        <v xml:space="preserve">          Scopebase VARCHAR (1000) NULL,</v>
      </c>
    </row>
    <row r="25" spans="2:51" ht="12.75">
      <c r="B25" s="20">
        <f t="shared" si="11"/>
        <v>10</v>
      </c>
      <c r="C25" s="5" t="s">
        <v>417</v>
      </c>
      <c r="D25" s="5">
        <v>100</v>
      </c>
      <c r="E25" s="5" t="s">
        <v>11</v>
      </c>
      <c r="G25" s="5" t="str">
        <f t="shared" si="0"/>
        <v>Department</v>
      </c>
      <c r="H25" s="117">
        <f t="shared" si="13"/>
        <v>100</v>
      </c>
      <c r="I25" s="5" t="str">
        <f t="shared" si="2"/>
        <v>varchar</v>
      </c>
      <c r="J25" s="5" t="str">
        <f t="shared" si="3"/>
        <v xml:space="preserve"> NULL</v>
      </c>
      <c r="K25" s="5" t="s">
        <v>417</v>
      </c>
      <c r="L25" s="5"/>
      <c r="M25" s="75">
        <v>9001</v>
      </c>
      <c r="N25" s="77"/>
      <c r="O25" s="26"/>
      <c r="P25" s="26"/>
      <c r="Q25" s="118">
        <f t="shared" si="4"/>
        <v>25</v>
      </c>
      <c r="R25" s="153"/>
      <c r="S25" s="138" t="str">
        <f t="shared" si="9"/>
        <v>Department</v>
      </c>
      <c r="T25" s="148"/>
      <c r="U25" s="146"/>
      <c r="V25" s="146"/>
      <c r="W25" s="139"/>
      <c r="X25" s="139"/>
      <c r="Y25" s="148"/>
      <c r="Z25" s="138" t="str">
        <f t="shared" si="10"/>
        <v>false</v>
      </c>
      <c r="AA25" s="138" t="str">
        <f t="shared" si="12"/>
        <v/>
      </c>
      <c r="AB25" s="239"/>
      <c r="AC25" s="325"/>
      <c r="AD25" s="325"/>
      <c r="AE25" s="325"/>
      <c r="AF25" s="325"/>
      <c r="AG25" s="325"/>
      <c r="AH25" s="325"/>
      <c r="AI25" s="325"/>
      <c r="AJ25" s="325"/>
      <c r="AK25" s="325"/>
      <c r="AL25" s="325"/>
      <c r="AM25" s="325"/>
      <c r="AN25" s="325"/>
      <c r="AO25" s="325"/>
      <c r="AP25" s="136"/>
      <c r="AQ25" s="136"/>
      <c r="AR25" s="136" t="str">
        <f t="shared" si="5"/>
        <v/>
      </c>
      <c r="AS25" s="136" t="str">
        <f t="shared" si="5"/>
        <v/>
      </c>
      <c r="AT25" s="5" t="str">
        <f t="shared" si="6"/>
        <v>Department,</v>
      </c>
      <c r="AV25" s="27" t="str">
        <f t="shared" si="7"/>
        <v xml:space="preserve">          [Department] [varchar](100) NULL,</v>
      </c>
      <c r="AW25" s="27"/>
      <c r="AY25" s="122" t="str">
        <f t="shared" si="8"/>
        <v xml:space="preserve">          Department VARCHAR (100) NULL,</v>
      </c>
    </row>
    <row r="26" spans="2:51" ht="12.75">
      <c r="B26" s="20">
        <f t="shared" si="11"/>
        <v>11</v>
      </c>
      <c r="C26" s="5" t="s">
        <v>348</v>
      </c>
      <c r="D26" s="5">
        <v>100</v>
      </c>
      <c r="E26" s="5" t="s">
        <v>11</v>
      </c>
      <c r="G26" s="5" t="str">
        <f t="shared" si="0"/>
        <v>Division</v>
      </c>
      <c r="H26" s="117">
        <f t="shared" si="13"/>
        <v>100</v>
      </c>
      <c r="I26" s="5" t="str">
        <f t="shared" si="2"/>
        <v>varchar</v>
      </c>
      <c r="J26" s="5" t="str">
        <f t="shared" si="3"/>
        <v xml:space="preserve"> NULL</v>
      </c>
      <c r="K26" s="5" t="s">
        <v>348</v>
      </c>
      <c r="L26" s="5"/>
      <c r="M26" s="75">
        <v>9001</v>
      </c>
      <c r="N26" s="77"/>
      <c r="O26" s="26"/>
      <c r="P26" s="26"/>
      <c r="Q26" s="118">
        <f t="shared" si="4"/>
        <v>26</v>
      </c>
      <c r="R26" s="153"/>
      <c r="S26" s="138" t="str">
        <f t="shared" si="9"/>
        <v>Division</v>
      </c>
      <c r="T26" s="148"/>
      <c r="U26" s="146"/>
      <c r="V26" s="146"/>
      <c r="W26" s="139"/>
      <c r="X26" s="139"/>
      <c r="Y26" s="148"/>
      <c r="Z26" s="138" t="str">
        <f t="shared" si="10"/>
        <v>false</v>
      </c>
      <c r="AA26" s="138" t="str">
        <f t="shared" si="12"/>
        <v/>
      </c>
      <c r="AB26" s="239"/>
      <c r="AC26" s="325"/>
      <c r="AD26" s="325"/>
      <c r="AE26" s="325"/>
      <c r="AF26" s="325"/>
      <c r="AG26" s="325"/>
      <c r="AH26" s="325"/>
      <c r="AI26" s="325"/>
      <c r="AJ26" s="325"/>
      <c r="AK26" s="325"/>
      <c r="AL26" s="325"/>
      <c r="AM26" s="325"/>
      <c r="AN26" s="325"/>
      <c r="AO26" s="325"/>
      <c r="AP26" s="136"/>
      <c r="AQ26" s="136"/>
      <c r="AR26" s="136" t="str">
        <f t="shared" si="5"/>
        <v/>
      </c>
      <c r="AS26" s="136" t="str">
        <f t="shared" si="5"/>
        <v/>
      </c>
      <c r="AT26" s="5" t="str">
        <f t="shared" si="6"/>
        <v>Division,</v>
      </c>
      <c r="AV26" s="27" t="str">
        <f t="shared" si="7"/>
        <v xml:space="preserve">          [Division] [varchar](100) NULL,</v>
      </c>
      <c r="AW26" s="27"/>
      <c r="AY26" s="122" t="str">
        <f t="shared" si="8"/>
        <v xml:space="preserve">          Division VARCHAR (100) NULL,</v>
      </c>
    </row>
    <row r="27" spans="2:51" ht="12.75">
      <c r="B27" s="20">
        <f t="shared" si="11"/>
        <v>12</v>
      </c>
      <c r="C27" s="5" t="s">
        <v>418</v>
      </c>
      <c r="D27" s="5">
        <v>50</v>
      </c>
      <c r="E27" s="5" t="s">
        <v>11</v>
      </c>
      <c r="G27" s="5" t="str">
        <f t="shared" si="0"/>
        <v>Nickname</v>
      </c>
      <c r="H27" s="117">
        <f t="shared" si="13"/>
        <v>50</v>
      </c>
      <c r="I27" s="5" t="str">
        <f t="shared" si="2"/>
        <v>varchar</v>
      </c>
      <c r="J27" s="5" t="str">
        <f t="shared" si="3"/>
        <v xml:space="preserve"> NULL</v>
      </c>
      <c r="K27" s="5" t="s">
        <v>504</v>
      </c>
      <c r="L27" s="5"/>
      <c r="M27" s="75">
        <v>14</v>
      </c>
      <c r="N27" s="77"/>
      <c r="O27" s="26"/>
      <c r="P27" s="26"/>
      <c r="Q27" s="118">
        <f t="shared" si="4"/>
        <v>27</v>
      </c>
      <c r="R27" s="153"/>
      <c r="S27" s="138" t="str">
        <f t="shared" si="9"/>
        <v>Nick name</v>
      </c>
      <c r="T27" s="148"/>
      <c r="U27" s="146"/>
      <c r="V27" s="146"/>
      <c r="W27" s="139"/>
      <c r="X27" s="139"/>
      <c r="Y27" s="148"/>
      <c r="Z27" s="138" t="str">
        <f t="shared" si="10"/>
        <v/>
      </c>
      <c r="AA27" s="138" t="str">
        <f t="shared" si="12"/>
        <v/>
      </c>
      <c r="AB27" s="239"/>
      <c r="AC27" s="325"/>
      <c r="AD27" s="325"/>
      <c r="AE27" s="325"/>
      <c r="AF27" s="325"/>
      <c r="AG27" s="325"/>
      <c r="AH27" s="325"/>
      <c r="AI27" s="325"/>
      <c r="AJ27" s="325"/>
      <c r="AK27" s="325"/>
      <c r="AL27" s="325"/>
      <c r="AM27" s="325"/>
      <c r="AN27" s="325"/>
      <c r="AO27" s="325"/>
      <c r="AP27" s="136"/>
      <c r="AQ27" s="136"/>
      <c r="AR27" s="136" t="str">
        <f t="shared" si="5"/>
        <v/>
      </c>
      <c r="AS27" s="136" t="str">
        <f t="shared" si="5"/>
        <v/>
      </c>
      <c r="AT27" s="5" t="str">
        <f t="shared" si="6"/>
        <v>Nickname,</v>
      </c>
      <c r="AV27" s="27" t="str">
        <f t="shared" si="7"/>
        <v xml:space="preserve">          [Nickname] [varchar](50) NULL,</v>
      </c>
      <c r="AW27" s="27"/>
      <c r="AY27" s="122" t="str">
        <f t="shared" si="8"/>
        <v xml:space="preserve">          Nickname VARCHAR (50) NULL,</v>
      </c>
    </row>
    <row r="28" spans="2:51" ht="12.75">
      <c r="B28" s="20">
        <f t="shared" si="11"/>
        <v>13</v>
      </c>
      <c r="C28" s="5" t="s">
        <v>419</v>
      </c>
      <c r="D28" s="5">
        <v>500</v>
      </c>
      <c r="E28" s="5" t="s">
        <v>11</v>
      </c>
      <c r="G28" s="5" t="str">
        <f t="shared" si="0"/>
        <v>PictureLoc</v>
      </c>
      <c r="H28" s="117">
        <f t="shared" si="13"/>
        <v>500</v>
      </c>
      <c r="I28" s="5" t="str">
        <f t="shared" si="2"/>
        <v>varchar</v>
      </c>
      <c r="J28" s="5" t="str">
        <f t="shared" si="3"/>
        <v xml:space="preserve"> NULL</v>
      </c>
      <c r="K28" s="5" t="s">
        <v>503</v>
      </c>
      <c r="L28" s="5"/>
      <c r="M28" s="75">
        <v>15</v>
      </c>
      <c r="N28" s="77"/>
      <c r="O28" s="26"/>
      <c r="P28" s="26"/>
      <c r="Q28" s="118">
        <f t="shared" si="4"/>
        <v>28</v>
      </c>
      <c r="R28" s="153"/>
      <c r="S28" s="138" t="str">
        <f t="shared" si="9"/>
        <v>Picture Location</v>
      </c>
      <c r="T28" s="148"/>
      <c r="U28" s="146"/>
      <c r="V28" s="146"/>
      <c r="W28" s="139"/>
      <c r="X28" s="139"/>
      <c r="Y28" s="148"/>
      <c r="Z28" s="138" t="str">
        <f t="shared" si="10"/>
        <v/>
      </c>
      <c r="AA28" s="138" t="str">
        <f t="shared" si="12"/>
        <v/>
      </c>
      <c r="AB28" s="239"/>
      <c r="AC28" s="325"/>
      <c r="AD28" s="325"/>
      <c r="AE28" s="325"/>
      <c r="AF28" s="325"/>
      <c r="AG28" s="325"/>
      <c r="AH28" s="325"/>
      <c r="AI28" s="325"/>
      <c r="AJ28" s="325"/>
      <c r="AK28" s="325"/>
      <c r="AL28" s="325"/>
      <c r="AM28" s="325"/>
      <c r="AN28" s="325"/>
      <c r="AO28" s="325"/>
      <c r="AP28" s="136"/>
      <c r="AQ28" s="136"/>
      <c r="AR28" s="136" t="str">
        <f t="shared" si="5"/>
        <v/>
      </c>
      <c r="AS28" s="136" t="str">
        <f t="shared" si="5"/>
        <v/>
      </c>
      <c r="AT28" s="5" t="str">
        <f t="shared" si="6"/>
        <v>PictureLoc,</v>
      </c>
      <c r="AV28" s="27" t="str">
        <f t="shared" si="7"/>
        <v xml:space="preserve">          [PictureLoc] [varchar](500) NULL,</v>
      </c>
      <c r="AW28" s="27"/>
      <c r="AY28" s="122" t="str">
        <f t="shared" si="8"/>
        <v xml:space="preserve">          PictureLoc VARCHAR (500) NULL,</v>
      </c>
    </row>
    <row r="29" spans="2:51" ht="12.75">
      <c r="B29" s="20">
        <f t="shared" si="11"/>
        <v>14</v>
      </c>
      <c r="C29" s="5" t="s">
        <v>491</v>
      </c>
      <c r="D29" s="5">
        <v>200</v>
      </c>
      <c r="E29" s="5" t="s">
        <v>11</v>
      </c>
      <c r="G29" s="5" t="str">
        <f t="shared" si="0"/>
        <v>email</v>
      </c>
      <c r="H29" s="117">
        <f t="shared" si="13"/>
        <v>200</v>
      </c>
      <c r="I29" s="5" t="str">
        <f t="shared" si="2"/>
        <v>varchar</v>
      </c>
      <c r="J29" s="5" t="str">
        <f t="shared" si="3"/>
        <v xml:space="preserve"> NULL</v>
      </c>
      <c r="K29" s="5" t="s">
        <v>501</v>
      </c>
      <c r="L29" s="5"/>
      <c r="M29" s="75">
        <v>9001</v>
      </c>
      <c r="N29" s="77"/>
      <c r="O29" s="26"/>
      <c r="P29" s="26"/>
      <c r="Q29" s="118">
        <f t="shared" si="4"/>
        <v>29</v>
      </c>
      <c r="R29" s="153"/>
      <c r="S29" s="138" t="str">
        <f t="shared" si="9"/>
        <v>Email</v>
      </c>
      <c r="T29" s="148"/>
      <c r="U29" s="146"/>
      <c r="V29" s="146"/>
      <c r="W29" s="139"/>
      <c r="X29" s="139"/>
      <c r="Y29" s="148"/>
      <c r="Z29" s="138" t="str">
        <f t="shared" si="10"/>
        <v>false</v>
      </c>
      <c r="AA29" s="138" t="str">
        <f t="shared" si="12"/>
        <v/>
      </c>
      <c r="AB29" s="239"/>
      <c r="AC29" s="325"/>
      <c r="AD29" s="325"/>
      <c r="AE29" s="325"/>
      <c r="AF29" s="325"/>
      <c r="AG29" s="325"/>
      <c r="AH29" s="325"/>
      <c r="AI29" s="325"/>
      <c r="AJ29" s="325"/>
      <c r="AK29" s="325"/>
      <c r="AL29" s="325"/>
      <c r="AM29" s="325"/>
      <c r="AN29" s="325"/>
      <c r="AO29" s="325"/>
      <c r="AP29" s="136"/>
      <c r="AQ29" s="136"/>
      <c r="AR29" s="136" t="str">
        <f t="shared" si="5"/>
        <v/>
      </c>
      <c r="AS29" s="136" t="str">
        <f t="shared" si="5"/>
        <v/>
      </c>
      <c r="AT29" s="5" t="str">
        <f t="shared" si="6"/>
        <v>email,</v>
      </c>
      <c r="AV29" s="27" t="str">
        <f t="shared" si="7"/>
        <v xml:space="preserve">          [email] [varchar](200) NULL,</v>
      </c>
      <c r="AW29" s="27"/>
      <c r="AY29" s="122" t="str">
        <f t="shared" si="8"/>
        <v xml:space="preserve">          email VARCHAR (200) NULL,</v>
      </c>
    </row>
    <row r="30" spans="2:51" ht="12.75">
      <c r="B30" s="20">
        <f t="shared" si="11"/>
        <v>15</v>
      </c>
      <c r="C30" s="5" t="s">
        <v>492</v>
      </c>
      <c r="D30" s="5">
        <v>100</v>
      </c>
      <c r="E30" s="5" t="s">
        <v>11</v>
      </c>
      <c r="G30" s="5" t="str">
        <f t="shared" si="0"/>
        <v>telephone</v>
      </c>
      <c r="H30" s="117">
        <f t="shared" si="13"/>
        <v>100</v>
      </c>
      <c r="I30" s="5" t="str">
        <f t="shared" si="2"/>
        <v>varchar</v>
      </c>
      <c r="J30" s="5" t="str">
        <f t="shared" si="3"/>
        <v xml:space="preserve"> NULL</v>
      </c>
      <c r="K30" s="5" t="s">
        <v>502</v>
      </c>
      <c r="L30" s="5"/>
      <c r="M30" s="75">
        <v>9001</v>
      </c>
      <c r="N30" s="77"/>
      <c r="O30" s="26"/>
      <c r="P30" s="26"/>
      <c r="Q30" s="118">
        <f t="shared" si="4"/>
        <v>30</v>
      </c>
      <c r="R30" s="153"/>
      <c r="S30" s="138" t="str">
        <f t="shared" si="9"/>
        <v>Telephone</v>
      </c>
      <c r="T30" s="148"/>
      <c r="U30" s="146"/>
      <c r="V30" s="146"/>
      <c r="W30" s="139"/>
      <c r="X30" s="139"/>
      <c r="Y30" s="148"/>
      <c r="Z30" s="138" t="str">
        <f t="shared" si="10"/>
        <v>false</v>
      </c>
      <c r="AA30" s="138" t="str">
        <f t="shared" si="12"/>
        <v/>
      </c>
      <c r="AB30" s="239"/>
      <c r="AC30" s="325"/>
      <c r="AD30" s="325"/>
      <c r="AE30" s="325"/>
      <c r="AF30" s="325"/>
      <c r="AG30" s="325"/>
      <c r="AH30" s="325"/>
      <c r="AI30" s="325"/>
      <c r="AJ30" s="325"/>
      <c r="AK30" s="325"/>
      <c r="AL30" s="325"/>
      <c r="AM30" s="325"/>
      <c r="AN30" s="325"/>
      <c r="AO30" s="325"/>
      <c r="AP30" s="136"/>
      <c r="AQ30" s="136"/>
      <c r="AR30" s="136" t="str">
        <f t="shared" si="5"/>
        <v/>
      </c>
      <c r="AS30" s="136" t="str">
        <f t="shared" si="5"/>
        <v/>
      </c>
      <c r="AT30" s="5" t="str">
        <f t="shared" si="6"/>
        <v>telephone,</v>
      </c>
      <c r="AV30" s="27" t="str">
        <f t="shared" si="7"/>
        <v xml:space="preserve">          [telephone] [varchar](100) NULL,</v>
      </c>
      <c r="AW30" s="27"/>
      <c r="AY30" s="122" t="str">
        <f t="shared" si="8"/>
        <v xml:space="preserve">          telephone VARCHAR (100) NULL,</v>
      </c>
    </row>
    <row r="31" spans="2:51" ht="12.75">
      <c r="B31" s="20">
        <f t="shared" si="11"/>
        <v>16</v>
      </c>
      <c r="C31" s="5" t="s">
        <v>497</v>
      </c>
      <c r="D31" s="5">
        <v>20</v>
      </c>
      <c r="E31" s="5" t="s">
        <v>11</v>
      </c>
      <c r="G31" s="5" t="str">
        <f t="shared" si="0"/>
        <v>otp</v>
      </c>
      <c r="H31" s="117">
        <f t="shared" si="13"/>
        <v>20</v>
      </c>
      <c r="I31" s="5" t="str">
        <f t="shared" si="2"/>
        <v>varchar</v>
      </c>
      <c r="J31" s="5" t="str">
        <f t="shared" si="3"/>
        <v xml:space="preserve"> NULL</v>
      </c>
      <c r="K31" s="5" t="s">
        <v>498</v>
      </c>
      <c r="L31" s="5"/>
      <c r="M31" s="75">
        <v>9001</v>
      </c>
      <c r="N31" s="77"/>
      <c r="O31" s="26"/>
      <c r="P31" s="26"/>
      <c r="Q31" s="118">
        <f t="shared" si="4"/>
        <v>31</v>
      </c>
      <c r="R31" s="153"/>
      <c r="S31" s="138" t="str">
        <f t="shared" si="9"/>
        <v>OTP</v>
      </c>
      <c r="T31" s="148"/>
      <c r="U31" s="146"/>
      <c r="V31" s="146"/>
      <c r="W31" s="139"/>
      <c r="X31" s="139"/>
      <c r="Y31" s="148"/>
      <c r="Z31" s="138" t="str">
        <f t="shared" si="10"/>
        <v>false</v>
      </c>
      <c r="AA31" s="138" t="str">
        <f t="shared" si="12"/>
        <v/>
      </c>
      <c r="AB31" s="239"/>
      <c r="AC31" s="325"/>
      <c r="AD31" s="325"/>
      <c r="AE31" s="325"/>
      <c r="AF31" s="325"/>
      <c r="AG31" s="325"/>
      <c r="AH31" s="325"/>
      <c r="AI31" s="325"/>
      <c r="AJ31" s="325"/>
      <c r="AK31" s="325"/>
      <c r="AL31" s="325"/>
      <c r="AM31" s="325"/>
      <c r="AN31" s="325"/>
      <c r="AO31" s="325"/>
      <c r="AP31" s="136"/>
      <c r="AQ31" s="136"/>
      <c r="AR31" s="136" t="str">
        <f t="shared" si="5"/>
        <v/>
      </c>
      <c r="AS31" s="136" t="str">
        <f t="shared" si="5"/>
        <v/>
      </c>
      <c r="AT31" s="5" t="str">
        <f t="shared" si="6"/>
        <v>otp</v>
      </c>
      <c r="AV31" s="27" t="str">
        <f t="shared" si="7"/>
        <v xml:space="preserve">          [otp] [varchar](20) NULL</v>
      </c>
      <c r="AW31" s="27"/>
      <c r="AY31" s="122" t="str">
        <f t="shared" si="8"/>
        <v xml:space="preserve">          otp VARCHAR (20) NULL</v>
      </c>
    </row>
    <row r="32" spans="2:51" ht="12.75">
      <c r="B32" s="20" t="str">
        <f t="shared" si="11"/>
        <v/>
      </c>
      <c r="C32" s="5"/>
      <c r="D32" s="5"/>
      <c r="E32" s="5"/>
      <c r="G32" s="5" t="str">
        <f t="shared" si="0"/>
        <v/>
      </c>
      <c r="H32" s="117" t="str">
        <f t="shared" si="13"/>
        <v/>
      </c>
      <c r="I32" s="5" t="str">
        <f t="shared" si="2"/>
        <v/>
      </c>
      <c r="J32" s="5" t="str">
        <f t="shared" si="3"/>
        <v/>
      </c>
      <c r="K32" s="5"/>
      <c r="L32" s="5"/>
      <c r="M32" s="75"/>
      <c r="N32" s="77"/>
      <c r="O32" s="26"/>
      <c r="P32" s="26"/>
      <c r="Q32" s="118" t="str">
        <f t="shared" si="4"/>
        <v/>
      </c>
      <c r="R32" s="153"/>
      <c r="S32" s="138" t="str">
        <f t="shared" si="9"/>
        <v/>
      </c>
      <c r="T32" s="148"/>
      <c r="U32" s="146"/>
      <c r="V32" s="146"/>
      <c r="W32" s="139"/>
      <c r="X32" s="139"/>
      <c r="Y32" s="148"/>
      <c r="Z32" s="138" t="str">
        <f t="shared" si="10"/>
        <v/>
      </c>
      <c r="AA32" s="138" t="str">
        <f t="shared" si="12"/>
        <v/>
      </c>
      <c r="AB32" s="239"/>
      <c r="AC32" s="325"/>
      <c r="AD32" s="325"/>
      <c r="AE32" s="325"/>
      <c r="AF32" s="325"/>
      <c r="AG32" s="325"/>
      <c r="AH32" s="325"/>
      <c r="AI32" s="325"/>
      <c r="AJ32" s="325"/>
      <c r="AK32" s="325"/>
      <c r="AL32" s="325"/>
      <c r="AM32" s="325"/>
      <c r="AN32" s="325"/>
      <c r="AO32" s="325"/>
      <c r="AP32" s="136"/>
      <c r="AQ32" s="136"/>
      <c r="AR32" s="136" t="str">
        <f t="shared" si="5"/>
        <v/>
      </c>
      <c r="AS32" s="136" t="str">
        <f t="shared" si="5"/>
        <v/>
      </c>
      <c r="AT32" s="5" t="str">
        <f t="shared" si="6"/>
        <v/>
      </c>
      <c r="AV32" s="27" t="str">
        <f t="shared" si="7"/>
        <v/>
      </c>
      <c r="AW32" s="27"/>
      <c r="AY32" s="122" t="str">
        <f t="shared" si="8"/>
        <v>);</v>
      </c>
    </row>
    <row r="33" spans="2:51" ht="12.75">
      <c r="B33" s="20" t="str">
        <f t="shared" si="11"/>
        <v/>
      </c>
      <c r="C33" s="5"/>
      <c r="D33" s="5"/>
      <c r="E33" s="5"/>
      <c r="G33" s="5" t="str">
        <f>SUBSTITUTE(SUBSTITUTE(SUBSTITUTE(SUBSTITUTE(SUBSTITUTE(SUBSTITUTE(SUBSTITUTE(SUBSTITUTE(SUBSTITUTE(C33," ",""),".",""),"#","No"),"%",""),"(",""),"*",""),"-",""),"/",""),")","")</f>
        <v/>
      </c>
      <c r="H33" s="117" t="str">
        <f t="shared" si="13"/>
        <v/>
      </c>
      <c r="I33" s="5" t="str">
        <f t="shared" si="2"/>
        <v/>
      </c>
      <c r="J33" s="5" t="str">
        <f t="shared" si="3"/>
        <v/>
      </c>
      <c r="K33" s="5"/>
      <c r="L33" s="5"/>
      <c r="M33" s="75"/>
      <c r="N33" s="77"/>
      <c r="O33" s="26"/>
      <c r="P33" s="26"/>
      <c r="Q33" s="118" t="str">
        <f t="shared" si="4"/>
        <v/>
      </c>
      <c r="R33" s="153"/>
      <c r="S33" s="138" t="str">
        <f t="shared" si="9"/>
        <v/>
      </c>
      <c r="T33" s="148"/>
      <c r="U33" s="146"/>
      <c r="V33" s="146"/>
      <c r="W33" s="139"/>
      <c r="X33" s="139"/>
      <c r="Y33" s="148"/>
      <c r="Z33" s="138" t="str">
        <f t="shared" si="10"/>
        <v/>
      </c>
      <c r="AA33" s="138" t="str">
        <f t="shared" si="12"/>
        <v/>
      </c>
      <c r="AB33" s="239"/>
      <c r="AC33" s="325"/>
      <c r="AD33" s="325"/>
      <c r="AE33" s="325"/>
      <c r="AF33" s="325"/>
      <c r="AG33" s="325"/>
      <c r="AH33" s="325"/>
      <c r="AI33" s="325"/>
      <c r="AJ33" s="325"/>
      <c r="AK33" s="325"/>
      <c r="AL33" s="325"/>
      <c r="AM33" s="325"/>
      <c r="AN33" s="325"/>
      <c r="AO33" s="325"/>
      <c r="AP33" s="136"/>
      <c r="AQ33" s="136"/>
      <c r="AR33" s="136" t="str">
        <f t="shared" si="5"/>
        <v/>
      </c>
      <c r="AS33" s="136" t="str">
        <f t="shared" si="5"/>
        <v/>
      </c>
      <c r="AT33" s="5" t="str">
        <f t="shared" si="6"/>
        <v/>
      </c>
      <c r="AV33" s="27" t="str">
        <f t="shared" si="7"/>
        <v/>
      </c>
      <c r="AW33" s="27"/>
      <c r="AY33" s="122" t="str">
        <f t="shared" si="8"/>
        <v/>
      </c>
    </row>
    <row r="34" spans="2:51" ht="12.75">
      <c r="B34" s="20" t="str">
        <f t="shared" si="11"/>
        <v/>
      </c>
      <c r="C34" s="5"/>
      <c r="D34" s="5"/>
      <c r="E34" s="5"/>
      <c r="G34" s="5" t="str">
        <f>SUBSTITUTE(SUBSTITUTE(SUBSTITUTE(SUBSTITUTE(SUBSTITUTE(SUBSTITUTE(SUBSTITUTE(SUBSTITUTE(SUBSTITUTE(C34," ",""),".",""),"#","No"),"%",""),"(",""),"*",""),"-",""),"/",""),")","")</f>
        <v/>
      </c>
      <c r="H34" s="117" t="str">
        <f t="shared" si="13"/>
        <v/>
      </c>
      <c r="I34" s="5" t="str">
        <f t="shared" si="2"/>
        <v/>
      </c>
      <c r="J34" s="5" t="str">
        <f t="shared" si="3"/>
        <v/>
      </c>
      <c r="K34" s="5"/>
      <c r="L34" s="5"/>
      <c r="M34" s="75"/>
      <c r="N34" s="77"/>
      <c r="O34" s="26"/>
      <c r="P34" s="26"/>
      <c r="Q34" s="118" t="str">
        <f t="shared" si="4"/>
        <v/>
      </c>
      <c r="R34" s="153"/>
      <c r="S34" s="138" t="str">
        <f t="shared" si="9"/>
        <v/>
      </c>
      <c r="T34" s="148"/>
      <c r="U34" s="146"/>
      <c r="V34" s="146"/>
      <c r="W34" s="139"/>
      <c r="X34" s="139"/>
      <c r="Y34" s="148"/>
      <c r="Z34" s="138" t="str">
        <f t="shared" si="10"/>
        <v/>
      </c>
      <c r="AA34" s="138" t="str">
        <f t="shared" si="12"/>
        <v/>
      </c>
      <c r="AB34" s="239"/>
      <c r="AC34" s="325"/>
      <c r="AD34" s="325"/>
      <c r="AE34" s="325"/>
      <c r="AF34" s="325"/>
      <c r="AG34" s="325"/>
      <c r="AH34" s="325"/>
      <c r="AI34" s="325"/>
      <c r="AJ34" s="325"/>
      <c r="AK34" s="325"/>
      <c r="AL34" s="325"/>
      <c r="AM34" s="325"/>
      <c r="AN34" s="325"/>
      <c r="AO34" s="325"/>
      <c r="AP34" s="136"/>
      <c r="AQ34" s="136"/>
      <c r="AR34" s="136" t="str">
        <f t="shared" si="5"/>
        <v/>
      </c>
      <c r="AS34" s="136" t="str">
        <f t="shared" si="5"/>
        <v/>
      </c>
      <c r="AT34" s="5" t="str">
        <f t="shared" si="6"/>
        <v/>
      </c>
      <c r="AV34" s="27" t="str">
        <f t="shared" si="7"/>
        <v/>
      </c>
      <c r="AW34" s="27"/>
      <c r="AY34" s="122" t="str">
        <f t="shared" si="8"/>
        <v/>
      </c>
    </row>
    <row r="35" spans="2:51" ht="12.75">
      <c r="B35" s="20" t="str">
        <f t="shared" si="11"/>
        <v/>
      </c>
      <c r="C35" s="5"/>
      <c r="D35" s="5"/>
      <c r="E35" s="5"/>
      <c r="G35" s="5" t="str">
        <f>SUBSTITUTE(SUBSTITUTE(SUBSTITUTE(SUBSTITUTE(SUBSTITUTE(SUBSTITUTE(SUBSTITUTE(SUBSTITUTE(SUBSTITUTE(C35," ",""),".",""),"#","No"),"%",""),"(",""),"*",""),"-",""),"/",""),")","")</f>
        <v/>
      </c>
      <c r="H35" s="117" t="str">
        <f t="shared" si="13"/>
        <v/>
      </c>
      <c r="I35" s="5" t="str">
        <f t="shared" si="2"/>
        <v/>
      </c>
      <c r="J35" s="5" t="str">
        <f t="shared" si="3"/>
        <v/>
      </c>
      <c r="K35" s="5"/>
      <c r="L35" s="5"/>
      <c r="M35" s="75"/>
      <c r="N35" s="77"/>
      <c r="O35" s="26"/>
      <c r="P35" s="26"/>
      <c r="Q35" s="118" t="str">
        <f t="shared" si="4"/>
        <v/>
      </c>
      <c r="R35" s="153"/>
      <c r="S35" s="138" t="str">
        <f t="shared" si="9"/>
        <v/>
      </c>
      <c r="T35" s="148"/>
      <c r="U35" s="146"/>
      <c r="V35" s="146"/>
      <c r="W35" s="139"/>
      <c r="X35" s="139"/>
      <c r="Y35" s="148"/>
      <c r="Z35" s="138" t="str">
        <f t="shared" si="10"/>
        <v/>
      </c>
      <c r="AA35" s="138" t="str">
        <f t="shared" si="12"/>
        <v/>
      </c>
      <c r="AB35" s="239"/>
      <c r="AC35" s="325"/>
      <c r="AD35" s="325"/>
      <c r="AE35" s="325"/>
      <c r="AF35" s="325"/>
      <c r="AG35" s="325"/>
      <c r="AH35" s="325"/>
      <c r="AI35" s="325"/>
      <c r="AJ35" s="325"/>
      <c r="AK35" s="325"/>
      <c r="AL35" s="325"/>
      <c r="AM35" s="325"/>
      <c r="AN35" s="325"/>
      <c r="AO35" s="325"/>
      <c r="AP35" s="136"/>
      <c r="AQ35" s="136"/>
      <c r="AR35" s="136" t="str">
        <f t="shared" si="5"/>
        <v/>
      </c>
      <c r="AS35" s="136" t="str">
        <f t="shared" si="5"/>
        <v/>
      </c>
      <c r="AT35" s="5" t="str">
        <f t="shared" si="6"/>
        <v/>
      </c>
      <c r="AV35" s="27" t="str">
        <f t="shared" si="7"/>
        <v/>
      </c>
      <c r="AW35" s="27"/>
      <c r="AY35" s="122" t="str">
        <f t="shared" si="8"/>
        <v/>
      </c>
    </row>
    <row r="36" spans="2:51" ht="12.75">
      <c r="B36" s="20" t="str">
        <f t="shared" si="11"/>
        <v/>
      </c>
      <c r="C36" s="5"/>
      <c r="D36" s="5"/>
      <c r="E36" s="5"/>
      <c r="G36" s="5" t="str">
        <f>SUBSTITUTE(SUBSTITUTE(SUBSTITUTE(SUBSTITUTE(SUBSTITUTE(SUBSTITUTE(SUBSTITUTE(SUBSTITUTE(SUBSTITUTE(C36," ",""),".",""),"#","No"),"%",""),"(",""),"*",""),"-",""),"/",""),")","")</f>
        <v/>
      </c>
      <c r="H36" s="117" t="str">
        <f t="shared" si="13"/>
        <v/>
      </c>
      <c r="I36" s="5" t="str">
        <f t="shared" si="2"/>
        <v/>
      </c>
      <c r="J36" s="5" t="str">
        <f t="shared" si="3"/>
        <v/>
      </c>
      <c r="K36" s="5"/>
      <c r="L36" s="5"/>
      <c r="M36" s="75"/>
      <c r="N36" s="77"/>
      <c r="O36" s="26"/>
      <c r="P36" s="26"/>
      <c r="Q36" s="118" t="str">
        <f t="shared" si="4"/>
        <v/>
      </c>
      <c r="R36" s="153"/>
      <c r="S36" s="138" t="str">
        <f t="shared" si="9"/>
        <v/>
      </c>
      <c r="T36" s="148"/>
      <c r="U36" s="146"/>
      <c r="V36" s="146"/>
      <c r="W36" s="139"/>
      <c r="X36" s="139"/>
      <c r="Y36" s="148"/>
      <c r="Z36" s="138" t="str">
        <f t="shared" si="10"/>
        <v/>
      </c>
      <c r="AA36" s="138" t="str">
        <f t="shared" si="12"/>
        <v/>
      </c>
      <c r="AB36" s="239"/>
      <c r="AC36" s="325"/>
      <c r="AD36" s="325"/>
      <c r="AE36" s="325"/>
      <c r="AF36" s="325"/>
      <c r="AG36" s="325"/>
      <c r="AH36" s="325"/>
      <c r="AI36" s="325"/>
      <c r="AJ36" s="325"/>
      <c r="AK36" s="325"/>
      <c r="AL36" s="325"/>
      <c r="AM36" s="325"/>
      <c r="AN36" s="325"/>
      <c r="AO36" s="325"/>
      <c r="AP36" s="136"/>
      <c r="AQ36" s="136"/>
      <c r="AR36" s="136" t="str">
        <f t="shared" si="5"/>
        <v/>
      </c>
      <c r="AS36" s="136" t="str">
        <f t="shared" si="5"/>
        <v/>
      </c>
      <c r="AT36" s="5" t="str">
        <f t="shared" si="6"/>
        <v/>
      </c>
      <c r="AV36" s="27" t="str">
        <f>IF(G36="","",+"          ["&amp;TRIM(G36)&amp;"] ["&amp;TRIM(I36)&amp;"]"&amp;IF(H36="","","("&amp;H36&amp;")")&amp;" "&amp;TRIM(J36)&amp;IF(G46="","",","))</f>
        <v/>
      </c>
      <c r="AW36" s="27"/>
      <c r="AY36" s="122" t="str">
        <f t="shared" si="8"/>
        <v/>
      </c>
    </row>
    <row r="37" spans="2:51" ht="12.75">
      <c r="B37" s="20" t="str">
        <f t="shared" si="11"/>
        <v/>
      </c>
      <c r="C37" s="5"/>
      <c r="D37" s="5"/>
      <c r="E37" s="5"/>
      <c r="G37" s="5" t="str">
        <f t="shared" ref="G37:G45" si="14">SUBSTITUTE(SUBSTITUTE(SUBSTITUTE(SUBSTITUTE(SUBSTITUTE(SUBSTITUTE(SUBSTITUTE(SUBSTITUTE(SUBSTITUTE(C37," ",""),".",""),"#","No"),"%",""),"(",""),"*",""),"-",""),"/",""),")","")</f>
        <v/>
      </c>
      <c r="H37" s="117" t="str">
        <f t="shared" si="13"/>
        <v/>
      </c>
      <c r="I37" s="5" t="str">
        <f t="shared" si="2"/>
        <v/>
      </c>
      <c r="J37" s="5" t="str">
        <f t="shared" si="3"/>
        <v/>
      </c>
      <c r="K37" s="5"/>
      <c r="L37" s="5"/>
      <c r="M37" s="75"/>
      <c r="N37" s="77"/>
      <c r="O37" s="26"/>
      <c r="P37" s="26"/>
      <c r="Q37" s="118" t="str">
        <f t="shared" si="4"/>
        <v/>
      </c>
      <c r="R37" s="153"/>
      <c r="S37" s="138" t="str">
        <f t="shared" si="9"/>
        <v/>
      </c>
      <c r="T37" s="148"/>
      <c r="U37" s="146"/>
      <c r="V37" s="146"/>
      <c r="W37" s="139"/>
      <c r="X37" s="139"/>
      <c r="Y37" s="148"/>
      <c r="Z37" s="138" t="str">
        <f t="shared" si="10"/>
        <v/>
      </c>
      <c r="AA37" s="138" t="str">
        <f t="shared" si="12"/>
        <v/>
      </c>
      <c r="AB37" s="239"/>
      <c r="AC37" s="325"/>
      <c r="AD37" s="325"/>
      <c r="AE37" s="325"/>
      <c r="AF37" s="325"/>
      <c r="AG37" s="325"/>
      <c r="AH37" s="325"/>
      <c r="AI37" s="325"/>
      <c r="AJ37" s="325"/>
      <c r="AK37" s="325"/>
      <c r="AL37" s="325"/>
      <c r="AM37" s="325"/>
      <c r="AN37" s="325"/>
      <c r="AO37" s="325"/>
      <c r="AP37" s="136"/>
      <c r="AQ37" s="136"/>
      <c r="AR37" s="136" t="str">
        <f t="shared" si="5"/>
        <v/>
      </c>
      <c r="AS37" s="136" t="str">
        <f t="shared" si="5"/>
        <v/>
      </c>
      <c r="AT37" s="5" t="str">
        <f t="shared" si="6"/>
        <v/>
      </c>
      <c r="AV37" s="27" t="str">
        <f>IF(G37="","",+"          ["&amp;TRIM(G37)&amp;"] ["&amp;TRIM(I37)&amp;"]"&amp;IF(H37="","","("&amp;H37&amp;")")&amp;" "&amp;TRIM(J37)&amp;IF(G38="","",","))</f>
        <v/>
      </c>
      <c r="AW37" s="27"/>
      <c r="AY37" s="122" t="str">
        <f t="shared" si="8"/>
        <v/>
      </c>
    </row>
    <row r="38" spans="2:51" ht="12.75">
      <c r="B38" s="20" t="str">
        <f t="shared" si="11"/>
        <v/>
      </c>
      <c r="C38" s="5"/>
      <c r="D38" s="5"/>
      <c r="E38" s="5"/>
      <c r="G38" s="5" t="str">
        <f t="shared" si="14"/>
        <v/>
      </c>
      <c r="H38" s="117" t="str">
        <f t="shared" si="13"/>
        <v/>
      </c>
      <c r="I38" s="5" t="str">
        <f t="shared" si="2"/>
        <v/>
      </c>
      <c r="J38" s="5" t="str">
        <f t="shared" si="3"/>
        <v/>
      </c>
      <c r="K38" s="5"/>
      <c r="L38" s="5"/>
      <c r="M38" s="75"/>
      <c r="N38" s="77"/>
      <c r="O38" s="26"/>
      <c r="P38" s="26"/>
      <c r="Q38" s="118" t="str">
        <f t="shared" si="4"/>
        <v/>
      </c>
      <c r="R38" s="153"/>
      <c r="S38" s="138" t="str">
        <f t="shared" si="9"/>
        <v/>
      </c>
      <c r="T38" s="148"/>
      <c r="U38" s="146"/>
      <c r="V38" s="146"/>
      <c r="W38" s="139"/>
      <c r="X38" s="139"/>
      <c r="Y38" s="148"/>
      <c r="Z38" s="138" t="str">
        <f t="shared" si="10"/>
        <v/>
      </c>
      <c r="AA38" s="138" t="str">
        <f t="shared" si="12"/>
        <v/>
      </c>
      <c r="AB38" s="239"/>
      <c r="AC38" s="325"/>
      <c r="AD38" s="325"/>
      <c r="AE38" s="325"/>
      <c r="AF38" s="325"/>
      <c r="AG38" s="325"/>
      <c r="AH38" s="325"/>
      <c r="AI38" s="325"/>
      <c r="AJ38" s="325"/>
      <c r="AK38" s="325"/>
      <c r="AL38" s="325"/>
      <c r="AM38" s="325"/>
      <c r="AN38" s="325"/>
      <c r="AO38" s="325"/>
      <c r="AP38" s="136"/>
      <c r="AQ38" s="136"/>
      <c r="AR38" s="136" t="str">
        <f t="shared" si="5"/>
        <v/>
      </c>
      <c r="AS38" s="136" t="str">
        <f t="shared" si="5"/>
        <v/>
      </c>
      <c r="AT38" s="5" t="str">
        <f t="shared" si="6"/>
        <v/>
      </c>
      <c r="AV38" s="27" t="str">
        <f>IF(G38="","",+"          ["&amp;TRIM(G38)&amp;"] ["&amp;TRIM(I38)&amp;"]"&amp;IF(H38="","","("&amp;H38&amp;")")&amp;" "&amp;TRIM(J38)&amp;IF(G39="","",","))</f>
        <v/>
      </c>
      <c r="AW38" s="27"/>
      <c r="AY38" s="122" t="str">
        <f t="shared" si="8"/>
        <v/>
      </c>
    </row>
    <row r="39" spans="2:51" ht="12.75">
      <c r="B39" s="20" t="str">
        <f t="shared" si="11"/>
        <v/>
      </c>
      <c r="C39" s="5"/>
      <c r="D39" s="5"/>
      <c r="E39" s="5"/>
      <c r="G39" s="5" t="str">
        <f t="shared" si="14"/>
        <v/>
      </c>
      <c r="H39" s="117" t="str">
        <f t="shared" si="13"/>
        <v/>
      </c>
      <c r="I39" s="5" t="str">
        <f t="shared" si="2"/>
        <v/>
      </c>
      <c r="J39" s="5" t="str">
        <f t="shared" si="3"/>
        <v/>
      </c>
      <c r="K39" s="5"/>
      <c r="L39" s="5"/>
      <c r="M39" s="75"/>
      <c r="N39" s="77"/>
      <c r="O39" s="26"/>
      <c r="P39" s="26"/>
      <c r="Q39" s="118" t="str">
        <f t="shared" si="4"/>
        <v/>
      </c>
      <c r="R39" s="153"/>
      <c r="S39" s="138" t="str">
        <f t="shared" si="9"/>
        <v/>
      </c>
      <c r="T39" s="148"/>
      <c r="U39" s="146"/>
      <c r="V39" s="146"/>
      <c r="W39" s="139"/>
      <c r="X39" s="139"/>
      <c r="Y39" s="148"/>
      <c r="Z39" s="138" t="str">
        <f t="shared" si="10"/>
        <v/>
      </c>
      <c r="AA39" s="138" t="str">
        <f t="shared" si="12"/>
        <v/>
      </c>
      <c r="AB39" s="239"/>
      <c r="AC39" s="325"/>
      <c r="AD39" s="325"/>
      <c r="AE39" s="325"/>
      <c r="AF39" s="325"/>
      <c r="AG39" s="325"/>
      <c r="AH39" s="325"/>
      <c r="AI39" s="325"/>
      <c r="AJ39" s="325"/>
      <c r="AK39" s="325"/>
      <c r="AL39" s="325"/>
      <c r="AM39" s="325"/>
      <c r="AN39" s="325"/>
      <c r="AO39" s="325"/>
      <c r="AP39" s="136"/>
      <c r="AQ39" s="136"/>
      <c r="AR39" s="136" t="str">
        <f t="shared" si="5"/>
        <v/>
      </c>
      <c r="AS39" s="136" t="str">
        <f t="shared" si="5"/>
        <v/>
      </c>
      <c r="AT39" s="5" t="str">
        <f t="shared" si="6"/>
        <v/>
      </c>
      <c r="AV39" s="27" t="str">
        <f>IF(G39="","",+"          ["&amp;TRIM(G39)&amp;"] ["&amp;TRIM(I39)&amp;"]"&amp;IF(H39="","","("&amp;H39&amp;")")&amp;" "&amp;TRIM(J39)&amp;IF(G69="","",","))</f>
        <v/>
      </c>
      <c r="AW39" s="27"/>
      <c r="AY39" s="122" t="str">
        <f t="shared" si="8"/>
        <v/>
      </c>
    </row>
    <row r="40" spans="2:51" ht="12.75">
      <c r="B40" s="20" t="str">
        <f t="shared" si="11"/>
        <v/>
      </c>
      <c r="C40" s="5"/>
      <c r="D40" s="5"/>
      <c r="E40" s="5"/>
      <c r="G40" s="5" t="str">
        <f t="shared" si="14"/>
        <v/>
      </c>
      <c r="H40" s="117" t="str">
        <f t="shared" si="13"/>
        <v/>
      </c>
      <c r="I40" s="5" t="str">
        <f t="shared" si="2"/>
        <v/>
      </c>
      <c r="J40" s="5" t="str">
        <f t="shared" si="3"/>
        <v/>
      </c>
      <c r="K40" s="5"/>
      <c r="L40" s="5"/>
      <c r="M40" s="75"/>
      <c r="N40" s="77"/>
      <c r="O40" s="26"/>
      <c r="P40" s="26"/>
      <c r="Q40" s="118" t="str">
        <f t="shared" si="4"/>
        <v/>
      </c>
      <c r="R40" s="153"/>
      <c r="S40" s="138" t="str">
        <f t="shared" si="9"/>
        <v/>
      </c>
      <c r="T40" s="148"/>
      <c r="U40" s="146"/>
      <c r="V40" s="146"/>
      <c r="W40" s="139"/>
      <c r="X40" s="139"/>
      <c r="Y40" s="148"/>
      <c r="Z40" s="138" t="str">
        <f t="shared" si="10"/>
        <v/>
      </c>
      <c r="AA40" s="138" t="str">
        <f t="shared" si="12"/>
        <v/>
      </c>
      <c r="AB40" s="239"/>
      <c r="AC40" s="325"/>
      <c r="AD40" s="325"/>
      <c r="AE40" s="325"/>
      <c r="AF40" s="325"/>
      <c r="AG40" s="325"/>
      <c r="AH40" s="325"/>
      <c r="AI40" s="325"/>
      <c r="AJ40" s="325"/>
      <c r="AK40" s="325"/>
      <c r="AL40" s="325"/>
      <c r="AM40" s="325"/>
      <c r="AN40" s="325"/>
      <c r="AO40" s="325"/>
      <c r="AP40" s="136"/>
      <c r="AQ40" s="136"/>
      <c r="AR40" s="136" t="str">
        <f t="shared" si="5"/>
        <v/>
      </c>
      <c r="AS40" s="136" t="str">
        <f t="shared" si="5"/>
        <v/>
      </c>
      <c r="AT40" s="5" t="str">
        <f t="shared" si="6"/>
        <v/>
      </c>
      <c r="AV40" s="27" t="str">
        <f>IF(G40="","",+"          ["&amp;TRIM(G40)&amp;"] ["&amp;TRIM(I40)&amp;"]"&amp;IF(H40="","","("&amp;H40&amp;")")&amp;" "&amp;TRIM(J40)&amp;IF(G68="","",","))</f>
        <v/>
      </c>
      <c r="AW40" s="27"/>
      <c r="AY40" s="122" t="str">
        <f t="shared" si="8"/>
        <v/>
      </c>
    </row>
    <row r="41" spans="2:51" ht="12.75">
      <c r="B41" s="20" t="str">
        <f t="shared" si="11"/>
        <v/>
      </c>
      <c r="C41" s="5"/>
      <c r="D41" s="5"/>
      <c r="E41" s="5"/>
      <c r="G41" s="5" t="str">
        <f t="shared" si="14"/>
        <v/>
      </c>
      <c r="H41" s="117" t="str">
        <f t="shared" si="13"/>
        <v/>
      </c>
      <c r="I41" s="5" t="str">
        <f t="shared" si="2"/>
        <v/>
      </c>
      <c r="J41" s="5" t="str">
        <f t="shared" si="3"/>
        <v/>
      </c>
      <c r="K41" s="5"/>
      <c r="L41" s="5"/>
      <c r="M41" s="75"/>
      <c r="N41" s="77"/>
      <c r="O41" s="26"/>
      <c r="P41" s="26"/>
      <c r="Q41" s="118" t="str">
        <f t="shared" si="4"/>
        <v/>
      </c>
      <c r="R41" s="153"/>
      <c r="S41" s="138" t="str">
        <f t="shared" si="9"/>
        <v/>
      </c>
      <c r="T41" s="148"/>
      <c r="U41" s="146"/>
      <c r="V41" s="146"/>
      <c r="W41" s="139"/>
      <c r="X41" s="139"/>
      <c r="Y41" s="148"/>
      <c r="Z41" s="138" t="str">
        <f t="shared" si="10"/>
        <v/>
      </c>
      <c r="AA41" s="138" t="str">
        <f t="shared" si="12"/>
        <v/>
      </c>
      <c r="AB41" s="239"/>
      <c r="AC41" s="325"/>
      <c r="AD41" s="325"/>
      <c r="AE41" s="325"/>
      <c r="AF41" s="325"/>
      <c r="AG41" s="325"/>
      <c r="AH41" s="325"/>
      <c r="AI41" s="325"/>
      <c r="AJ41" s="325"/>
      <c r="AK41" s="325"/>
      <c r="AL41" s="325"/>
      <c r="AM41" s="325"/>
      <c r="AN41" s="325"/>
      <c r="AO41" s="325"/>
      <c r="AP41" s="136"/>
      <c r="AQ41" s="136"/>
      <c r="AR41" s="136" t="str">
        <f t="shared" si="5"/>
        <v/>
      </c>
      <c r="AS41" s="136" t="str">
        <f t="shared" si="5"/>
        <v/>
      </c>
      <c r="AT41" s="5" t="str">
        <f t="shared" si="6"/>
        <v/>
      </c>
      <c r="AV41" s="27" t="str">
        <f>IF(G41="","",+"          ["&amp;TRIM(G41)&amp;"] ["&amp;TRIM(I41)&amp;"]"&amp;IF(H41="","","("&amp;H41&amp;")")&amp;" "&amp;TRIM(J41)&amp;IF(G42="","",","))</f>
        <v/>
      </c>
      <c r="AW41" s="27"/>
      <c r="AY41" s="122" t="str">
        <f t="shared" si="8"/>
        <v/>
      </c>
    </row>
    <row r="42" spans="2:51" ht="12.75">
      <c r="B42" s="20" t="str">
        <f t="shared" si="11"/>
        <v/>
      </c>
      <c r="C42" s="5"/>
      <c r="D42" s="5"/>
      <c r="E42" s="5"/>
      <c r="G42" s="5" t="str">
        <f t="shared" si="14"/>
        <v/>
      </c>
      <c r="H42" s="117" t="str">
        <f t="shared" si="13"/>
        <v/>
      </c>
      <c r="I42" s="5" t="str">
        <f t="shared" si="2"/>
        <v/>
      </c>
      <c r="J42" s="5" t="str">
        <f>IF(C42=0,"",(IF(ISERROR(VLOOKUP(G42,$D$120:$D$127,1,FALSE)),""," NOT")&amp;" NULL"))</f>
        <v/>
      </c>
      <c r="K42" s="5"/>
      <c r="L42" s="5"/>
      <c r="M42" s="75"/>
      <c r="N42" s="77"/>
      <c r="O42" s="26"/>
      <c r="P42" s="26"/>
      <c r="Q42" s="118" t="str">
        <f t="shared" si="4"/>
        <v/>
      </c>
      <c r="R42" s="153"/>
      <c r="S42" s="138" t="str">
        <f t="shared" si="9"/>
        <v/>
      </c>
      <c r="T42" s="148"/>
      <c r="U42" s="146"/>
      <c r="V42" s="146"/>
      <c r="W42" s="139"/>
      <c r="X42" s="139"/>
      <c r="Y42" s="148"/>
      <c r="Z42" s="138" t="str">
        <f t="shared" si="10"/>
        <v/>
      </c>
      <c r="AA42" s="138" t="str">
        <f t="shared" si="12"/>
        <v/>
      </c>
      <c r="AB42" s="239"/>
      <c r="AC42" s="325"/>
      <c r="AD42" s="325"/>
      <c r="AE42" s="325"/>
      <c r="AF42" s="325"/>
      <c r="AG42" s="325"/>
      <c r="AH42" s="325"/>
      <c r="AI42" s="325"/>
      <c r="AJ42" s="325"/>
      <c r="AK42" s="325"/>
      <c r="AL42" s="325"/>
      <c r="AM42" s="325"/>
      <c r="AN42" s="325"/>
      <c r="AO42" s="325"/>
      <c r="AP42" s="136"/>
      <c r="AQ42" s="136"/>
      <c r="AR42" s="136" t="str">
        <f t="shared" si="5"/>
        <v/>
      </c>
      <c r="AS42" s="136" t="str">
        <f t="shared" si="5"/>
        <v/>
      </c>
      <c r="AT42" s="5" t="str">
        <f t="shared" si="6"/>
        <v/>
      </c>
      <c r="AV42" s="27" t="str">
        <f>IF(G42="","",+"          ["&amp;TRIM(G42)&amp;"] ["&amp;TRIM(I42)&amp;"]"&amp;IF(H42="","","("&amp;H42&amp;")")&amp;" "&amp;TRIM(J42)&amp;IF(G45="","",","))</f>
        <v/>
      </c>
      <c r="AW42" s="27"/>
      <c r="AY42" s="122" t="str">
        <f t="shared" si="8"/>
        <v/>
      </c>
    </row>
    <row r="43" spans="2:51" ht="12.75">
      <c r="B43" s="20" t="str">
        <f t="shared" si="11"/>
        <v/>
      </c>
      <c r="C43" s="5"/>
      <c r="D43" s="5"/>
      <c r="E43" s="5"/>
      <c r="G43" s="5" t="str">
        <f t="shared" si="14"/>
        <v/>
      </c>
      <c r="H43" s="117" t="str">
        <f t="shared" si="13"/>
        <v/>
      </c>
      <c r="I43" s="5" t="str">
        <f t="shared" si="2"/>
        <v/>
      </c>
      <c r="J43" s="5" t="str">
        <f t="shared" si="3"/>
        <v/>
      </c>
      <c r="K43" s="5"/>
      <c r="L43" s="5"/>
      <c r="M43" s="75"/>
      <c r="N43" s="77"/>
      <c r="O43" s="26"/>
      <c r="P43" s="26"/>
      <c r="Q43" s="118" t="str">
        <f t="shared" si="4"/>
        <v/>
      </c>
      <c r="R43" s="153"/>
      <c r="S43" s="138" t="str">
        <f t="shared" si="9"/>
        <v/>
      </c>
      <c r="T43" s="148"/>
      <c r="U43" s="146"/>
      <c r="V43" s="146"/>
      <c r="W43" s="139"/>
      <c r="X43" s="139"/>
      <c r="Y43" s="148"/>
      <c r="Z43" s="138" t="str">
        <f t="shared" si="10"/>
        <v/>
      </c>
      <c r="AA43" s="138" t="str">
        <f t="shared" si="12"/>
        <v/>
      </c>
      <c r="AB43" s="239"/>
      <c r="AC43" s="325"/>
      <c r="AD43" s="325"/>
      <c r="AE43" s="325"/>
      <c r="AF43" s="325"/>
      <c r="AG43" s="325"/>
      <c r="AH43" s="325"/>
      <c r="AI43" s="325"/>
      <c r="AJ43" s="325"/>
      <c r="AK43" s="325"/>
      <c r="AL43" s="325"/>
      <c r="AM43" s="325"/>
      <c r="AN43" s="325"/>
      <c r="AO43" s="325"/>
      <c r="AP43" s="136"/>
      <c r="AQ43" s="136"/>
      <c r="AR43" s="136" t="str">
        <f t="shared" si="5"/>
        <v/>
      </c>
      <c r="AS43" s="136" t="str">
        <f t="shared" si="5"/>
        <v/>
      </c>
      <c r="AT43" s="5" t="str">
        <f t="shared" si="6"/>
        <v/>
      </c>
      <c r="AV43" s="27" t="str">
        <f>IF(G43="","",+"          ["&amp;TRIM(G43)&amp;"] ["&amp;TRIM(I43)&amp;"]"&amp;IF(H43="","","("&amp;H43&amp;")")&amp;" "&amp;TRIM(J43)&amp;IF(G44="","",","))</f>
        <v/>
      </c>
      <c r="AW43" s="27"/>
      <c r="AY43" s="122" t="str">
        <f t="shared" si="8"/>
        <v/>
      </c>
    </row>
    <row r="44" spans="2:51" ht="12.75">
      <c r="B44" s="20" t="str">
        <f t="shared" si="11"/>
        <v/>
      </c>
      <c r="C44" s="5"/>
      <c r="D44" s="5"/>
      <c r="E44" s="5"/>
      <c r="G44" s="5" t="str">
        <f t="shared" si="14"/>
        <v/>
      </c>
      <c r="H44" s="117" t="str">
        <f t="shared" si="13"/>
        <v/>
      </c>
      <c r="I44" s="5" t="str">
        <f t="shared" si="2"/>
        <v/>
      </c>
      <c r="J44" s="5" t="str">
        <f t="shared" si="3"/>
        <v/>
      </c>
      <c r="K44" s="5"/>
      <c r="L44" s="5"/>
      <c r="M44" s="75"/>
      <c r="N44" s="77"/>
      <c r="O44" s="26"/>
      <c r="P44" s="26"/>
      <c r="Q44" s="118" t="str">
        <f t="shared" si="4"/>
        <v/>
      </c>
      <c r="R44" s="153"/>
      <c r="S44" s="138" t="str">
        <f t="shared" si="9"/>
        <v/>
      </c>
      <c r="T44" s="148"/>
      <c r="U44" s="146"/>
      <c r="V44" s="146"/>
      <c r="W44" s="139"/>
      <c r="X44" s="139"/>
      <c r="Y44" s="148"/>
      <c r="Z44" s="138" t="str">
        <f t="shared" si="10"/>
        <v/>
      </c>
      <c r="AA44" s="138" t="str">
        <f t="shared" si="12"/>
        <v/>
      </c>
      <c r="AB44" s="239"/>
      <c r="AC44" s="325"/>
      <c r="AD44" s="325"/>
      <c r="AE44" s="325"/>
      <c r="AF44" s="325"/>
      <c r="AG44" s="325"/>
      <c r="AH44" s="325"/>
      <c r="AI44" s="325"/>
      <c r="AJ44" s="325"/>
      <c r="AK44" s="325"/>
      <c r="AL44" s="325"/>
      <c r="AM44" s="325"/>
      <c r="AN44" s="325"/>
      <c r="AO44" s="325"/>
      <c r="AP44" s="136"/>
      <c r="AQ44" s="136"/>
      <c r="AR44" s="136" t="str">
        <f t="shared" si="5"/>
        <v/>
      </c>
      <c r="AS44" s="136" t="str">
        <f t="shared" si="5"/>
        <v/>
      </c>
      <c r="AT44" s="5" t="str">
        <f t="shared" si="6"/>
        <v/>
      </c>
      <c r="AV44" s="27" t="str">
        <f>IF(G44="","",+"          ["&amp;TRIM(G44)&amp;"] ["&amp;TRIM(I44)&amp;"]"&amp;IF(H44="","","("&amp;H44&amp;")")&amp;" "&amp;TRIM(J44)&amp;IF(G45="","",","))</f>
        <v/>
      </c>
      <c r="AW44" s="27"/>
      <c r="AY44" s="122" t="str">
        <f t="shared" si="8"/>
        <v/>
      </c>
    </row>
    <row r="45" spans="2:51" ht="12.75">
      <c r="B45" s="20" t="str">
        <f t="shared" si="11"/>
        <v/>
      </c>
      <c r="C45" s="5"/>
      <c r="D45" s="5"/>
      <c r="E45" s="5"/>
      <c r="G45" s="5" t="str">
        <f t="shared" si="14"/>
        <v/>
      </c>
      <c r="H45" s="117" t="str">
        <f t="shared" si="13"/>
        <v/>
      </c>
      <c r="I45" s="5" t="str">
        <f t="shared" si="2"/>
        <v/>
      </c>
      <c r="J45" s="5" t="str">
        <f t="shared" si="3"/>
        <v/>
      </c>
      <c r="K45" s="5"/>
      <c r="L45" s="5"/>
      <c r="M45" s="75"/>
      <c r="N45" s="77"/>
      <c r="O45" s="26"/>
      <c r="P45" s="26"/>
      <c r="Q45" s="118" t="str">
        <f t="shared" si="4"/>
        <v/>
      </c>
      <c r="R45" s="153"/>
      <c r="S45" s="138" t="str">
        <f t="shared" si="9"/>
        <v/>
      </c>
      <c r="T45" s="148"/>
      <c r="U45" s="146"/>
      <c r="V45" s="146"/>
      <c r="W45" s="139"/>
      <c r="X45" s="139"/>
      <c r="Y45" s="148"/>
      <c r="Z45" s="138" t="str">
        <f t="shared" si="10"/>
        <v/>
      </c>
      <c r="AA45" s="138" t="str">
        <f t="shared" si="12"/>
        <v/>
      </c>
      <c r="AB45" s="239"/>
      <c r="AC45" s="325"/>
      <c r="AD45" s="325"/>
      <c r="AE45" s="325"/>
      <c r="AF45" s="325"/>
      <c r="AG45" s="325"/>
      <c r="AH45" s="325"/>
      <c r="AI45" s="325"/>
      <c r="AJ45" s="325"/>
      <c r="AK45" s="325"/>
      <c r="AL45" s="325"/>
      <c r="AM45" s="325"/>
      <c r="AN45" s="325"/>
      <c r="AO45" s="325"/>
      <c r="AP45" s="136"/>
      <c r="AQ45" s="136"/>
      <c r="AR45" s="136" t="str">
        <f t="shared" si="5"/>
        <v/>
      </c>
      <c r="AS45" s="136" t="str">
        <f t="shared" si="5"/>
        <v/>
      </c>
      <c r="AT45" s="5" t="str">
        <f t="shared" si="6"/>
        <v/>
      </c>
      <c r="AV45" s="27" t="str">
        <f>IF(G45="","",+"          ["&amp;TRIM(G45)&amp;"] ["&amp;TRIM(I45)&amp;"]"&amp;IF(H45="","","("&amp;H45&amp;")")&amp;" "&amp;TRIM(J45)&amp;IF(G54="","",","))</f>
        <v/>
      </c>
      <c r="AW45" s="27"/>
      <c r="AY45" s="122" t="str">
        <f t="shared" si="8"/>
        <v/>
      </c>
    </row>
    <row r="46" spans="2:51" ht="12.75">
      <c r="B46" s="20" t="str">
        <f t="shared" si="11"/>
        <v/>
      </c>
      <c r="C46" s="5"/>
      <c r="D46" s="5"/>
      <c r="E46" s="5"/>
      <c r="G46" s="5" t="str">
        <f>SUBSTITUTE(SUBSTITUTE(SUBSTITUTE(SUBSTITUTE(SUBSTITUTE(SUBSTITUTE(SUBSTITUTE(SUBSTITUTE(SUBSTITUTE(C46," ",""),".",""),"#","No"),"%",""),"(",""),"*",""),"-",""),"/",""),")","")</f>
        <v/>
      </c>
      <c r="H46" s="117" t="str">
        <f t="shared" si="13"/>
        <v/>
      </c>
      <c r="I46" s="5" t="str">
        <f>IF(E46=0,"",+E46)</f>
        <v/>
      </c>
      <c r="J46" s="5" t="str">
        <f>IF(C46=0,"",(IF(ISERROR(VLOOKUP(G46,$D$120:$D$127,1,FALSE)),""," NOT")&amp;" NULL"))</f>
        <v/>
      </c>
      <c r="K46" s="5"/>
      <c r="L46" s="5"/>
      <c r="M46" s="75"/>
      <c r="N46" s="77"/>
      <c r="O46" s="26"/>
      <c r="P46" s="26"/>
      <c r="Q46" s="118" t="str">
        <f>IF(M46=0,"",ROW())</f>
        <v/>
      </c>
      <c r="R46" s="153"/>
      <c r="S46" s="138" t="str">
        <f t="shared" si="9"/>
        <v/>
      </c>
      <c r="T46" s="148"/>
      <c r="U46" s="146"/>
      <c r="V46" s="146"/>
      <c r="W46" s="139"/>
      <c r="X46" s="139"/>
      <c r="Y46" s="148"/>
      <c r="Z46" s="138" t="str">
        <f t="shared" si="10"/>
        <v/>
      </c>
      <c r="AA46" s="138" t="str">
        <f t="shared" si="12"/>
        <v/>
      </c>
      <c r="AB46" s="239"/>
      <c r="AC46" s="325"/>
      <c r="AD46" s="325"/>
      <c r="AE46" s="325"/>
      <c r="AF46" s="325"/>
      <c r="AG46" s="325"/>
      <c r="AH46" s="325"/>
      <c r="AI46" s="325"/>
      <c r="AJ46" s="325"/>
      <c r="AK46" s="325"/>
      <c r="AL46" s="325"/>
      <c r="AM46" s="325"/>
      <c r="AN46" s="325"/>
      <c r="AO46" s="325"/>
      <c r="AP46" s="136"/>
      <c r="AQ46" s="136"/>
      <c r="AR46" s="136" t="str">
        <f t="shared" si="5"/>
        <v/>
      </c>
      <c r="AS46" s="136" t="str">
        <f t="shared" si="5"/>
        <v/>
      </c>
      <c r="AT46" s="5" t="str">
        <f t="shared" si="6"/>
        <v/>
      </c>
      <c r="AV46" s="27" t="str">
        <f>IF(G46="","",+"          ["&amp;TRIM(G46)&amp;"] ["&amp;TRIM(I46)&amp;"]"&amp;IF(H46="","","("&amp;H46&amp;")")&amp;" "&amp;TRIM(J46)&amp;IF(G47="","",","))</f>
        <v/>
      </c>
      <c r="AW46" s="27"/>
      <c r="AY46" s="122" t="str">
        <f t="shared" si="8"/>
        <v/>
      </c>
    </row>
    <row r="47" spans="2:51" ht="12.75">
      <c r="B47" s="20" t="str">
        <f t="shared" si="11"/>
        <v/>
      </c>
      <c r="C47" s="5"/>
      <c r="D47" s="5"/>
      <c r="E47" s="5"/>
      <c r="G47" s="5" t="str">
        <f>SUBSTITUTE(SUBSTITUTE(SUBSTITUTE(SUBSTITUTE(SUBSTITUTE(SUBSTITUTE(SUBSTITUTE(SUBSTITUTE(SUBSTITUTE(C47," ",""),".",""),"#","No"),"%",""),"(",""),"*",""),"-",""),"/",""),")","")</f>
        <v/>
      </c>
      <c r="H47" s="117" t="str">
        <f t="shared" si="13"/>
        <v/>
      </c>
      <c r="I47" s="5" t="str">
        <f>IF(E47=0,"",+E47)</f>
        <v/>
      </c>
      <c r="J47" s="5" t="str">
        <f>IF(C47=0,"",(IF(ISERROR(VLOOKUP(G47,$D$120:$D$127,1,FALSE)),""," NOT")&amp;" NULL"))</f>
        <v/>
      </c>
      <c r="K47" s="5"/>
      <c r="L47" s="5"/>
      <c r="M47" s="75"/>
      <c r="N47" s="77"/>
      <c r="O47" s="26"/>
      <c r="P47" s="26"/>
      <c r="Q47" s="118" t="str">
        <f>IF(M47=0,"",ROW())</f>
        <v/>
      </c>
      <c r="R47" s="153"/>
      <c r="S47" s="138" t="str">
        <f t="shared" si="9"/>
        <v/>
      </c>
      <c r="T47" s="148"/>
      <c r="U47" s="146"/>
      <c r="V47" s="146"/>
      <c r="W47" s="139"/>
      <c r="X47" s="139"/>
      <c r="Y47" s="148"/>
      <c r="Z47" s="138" t="str">
        <f t="shared" si="10"/>
        <v/>
      </c>
      <c r="AA47" s="138" t="str">
        <f t="shared" si="12"/>
        <v/>
      </c>
      <c r="AB47" s="239"/>
      <c r="AC47" s="325"/>
      <c r="AD47" s="325"/>
      <c r="AE47" s="325"/>
      <c r="AF47" s="325"/>
      <c r="AG47" s="325"/>
      <c r="AH47" s="325"/>
      <c r="AI47" s="325"/>
      <c r="AJ47" s="325"/>
      <c r="AK47" s="325"/>
      <c r="AL47" s="325"/>
      <c r="AM47" s="325"/>
      <c r="AN47" s="325"/>
      <c r="AO47" s="325"/>
      <c r="AP47" s="136"/>
      <c r="AQ47" s="136"/>
      <c r="AR47" s="136" t="str">
        <f t="shared" si="5"/>
        <v/>
      </c>
      <c r="AS47" s="136" t="str">
        <f t="shared" si="5"/>
        <v/>
      </c>
      <c r="AT47" s="5" t="str">
        <f t="shared" si="6"/>
        <v/>
      </c>
      <c r="AV47" s="27" t="str">
        <f>IF(G47="","",+"          ["&amp;TRIM(G47)&amp;"] ["&amp;TRIM(I47)&amp;"]"&amp;IF(H47="","","("&amp;H47&amp;")")&amp;" "&amp;TRIM(J47)&amp;IF(G48="","",","))</f>
        <v/>
      </c>
      <c r="AW47" s="27"/>
      <c r="AY47" s="122" t="str">
        <f t="shared" si="8"/>
        <v/>
      </c>
    </row>
    <row r="48" spans="2:51" ht="12.75">
      <c r="B48" s="20" t="str">
        <f t="shared" si="11"/>
        <v/>
      </c>
      <c r="C48" s="5"/>
      <c r="D48" s="5"/>
      <c r="E48" s="5"/>
      <c r="G48" s="5" t="str">
        <f>SUBSTITUTE(SUBSTITUTE(SUBSTITUTE(SUBSTITUTE(SUBSTITUTE(SUBSTITUTE(SUBSTITUTE(SUBSTITUTE(SUBSTITUTE(C48," ",""),".",""),"#","No"),"%",""),"(",""),"*",""),"-",""),"/",""),")","")</f>
        <v/>
      </c>
      <c r="H48" s="117" t="str">
        <f t="shared" si="13"/>
        <v/>
      </c>
      <c r="I48" s="5" t="str">
        <f>IF(E48=0,"",+E48)</f>
        <v/>
      </c>
      <c r="J48" s="5" t="str">
        <f>IF(C48=0,"",(IF(ISERROR(VLOOKUP(G48,$D$120:$D$127,1,FALSE)),""," NOT")&amp;" NULL"))</f>
        <v/>
      </c>
      <c r="K48" s="5"/>
      <c r="L48" s="5"/>
      <c r="M48" s="75"/>
      <c r="N48" s="77"/>
      <c r="O48" s="26"/>
      <c r="P48" s="26"/>
      <c r="Q48" s="118" t="str">
        <f>IF(M48=0,"",ROW())</f>
        <v/>
      </c>
      <c r="R48" s="153"/>
      <c r="S48" s="138" t="str">
        <f t="shared" si="9"/>
        <v/>
      </c>
      <c r="T48" s="148"/>
      <c r="U48" s="146"/>
      <c r="V48" s="146"/>
      <c r="W48" s="139"/>
      <c r="X48" s="139"/>
      <c r="Y48" s="148"/>
      <c r="Z48" s="138" t="str">
        <f t="shared" si="10"/>
        <v/>
      </c>
      <c r="AA48" s="138" t="str">
        <f t="shared" si="12"/>
        <v/>
      </c>
      <c r="AB48" s="239"/>
      <c r="AC48" s="325"/>
      <c r="AD48" s="325"/>
      <c r="AE48" s="325"/>
      <c r="AF48" s="325"/>
      <c r="AG48" s="325"/>
      <c r="AH48" s="325"/>
      <c r="AI48" s="325"/>
      <c r="AJ48" s="325"/>
      <c r="AK48" s="325"/>
      <c r="AL48" s="325"/>
      <c r="AM48" s="325"/>
      <c r="AN48" s="325"/>
      <c r="AO48" s="325"/>
      <c r="AP48" s="136"/>
      <c r="AQ48" s="136"/>
      <c r="AR48" s="136" t="str">
        <f t="shared" ref="AR48:AS79" si="15">IF(O48=0,"",ROW())</f>
        <v/>
      </c>
      <c r="AS48" s="136" t="str">
        <f t="shared" si="15"/>
        <v/>
      </c>
      <c r="AT48" s="5" t="str">
        <f t="shared" ref="AT48:AT79" si="16">IF(C48="","",C48&amp;IF(B49="","",","))</f>
        <v/>
      </c>
      <c r="AV48" s="27" t="str">
        <f>IF(G48="","",+"          ["&amp;TRIM(G48)&amp;"] ["&amp;TRIM(I48)&amp;"]"&amp;IF(H48="","","("&amp;H48&amp;")")&amp;" "&amp;TRIM(J48)&amp;IF(G96="","",","))</f>
        <v/>
      </c>
      <c r="AW48" s="27"/>
      <c r="AY48" s="122" t="str">
        <f t="shared" si="8"/>
        <v/>
      </c>
    </row>
    <row r="49" spans="2:51" ht="12.75">
      <c r="B49" s="20" t="str">
        <f t="shared" si="11"/>
        <v/>
      </c>
      <c r="C49" s="5"/>
      <c r="D49" s="5"/>
      <c r="E49" s="5"/>
      <c r="G49" s="5" t="str">
        <f>SUBSTITUTE(SUBSTITUTE(SUBSTITUTE(SUBSTITUTE(SUBSTITUTE(SUBSTITUTE(SUBSTITUTE(SUBSTITUTE(SUBSTITUTE(C49," ",""),".",""),"#","No"),"%",""),"(",""),"*",""),"-",""),"/",""),")","")</f>
        <v/>
      </c>
      <c r="H49" s="117" t="str">
        <f t="shared" si="13"/>
        <v/>
      </c>
      <c r="I49" s="5" t="str">
        <f>IF(E49=0,"",+E49)</f>
        <v/>
      </c>
      <c r="J49" s="5" t="str">
        <f>IF(C49=0,"",(IF(ISERROR(VLOOKUP(G49,$D$120:$D$127,1,FALSE)),""," NOT")&amp;" NULL"))</f>
        <v/>
      </c>
      <c r="K49" s="5"/>
      <c r="L49" s="5"/>
      <c r="M49" s="75"/>
      <c r="N49" s="77"/>
      <c r="O49" s="26"/>
      <c r="P49" s="26"/>
      <c r="Q49" s="118" t="str">
        <f>IF(M49=0,"",ROW())</f>
        <v/>
      </c>
      <c r="R49" s="153"/>
      <c r="S49" s="138" t="str">
        <f t="shared" si="9"/>
        <v/>
      </c>
      <c r="T49" s="148"/>
      <c r="U49" s="146"/>
      <c r="V49" s="146"/>
      <c r="W49" s="139"/>
      <c r="X49" s="139"/>
      <c r="Y49" s="148"/>
      <c r="Z49" s="138" t="str">
        <f t="shared" si="10"/>
        <v/>
      </c>
      <c r="AA49" s="138" t="str">
        <f t="shared" si="12"/>
        <v/>
      </c>
      <c r="AB49" s="239"/>
      <c r="AC49" s="325"/>
      <c r="AD49" s="325"/>
      <c r="AE49" s="325"/>
      <c r="AF49" s="325"/>
      <c r="AG49" s="325"/>
      <c r="AH49" s="325"/>
      <c r="AI49" s="325"/>
      <c r="AJ49" s="325"/>
      <c r="AK49" s="325"/>
      <c r="AL49" s="325"/>
      <c r="AM49" s="325"/>
      <c r="AN49" s="325"/>
      <c r="AO49" s="325"/>
      <c r="AP49" s="136"/>
      <c r="AQ49" s="136"/>
      <c r="AR49" s="136" t="str">
        <f t="shared" si="15"/>
        <v/>
      </c>
      <c r="AS49" s="136" t="str">
        <f t="shared" si="15"/>
        <v/>
      </c>
      <c r="AT49" s="5" t="str">
        <f t="shared" si="16"/>
        <v/>
      </c>
      <c r="AV49" s="27" t="str">
        <f>IF(G49="","",+"          ["&amp;TRIM(G49)&amp;"] ["&amp;TRIM(I49)&amp;"]"&amp;IF(H49="","","("&amp;H49&amp;")")&amp;" "&amp;TRIM(J49)&amp;IF(G95="","",","))</f>
        <v/>
      </c>
      <c r="AW49" s="27"/>
      <c r="AY49" s="122" t="str">
        <f t="shared" si="8"/>
        <v/>
      </c>
    </row>
    <row r="50" spans="2:51" ht="12.75">
      <c r="B50" s="20" t="str">
        <f t="shared" si="11"/>
        <v/>
      </c>
      <c r="C50" s="5"/>
      <c r="D50" s="5"/>
      <c r="E50" s="5"/>
      <c r="G50" s="5" t="str">
        <f t="shared" ref="G50:G93" si="17">SUBSTITUTE(SUBSTITUTE(SUBSTITUTE(SUBSTITUTE(SUBSTITUTE(SUBSTITUTE(SUBSTITUTE(SUBSTITUTE(SUBSTITUTE(C50," ",""),".",""),"#","No"),"%",""),"(",""),"*",""),"-",""),"/",""),")","")</f>
        <v/>
      </c>
      <c r="H50" s="117" t="str">
        <f t="shared" si="13"/>
        <v/>
      </c>
      <c r="I50" s="5" t="str">
        <f t="shared" ref="I50:I93" si="18">IF(E50=0,"",+E50)</f>
        <v/>
      </c>
      <c r="J50" s="5" t="str">
        <f t="shared" ref="J50:J93" si="19">IF(C50=0,"",(IF(ISERROR(VLOOKUP(G50,$D$120:$D$127,1,FALSE)),""," NOT")&amp;" NULL"))</f>
        <v/>
      </c>
      <c r="K50" s="5"/>
      <c r="L50" s="5"/>
      <c r="M50" s="75"/>
      <c r="N50" s="77"/>
      <c r="O50" s="26"/>
      <c r="P50" s="26"/>
      <c r="Q50" s="118" t="str">
        <f t="shared" ref="Q50:Q93" si="20">IF(M50=0,"",ROW())</f>
        <v/>
      </c>
      <c r="R50" s="153"/>
      <c r="S50" s="138" t="str">
        <f t="shared" si="9"/>
        <v/>
      </c>
      <c r="T50" s="148"/>
      <c r="U50" s="146"/>
      <c r="V50" s="146"/>
      <c r="W50" s="139"/>
      <c r="X50" s="139"/>
      <c r="Y50" s="148"/>
      <c r="Z50" s="138" t="str">
        <f t="shared" si="10"/>
        <v/>
      </c>
      <c r="AA50" s="138" t="str">
        <f t="shared" si="12"/>
        <v/>
      </c>
      <c r="AB50" s="239"/>
      <c r="AC50" s="325"/>
      <c r="AD50" s="325"/>
      <c r="AE50" s="325"/>
      <c r="AF50" s="325"/>
      <c r="AG50" s="325"/>
      <c r="AH50" s="325"/>
      <c r="AI50" s="325"/>
      <c r="AJ50" s="325"/>
      <c r="AK50" s="325"/>
      <c r="AL50" s="325"/>
      <c r="AM50" s="325"/>
      <c r="AN50" s="325"/>
      <c r="AO50" s="325"/>
      <c r="AP50" s="136"/>
      <c r="AQ50" s="136"/>
      <c r="AR50" s="136" t="str">
        <f t="shared" si="15"/>
        <v/>
      </c>
      <c r="AS50" s="136" t="str">
        <f t="shared" si="15"/>
        <v/>
      </c>
      <c r="AT50" s="5" t="str">
        <f t="shared" si="16"/>
        <v/>
      </c>
      <c r="AV50" s="27" t="str">
        <f>IF(G50="","",+"          ["&amp;TRIM(G50)&amp;"] ["&amp;TRIM(I50)&amp;"]"&amp;IF(H50="","","("&amp;H50&amp;")")&amp;" "&amp;TRIM(J50)&amp;IF(G51="","",","))</f>
        <v/>
      </c>
      <c r="AW50" s="27"/>
      <c r="AY50" s="122" t="str">
        <f t="shared" si="8"/>
        <v/>
      </c>
    </row>
    <row r="51" spans="2:51" ht="12.75">
      <c r="B51" s="20" t="str">
        <f t="shared" si="11"/>
        <v/>
      </c>
      <c r="C51" s="5"/>
      <c r="D51" s="5"/>
      <c r="E51" s="5"/>
      <c r="G51" s="5" t="str">
        <f t="shared" si="17"/>
        <v/>
      </c>
      <c r="H51" s="117" t="str">
        <f t="shared" si="13"/>
        <v/>
      </c>
      <c r="I51" s="5" t="str">
        <f t="shared" si="18"/>
        <v/>
      </c>
      <c r="J51" s="5" t="str">
        <f t="shared" si="19"/>
        <v/>
      </c>
      <c r="K51" s="5"/>
      <c r="L51" s="5"/>
      <c r="M51" s="75"/>
      <c r="N51" s="77"/>
      <c r="O51" s="26"/>
      <c r="P51" s="26"/>
      <c r="Q51" s="118" t="str">
        <f t="shared" si="20"/>
        <v/>
      </c>
      <c r="R51" s="153"/>
      <c r="S51" s="138" t="str">
        <f t="shared" si="9"/>
        <v/>
      </c>
      <c r="T51" s="148"/>
      <c r="U51" s="146"/>
      <c r="V51" s="146"/>
      <c r="W51" s="139"/>
      <c r="X51" s="139"/>
      <c r="Y51" s="148"/>
      <c r="Z51" s="138" t="str">
        <f t="shared" si="10"/>
        <v/>
      </c>
      <c r="AA51" s="138" t="str">
        <f t="shared" si="12"/>
        <v/>
      </c>
      <c r="AB51" s="239"/>
      <c r="AC51" s="325"/>
      <c r="AD51" s="325"/>
      <c r="AE51" s="325"/>
      <c r="AF51" s="325"/>
      <c r="AG51" s="325"/>
      <c r="AH51" s="325"/>
      <c r="AI51" s="325"/>
      <c r="AJ51" s="325"/>
      <c r="AK51" s="325"/>
      <c r="AL51" s="325"/>
      <c r="AM51" s="325"/>
      <c r="AN51" s="325"/>
      <c r="AO51" s="325"/>
      <c r="AP51" s="136"/>
      <c r="AQ51" s="136"/>
      <c r="AR51" s="136" t="str">
        <f t="shared" si="15"/>
        <v/>
      </c>
      <c r="AS51" s="136" t="str">
        <f t="shared" si="15"/>
        <v/>
      </c>
      <c r="AT51" s="5" t="str">
        <f t="shared" si="16"/>
        <v/>
      </c>
      <c r="AV51" s="27" t="str">
        <f>IF(G51="","",+"          ["&amp;TRIM(G51)&amp;"] ["&amp;TRIM(I51)&amp;"]"&amp;IF(H51="","","("&amp;H51&amp;")")&amp;" "&amp;TRIM(J51)&amp;IF(G54="","",","))</f>
        <v/>
      </c>
      <c r="AW51" s="27"/>
      <c r="AY51" s="122" t="str">
        <f t="shared" si="8"/>
        <v/>
      </c>
    </row>
    <row r="52" spans="2:51" ht="12.75">
      <c r="B52" s="20" t="str">
        <f t="shared" si="11"/>
        <v/>
      </c>
      <c r="C52" s="5"/>
      <c r="D52" s="5"/>
      <c r="E52" s="5"/>
      <c r="G52" s="5" t="str">
        <f t="shared" si="17"/>
        <v/>
      </c>
      <c r="H52" s="117" t="str">
        <f t="shared" si="13"/>
        <v/>
      </c>
      <c r="I52" s="5" t="str">
        <f t="shared" si="18"/>
        <v/>
      </c>
      <c r="J52" s="5" t="str">
        <f t="shared" si="19"/>
        <v/>
      </c>
      <c r="K52" s="5"/>
      <c r="L52" s="5"/>
      <c r="M52" s="75"/>
      <c r="N52" s="77"/>
      <c r="O52" s="26"/>
      <c r="P52" s="26"/>
      <c r="Q52" s="118" t="str">
        <f t="shared" si="20"/>
        <v/>
      </c>
      <c r="R52" s="153"/>
      <c r="S52" s="138" t="str">
        <f t="shared" si="9"/>
        <v/>
      </c>
      <c r="T52" s="148"/>
      <c r="U52" s="146"/>
      <c r="V52" s="146"/>
      <c r="W52" s="139"/>
      <c r="X52" s="139"/>
      <c r="Y52" s="148"/>
      <c r="Z52" s="138" t="str">
        <f t="shared" si="10"/>
        <v/>
      </c>
      <c r="AA52" s="138" t="str">
        <f t="shared" si="12"/>
        <v/>
      </c>
      <c r="AB52" s="239"/>
      <c r="AC52" s="325"/>
      <c r="AD52" s="325"/>
      <c r="AE52" s="325"/>
      <c r="AF52" s="325"/>
      <c r="AG52" s="325"/>
      <c r="AH52" s="325"/>
      <c r="AI52" s="325"/>
      <c r="AJ52" s="325"/>
      <c r="AK52" s="325"/>
      <c r="AL52" s="325"/>
      <c r="AM52" s="325"/>
      <c r="AN52" s="325"/>
      <c r="AO52" s="325"/>
      <c r="AP52" s="136"/>
      <c r="AQ52" s="136"/>
      <c r="AR52" s="136" t="str">
        <f t="shared" si="15"/>
        <v/>
      </c>
      <c r="AS52" s="136" t="str">
        <f t="shared" si="15"/>
        <v/>
      </c>
      <c r="AT52" s="5" t="str">
        <f t="shared" si="16"/>
        <v/>
      </c>
      <c r="AV52" s="27" t="str">
        <f>IF(G52="","",+"          ["&amp;TRIM(G52)&amp;"] ["&amp;TRIM(I52)&amp;"]"&amp;IF(H52="","","("&amp;H52&amp;")")&amp;" "&amp;TRIM(J52)&amp;IF(G53="","",","))</f>
        <v/>
      </c>
      <c r="AW52" s="27"/>
      <c r="AY52" s="122" t="str">
        <f t="shared" si="8"/>
        <v/>
      </c>
    </row>
    <row r="53" spans="2:51" ht="12.75">
      <c r="B53" s="20" t="str">
        <f t="shared" si="11"/>
        <v/>
      </c>
      <c r="C53" s="5"/>
      <c r="D53" s="5"/>
      <c r="E53" s="5"/>
      <c r="G53" s="5" t="str">
        <f t="shared" si="17"/>
        <v/>
      </c>
      <c r="H53" s="117" t="str">
        <f t="shared" si="13"/>
        <v/>
      </c>
      <c r="I53" s="5" t="str">
        <f t="shared" si="18"/>
        <v/>
      </c>
      <c r="J53" s="5" t="str">
        <f t="shared" si="19"/>
        <v/>
      </c>
      <c r="K53" s="5"/>
      <c r="L53" s="5"/>
      <c r="M53" s="75"/>
      <c r="N53" s="77"/>
      <c r="O53" s="26"/>
      <c r="P53" s="26"/>
      <c r="Q53" s="118" t="str">
        <f t="shared" si="20"/>
        <v/>
      </c>
      <c r="R53" s="153"/>
      <c r="S53" s="138" t="str">
        <f t="shared" si="9"/>
        <v/>
      </c>
      <c r="T53" s="148"/>
      <c r="U53" s="146"/>
      <c r="V53" s="146"/>
      <c r="W53" s="139"/>
      <c r="X53" s="139"/>
      <c r="Y53" s="148"/>
      <c r="Z53" s="138" t="str">
        <f t="shared" si="10"/>
        <v/>
      </c>
      <c r="AA53" s="138" t="str">
        <f t="shared" si="12"/>
        <v/>
      </c>
      <c r="AB53" s="239"/>
      <c r="AC53" s="325"/>
      <c r="AD53" s="325"/>
      <c r="AE53" s="325"/>
      <c r="AF53" s="325"/>
      <c r="AG53" s="325"/>
      <c r="AH53" s="325"/>
      <c r="AI53" s="325"/>
      <c r="AJ53" s="325"/>
      <c r="AK53" s="325"/>
      <c r="AL53" s="325"/>
      <c r="AM53" s="325"/>
      <c r="AN53" s="325"/>
      <c r="AO53" s="325"/>
      <c r="AP53" s="136"/>
      <c r="AQ53" s="136"/>
      <c r="AR53" s="136" t="str">
        <f t="shared" si="15"/>
        <v/>
      </c>
      <c r="AS53" s="136" t="str">
        <f t="shared" si="15"/>
        <v/>
      </c>
      <c r="AT53" s="5" t="str">
        <f t="shared" si="16"/>
        <v/>
      </c>
      <c r="AV53" s="27" t="str">
        <f>IF(G53="","",+"          ["&amp;TRIM(G53)&amp;"] ["&amp;TRIM(I53)&amp;"]"&amp;IF(H53="","","("&amp;H53&amp;")")&amp;" "&amp;TRIM(J53)&amp;IF(G54="","",","))</f>
        <v/>
      </c>
      <c r="AW53" s="27"/>
      <c r="AY53" s="122" t="str">
        <f t="shared" si="8"/>
        <v/>
      </c>
    </row>
    <row r="54" spans="2:51" ht="12.75">
      <c r="B54" s="20" t="str">
        <f t="shared" si="11"/>
        <v/>
      </c>
      <c r="C54" s="5"/>
      <c r="D54" s="5"/>
      <c r="E54" s="5"/>
      <c r="G54" s="5" t="str">
        <f t="shared" si="17"/>
        <v/>
      </c>
      <c r="H54" s="117" t="str">
        <f t="shared" si="13"/>
        <v/>
      </c>
      <c r="I54" s="5" t="str">
        <f t="shared" si="18"/>
        <v/>
      </c>
      <c r="J54" s="5" t="str">
        <f t="shared" si="19"/>
        <v/>
      </c>
      <c r="K54" s="5"/>
      <c r="L54" s="5"/>
      <c r="M54" s="75"/>
      <c r="N54" s="77"/>
      <c r="O54" s="26"/>
      <c r="P54" s="26"/>
      <c r="Q54" s="118" t="str">
        <f t="shared" si="20"/>
        <v/>
      </c>
      <c r="R54" s="153"/>
      <c r="S54" s="138" t="str">
        <f t="shared" si="9"/>
        <v/>
      </c>
      <c r="T54" s="148"/>
      <c r="U54" s="146"/>
      <c r="V54" s="146"/>
      <c r="W54" s="139"/>
      <c r="X54" s="139"/>
      <c r="Y54" s="148"/>
      <c r="Z54" s="138" t="str">
        <f t="shared" si="10"/>
        <v/>
      </c>
      <c r="AA54" s="138" t="str">
        <f t="shared" si="12"/>
        <v/>
      </c>
      <c r="AB54" s="239"/>
      <c r="AC54" s="325"/>
      <c r="AD54" s="325"/>
      <c r="AE54" s="325"/>
      <c r="AF54" s="325"/>
      <c r="AG54" s="325"/>
      <c r="AH54" s="325"/>
      <c r="AI54" s="325"/>
      <c r="AJ54" s="325"/>
      <c r="AK54" s="325"/>
      <c r="AL54" s="325"/>
      <c r="AM54" s="325"/>
      <c r="AN54" s="325"/>
      <c r="AO54" s="325"/>
      <c r="AP54" s="136"/>
      <c r="AQ54" s="136"/>
      <c r="AR54" s="136" t="str">
        <f t="shared" si="15"/>
        <v/>
      </c>
      <c r="AS54" s="136" t="str">
        <f t="shared" si="15"/>
        <v/>
      </c>
      <c r="AT54" s="5" t="str">
        <f t="shared" si="16"/>
        <v/>
      </c>
      <c r="AV54" s="27" t="str">
        <f>IF(G54="","",+"          ["&amp;TRIM(G54)&amp;"] ["&amp;TRIM(I54)&amp;"]"&amp;IF(H54="","","("&amp;H54&amp;")")&amp;" "&amp;TRIM(J54)&amp;IF(G63="","",","))</f>
        <v/>
      </c>
      <c r="AW54" s="27"/>
      <c r="AY54" s="122" t="str">
        <f t="shared" si="8"/>
        <v/>
      </c>
    </row>
    <row r="55" spans="2:51" ht="12.75">
      <c r="B55" s="20" t="str">
        <f t="shared" si="11"/>
        <v/>
      </c>
      <c r="C55" s="5"/>
      <c r="D55" s="5"/>
      <c r="E55" s="5"/>
      <c r="G55" s="5" t="str">
        <f t="shared" si="17"/>
        <v/>
      </c>
      <c r="H55" s="117" t="str">
        <f t="shared" si="13"/>
        <v/>
      </c>
      <c r="I55" s="5" t="str">
        <f t="shared" si="18"/>
        <v/>
      </c>
      <c r="J55" s="5" t="str">
        <f t="shared" si="19"/>
        <v/>
      </c>
      <c r="K55" s="5"/>
      <c r="L55" s="5"/>
      <c r="M55" s="75"/>
      <c r="N55" s="77"/>
      <c r="O55" s="26"/>
      <c r="P55" s="26"/>
      <c r="Q55" s="118" t="str">
        <f t="shared" si="20"/>
        <v/>
      </c>
      <c r="R55" s="153"/>
      <c r="S55" s="138" t="str">
        <f t="shared" si="9"/>
        <v/>
      </c>
      <c r="T55" s="148"/>
      <c r="U55" s="146"/>
      <c r="V55" s="146"/>
      <c r="W55" s="139"/>
      <c r="X55" s="139"/>
      <c r="Y55" s="148"/>
      <c r="Z55" s="138" t="str">
        <f t="shared" si="10"/>
        <v/>
      </c>
      <c r="AA55" s="138" t="str">
        <f t="shared" si="12"/>
        <v/>
      </c>
      <c r="AB55" s="239"/>
      <c r="AC55" s="325"/>
      <c r="AD55" s="325"/>
      <c r="AE55" s="325"/>
      <c r="AF55" s="325"/>
      <c r="AG55" s="325"/>
      <c r="AH55" s="325"/>
      <c r="AI55" s="325"/>
      <c r="AJ55" s="325"/>
      <c r="AK55" s="325"/>
      <c r="AL55" s="325"/>
      <c r="AM55" s="325"/>
      <c r="AN55" s="325"/>
      <c r="AO55" s="325"/>
      <c r="AP55" s="136"/>
      <c r="AQ55" s="136"/>
      <c r="AR55" s="136" t="str">
        <f t="shared" si="15"/>
        <v/>
      </c>
      <c r="AS55" s="136" t="str">
        <f t="shared" si="15"/>
        <v/>
      </c>
      <c r="AT55" s="5" t="str">
        <f t="shared" si="16"/>
        <v/>
      </c>
      <c r="AV55" s="27" t="str">
        <f>IF(G55="","",+"          ["&amp;TRIM(G55)&amp;"] ["&amp;TRIM(I55)&amp;"]"&amp;IF(H55="","","("&amp;H55&amp;")")&amp;" "&amp;TRIM(J55)&amp;IF(G56="","",","))</f>
        <v/>
      </c>
      <c r="AW55" s="27"/>
      <c r="AY55" s="122" t="str">
        <f t="shared" si="8"/>
        <v/>
      </c>
    </row>
    <row r="56" spans="2:51" ht="12.75">
      <c r="B56" s="20" t="str">
        <f t="shared" si="11"/>
        <v/>
      </c>
      <c r="C56" s="5"/>
      <c r="D56" s="5"/>
      <c r="E56" s="5"/>
      <c r="G56" s="5" t="str">
        <f t="shared" si="17"/>
        <v/>
      </c>
      <c r="H56" s="117" t="str">
        <f t="shared" si="13"/>
        <v/>
      </c>
      <c r="I56" s="5" t="str">
        <f t="shared" si="18"/>
        <v/>
      </c>
      <c r="J56" s="5" t="str">
        <f t="shared" si="19"/>
        <v/>
      </c>
      <c r="K56" s="5"/>
      <c r="L56" s="5"/>
      <c r="M56" s="75"/>
      <c r="N56" s="77"/>
      <c r="O56" s="26"/>
      <c r="P56" s="26"/>
      <c r="Q56" s="118" t="str">
        <f t="shared" si="20"/>
        <v/>
      </c>
      <c r="R56" s="153"/>
      <c r="S56" s="138" t="str">
        <f t="shared" si="9"/>
        <v/>
      </c>
      <c r="T56" s="148"/>
      <c r="U56" s="146"/>
      <c r="V56" s="146"/>
      <c r="W56" s="139"/>
      <c r="X56" s="139"/>
      <c r="Y56" s="148"/>
      <c r="Z56" s="138" t="str">
        <f t="shared" si="10"/>
        <v/>
      </c>
      <c r="AA56" s="138" t="str">
        <f t="shared" si="12"/>
        <v/>
      </c>
      <c r="AB56" s="239"/>
      <c r="AC56" s="325"/>
      <c r="AD56" s="325"/>
      <c r="AE56" s="325"/>
      <c r="AF56" s="325"/>
      <c r="AG56" s="325"/>
      <c r="AH56" s="325"/>
      <c r="AI56" s="325"/>
      <c r="AJ56" s="325"/>
      <c r="AK56" s="325"/>
      <c r="AL56" s="325"/>
      <c r="AM56" s="325"/>
      <c r="AN56" s="325"/>
      <c r="AO56" s="325"/>
      <c r="AP56" s="136"/>
      <c r="AQ56" s="136"/>
      <c r="AR56" s="136" t="str">
        <f t="shared" si="15"/>
        <v/>
      </c>
      <c r="AS56" s="136" t="str">
        <f t="shared" si="15"/>
        <v/>
      </c>
      <c r="AT56" s="5" t="str">
        <f t="shared" si="16"/>
        <v/>
      </c>
      <c r="AV56" s="27" t="str">
        <f>IF(G56="","",+"          ["&amp;TRIM(G56)&amp;"] ["&amp;TRIM(I56)&amp;"]"&amp;IF(H56="","","("&amp;H56&amp;")")&amp;" "&amp;TRIM(J56)&amp;IF(G62="","",","))</f>
        <v/>
      </c>
      <c r="AW56" s="27"/>
      <c r="AY56" s="122" t="str">
        <f t="shared" si="8"/>
        <v/>
      </c>
    </row>
    <row r="57" spans="2:51" ht="12.75">
      <c r="B57" s="20" t="str">
        <f t="shared" si="11"/>
        <v/>
      </c>
      <c r="C57" s="5"/>
      <c r="D57" s="5"/>
      <c r="E57" s="5"/>
      <c r="G57" s="5" t="str">
        <f t="shared" si="17"/>
        <v/>
      </c>
      <c r="H57" s="117" t="str">
        <f t="shared" si="13"/>
        <v/>
      </c>
      <c r="I57" s="5" t="str">
        <f t="shared" si="18"/>
        <v/>
      </c>
      <c r="J57" s="5" t="str">
        <f t="shared" si="19"/>
        <v/>
      </c>
      <c r="K57" s="5"/>
      <c r="L57" s="5"/>
      <c r="M57" s="75"/>
      <c r="N57" s="77"/>
      <c r="O57" s="26"/>
      <c r="P57" s="26"/>
      <c r="Q57" s="118" t="str">
        <f t="shared" si="20"/>
        <v/>
      </c>
      <c r="R57" s="153"/>
      <c r="S57" s="138" t="str">
        <f t="shared" si="9"/>
        <v/>
      </c>
      <c r="T57" s="148"/>
      <c r="U57" s="146"/>
      <c r="V57" s="146"/>
      <c r="W57" s="139"/>
      <c r="X57" s="139"/>
      <c r="Y57" s="148"/>
      <c r="Z57" s="138" t="str">
        <f t="shared" si="10"/>
        <v/>
      </c>
      <c r="AA57" s="138" t="str">
        <f t="shared" si="12"/>
        <v/>
      </c>
      <c r="AB57" s="239"/>
      <c r="AC57" s="325"/>
      <c r="AD57" s="325"/>
      <c r="AE57" s="325"/>
      <c r="AF57" s="325"/>
      <c r="AG57" s="325"/>
      <c r="AH57" s="325"/>
      <c r="AI57" s="325"/>
      <c r="AJ57" s="325"/>
      <c r="AK57" s="325"/>
      <c r="AL57" s="325"/>
      <c r="AM57" s="325"/>
      <c r="AN57" s="325"/>
      <c r="AO57" s="325"/>
      <c r="AP57" s="136"/>
      <c r="AQ57" s="136"/>
      <c r="AR57" s="136" t="str">
        <f t="shared" si="15"/>
        <v/>
      </c>
      <c r="AS57" s="136" t="str">
        <f t="shared" si="15"/>
        <v/>
      </c>
      <c r="AT57" s="5" t="str">
        <f t="shared" si="16"/>
        <v/>
      </c>
      <c r="AV57" s="27" t="str">
        <f>IF(G57="","",+"          ["&amp;TRIM(G57)&amp;"] ["&amp;TRIM(I57)&amp;"]"&amp;IF(H57="","","("&amp;H57&amp;")")&amp;" "&amp;TRIM(J57)&amp;IF(G58="","",","))</f>
        <v/>
      </c>
      <c r="AW57" s="27"/>
      <c r="AY57" s="122" t="str">
        <f t="shared" si="8"/>
        <v/>
      </c>
    </row>
    <row r="58" spans="2:51" ht="12.75">
      <c r="B58" s="20" t="str">
        <f t="shared" si="11"/>
        <v/>
      </c>
      <c r="C58" s="5"/>
      <c r="D58" s="5"/>
      <c r="E58" s="5"/>
      <c r="G58" s="5" t="str">
        <f t="shared" si="17"/>
        <v/>
      </c>
      <c r="H58" s="117" t="str">
        <f t="shared" si="13"/>
        <v/>
      </c>
      <c r="I58" s="5" t="str">
        <f t="shared" si="18"/>
        <v/>
      </c>
      <c r="J58" s="5" t="str">
        <f t="shared" si="19"/>
        <v/>
      </c>
      <c r="K58" s="5"/>
      <c r="L58" s="5"/>
      <c r="M58" s="75"/>
      <c r="N58" s="77"/>
      <c r="O58" s="26"/>
      <c r="P58" s="26"/>
      <c r="Q58" s="118" t="str">
        <f t="shared" si="20"/>
        <v/>
      </c>
      <c r="R58" s="153"/>
      <c r="S58" s="138" t="str">
        <f t="shared" si="9"/>
        <v/>
      </c>
      <c r="T58" s="148"/>
      <c r="U58" s="146"/>
      <c r="V58" s="146"/>
      <c r="W58" s="139"/>
      <c r="X58" s="139"/>
      <c r="Y58" s="148"/>
      <c r="Z58" s="138" t="str">
        <f t="shared" si="10"/>
        <v/>
      </c>
      <c r="AA58" s="138" t="str">
        <f t="shared" si="12"/>
        <v/>
      </c>
      <c r="AB58" s="239"/>
      <c r="AC58" s="325"/>
      <c r="AD58" s="325"/>
      <c r="AE58" s="325"/>
      <c r="AF58" s="325"/>
      <c r="AG58" s="325"/>
      <c r="AH58" s="325"/>
      <c r="AI58" s="325"/>
      <c r="AJ58" s="325"/>
      <c r="AK58" s="325"/>
      <c r="AL58" s="325"/>
      <c r="AM58" s="325"/>
      <c r="AN58" s="325"/>
      <c r="AO58" s="325"/>
      <c r="AP58" s="136"/>
      <c r="AQ58" s="136"/>
      <c r="AR58" s="136" t="str">
        <f t="shared" si="15"/>
        <v/>
      </c>
      <c r="AS58" s="136" t="str">
        <f t="shared" si="15"/>
        <v/>
      </c>
      <c r="AT58" s="5" t="str">
        <f t="shared" si="16"/>
        <v/>
      </c>
      <c r="AV58" s="27" t="str">
        <f>IF(G58="","",+"          ["&amp;TRIM(G58)&amp;"] ["&amp;TRIM(I58)&amp;"]"&amp;IF(H58="","","("&amp;H58&amp;")")&amp;" "&amp;TRIM(J58)&amp;IF(G61="","",","))</f>
        <v/>
      </c>
      <c r="AW58" s="27"/>
      <c r="AY58" s="122" t="str">
        <f t="shared" si="8"/>
        <v/>
      </c>
    </row>
    <row r="59" spans="2:51" ht="12.75">
      <c r="B59" s="20" t="str">
        <f t="shared" si="11"/>
        <v/>
      </c>
      <c r="C59" s="5"/>
      <c r="D59" s="5"/>
      <c r="E59" s="5"/>
      <c r="G59" s="5" t="str">
        <f t="shared" si="17"/>
        <v/>
      </c>
      <c r="H59" s="117" t="str">
        <f t="shared" si="13"/>
        <v/>
      </c>
      <c r="I59" s="5" t="str">
        <f t="shared" si="18"/>
        <v/>
      </c>
      <c r="J59" s="5" t="str">
        <f t="shared" si="19"/>
        <v/>
      </c>
      <c r="K59" s="5"/>
      <c r="L59" s="5"/>
      <c r="M59" s="75"/>
      <c r="N59" s="77"/>
      <c r="O59" s="26"/>
      <c r="P59" s="26"/>
      <c r="Q59" s="118" t="str">
        <f t="shared" si="20"/>
        <v/>
      </c>
      <c r="R59" s="153"/>
      <c r="S59" s="138" t="str">
        <f t="shared" si="9"/>
        <v/>
      </c>
      <c r="T59" s="148"/>
      <c r="U59" s="146"/>
      <c r="V59" s="146"/>
      <c r="W59" s="139"/>
      <c r="X59" s="139"/>
      <c r="Y59" s="148"/>
      <c r="Z59" s="138" t="str">
        <f t="shared" si="10"/>
        <v/>
      </c>
      <c r="AA59" s="138" t="str">
        <f t="shared" si="12"/>
        <v/>
      </c>
      <c r="AB59" s="239"/>
      <c r="AC59" s="325"/>
      <c r="AD59" s="325"/>
      <c r="AE59" s="325"/>
      <c r="AF59" s="325"/>
      <c r="AG59" s="325"/>
      <c r="AH59" s="325"/>
      <c r="AI59" s="325"/>
      <c r="AJ59" s="325"/>
      <c r="AK59" s="325"/>
      <c r="AL59" s="325"/>
      <c r="AM59" s="325"/>
      <c r="AN59" s="325"/>
      <c r="AO59" s="325"/>
      <c r="AP59" s="136"/>
      <c r="AQ59" s="136"/>
      <c r="AR59" s="136" t="str">
        <f t="shared" si="15"/>
        <v/>
      </c>
      <c r="AS59" s="136" t="str">
        <f t="shared" si="15"/>
        <v/>
      </c>
      <c r="AT59" s="5" t="str">
        <f t="shared" si="16"/>
        <v/>
      </c>
      <c r="AV59" s="27" t="str">
        <f t="shared" ref="AV59:AV64" si="21">IF(G59="","",+"          ["&amp;TRIM(G59)&amp;"] ["&amp;TRIM(I59)&amp;"]"&amp;IF(H59="","","("&amp;H59&amp;")")&amp;" "&amp;TRIM(J59)&amp;IF(G60="","",","))</f>
        <v/>
      </c>
      <c r="AW59" s="27"/>
      <c r="AY59" s="122" t="str">
        <f t="shared" si="8"/>
        <v/>
      </c>
    </row>
    <row r="60" spans="2:51" ht="12.75">
      <c r="B60" s="20" t="str">
        <f t="shared" si="11"/>
        <v/>
      </c>
      <c r="C60" s="5"/>
      <c r="D60" s="5"/>
      <c r="E60" s="5"/>
      <c r="G60" s="5" t="str">
        <f t="shared" si="17"/>
        <v/>
      </c>
      <c r="H60" s="117" t="str">
        <f t="shared" si="13"/>
        <v/>
      </c>
      <c r="I60" s="5" t="str">
        <f t="shared" si="18"/>
        <v/>
      </c>
      <c r="J60" s="5" t="str">
        <f t="shared" si="19"/>
        <v/>
      </c>
      <c r="K60" s="5"/>
      <c r="L60" s="5"/>
      <c r="M60" s="75"/>
      <c r="N60" s="77"/>
      <c r="O60" s="26"/>
      <c r="P60" s="26"/>
      <c r="Q60" s="118" t="str">
        <f t="shared" si="20"/>
        <v/>
      </c>
      <c r="R60" s="153"/>
      <c r="S60" s="138" t="str">
        <f t="shared" si="9"/>
        <v/>
      </c>
      <c r="T60" s="148"/>
      <c r="U60" s="146"/>
      <c r="V60" s="146"/>
      <c r="W60" s="139"/>
      <c r="X60" s="139"/>
      <c r="Y60" s="148"/>
      <c r="Z60" s="138" t="str">
        <f t="shared" si="10"/>
        <v/>
      </c>
      <c r="AA60" s="138" t="str">
        <f t="shared" si="12"/>
        <v/>
      </c>
      <c r="AB60" s="239"/>
      <c r="AC60" s="325"/>
      <c r="AD60" s="325"/>
      <c r="AE60" s="325"/>
      <c r="AF60" s="325"/>
      <c r="AG60" s="325"/>
      <c r="AH60" s="325"/>
      <c r="AI60" s="325"/>
      <c r="AJ60" s="325"/>
      <c r="AK60" s="325"/>
      <c r="AL60" s="325"/>
      <c r="AM60" s="325"/>
      <c r="AN60" s="325"/>
      <c r="AO60" s="325"/>
      <c r="AP60" s="136"/>
      <c r="AQ60" s="136"/>
      <c r="AR60" s="136" t="str">
        <f t="shared" si="15"/>
        <v/>
      </c>
      <c r="AS60" s="136" t="str">
        <f t="shared" si="15"/>
        <v/>
      </c>
      <c r="AT60" s="5" t="str">
        <f t="shared" si="16"/>
        <v/>
      </c>
      <c r="AV60" s="27" t="str">
        <f t="shared" si="21"/>
        <v/>
      </c>
      <c r="AW60" s="27"/>
      <c r="AY60" s="122" t="str">
        <f t="shared" si="8"/>
        <v/>
      </c>
    </row>
    <row r="61" spans="2:51" ht="12.75">
      <c r="B61" s="20" t="str">
        <f t="shared" si="11"/>
        <v/>
      </c>
      <c r="C61" s="5"/>
      <c r="D61" s="5"/>
      <c r="E61" s="5"/>
      <c r="G61" s="5" t="str">
        <f t="shared" si="17"/>
        <v/>
      </c>
      <c r="H61" s="117" t="str">
        <f t="shared" si="13"/>
        <v/>
      </c>
      <c r="I61" s="5" t="str">
        <f t="shared" si="18"/>
        <v/>
      </c>
      <c r="J61" s="5" t="str">
        <f t="shared" si="19"/>
        <v/>
      </c>
      <c r="K61" s="5"/>
      <c r="L61" s="5"/>
      <c r="M61" s="75"/>
      <c r="N61" s="77"/>
      <c r="O61" s="26"/>
      <c r="P61" s="26"/>
      <c r="Q61" s="118" t="str">
        <f t="shared" si="20"/>
        <v/>
      </c>
      <c r="R61" s="153"/>
      <c r="S61" s="138" t="str">
        <f t="shared" si="9"/>
        <v/>
      </c>
      <c r="T61" s="148"/>
      <c r="U61" s="146"/>
      <c r="V61" s="146"/>
      <c r="W61" s="139"/>
      <c r="X61" s="139"/>
      <c r="Y61" s="148"/>
      <c r="Z61" s="138" t="str">
        <f t="shared" si="10"/>
        <v/>
      </c>
      <c r="AA61" s="138" t="str">
        <f t="shared" si="12"/>
        <v/>
      </c>
      <c r="AB61" s="239"/>
      <c r="AC61" s="325"/>
      <c r="AD61" s="325"/>
      <c r="AE61" s="325"/>
      <c r="AF61" s="325"/>
      <c r="AG61" s="325"/>
      <c r="AH61" s="325"/>
      <c r="AI61" s="325"/>
      <c r="AJ61" s="325"/>
      <c r="AK61" s="325"/>
      <c r="AL61" s="325"/>
      <c r="AM61" s="325"/>
      <c r="AN61" s="325"/>
      <c r="AO61" s="325"/>
      <c r="AP61" s="136"/>
      <c r="AQ61" s="136"/>
      <c r="AR61" s="136" t="str">
        <f t="shared" si="15"/>
        <v/>
      </c>
      <c r="AS61" s="136" t="str">
        <f t="shared" si="15"/>
        <v/>
      </c>
      <c r="AT61" s="5" t="str">
        <f t="shared" si="16"/>
        <v/>
      </c>
      <c r="AV61" s="27" t="str">
        <f t="shared" si="21"/>
        <v/>
      </c>
      <c r="AW61" s="27"/>
      <c r="AY61" s="122" t="str">
        <f t="shared" si="8"/>
        <v/>
      </c>
    </row>
    <row r="62" spans="2:51" ht="12.75">
      <c r="B62" s="20" t="str">
        <f t="shared" si="11"/>
        <v/>
      </c>
      <c r="C62" s="5"/>
      <c r="D62" s="5"/>
      <c r="E62" s="5"/>
      <c r="G62" s="5" t="str">
        <f t="shared" si="17"/>
        <v/>
      </c>
      <c r="H62" s="117" t="str">
        <f t="shared" si="13"/>
        <v/>
      </c>
      <c r="I62" s="5" t="str">
        <f t="shared" si="18"/>
        <v/>
      </c>
      <c r="J62" s="5" t="str">
        <f t="shared" si="19"/>
        <v/>
      </c>
      <c r="K62" s="5"/>
      <c r="L62" s="5"/>
      <c r="M62" s="75"/>
      <c r="N62" s="77"/>
      <c r="O62" s="26"/>
      <c r="P62" s="26"/>
      <c r="Q62" s="118" t="str">
        <f t="shared" si="20"/>
        <v/>
      </c>
      <c r="R62" s="153"/>
      <c r="S62" s="138" t="str">
        <f t="shared" si="9"/>
        <v/>
      </c>
      <c r="T62" s="148"/>
      <c r="U62" s="146"/>
      <c r="V62" s="146"/>
      <c r="W62" s="139"/>
      <c r="X62" s="139"/>
      <c r="Y62" s="148"/>
      <c r="Z62" s="138" t="str">
        <f t="shared" si="10"/>
        <v/>
      </c>
      <c r="AA62" s="138" t="str">
        <f t="shared" si="12"/>
        <v/>
      </c>
      <c r="AB62" s="239"/>
      <c r="AC62" s="325"/>
      <c r="AD62" s="325"/>
      <c r="AE62" s="325"/>
      <c r="AF62" s="325"/>
      <c r="AG62" s="325"/>
      <c r="AH62" s="325"/>
      <c r="AI62" s="325"/>
      <c r="AJ62" s="325"/>
      <c r="AK62" s="325"/>
      <c r="AL62" s="325"/>
      <c r="AM62" s="325"/>
      <c r="AN62" s="325"/>
      <c r="AO62" s="325"/>
      <c r="AP62" s="136"/>
      <c r="AQ62" s="136"/>
      <c r="AR62" s="136" t="str">
        <f t="shared" si="15"/>
        <v/>
      </c>
      <c r="AS62" s="136" t="str">
        <f t="shared" si="15"/>
        <v/>
      </c>
      <c r="AT62" s="5" t="str">
        <f t="shared" si="16"/>
        <v/>
      </c>
      <c r="AV62" s="27" t="str">
        <f t="shared" si="21"/>
        <v/>
      </c>
      <c r="AW62" s="27"/>
      <c r="AY62" s="122" t="str">
        <f t="shared" si="8"/>
        <v/>
      </c>
    </row>
    <row r="63" spans="2:51" ht="12.75">
      <c r="B63" s="20" t="str">
        <f t="shared" si="11"/>
        <v/>
      </c>
      <c r="C63" s="5"/>
      <c r="D63" s="5"/>
      <c r="E63" s="5"/>
      <c r="G63" s="5" t="str">
        <f t="shared" si="17"/>
        <v/>
      </c>
      <c r="H63" s="117" t="str">
        <f t="shared" si="13"/>
        <v/>
      </c>
      <c r="I63" s="5" t="str">
        <f t="shared" si="18"/>
        <v/>
      </c>
      <c r="J63" s="5" t="str">
        <f t="shared" si="19"/>
        <v/>
      </c>
      <c r="K63" s="5"/>
      <c r="L63" s="5"/>
      <c r="M63" s="75"/>
      <c r="N63" s="77"/>
      <c r="O63" s="26"/>
      <c r="P63" s="26"/>
      <c r="Q63" s="118" t="str">
        <f t="shared" si="20"/>
        <v/>
      </c>
      <c r="R63" s="153"/>
      <c r="S63" s="138" t="str">
        <f t="shared" si="9"/>
        <v/>
      </c>
      <c r="T63" s="148"/>
      <c r="U63" s="146"/>
      <c r="V63" s="146"/>
      <c r="W63" s="139"/>
      <c r="X63" s="139"/>
      <c r="Y63" s="148"/>
      <c r="Z63" s="138" t="str">
        <f t="shared" si="10"/>
        <v/>
      </c>
      <c r="AA63" s="138" t="str">
        <f t="shared" si="12"/>
        <v/>
      </c>
      <c r="AB63" s="239"/>
      <c r="AC63" s="325"/>
      <c r="AD63" s="325"/>
      <c r="AE63" s="325"/>
      <c r="AF63" s="325"/>
      <c r="AG63" s="325"/>
      <c r="AH63" s="325"/>
      <c r="AI63" s="325"/>
      <c r="AJ63" s="325"/>
      <c r="AK63" s="325"/>
      <c r="AL63" s="325"/>
      <c r="AM63" s="325"/>
      <c r="AN63" s="325"/>
      <c r="AO63" s="325"/>
      <c r="AP63" s="136"/>
      <c r="AQ63" s="136"/>
      <c r="AR63" s="136" t="str">
        <f t="shared" si="15"/>
        <v/>
      </c>
      <c r="AS63" s="136" t="str">
        <f t="shared" si="15"/>
        <v/>
      </c>
      <c r="AT63" s="5" t="str">
        <f t="shared" si="16"/>
        <v/>
      </c>
      <c r="AV63" s="27" t="str">
        <f t="shared" si="21"/>
        <v/>
      </c>
      <c r="AW63" s="27"/>
      <c r="AY63" s="122" t="str">
        <f t="shared" si="8"/>
        <v/>
      </c>
    </row>
    <row r="64" spans="2:51" ht="12.75">
      <c r="B64" s="20" t="str">
        <f t="shared" si="11"/>
        <v/>
      </c>
      <c r="C64" s="5"/>
      <c r="D64" s="5"/>
      <c r="E64" s="5"/>
      <c r="G64" s="5" t="str">
        <f t="shared" si="17"/>
        <v/>
      </c>
      <c r="H64" s="117" t="str">
        <f t="shared" si="13"/>
        <v/>
      </c>
      <c r="I64" s="5" t="str">
        <f t="shared" si="18"/>
        <v/>
      </c>
      <c r="J64" s="5" t="str">
        <f t="shared" si="19"/>
        <v/>
      </c>
      <c r="K64" s="5"/>
      <c r="L64" s="5"/>
      <c r="M64" s="75"/>
      <c r="N64" s="77"/>
      <c r="O64" s="26"/>
      <c r="P64" s="26"/>
      <c r="Q64" s="118" t="str">
        <f t="shared" si="20"/>
        <v/>
      </c>
      <c r="R64" s="153"/>
      <c r="S64" s="138" t="str">
        <f t="shared" si="9"/>
        <v/>
      </c>
      <c r="T64" s="148"/>
      <c r="U64" s="146"/>
      <c r="V64" s="146"/>
      <c r="W64" s="139"/>
      <c r="X64" s="139"/>
      <c r="Y64" s="148"/>
      <c r="Z64" s="138" t="str">
        <f t="shared" si="10"/>
        <v/>
      </c>
      <c r="AA64" s="138" t="str">
        <f t="shared" si="12"/>
        <v/>
      </c>
      <c r="AB64" s="239"/>
      <c r="AC64" s="325"/>
      <c r="AD64" s="325"/>
      <c r="AE64" s="325"/>
      <c r="AF64" s="325"/>
      <c r="AG64" s="325"/>
      <c r="AH64" s="325"/>
      <c r="AI64" s="325"/>
      <c r="AJ64" s="325"/>
      <c r="AK64" s="325"/>
      <c r="AL64" s="325"/>
      <c r="AM64" s="325"/>
      <c r="AN64" s="325"/>
      <c r="AO64" s="325"/>
      <c r="AP64" s="136"/>
      <c r="AQ64" s="136"/>
      <c r="AR64" s="136" t="str">
        <f t="shared" si="15"/>
        <v/>
      </c>
      <c r="AS64" s="136" t="str">
        <f t="shared" si="15"/>
        <v/>
      </c>
      <c r="AT64" s="5" t="str">
        <f t="shared" si="16"/>
        <v/>
      </c>
      <c r="AV64" s="27" t="str">
        <f t="shared" si="21"/>
        <v/>
      </c>
      <c r="AW64" s="27"/>
      <c r="AY64" s="122" t="str">
        <f t="shared" si="8"/>
        <v/>
      </c>
    </row>
    <row r="65" spans="2:51" ht="12.75">
      <c r="B65" s="20" t="str">
        <f t="shared" si="11"/>
        <v/>
      </c>
      <c r="C65" s="5"/>
      <c r="D65" s="5"/>
      <c r="E65" s="5"/>
      <c r="G65" s="5" t="str">
        <f t="shared" si="17"/>
        <v/>
      </c>
      <c r="H65" s="117" t="str">
        <f t="shared" si="13"/>
        <v/>
      </c>
      <c r="I65" s="5" t="str">
        <f t="shared" si="18"/>
        <v/>
      </c>
      <c r="J65" s="5" t="str">
        <f t="shared" si="19"/>
        <v/>
      </c>
      <c r="K65" s="5"/>
      <c r="L65" s="5"/>
      <c r="M65" s="75"/>
      <c r="N65" s="77"/>
      <c r="O65" s="26"/>
      <c r="P65" s="26"/>
      <c r="Q65" s="118" t="str">
        <f t="shared" si="20"/>
        <v/>
      </c>
      <c r="R65" s="153"/>
      <c r="S65" s="138" t="str">
        <f t="shared" si="9"/>
        <v/>
      </c>
      <c r="T65" s="148"/>
      <c r="U65" s="146"/>
      <c r="V65" s="146"/>
      <c r="W65" s="139"/>
      <c r="X65" s="139"/>
      <c r="Y65" s="148"/>
      <c r="Z65" s="138" t="str">
        <f t="shared" si="10"/>
        <v/>
      </c>
      <c r="AA65" s="138" t="str">
        <f t="shared" si="12"/>
        <v/>
      </c>
      <c r="AB65" s="239"/>
      <c r="AC65" s="325"/>
      <c r="AD65" s="325"/>
      <c r="AE65" s="325"/>
      <c r="AF65" s="325"/>
      <c r="AG65" s="325"/>
      <c r="AH65" s="325"/>
      <c r="AI65" s="325"/>
      <c r="AJ65" s="325"/>
      <c r="AK65" s="325"/>
      <c r="AL65" s="325"/>
      <c r="AM65" s="325"/>
      <c r="AN65" s="325"/>
      <c r="AO65" s="325"/>
      <c r="AP65" s="136"/>
      <c r="AQ65" s="136"/>
      <c r="AR65" s="136" t="str">
        <f t="shared" si="15"/>
        <v/>
      </c>
      <c r="AS65" s="136" t="str">
        <f t="shared" si="15"/>
        <v/>
      </c>
      <c r="AT65" s="5" t="str">
        <f t="shared" si="16"/>
        <v/>
      </c>
      <c r="AV65" s="27" t="str">
        <f>IF(G65="","",+"          ["&amp;TRIM(G65)&amp;"] ["&amp;TRIM(I65)&amp;"]"&amp;IF(H65="","","("&amp;H65&amp;")")&amp;" "&amp;TRIM(J65)&amp;IF(G68="","",","))</f>
        <v/>
      </c>
      <c r="AW65" s="27"/>
      <c r="AY65" s="122" t="str">
        <f t="shared" si="8"/>
        <v/>
      </c>
    </row>
    <row r="66" spans="2:51" ht="12.75">
      <c r="B66" s="20" t="str">
        <f t="shared" si="11"/>
        <v/>
      </c>
      <c r="C66" s="5"/>
      <c r="D66" s="5"/>
      <c r="E66" s="5"/>
      <c r="G66" s="5" t="str">
        <f t="shared" si="17"/>
        <v/>
      </c>
      <c r="H66" s="117" t="str">
        <f t="shared" si="13"/>
        <v/>
      </c>
      <c r="I66" s="5" t="str">
        <f t="shared" si="18"/>
        <v/>
      </c>
      <c r="J66" s="5" t="str">
        <f t="shared" si="19"/>
        <v/>
      </c>
      <c r="K66" s="5"/>
      <c r="L66" s="5"/>
      <c r="M66" s="75"/>
      <c r="N66" s="77"/>
      <c r="O66" s="26"/>
      <c r="P66" s="26"/>
      <c r="Q66" s="118" t="str">
        <f t="shared" si="20"/>
        <v/>
      </c>
      <c r="R66" s="153"/>
      <c r="S66" s="138" t="str">
        <f t="shared" si="9"/>
        <v/>
      </c>
      <c r="T66" s="148"/>
      <c r="U66" s="146"/>
      <c r="V66" s="146"/>
      <c r="W66" s="139"/>
      <c r="X66" s="139"/>
      <c r="Y66" s="148"/>
      <c r="Z66" s="138" t="str">
        <f t="shared" si="10"/>
        <v/>
      </c>
      <c r="AA66" s="138" t="str">
        <f t="shared" si="12"/>
        <v/>
      </c>
      <c r="AB66" s="239"/>
      <c r="AC66" s="325"/>
      <c r="AD66" s="325"/>
      <c r="AE66" s="325"/>
      <c r="AF66" s="325"/>
      <c r="AG66" s="325"/>
      <c r="AH66" s="325"/>
      <c r="AI66" s="325"/>
      <c r="AJ66" s="325"/>
      <c r="AK66" s="325"/>
      <c r="AL66" s="325"/>
      <c r="AM66" s="325"/>
      <c r="AN66" s="325"/>
      <c r="AO66" s="325"/>
      <c r="AP66" s="136"/>
      <c r="AQ66" s="136"/>
      <c r="AR66" s="136" t="str">
        <f t="shared" si="15"/>
        <v/>
      </c>
      <c r="AS66" s="136" t="str">
        <f t="shared" si="15"/>
        <v/>
      </c>
      <c r="AT66" s="5" t="str">
        <f t="shared" si="16"/>
        <v/>
      </c>
      <c r="AV66" s="27" t="str">
        <f>IF(G66="","",+"          ["&amp;TRIM(G66)&amp;"] ["&amp;TRIM(I66)&amp;"]"&amp;IF(H66="","","("&amp;H66&amp;")")&amp;" "&amp;TRIM(J66)&amp;IF(G67="","",","))</f>
        <v/>
      </c>
      <c r="AW66" s="27"/>
      <c r="AY66" s="122" t="str">
        <f t="shared" si="8"/>
        <v/>
      </c>
    </row>
    <row r="67" spans="2:51" ht="12.75">
      <c r="B67" s="20" t="str">
        <f t="shared" si="11"/>
        <v/>
      </c>
      <c r="C67" s="5"/>
      <c r="D67" s="5"/>
      <c r="E67" s="5"/>
      <c r="G67" s="5" t="str">
        <f t="shared" si="17"/>
        <v/>
      </c>
      <c r="H67" s="117" t="str">
        <f t="shared" si="13"/>
        <v/>
      </c>
      <c r="I67" s="5" t="str">
        <f t="shared" si="18"/>
        <v/>
      </c>
      <c r="J67" s="5" t="str">
        <f t="shared" si="19"/>
        <v/>
      </c>
      <c r="K67" s="5"/>
      <c r="L67" s="5"/>
      <c r="M67" s="75"/>
      <c r="N67" s="77"/>
      <c r="O67" s="26"/>
      <c r="P67" s="26"/>
      <c r="Q67" s="118" t="str">
        <f t="shared" si="20"/>
        <v/>
      </c>
      <c r="R67" s="153"/>
      <c r="S67" s="138" t="str">
        <f t="shared" si="9"/>
        <v/>
      </c>
      <c r="T67" s="148"/>
      <c r="U67" s="146"/>
      <c r="V67" s="146"/>
      <c r="W67" s="139"/>
      <c r="X67" s="139"/>
      <c r="Y67" s="148"/>
      <c r="Z67" s="138" t="str">
        <f t="shared" si="10"/>
        <v/>
      </c>
      <c r="AA67" s="138" t="str">
        <f t="shared" si="12"/>
        <v/>
      </c>
      <c r="AB67" s="239"/>
      <c r="AC67" s="325"/>
      <c r="AD67" s="325"/>
      <c r="AE67" s="325"/>
      <c r="AF67" s="325"/>
      <c r="AG67" s="325"/>
      <c r="AH67" s="325"/>
      <c r="AI67" s="325"/>
      <c r="AJ67" s="325"/>
      <c r="AK67" s="325"/>
      <c r="AL67" s="325"/>
      <c r="AM67" s="325"/>
      <c r="AN67" s="325"/>
      <c r="AO67" s="325"/>
      <c r="AP67" s="136"/>
      <c r="AQ67" s="136"/>
      <c r="AR67" s="136" t="str">
        <f t="shared" si="15"/>
        <v/>
      </c>
      <c r="AS67" s="136" t="str">
        <f t="shared" si="15"/>
        <v/>
      </c>
      <c r="AT67" s="5" t="str">
        <f t="shared" si="16"/>
        <v/>
      </c>
      <c r="AV67" s="27" t="str">
        <f>IF(G67="","",+"          ["&amp;TRIM(G67)&amp;"] ["&amp;TRIM(I67)&amp;"]"&amp;IF(H67="","","("&amp;H67&amp;")")&amp;" "&amp;TRIM(J67)&amp;IF(G68="","",","))</f>
        <v/>
      </c>
      <c r="AW67" s="27"/>
      <c r="AY67" s="122" t="str">
        <f t="shared" si="8"/>
        <v/>
      </c>
    </row>
    <row r="68" spans="2:51" ht="12.75">
      <c r="B68" s="20" t="str">
        <f t="shared" si="11"/>
        <v/>
      </c>
      <c r="C68" s="5"/>
      <c r="D68" s="5"/>
      <c r="E68" s="5"/>
      <c r="G68" s="5" t="str">
        <f t="shared" si="17"/>
        <v/>
      </c>
      <c r="H68" s="117" t="str">
        <f t="shared" si="13"/>
        <v/>
      </c>
      <c r="I68" s="5" t="str">
        <f t="shared" si="18"/>
        <v/>
      </c>
      <c r="J68" s="5" t="str">
        <f t="shared" si="19"/>
        <v/>
      </c>
      <c r="K68" s="5"/>
      <c r="L68" s="5"/>
      <c r="M68" s="75"/>
      <c r="N68" s="77"/>
      <c r="O68" s="26"/>
      <c r="P68" s="26"/>
      <c r="Q68" s="118" t="str">
        <f t="shared" si="20"/>
        <v/>
      </c>
      <c r="R68" s="153"/>
      <c r="S68" s="138" t="str">
        <f t="shared" si="9"/>
        <v/>
      </c>
      <c r="T68" s="148"/>
      <c r="U68" s="146"/>
      <c r="V68" s="146"/>
      <c r="W68" s="139"/>
      <c r="X68" s="139"/>
      <c r="Y68" s="148"/>
      <c r="Z68" s="138" t="str">
        <f t="shared" si="10"/>
        <v/>
      </c>
      <c r="AA68" s="138" t="str">
        <f t="shared" si="12"/>
        <v/>
      </c>
      <c r="AB68" s="239"/>
      <c r="AC68" s="325"/>
      <c r="AD68" s="325"/>
      <c r="AE68" s="325"/>
      <c r="AF68" s="325"/>
      <c r="AG68" s="325"/>
      <c r="AH68" s="325"/>
      <c r="AI68" s="325"/>
      <c r="AJ68" s="325"/>
      <c r="AK68" s="325"/>
      <c r="AL68" s="325"/>
      <c r="AM68" s="325"/>
      <c r="AN68" s="325"/>
      <c r="AO68" s="325"/>
      <c r="AP68" s="136"/>
      <c r="AQ68" s="136"/>
      <c r="AR68" s="136" t="str">
        <f t="shared" si="15"/>
        <v/>
      </c>
      <c r="AS68" s="136" t="str">
        <f t="shared" si="15"/>
        <v/>
      </c>
      <c r="AT68" s="5" t="str">
        <f t="shared" si="16"/>
        <v/>
      </c>
      <c r="AV68" s="27" t="str">
        <f>IF(G68="","",+"          ["&amp;TRIM(G68)&amp;"] ["&amp;TRIM(I68)&amp;"]"&amp;IF(H68="","","("&amp;H68&amp;")")&amp;" "&amp;TRIM(J68)&amp;IF(G95="","",","))</f>
        <v/>
      </c>
      <c r="AW68" s="27"/>
      <c r="AY68" s="122" t="str">
        <f t="shared" si="8"/>
        <v/>
      </c>
    </row>
    <row r="69" spans="2:51" ht="12.75">
      <c r="B69" s="20" t="str">
        <f t="shared" si="11"/>
        <v/>
      </c>
      <c r="C69" s="5"/>
      <c r="D69" s="5"/>
      <c r="E69" s="5"/>
      <c r="G69" s="5" t="str">
        <f t="shared" si="17"/>
        <v/>
      </c>
      <c r="H69" s="117" t="str">
        <f t="shared" si="13"/>
        <v/>
      </c>
      <c r="I69" s="5" t="str">
        <f t="shared" si="18"/>
        <v/>
      </c>
      <c r="J69" s="5" t="str">
        <f t="shared" si="19"/>
        <v/>
      </c>
      <c r="K69" s="5"/>
      <c r="L69" s="5"/>
      <c r="M69" s="75"/>
      <c r="N69" s="77"/>
      <c r="O69" s="26"/>
      <c r="P69" s="26"/>
      <c r="Q69" s="118" t="str">
        <f t="shared" si="20"/>
        <v/>
      </c>
      <c r="R69" s="153"/>
      <c r="S69" s="138" t="str">
        <f t="shared" si="9"/>
        <v/>
      </c>
      <c r="T69" s="148"/>
      <c r="U69" s="146"/>
      <c r="V69" s="146"/>
      <c r="W69" s="139"/>
      <c r="X69" s="139"/>
      <c r="Y69" s="148"/>
      <c r="Z69" s="138" t="str">
        <f t="shared" si="10"/>
        <v/>
      </c>
      <c r="AA69" s="138" t="str">
        <f t="shared" si="12"/>
        <v/>
      </c>
      <c r="AB69" s="239"/>
      <c r="AC69" s="325"/>
      <c r="AD69" s="325"/>
      <c r="AE69" s="325"/>
      <c r="AF69" s="325"/>
      <c r="AG69" s="325"/>
      <c r="AH69" s="325"/>
      <c r="AI69" s="325"/>
      <c r="AJ69" s="325"/>
      <c r="AK69" s="325"/>
      <c r="AL69" s="325"/>
      <c r="AM69" s="325"/>
      <c r="AN69" s="325"/>
      <c r="AO69" s="325"/>
      <c r="AP69" s="136"/>
      <c r="AQ69" s="136"/>
      <c r="AR69" s="136" t="str">
        <f t="shared" si="15"/>
        <v/>
      </c>
      <c r="AS69" s="136" t="str">
        <f t="shared" si="15"/>
        <v/>
      </c>
      <c r="AT69" s="5" t="str">
        <f t="shared" si="16"/>
        <v/>
      </c>
      <c r="AV69" s="27" t="str">
        <f>IF(G69="","",+"          ["&amp;TRIM(G69)&amp;"] ["&amp;TRIM(I69)&amp;"]"&amp;IF(H69="","","("&amp;H69&amp;")")&amp;" "&amp;TRIM(J69)&amp;IF(G70="","",","))</f>
        <v/>
      </c>
      <c r="AW69" s="27"/>
      <c r="AY69" s="122" t="str">
        <f t="shared" si="8"/>
        <v/>
      </c>
    </row>
    <row r="70" spans="2:51" ht="12.75">
      <c r="B70" s="20" t="str">
        <f t="shared" si="11"/>
        <v/>
      </c>
      <c r="C70" s="5"/>
      <c r="D70" s="5"/>
      <c r="E70" s="5"/>
      <c r="G70" s="5" t="str">
        <f t="shared" si="17"/>
        <v/>
      </c>
      <c r="H70" s="117" t="str">
        <f t="shared" si="13"/>
        <v/>
      </c>
      <c r="I70" s="5" t="str">
        <f t="shared" si="18"/>
        <v/>
      </c>
      <c r="J70" s="5" t="str">
        <f t="shared" si="19"/>
        <v/>
      </c>
      <c r="K70" s="5"/>
      <c r="L70" s="5"/>
      <c r="M70" s="75"/>
      <c r="N70" s="77"/>
      <c r="O70" s="26"/>
      <c r="P70" s="26"/>
      <c r="Q70" s="118" t="str">
        <f t="shared" si="20"/>
        <v/>
      </c>
      <c r="R70" s="153"/>
      <c r="S70" s="138" t="str">
        <f t="shared" si="9"/>
        <v/>
      </c>
      <c r="T70" s="148"/>
      <c r="U70" s="146"/>
      <c r="V70" s="146"/>
      <c r="W70" s="139"/>
      <c r="X70" s="139"/>
      <c r="Y70" s="148"/>
      <c r="Z70" s="138" t="str">
        <f t="shared" si="10"/>
        <v/>
      </c>
      <c r="AA70" s="138" t="str">
        <f t="shared" si="12"/>
        <v/>
      </c>
      <c r="AB70" s="239"/>
      <c r="AC70" s="325"/>
      <c r="AD70" s="325"/>
      <c r="AE70" s="325"/>
      <c r="AF70" s="325"/>
      <c r="AG70" s="325"/>
      <c r="AH70" s="325"/>
      <c r="AI70" s="325"/>
      <c r="AJ70" s="325"/>
      <c r="AK70" s="325"/>
      <c r="AL70" s="325"/>
      <c r="AM70" s="325"/>
      <c r="AN70" s="325"/>
      <c r="AO70" s="325"/>
      <c r="AP70" s="136"/>
      <c r="AQ70" s="136"/>
      <c r="AR70" s="136" t="str">
        <f t="shared" si="15"/>
        <v/>
      </c>
      <c r="AS70" s="136" t="str">
        <f t="shared" si="15"/>
        <v/>
      </c>
      <c r="AT70" s="5" t="str">
        <f t="shared" si="16"/>
        <v/>
      </c>
      <c r="AV70" s="27" t="str">
        <f>IF(G70="","",+"          ["&amp;TRIM(G70)&amp;"] ["&amp;TRIM(I70)&amp;"]"&amp;IF(H70="","","("&amp;H70&amp;")")&amp;" "&amp;TRIM(J70)&amp;IF(G94="","",","))</f>
        <v/>
      </c>
      <c r="AW70" s="27"/>
      <c r="AY70" s="122" t="str">
        <f t="shared" si="8"/>
        <v/>
      </c>
    </row>
    <row r="71" spans="2:51" ht="12.75">
      <c r="B71" s="20" t="str">
        <f t="shared" si="11"/>
        <v/>
      </c>
      <c r="C71" s="5"/>
      <c r="D71" s="5"/>
      <c r="E71" s="5"/>
      <c r="G71" s="5" t="str">
        <f t="shared" si="17"/>
        <v/>
      </c>
      <c r="H71" s="117" t="str">
        <f t="shared" si="13"/>
        <v/>
      </c>
      <c r="I71" s="5" t="str">
        <f t="shared" si="18"/>
        <v/>
      </c>
      <c r="J71" s="5" t="str">
        <f t="shared" si="19"/>
        <v/>
      </c>
      <c r="K71" s="5"/>
      <c r="L71" s="5"/>
      <c r="M71" s="75"/>
      <c r="N71" s="77"/>
      <c r="O71" s="26"/>
      <c r="P71" s="26"/>
      <c r="Q71" s="118" t="str">
        <f t="shared" si="20"/>
        <v/>
      </c>
      <c r="R71" s="153"/>
      <c r="S71" s="138" t="str">
        <f t="shared" si="9"/>
        <v/>
      </c>
      <c r="T71" s="148"/>
      <c r="U71" s="146"/>
      <c r="V71" s="146"/>
      <c r="W71" s="139"/>
      <c r="X71" s="139"/>
      <c r="Y71" s="148"/>
      <c r="Z71" s="138" t="str">
        <f t="shared" si="10"/>
        <v/>
      </c>
      <c r="AA71" s="138" t="str">
        <f t="shared" si="12"/>
        <v/>
      </c>
      <c r="AB71" s="239"/>
      <c r="AC71" s="325"/>
      <c r="AD71" s="325"/>
      <c r="AE71" s="325"/>
      <c r="AF71" s="325"/>
      <c r="AG71" s="325"/>
      <c r="AH71" s="325"/>
      <c r="AI71" s="325"/>
      <c r="AJ71" s="325"/>
      <c r="AK71" s="325"/>
      <c r="AL71" s="325"/>
      <c r="AM71" s="325"/>
      <c r="AN71" s="325"/>
      <c r="AO71" s="325"/>
      <c r="AP71" s="136"/>
      <c r="AQ71" s="136"/>
      <c r="AR71" s="136" t="str">
        <f t="shared" si="15"/>
        <v/>
      </c>
      <c r="AS71" s="136" t="str">
        <f t="shared" si="15"/>
        <v/>
      </c>
      <c r="AT71" s="5" t="str">
        <f t="shared" si="16"/>
        <v/>
      </c>
      <c r="AV71" s="27" t="str">
        <f>IF(G71="","",+"          ["&amp;TRIM(G71)&amp;"] ["&amp;TRIM(I71)&amp;"]"&amp;IF(H71="","","("&amp;H71&amp;")")&amp;" "&amp;TRIM(J71)&amp;IF(G72="","",","))</f>
        <v/>
      </c>
      <c r="AW71" s="27"/>
      <c r="AY71" s="122" t="str">
        <f t="shared" si="8"/>
        <v/>
      </c>
    </row>
    <row r="72" spans="2:51" ht="12.75">
      <c r="B72" s="20" t="str">
        <f t="shared" si="11"/>
        <v/>
      </c>
      <c r="C72" s="5"/>
      <c r="D72" s="5"/>
      <c r="E72" s="5"/>
      <c r="G72" s="5" t="str">
        <f t="shared" si="17"/>
        <v/>
      </c>
      <c r="H72" s="117" t="str">
        <f t="shared" si="13"/>
        <v/>
      </c>
      <c r="I72" s="5" t="str">
        <f t="shared" si="18"/>
        <v/>
      </c>
      <c r="J72" s="5" t="str">
        <f t="shared" si="19"/>
        <v/>
      </c>
      <c r="K72" s="5"/>
      <c r="L72" s="5"/>
      <c r="M72" s="75"/>
      <c r="N72" s="77"/>
      <c r="O72" s="26"/>
      <c r="P72" s="26"/>
      <c r="Q72" s="118" t="str">
        <f t="shared" si="20"/>
        <v/>
      </c>
      <c r="R72" s="153"/>
      <c r="S72" s="138" t="str">
        <f t="shared" si="9"/>
        <v/>
      </c>
      <c r="T72" s="148"/>
      <c r="U72" s="146"/>
      <c r="V72" s="146"/>
      <c r="W72" s="139"/>
      <c r="X72" s="139"/>
      <c r="Y72" s="148"/>
      <c r="Z72" s="138" t="str">
        <f t="shared" si="10"/>
        <v/>
      </c>
      <c r="AA72" s="138" t="str">
        <f t="shared" si="12"/>
        <v/>
      </c>
      <c r="AB72" s="239"/>
      <c r="AC72" s="325"/>
      <c r="AD72" s="325"/>
      <c r="AE72" s="325"/>
      <c r="AF72" s="325"/>
      <c r="AG72" s="325"/>
      <c r="AH72" s="325"/>
      <c r="AI72" s="325"/>
      <c r="AJ72" s="325"/>
      <c r="AK72" s="325"/>
      <c r="AL72" s="325"/>
      <c r="AM72" s="325"/>
      <c r="AN72" s="325"/>
      <c r="AO72" s="325"/>
      <c r="AP72" s="136"/>
      <c r="AQ72" s="136"/>
      <c r="AR72" s="136" t="str">
        <f t="shared" si="15"/>
        <v/>
      </c>
      <c r="AS72" s="136" t="str">
        <f t="shared" si="15"/>
        <v/>
      </c>
      <c r="AT72" s="5" t="str">
        <f t="shared" si="16"/>
        <v/>
      </c>
      <c r="AV72" s="27" t="str">
        <f>IF(G72="","",+"          ["&amp;TRIM(G72)&amp;"] ["&amp;TRIM(I72)&amp;"]"&amp;IF(H72="","","("&amp;H72&amp;")")&amp;" "&amp;TRIM(J72)&amp;IF(G75="","",","))</f>
        <v/>
      </c>
      <c r="AW72" s="27"/>
      <c r="AY72" s="122" t="str">
        <f t="shared" si="8"/>
        <v/>
      </c>
    </row>
    <row r="73" spans="2:51" ht="12.75">
      <c r="B73" s="20" t="str">
        <f t="shared" si="11"/>
        <v/>
      </c>
      <c r="C73" s="5"/>
      <c r="D73" s="5"/>
      <c r="E73" s="5"/>
      <c r="G73" s="5" t="str">
        <f t="shared" si="17"/>
        <v/>
      </c>
      <c r="H73" s="117" t="str">
        <f t="shared" si="13"/>
        <v/>
      </c>
      <c r="I73" s="5" t="str">
        <f t="shared" si="18"/>
        <v/>
      </c>
      <c r="J73" s="5" t="str">
        <f t="shared" si="19"/>
        <v/>
      </c>
      <c r="K73" s="5"/>
      <c r="L73" s="5"/>
      <c r="M73" s="75"/>
      <c r="N73" s="77"/>
      <c r="O73" s="26"/>
      <c r="P73" s="26"/>
      <c r="Q73" s="118" t="str">
        <f t="shared" si="20"/>
        <v/>
      </c>
      <c r="R73" s="153"/>
      <c r="S73" s="138" t="str">
        <f t="shared" si="9"/>
        <v/>
      </c>
      <c r="T73" s="148"/>
      <c r="U73" s="146"/>
      <c r="V73" s="146"/>
      <c r="W73" s="139"/>
      <c r="X73" s="139"/>
      <c r="Y73" s="148"/>
      <c r="Z73" s="138" t="str">
        <f t="shared" si="10"/>
        <v/>
      </c>
      <c r="AA73" s="138" t="str">
        <f t="shared" si="12"/>
        <v/>
      </c>
      <c r="AB73" s="239"/>
      <c r="AC73" s="325"/>
      <c r="AD73" s="325"/>
      <c r="AE73" s="325"/>
      <c r="AF73" s="325"/>
      <c r="AG73" s="325"/>
      <c r="AH73" s="325"/>
      <c r="AI73" s="325"/>
      <c r="AJ73" s="325"/>
      <c r="AK73" s="325"/>
      <c r="AL73" s="325"/>
      <c r="AM73" s="325"/>
      <c r="AN73" s="325"/>
      <c r="AO73" s="325"/>
      <c r="AP73" s="136"/>
      <c r="AQ73" s="136"/>
      <c r="AR73" s="136" t="str">
        <f t="shared" si="15"/>
        <v/>
      </c>
      <c r="AS73" s="136" t="str">
        <f t="shared" si="15"/>
        <v/>
      </c>
      <c r="AT73" s="5" t="str">
        <f t="shared" si="16"/>
        <v/>
      </c>
      <c r="AV73" s="27" t="str">
        <f>IF(G73="","",+"          ["&amp;TRIM(G73)&amp;"] ["&amp;TRIM(I73)&amp;"]"&amp;IF(H73="","","("&amp;H73&amp;")")&amp;" "&amp;TRIM(J73)&amp;IF(G74="","",","))</f>
        <v/>
      </c>
      <c r="AW73" s="27"/>
      <c r="AY73" s="122" t="str">
        <f t="shared" si="8"/>
        <v/>
      </c>
    </row>
    <row r="74" spans="2:51" ht="12.75">
      <c r="B74" s="20" t="str">
        <f t="shared" si="11"/>
        <v/>
      </c>
      <c r="C74" s="5"/>
      <c r="D74" s="5"/>
      <c r="E74" s="5"/>
      <c r="G74" s="5" t="str">
        <f t="shared" si="17"/>
        <v/>
      </c>
      <c r="H74" s="117" t="str">
        <f t="shared" si="13"/>
        <v/>
      </c>
      <c r="I74" s="5" t="str">
        <f t="shared" si="18"/>
        <v/>
      </c>
      <c r="J74" s="5" t="str">
        <f t="shared" si="19"/>
        <v/>
      </c>
      <c r="K74" s="5"/>
      <c r="L74" s="5"/>
      <c r="M74" s="75"/>
      <c r="N74" s="77"/>
      <c r="O74" s="26"/>
      <c r="P74" s="26"/>
      <c r="Q74" s="118" t="str">
        <f t="shared" si="20"/>
        <v/>
      </c>
      <c r="R74" s="153"/>
      <c r="S74" s="138" t="str">
        <f t="shared" si="9"/>
        <v/>
      </c>
      <c r="T74" s="148"/>
      <c r="U74" s="146"/>
      <c r="V74" s="146"/>
      <c r="W74" s="139"/>
      <c r="X74" s="139"/>
      <c r="Y74" s="148"/>
      <c r="Z74" s="138" t="str">
        <f t="shared" si="10"/>
        <v/>
      </c>
      <c r="AA74" s="138" t="str">
        <f t="shared" si="12"/>
        <v/>
      </c>
      <c r="AB74" s="239"/>
      <c r="AC74" s="325"/>
      <c r="AD74" s="325"/>
      <c r="AE74" s="325"/>
      <c r="AF74" s="325"/>
      <c r="AG74" s="325"/>
      <c r="AH74" s="325"/>
      <c r="AI74" s="325"/>
      <c r="AJ74" s="325"/>
      <c r="AK74" s="325"/>
      <c r="AL74" s="325"/>
      <c r="AM74" s="325"/>
      <c r="AN74" s="325"/>
      <c r="AO74" s="325"/>
      <c r="AP74" s="136"/>
      <c r="AQ74" s="136"/>
      <c r="AR74" s="136" t="str">
        <f t="shared" si="15"/>
        <v/>
      </c>
      <c r="AS74" s="136" t="str">
        <f t="shared" si="15"/>
        <v/>
      </c>
      <c r="AT74" s="5" t="str">
        <f t="shared" si="16"/>
        <v/>
      </c>
      <c r="AV74" s="27" t="str">
        <f>IF(G74="","",+"          ["&amp;TRIM(G74)&amp;"] ["&amp;TRIM(I74)&amp;"]"&amp;IF(H74="","","("&amp;H74&amp;")")&amp;" "&amp;TRIM(J74)&amp;IF(G75="","",","))</f>
        <v/>
      </c>
      <c r="AW74" s="27"/>
      <c r="AY74" s="122" t="str">
        <f t="shared" si="8"/>
        <v/>
      </c>
    </row>
    <row r="75" spans="2:51" ht="12.75">
      <c r="B75" s="20" t="str">
        <f t="shared" si="11"/>
        <v/>
      </c>
      <c r="C75" s="5"/>
      <c r="D75" s="5"/>
      <c r="E75" s="5"/>
      <c r="G75" s="5" t="str">
        <f t="shared" si="17"/>
        <v/>
      </c>
      <c r="H75" s="117" t="str">
        <f t="shared" si="13"/>
        <v/>
      </c>
      <c r="I75" s="5" t="str">
        <f t="shared" si="18"/>
        <v/>
      </c>
      <c r="J75" s="5" t="str">
        <f t="shared" si="19"/>
        <v/>
      </c>
      <c r="K75" s="5"/>
      <c r="L75" s="5"/>
      <c r="M75" s="75"/>
      <c r="N75" s="77"/>
      <c r="O75" s="26"/>
      <c r="P75" s="26"/>
      <c r="Q75" s="118" t="str">
        <f t="shared" si="20"/>
        <v/>
      </c>
      <c r="R75" s="153"/>
      <c r="S75" s="138" t="str">
        <f t="shared" si="9"/>
        <v/>
      </c>
      <c r="T75" s="148"/>
      <c r="U75" s="146"/>
      <c r="V75" s="146"/>
      <c r="W75" s="139"/>
      <c r="X75" s="139"/>
      <c r="Y75" s="148"/>
      <c r="Z75" s="138" t="str">
        <f t="shared" si="10"/>
        <v/>
      </c>
      <c r="AA75" s="138" t="str">
        <f t="shared" si="12"/>
        <v/>
      </c>
      <c r="AB75" s="239"/>
      <c r="AC75" s="325"/>
      <c r="AD75" s="325"/>
      <c r="AE75" s="325"/>
      <c r="AF75" s="325"/>
      <c r="AG75" s="325"/>
      <c r="AH75" s="325"/>
      <c r="AI75" s="325"/>
      <c r="AJ75" s="325"/>
      <c r="AK75" s="325"/>
      <c r="AL75" s="325"/>
      <c r="AM75" s="325"/>
      <c r="AN75" s="325"/>
      <c r="AO75" s="325"/>
      <c r="AP75" s="136"/>
      <c r="AQ75" s="136"/>
      <c r="AR75" s="136" t="str">
        <f t="shared" si="15"/>
        <v/>
      </c>
      <c r="AS75" s="136" t="str">
        <f t="shared" si="15"/>
        <v/>
      </c>
      <c r="AT75" s="5" t="str">
        <f t="shared" si="16"/>
        <v/>
      </c>
      <c r="AV75" s="27" t="str">
        <f>IF(G75="","",+"          ["&amp;TRIM(G75)&amp;"] ["&amp;TRIM(I75)&amp;"]"&amp;IF(H75="","","("&amp;H75&amp;")")&amp;" "&amp;TRIM(J75)&amp;IF(G94="","",","))</f>
        <v/>
      </c>
      <c r="AW75" s="27"/>
      <c r="AY75" s="122" t="str">
        <f t="shared" si="8"/>
        <v/>
      </c>
    </row>
    <row r="76" spans="2:51" ht="12.75">
      <c r="B76" s="20" t="str">
        <f t="shared" si="11"/>
        <v/>
      </c>
      <c r="C76" s="5"/>
      <c r="D76" s="5"/>
      <c r="E76" s="5"/>
      <c r="G76" s="5" t="str">
        <f t="shared" si="17"/>
        <v/>
      </c>
      <c r="H76" s="117" t="str">
        <f t="shared" si="13"/>
        <v/>
      </c>
      <c r="I76" s="5" t="str">
        <f t="shared" si="18"/>
        <v/>
      </c>
      <c r="J76" s="5" t="str">
        <f t="shared" si="19"/>
        <v/>
      </c>
      <c r="K76" s="5"/>
      <c r="L76" s="5"/>
      <c r="M76" s="75"/>
      <c r="N76" s="77"/>
      <c r="O76" s="26"/>
      <c r="P76" s="26"/>
      <c r="Q76" s="118" t="str">
        <f t="shared" si="20"/>
        <v/>
      </c>
      <c r="R76" s="153"/>
      <c r="S76" s="138" t="str">
        <f t="shared" si="9"/>
        <v/>
      </c>
      <c r="T76" s="148"/>
      <c r="U76" s="146"/>
      <c r="V76" s="146"/>
      <c r="W76" s="139"/>
      <c r="X76" s="139"/>
      <c r="Y76" s="148"/>
      <c r="Z76" s="138" t="str">
        <f t="shared" si="10"/>
        <v/>
      </c>
      <c r="AA76" s="138" t="str">
        <f t="shared" si="12"/>
        <v/>
      </c>
      <c r="AB76" s="239"/>
      <c r="AC76" s="325"/>
      <c r="AD76" s="325"/>
      <c r="AE76" s="325"/>
      <c r="AF76" s="325"/>
      <c r="AG76" s="325"/>
      <c r="AH76" s="325"/>
      <c r="AI76" s="325"/>
      <c r="AJ76" s="325"/>
      <c r="AK76" s="325"/>
      <c r="AL76" s="325"/>
      <c r="AM76" s="325"/>
      <c r="AN76" s="325"/>
      <c r="AO76" s="325"/>
      <c r="AP76" s="136"/>
      <c r="AQ76" s="136"/>
      <c r="AR76" s="136" t="str">
        <f t="shared" si="15"/>
        <v/>
      </c>
      <c r="AS76" s="136" t="str">
        <f t="shared" si="15"/>
        <v/>
      </c>
      <c r="AT76" s="5" t="str">
        <f t="shared" si="16"/>
        <v/>
      </c>
      <c r="AV76" s="27" t="str">
        <f>IF(G76="","",+"          ["&amp;TRIM(G76)&amp;"] ["&amp;TRIM(I76)&amp;"]"&amp;IF(H76="","","("&amp;H76&amp;")")&amp;" "&amp;TRIM(J76)&amp;IF(G77="","",","))</f>
        <v/>
      </c>
      <c r="AW76" s="27"/>
      <c r="AY76" s="122" t="str">
        <f t="shared" si="8"/>
        <v/>
      </c>
    </row>
    <row r="77" spans="2:51" ht="12.75">
      <c r="B77" s="20" t="str">
        <f t="shared" si="11"/>
        <v/>
      </c>
      <c r="C77" s="5"/>
      <c r="D77" s="5"/>
      <c r="E77" s="5"/>
      <c r="G77" s="5" t="str">
        <f t="shared" si="17"/>
        <v/>
      </c>
      <c r="H77" s="117" t="str">
        <f t="shared" si="13"/>
        <v/>
      </c>
      <c r="I77" s="5" t="str">
        <f t="shared" si="18"/>
        <v/>
      </c>
      <c r="J77" s="5" t="str">
        <f t="shared" si="19"/>
        <v/>
      </c>
      <c r="K77" s="5"/>
      <c r="L77" s="5"/>
      <c r="M77" s="75"/>
      <c r="N77" s="77"/>
      <c r="O77" s="26"/>
      <c r="P77" s="26"/>
      <c r="Q77" s="118" t="str">
        <f t="shared" si="20"/>
        <v/>
      </c>
      <c r="R77" s="153"/>
      <c r="S77" s="138" t="str">
        <f t="shared" si="9"/>
        <v/>
      </c>
      <c r="T77" s="148"/>
      <c r="U77" s="146"/>
      <c r="V77" s="146"/>
      <c r="W77" s="139"/>
      <c r="X77" s="139"/>
      <c r="Y77" s="148"/>
      <c r="Z77" s="138" t="str">
        <f t="shared" si="10"/>
        <v/>
      </c>
      <c r="AA77" s="138" t="str">
        <f t="shared" si="12"/>
        <v/>
      </c>
      <c r="AB77" s="239"/>
      <c r="AC77" s="325"/>
      <c r="AD77" s="325"/>
      <c r="AE77" s="325"/>
      <c r="AF77" s="325"/>
      <c r="AG77" s="325"/>
      <c r="AH77" s="325"/>
      <c r="AI77" s="325"/>
      <c r="AJ77" s="325"/>
      <c r="AK77" s="325"/>
      <c r="AL77" s="325"/>
      <c r="AM77" s="325"/>
      <c r="AN77" s="325"/>
      <c r="AO77" s="325"/>
      <c r="AP77" s="136"/>
      <c r="AQ77" s="136"/>
      <c r="AR77" s="136" t="str">
        <f t="shared" si="15"/>
        <v/>
      </c>
      <c r="AS77" s="136" t="str">
        <f t="shared" si="15"/>
        <v/>
      </c>
      <c r="AT77" s="5" t="str">
        <f t="shared" si="16"/>
        <v/>
      </c>
      <c r="AV77" s="27" t="str">
        <f>IF(G77="","",+"          ["&amp;TRIM(G77)&amp;"] ["&amp;TRIM(I77)&amp;"]"&amp;IF(H77="","","("&amp;H77&amp;")")&amp;" "&amp;TRIM(J77)&amp;IF(G78="","",","))</f>
        <v/>
      </c>
      <c r="AW77" s="27"/>
      <c r="AY77" s="122" t="str">
        <f t="shared" si="8"/>
        <v/>
      </c>
    </row>
    <row r="78" spans="2:51" ht="12.75">
      <c r="B78" s="20" t="str">
        <f t="shared" si="11"/>
        <v/>
      </c>
      <c r="C78" s="5"/>
      <c r="D78" s="5"/>
      <c r="E78" s="5"/>
      <c r="G78" s="5" t="str">
        <f t="shared" si="17"/>
        <v/>
      </c>
      <c r="H78" s="117" t="str">
        <f t="shared" si="13"/>
        <v/>
      </c>
      <c r="I78" s="5" t="str">
        <f t="shared" si="18"/>
        <v/>
      </c>
      <c r="J78" s="5" t="str">
        <f t="shared" si="19"/>
        <v/>
      </c>
      <c r="K78" s="5"/>
      <c r="L78" s="5"/>
      <c r="M78" s="75"/>
      <c r="N78" s="77"/>
      <c r="O78" s="26"/>
      <c r="P78" s="26"/>
      <c r="Q78" s="118" t="str">
        <f t="shared" si="20"/>
        <v/>
      </c>
      <c r="R78" s="153"/>
      <c r="S78" s="138" t="str">
        <f t="shared" si="9"/>
        <v/>
      </c>
      <c r="T78" s="148"/>
      <c r="U78" s="146"/>
      <c r="V78" s="146"/>
      <c r="W78" s="139"/>
      <c r="X78" s="139"/>
      <c r="Y78" s="148"/>
      <c r="Z78" s="138" t="str">
        <f t="shared" si="10"/>
        <v/>
      </c>
      <c r="AA78" s="138" t="str">
        <f t="shared" si="12"/>
        <v/>
      </c>
      <c r="AB78" s="239"/>
      <c r="AC78" s="325"/>
      <c r="AD78" s="325"/>
      <c r="AE78" s="325"/>
      <c r="AF78" s="325"/>
      <c r="AG78" s="325"/>
      <c r="AH78" s="325"/>
      <c r="AI78" s="325"/>
      <c r="AJ78" s="325"/>
      <c r="AK78" s="325"/>
      <c r="AL78" s="325"/>
      <c r="AM78" s="325"/>
      <c r="AN78" s="325"/>
      <c r="AO78" s="325"/>
      <c r="AP78" s="136"/>
      <c r="AQ78" s="136"/>
      <c r="AR78" s="136" t="str">
        <f t="shared" si="15"/>
        <v/>
      </c>
      <c r="AS78" s="136" t="str">
        <f t="shared" si="15"/>
        <v/>
      </c>
      <c r="AT78" s="5" t="str">
        <f t="shared" si="16"/>
        <v/>
      </c>
      <c r="AV78" s="27" t="str">
        <f>IF(G78="","",+"          ["&amp;TRIM(G78)&amp;"] ["&amp;TRIM(I78)&amp;"]"&amp;IF(H78="","","("&amp;H78&amp;")")&amp;" "&amp;TRIM(J78)&amp;IF(G93="","",","))</f>
        <v/>
      </c>
      <c r="AW78" s="27"/>
      <c r="AY78" s="122" t="str">
        <f t="shared" si="8"/>
        <v/>
      </c>
    </row>
    <row r="79" spans="2:51" ht="12.75">
      <c r="B79" s="20" t="str">
        <f t="shared" si="11"/>
        <v/>
      </c>
      <c r="C79" s="5"/>
      <c r="D79" s="5"/>
      <c r="E79" s="5"/>
      <c r="G79" s="5" t="str">
        <f t="shared" si="17"/>
        <v/>
      </c>
      <c r="H79" s="117" t="str">
        <f t="shared" si="13"/>
        <v/>
      </c>
      <c r="I79" s="5" t="str">
        <f t="shared" si="18"/>
        <v/>
      </c>
      <c r="J79" s="5" t="str">
        <f t="shared" si="19"/>
        <v/>
      </c>
      <c r="K79" s="5"/>
      <c r="L79" s="5"/>
      <c r="M79" s="75"/>
      <c r="N79" s="77"/>
      <c r="O79" s="26"/>
      <c r="P79" s="26"/>
      <c r="Q79" s="118" t="str">
        <f t="shared" si="20"/>
        <v/>
      </c>
      <c r="R79" s="153"/>
      <c r="S79" s="138" t="str">
        <f t="shared" si="9"/>
        <v/>
      </c>
      <c r="T79" s="148"/>
      <c r="U79" s="146"/>
      <c r="V79" s="146"/>
      <c r="W79" s="139"/>
      <c r="X79" s="139"/>
      <c r="Y79" s="148"/>
      <c r="Z79" s="138" t="str">
        <f t="shared" si="10"/>
        <v/>
      </c>
      <c r="AA79" s="138" t="str">
        <f t="shared" si="12"/>
        <v/>
      </c>
      <c r="AB79" s="239"/>
      <c r="AC79" s="325"/>
      <c r="AD79" s="325"/>
      <c r="AE79" s="325"/>
      <c r="AF79" s="325"/>
      <c r="AG79" s="325"/>
      <c r="AH79" s="325"/>
      <c r="AI79" s="325"/>
      <c r="AJ79" s="325"/>
      <c r="AK79" s="325"/>
      <c r="AL79" s="325"/>
      <c r="AM79" s="325"/>
      <c r="AN79" s="325"/>
      <c r="AO79" s="325"/>
      <c r="AP79" s="136"/>
      <c r="AQ79" s="136"/>
      <c r="AR79" s="136" t="str">
        <f t="shared" si="15"/>
        <v/>
      </c>
      <c r="AS79" s="136" t="str">
        <f t="shared" si="15"/>
        <v/>
      </c>
      <c r="AT79" s="5" t="str">
        <f t="shared" si="16"/>
        <v/>
      </c>
      <c r="AV79" s="27" t="str">
        <f>IF(G79="","",+"          ["&amp;TRIM(G79)&amp;"] ["&amp;TRIM(I79)&amp;"]"&amp;IF(H79="","","("&amp;H79&amp;")")&amp;" "&amp;TRIM(J79)&amp;IF(G80="","",","))</f>
        <v/>
      </c>
      <c r="AW79" s="27"/>
      <c r="AY79" s="122" t="str">
        <f t="shared" si="8"/>
        <v/>
      </c>
    </row>
    <row r="80" spans="2:51" ht="12.75">
      <c r="B80" s="20" t="str">
        <f t="shared" si="11"/>
        <v/>
      </c>
      <c r="C80" s="5"/>
      <c r="D80" s="5"/>
      <c r="E80" s="5"/>
      <c r="G80" s="5" t="str">
        <f t="shared" si="17"/>
        <v/>
      </c>
      <c r="H80" s="117" t="str">
        <f t="shared" si="13"/>
        <v/>
      </c>
      <c r="I80" s="5" t="str">
        <f t="shared" si="18"/>
        <v/>
      </c>
      <c r="J80" s="5" t="str">
        <f t="shared" si="19"/>
        <v/>
      </c>
      <c r="K80" s="5"/>
      <c r="L80" s="5"/>
      <c r="M80" s="75"/>
      <c r="N80" s="77"/>
      <c r="O80" s="26"/>
      <c r="P80" s="26"/>
      <c r="Q80" s="118" t="str">
        <f t="shared" si="20"/>
        <v/>
      </c>
      <c r="R80" s="153"/>
      <c r="S80" s="138" t="str">
        <f t="shared" si="9"/>
        <v/>
      </c>
      <c r="T80" s="148"/>
      <c r="U80" s="146"/>
      <c r="V80" s="146"/>
      <c r="W80" s="139"/>
      <c r="X80" s="139"/>
      <c r="Y80" s="148"/>
      <c r="Z80" s="138" t="str">
        <f t="shared" si="10"/>
        <v/>
      </c>
      <c r="AA80" s="138" t="str">
        <f t="shared" si="12"/>
        <v/>
      </c>
      <c r="AB80" s="239"/>
      <c r="AC80" s="325"/>
      <c r="AD80" s="325"/>
      <c r="AE80" s="325"/>
      <c r="AF80" s="325"/>
      <c r="AG80" s="325"/>
      <c r="AH80" s="325"/>
      <c r="AI80" s="325"/>
      <c r="AJ80" s="325"/>
      <c r="AK80" s="325"/>
      <c r="AL80" s="325"/>
      <c r="AM80" s="325"/>
      <c r="AN80" s="325"/>
      <c r="AO80" s="325"/>
      <c r="AP80" s="136"/>
      <c r="AQ80" s="136"/>
      <c r="AR80" s="136" t="str">
        <f t="shared" ref="AR80:AS115" si="22">IF(O80=0,"",ROW())</f>
        <v/>
      </c>
      <c r="AS80" s="136" t="str">
        <f t="shared" si="22"/>
        <v/>
      </c>
      <c r="AT80" s="5" t="str">
        <f t="shared" ref="AT80:AT116" si="23">IF(C80="","",C80&amp;IF(B81="","",","))</f>
        <v/>
      </c>
      <c r="AV80" s="27" t="str">
        <f>IF(G80="","",+"          ["&amp;TRIM(G80)&amp;"] ["&amp;TRIM(I80)&amp;"]"&amp;IF(H80="","","("&amp;H80&amp;")")&amp;" "&amp;TRIM(J80)&amp;IF(G83="","",","))</f>
        <v/>
      </c>
      <c r="AW80" s="27"/>
      <c r="AY80" s="122"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7"/>
        <v/>
      </c>
      <c r="H81" s="117" t="str">
        <f t="shared" si="13"/>
        <v/>
      </c>
      <c r="I81" s="5" t="str">
        <f t="shared" si="18"/>
        <v/>
      </c>
      <c r="J81" s="5" t="str">
        <f t="shared" si="19"/>
        <v/>
      </c>
      <c r="K81" s="5"/>
      <c r="L81" s="5"/>
      <c r="M81" s="75"/>
      <c r="N81" s="77"/>
      <c r="O81" s="26"/>
      <c r="P81" s="26"/>
      <c r="Q81" s="118" t="str">
        <f t="shared" si="20"/>
        <v/>
      </c>
      <c r="R81" s="153"/>
      <c r="S81" s="138" t="str">
        <f t="shared" ref="S81:S115" si="25">IF(+K81=0,"",K81)</f>
        <v/>
      </c>
      <c r="T81" s="148"/>
      <c r="U81" s="146"/>
      <c r="V81" s="146"/>
      <c r="W81" s="139"/>
      <c r="X81" s="139"/>
      <c r="Y81" s="148"/>
      <c r="Z81" s="138" t="str">
        <f t="shared" ref="Z81:Z115" si="26">IF(M81&lt;9000,"","false")</f>
        <v/>
      </c>
      <c r="AA81" s="138" t="str">
        <f t="shared" si="12"/>
        <v/>
      </c>
      <c r="AB81" s="239"/>
      <c r="AC81" s="325"/>
      <c r="AD81" s="325"/>
      <c r="AE81" s="325"/>
      <c r="AF81" s="325"/>
      <c r="AG81" s="325"/>
      <c r="AH81" s="325"/>
      <c r="AI81" s="325"/>
      <c r="AJ81" s="325"/>
      <c r="AK81" s="325"/>
      <c r="AL81" s="325"/>
      <c r="AM81" s="325"/>
      <c r="AN81" s="325"/>
      <c r="AO81" s="325"/>
      <c r="AP81" s="136"/>
      <c r="AQ81" s="136"/>
      <c r="AR81" s="136" t="str">
        <f t="shared" si="22"/>
        <v/>
      </c>
      <c r="AS81" s="136" t="str">
        <f t="shared" si="22"/>
        <v/>
      </c>
      <c r="AT81" s="5" t="str">
        <f t="shared" si="23"/>
        <v/>
      </c>
      <c r="AV81" s="27" t="str">
        <f>IF(G81="","",+"          ["&amp;TRIM(G81)&amp;"] ["&amp;TRIM(I81)&amp;"]"&amp;IF(H81="","","("&amp;H81&amp;")")&amp;" "&amp;TRIM(J81)&amp;IF(G82="","",","))</f>
        <v/>
      </c>
      <c r="AW81" s="27"/>
      <c r="AY81" s="122" t="str">
        <f t="shared" si="24"/>
        <v/>
      </c>
    </row>
    <row r="82" spans="2:51" ht="12.75">
      <c r="B82" s="20" t="str">
        <f t="shared" ref="B82:B115" si="27">IF(C82=0,"",+B81+1)</f>
        <v/>
      </c>
      <c r="C82" s="5"/>
      <c r="D82" s="5"/>
      <c r="E82" s="5"/>
      <c r="G82" s="5" t="str">
        <f t="shared" si="17"/>
        <v/>
      </c>
      <c r="H82" s="117" t="str">
        <f t="shared" si="13"/>
        <v/>
      </c>
      <c r="I82" s="5" t="str">
        <f t="shared" si="18"/>
        <v/>
      </c>
      <c r="J82" s="5" t="str">
        <f t="shared" si="19"/>
        <v/>
      </c>
      <c r="K82" s="5"/>
      <c r="L82" s="5"/>
      <c r="M82" s="75"/>
      <c r="N82" s="77"/>
      <c r="O82" s="26"/>
      <c r="P82" s="26"/>
      <c r="Q82" s="118" t="str">
        <f t="shared" si="20"/>
        <v/>
      </c>
      <c r="R82" s="153"/>
      <c r="S82" s="138" t="str">
        <f t="shared" si="25"/>
        <v/>
      </c>
      <c r="T82" s="148"/>
      <c r="U82" s="146"/>
      <c r="V82" s="146"/>
      <c r="W82" s="139"/>
      <c r="X82" s="139"/>
      <c r="Y82" s="148"/>
      <c r="Z82" s="138" t="str">
        <f t="shared" si="26"/>
        <v/>
      </c>
      <c r="AA82" s="138" t="str">
        <f t="shared" ref="AA82:AA115" si="28">IF($C$120=B82,"asc","")</f>
        <v/>
      </c>
      <c r="AB82" s="239"/>
      <c r="AC82" s="325"/>
      <c r="AD82" s="325"/>
      <c r="AE82" s="325"/>
      <c r="AF82" s="325"/>
      <c r="AG82" s="325"/>
      <c r="AH82" s="325"/>
      <c r="AI82" s="325"/>
      <c r="AJ82" s="325"/>
      <c r="AK82" s="325"/>
      <c r="AL82" s="325"/>
      <c r="AM82" s="325"/>
      <c r="AN82" s="325"/>
      <c r="AO82" s="325"/>
      <c r="AP82" s="136"/>
      <c r="AQ82" s="136"/>
      <c r="AR82" s="136" t="str">
        <f t="shared" si="22"/>
        <v/>
      </c>
      <c r="AS82" s="136" t="str">
        <f t="shared" si="22"/>
        <v/>
      </c>
      <c r="AT82" s="5" t="str">
        <f t="shared" si="23"/>
        <v/>
      </c>
      <c r="AV82" s="27" t="str">
        <f>IF(G82="","",+"          ["&amp;TRIM(G82)&amp;"] ["&amp;TRIM(I82)&amp;"]"&amp;IF(H82="","","("&amp;H82&amp;")")&amp;" "&amp;TRIM(J82)&amp;IF(G83="","",","))</f>
        <v/>
      </c>
      <c r="AW82" s="27"/>
      <c r="AY82" s="122" t="str">
        <f t="shared" si="24"/>
        <v/>
      </c>
    </row>
    <row r="83" spans="2:51" ht="12.75">
      <c r="B83" s="20" t="str">
        <f t="shared" si="27"/>
        <v/>
      </c>
      <c r="C83" s="5"/>
      <c r="D83" s="5"/>
      <c r="E83" s="5"/>
      <c r="G83" s="5" t="str">
        <f t="shared" si="17"/>
        <v/>
      </c>
      <c r="H83" s="117" t="str">
        <f t="shared" si="13"/>
        <v/>
      </c>
      <c r="I83" s="5" t="str">
        <f t="shared" si="18"/>
        <v/>
      </c>
      <c r="J83" s="5" t="str">
        <f t="shared" si="19"/>
        <v/>
      </c>
      <c r="K83" s="5"/>
      <c r="L83" s="5"/>
      <c r="M83" s="75"/>
      <c r="N83" s="77"/>
      <c r="O83" s="26"/>
      <c r="P83" s="26"/>
      <c r="Q83" s="118" t="str">
        <f t="shared" si="20"/>
        <v/>
      </c>
      <c r="R83" s="153"/>
      <c r="S83" s="138" t="str">
        <f t="shared" si="25"/>
        <v/>
      </c>
      <c r="T83" s="148"/>
      <c r="U83" s="146"/>
      <c r="V83" s="146"/>
      <c r="W83" s="139"/>
      <c r="X83" s="139"/>
      <c r="Y83" s="148"/>
      <c r="Z83" s="138" t="str">
        <f t="shared" si="26"/>
        <v/>
      </c>
      <c r="AA83" s="138" t="str">
        <f t="shared" si="28"/>
        <v/>
      </c>
      <c r="AB83" s="239"/>
      <c r="AC83" s="325"/>
      <c r="AD83" s="325"/>
      <c r="AE83" s="325"/>
      <c r="AF83" s="325"/>
      <c r="AG83" s="325"/>
      <c r="AH83" s="325"/>
      <c r="AI83" s="325"/>
      <c r="AJ83" s="325"/>
      <c r="AK83" s="325"/>
      <c r="AL83" s="325"/>
      <c r="AM83" s="325"/>
      <c r="AN83" s="325"/>
      <c r="AO83" s="325"/>
      <c r="AP83" s="136"/>
      <c r="AQ83" s="136"/>
      <c r="AR83" s="136" t="str">
        <f t="shared" si="22"/>
        <v/>
      </c>
      <c r="AS83" s="136" t="str">
        <f t="shared" si="22"/>
        <v/>
      </c>
      <c r="AT83" s="5" t="str">
        <f t="shared" si="23"/>
        <v/>
      </c>
      <c r="AV83" s="27" t="str">
        <f>IF(G83="","",+"          ["&amp;TRIM(G83)&amp;"] ["&amp;TRIM(I83)&amp;"]"&amp;IF(H83="","","("&amp;H83&amp;")")&amp;" "&amp;TRIM(J83)&amp;IF(G93="","",","))</f>
        <v/>
      </c>
      <c r="AW83" s="27"/>
      <c r="AY83" s="122" t="str">
        <f t="shared" si="24"/>
        <v/>
      </c>
    </row>
    <row r="84" spans="2:51" ht="12.75">
      <c r="B84" s="20" t="str">
        <f t="shared" si="27"/>
        <v/>
      </c>
      <c r="C84" s="5"/>
      <c r="D84" s="5"/>
      <c r="E84" s="5"/>
      <c r="G84" s="5" t="str">
        <f t="shared" si="17"/>
        <v/>
      </c>
      <c r="H84" s="117" t="str">
        <f t="shared" si="13"/>
        <v/>
      </c>
      <c r="I84" s="5" t="str">
        <f t="shared" si="18"/>
        <v/>
      </c>
      <c r="J84" s="5" t="str">
        <f t="shared" si="19"/>
        <v/>
      </c>
      <c r="K84" s="5"/>
      <c r="L84" s="5"/>
      <c r="M84" s="75"/>
      <c r="N84" s="77"/>
      <c r="O84" s="26"/>
      <c r="P84" s="26"/>
      <c r="Q84" s="118" t="str">
        <f t="shared" si="20"/>
        <v/>
      </c>
      <c r="R84" s="153"/>
      <c r="S84" s="138" t="str">
        <f t="shared" si="25"/>
        <v/>
      </c>
      <c r="T84" s="148"/>
      <c r="U84" s="146"/>
      <c r="V84" s="146"/>
      <c r="W84" s="139"/>
      <c r="X84" s="139"/>
      <c r="Y84" s="148"/>
      <c r="Z84" s="138" t="str">
        <f t="shared" si="26"/>
        <v/>
      </c>
      <c r="AA84" s="138" t="str">
        <f t="shared" si="28"/>
        <v/>
      </c>
      <c r="AB84" s="239"/>
      <c r="AC84" s="325"/>
      <c r="AD84" s="325"/>
      <c r="AE84" s="325"/>
      <c r="AF84" s="325"/>
      <c r="AG84" s="325"/>
      <c r="AH84" s="325"/>
      <c r="AI84" s="325"/>
      <c r="AJ84" s="325"/>
      <c r="AK84" s="325"/>
      <c r="AL84" s="325"/>
      <c r="AM84" s="325"/>
      <c r="AN84" s="325"/>
      <c r="AO84" s="325"/>
      <c r="AP84" s="136"/>
      <c r="AQ84" s="136"/>
      <c r="AR84" s="136" t="str">
        <f t="shared" si="22"/>
        <v/>
      </c>
      <c r="AS84" s="136" t="str">
        <f t="shared" si="22"/>
        <v/>
      </c>
      <c r="AT84" s="5" t="str">
        <f t="shared" si="23"/>
        <v/>
      </c>
      <c r="AV84" s="27" t="str">
        <f>IF(G84="","",+"          ["&amp;TRIM(G84)&amp;"] ["&amp;TRIM(I84)&amp;"]"&amp;IF(H84="","","("&amp;H84&amp;")")&amp;" "&amp;TRIM(J84)&amp;IF(G85="","",","))</f>
        <v/>
      </c>
      <c r="AW84" s="27"/>
      <c r="AY84" s="122" t="str">
        <f t="shared" si="24"/>
        <v/>
      </c>
    </row>
    <row r="85" spans="2:51" ht="12.75">
      <c r="B85" s="20" t="str">
        <f t="shared" si="27"/>
        <v/>
      </c>
      <c r="C85" s="5"/>
      <c r="D85" s="5"/>
      <c r="E85" s="5"/>
      <c r="G85" s="5" t="str">
        <f t="shared" si="17"/>
        <v/>
      </c>
      <c r="H85" s="117" t="str">
        <f t="shared" si="13"/>
        <v/>
      </c>
      <c r="I85" s="5" t="str">
        <f t="shared" si="18"/>
        <v/>
      </c>
      <c r="J85" s="5" t="str">
        <f t="shared" si="19"/>
        <v/>
      </c>
      <c r="K85" s="5"/>
      <c r="L85" s="5"/>
      <c r="M85" s="75"/>
      <c r="N85" s="77"/>
      <c r="O85" s="26"/>
      <c r="P85" s="26"/>
      <c r="Q85" s="118" t="str">
        <f t="shared" si="20"/>
        <v/>
      </c>
      <c r="R85" s="153"/>
      <c r="S85" s="138" t="str">
        <f t="shared" si="25"/>
        <v/>
      </c>
      <c r="T85" s="148"/>
      <c r="U85" s="146"/>
      <c r="V85" s="146"/>
      <c r="W85" s="139"/>
      <c r="X85" s="139"/>
      <c r="Y85" s="148"/>
      <c r="Z85" s="138" t="str">
        <f t="shared" si="26"/>
        <v/>
      </c>
      <c r="AA85" s="138" t="str">
        <f t="shared" si="28"/>
        <v/>
      </c>
      <c r="AB85" s="239"/>
      <c r="AC85" s="325"/>
      <c r="AD85" s="325"/>
      <c r="AE85" s="325"/>
      <c r="AF85" s="325"/>
      <c r="AG85" s="325"/>
      <c r="AH85" s="325"/>
      <c r="AI85" s="325"/>
      <c r="AJ85" s="325"/>
      <c r="AK85" s="325"/>
      <c r="AL85" s="325"/>
      <c r="AM85" s="325"/>
      <c r="AN85" s="325"/>
      <c r="AO85" s="325"/>
      <c r="AP85" s="136"/>
      <c r="AQ85" s="136"/>
      <c r="AR85" s="136" t="str">
        <f t="shared" si="22"/>
        <v/>
      </c>
      <c r="AS85" s="136" t="str">
        <f t="shared" si="22"/>
        <v/>
      </c>
      <c r="AT85" s="5" t="str">
        <f t="shared" si="23"/>
        <v/>
      </c>
      <c r="AV85" s="27" t="str">
        <f>IF(G85="","",+"          ["&amp;TRIM(G85)&amp;"] ["&amp;TRIM(I85)&amp;"]"&amp;IF(H85="","","("&amp;H85&amp;")")&amp;" "&amp;TRIM(J85)&amp;IF(G86="","",","))</f>
        <v/>
      </c>
      <c r="AW85" s="27"/>
      <c r="AY85" s="122" t="str">
        <f t="shared" si="24"/>
        <v/>
      </c>
    </row>
    <row r="86" spans="2:51" ht="12.75">
      <c r="B86" s="20" t="str">
        <f t="shared" si="27"/>
        <v/>
      </c>
      <c r="C86" s="5"/>
      <c r="D86" s="5"/>
      <c r="E86" s="5"/>
      <c r="G86" s="5" t="str">
        <f t="shared" si="17"/>
        <v/>
      </c>
      <c r="H86" s="117" t="str">
        <f t="shared" si="13"/>
        <v/>
      </c>
      <c r="I86" s="5" t="str">
        <f t="shared" si="18"/>
        <v/>
      </c>
      <c r="J86" s="5" t="str">
        <f t="shared" si="19"/>
        <v/>
      </c>
      <c r="K86" s="5"/>
      <c r="L86" s="5"/>
      <c r="M86" s="75"/>
      <c r="N86" s="77"/>
      <c r="O86" s="26"/>
      <c r="P86" s="26"/>
      <c r="Q86" s="118" t="str">
        <f t="shared" si="20"/>
        <v/>
      </c>
      <c r="R86" s="153"/>
      <c r="S86" s="138" t="str">
        <f t="shared" si="25"/>
        <v/>
      </c>
      <c r="T86" s="148"/>
      <c r="U86" s="146"/>
      <c r="V86" s="146"/>
      <c r="W86" s="139"/>
      <c r="X86" s="139"/>
      <c r="Y86" s="148"/>
      <c r="Z86" s="138" t="str">
        <f t="shared" si="26"/>
        <v/>
      </c>
      <c r="AA86" s="138" t="str">
        <f t="shared" si="28"/>
        <v/>
      </c>
      <c r="AB86" s="239"/>
      <c r="AC86" s="325"/>
      <c r="AD86" s="325"/>
      <c r="AE86" s="325"/>
      <c r="AF86" s="325"/>
      <c r="AG86" s="325"/>
      <c r="AH86" s="325"/>
      <c r="AI86" s="325"/>
      <c r="AJ86" s="325"/>
      <c r="AK86" s="325"/>
      <c r="AL86" s="325"/>
      <c r="AM86" s="325"/>
      <c r="AN86" s="325"/>
      <c r="AO86" s="325"/>
      <c r="AP86" s="136"/>
      <c r="AQ86" s="136"/>
      <c r="AR86" s="136" t="str">
        <f t="shared" si="22"/>
        <v/>
      </c>
      <c r="AS86" s="136" t="str">
        <f t="shared" si="22"/>
        <v/>
      </c>
      <c r="AT86" s="5" t="str">
        <f t="shared" si="23"/>
        <v/>
      </c>
      <c r="AV86" s="27" t="str">
        <f>IF(G86="","",+"          ["&amp;TRIM(G86)&amp;"] ["&amp;TRIM(I86)&amp;"]"&amp;IF(H86="","","("&amp;H86&amp;")")&amp;" "&amp;TRIM(J86)&amp;IF(G87="","",","))</f>
        <v/>
      </c>
      <c r="AW86" s="27"/>
      <c r="AY86" s="122" t="str">
        <f t="shared" si="24"/>
        <v/>
      </c>
    </row>
    <row r="87" spans="2:51" ht="12.75">
      <c r="B87" s="20" t="str">
        <f t="shared" si="27"/>
        <v/>
      </c>
      <c r="C87" s="5"/>
      <c r="D87" s="5"/>
      <c r="E87" s="5"/>
      <c r="G87" s="5" t="str">
        <f t="shared" si="17"/>
        <v/>
      </c>
      <c r="H87" s="117" t="str">
        <f t="shared" ref="H87:H115" si="29">IF(IFERROR(FIND("varchar",E87),0)&gt;0,IF(D87&gt;8000,"max",D87),"")</f>
        <v/>
      </c>
      <c r="I87" s="5" t="str">
        <f t="shared" si="18"/>
        <v/>
      </c>
      <c r="J87" s="5" t="str">
        <f t="shared" si="19"/>
        <v/>
      </c>
      <c r="K87" s="5"/>
      <c r="L87" s="5"/>
      <c r="M87" s="75"/>
      <c r="N87" s="77"/>
      <c r="O87" s="26"/>
      <c r="P87" s="26"/>
      <c r="Q87" s="118" t="str">
        <f t="shared" si="20"/>
        <v/>
      </c>
      <c r="R87" s="153"/>
      <c r="S87" s="138" t="str">
        <f t="shared" si="25"/>
        <v/>
      </c>
      <c r="T87" s="148"/>
      <c r="U87" s="146"/>
      <c r="V87" s="146"/>
      <c r="W87" s="139"/>
      <c r="X87" s="139"/>
      <c r="Y87" s="148"/>
      <c r="Z87" s="138" t="str">
        <f t="shared" si="26"/>
        <v/>
      </c>
      <c r="AA87" s="138" t="str">
        <f t="shared" si="28"/>
        <v/>
      </c>
      <c r="AB87" s="239"/>
      <c r="AC87" s="325"/>
      <c r="AD87" s="325"/>
      <c r="AE87" s="325"/>
      <c r="AF87" s="325"/>
      <c r="AG87" s="325"/>
      <c r="AH87" s="325"/>
      <c r="AI87" s="325"/>
      <c r="AJ87" s="325"/>
      <c r="AK87" s="325"/>
      <c r="AL87" s="325"/>
      <c r="AM87" s="325"/>
      <c r="AN87" s="325"/>
      <c r="AO87" s="325"/>
      <c r="AP87" s="136"/>
      <c r="AQ87" s="136"/>
      <c r="AR87" s="136" t="str">
        <f t="shared" si="22"/>
        <v/>
      </c>
      <c r="AS87" s="136" t="str">
        <f t="shared" si="22"/>
        <v/>
      </c>
      <c r="AT87" s="5" t="str">
        <f t="shared" si="23"/>
        <v/>
      </c>
      <c r="AV87" s="27" t="str">
        <f>IF(G87="","",+"          ["&amp;TRIM(G87)&amp;"] ["&amp;TRIM(I87)&amp;"]"&amp;IF(H87="","","("&amp;H87&amp;")")&amp;" "&amp;TRIM(J87)&amp;IF(G93="","",","))</f>
        <v/>
      </c>
      <c r="AW87" s="27"/>
      <c r="AY87" s="122" t="str">
        <f t="shared" si="24"/>
        <v/>
      </c>
    </row>
    <row r="88" spans="2:51" ht="12.75">
      <c r="B88" s="20" t="str">
        <f t="shared" si="27"/>
        <v/>
      </c>
      <c r="C88" s="5"/>
      <c r="D88" s="5"/>
      <c r="E88" s="5"/>
      <c r="G88" s="5" t="str">
        <f t="shared" si="17"/>
        <v/>
      </c>
      <c r="H88" s="117" t="str">
        <f t="shared" si="29"/>
        <v/>
      </c>
      <c r="I88" s="5" t="str">
        <f t="shared" si="18"/>
        <v/>
      </c>
      <c r="J88" s="5" t="str">
        <f t="shared" si="19"/>
        <v/>
      </c>
      <c r="K88" s="5"/>
      <c r="L88" s="5"/>
      <c r="M88" s="75"/>
      <c r="N88" s="77"/>
      <c r="O88" s="26"/>
      <c r="P88" s="26"/>
      <c r="Q88" s="118" t="str">
        <f t="shared" si="20"/>
        <v/>
      </c>
      <c r="R88" s="153"/>
      <c r="S88" s="138" t="str">
        <f t="shared" si="25"/>
        <v/>
      </c>
      <c r="T88" s="148"/>
      <c r="U88" s="146"/>
      <c r="V88" s="146"/>
      <c r="W88" s="139"/>
      <c r="X88" s="139"/>
      <c r="Y88" s="148"/>
      <c r="Z88" s="138" t="str">
        <f t="shared" si="26"/>
        <v/>
      </c>
      <c r="AA88" s="138" t="str">
        <f t="shared" si="28"/>
        <v/>
      </c>
      <c r="AB88" s="239"/>
      <c r="AC88" s="325"/>
      <c r="AD88" s="325"/>
      <c r="AE88" s="325"/>
      <c r="AF88" s="325"/>
      <c r="AG88" s="325"/>
      <c r="AH88" s="325"/>
      <c r="AI88" s="325"/>
      <c r="AJ88" s="325"/>
      <c r="AK88" s="325"/>
      <c r="AL88" s="325"/>
      <c r="AM88" s="325"/>
      <c r="AN88" s="325"/>
      <c r="AO88" s="325"/>
      <c r="AP88" s="136"/>
      <c r="AQ88" s="136"/>
      <c r="AR88" s="136" t="str">
        <f t="shared" si="22"/>
        <v/>
      </c>
      <c r="AS88" s="136" t="str">
        <f t="shared" si="22"/>
        <v/>
      </c>
      <c r="AT88" s="5" t="str">
        <f t="shared" si="23"/>
        <v/>
      </c>
      <c r="AV88" s="27" t="str">
        <f>IF(G88="","",+"          ["&amp;TRIM(G88)&amp;"] ["&amp;TRIM(I88)&amp;"]"&amp;IF(H88="","","("&amp;H88&amp;")")&amp;" "&amp;TRIM(J88)&amp;IF(G89="","",","))</f>
        <v/>
      </c>
      <c r="AW88" s="27"/>
      <c r="AY88" s="122" t="str">
        <f t="shared" si="24"/>
        <v/>
      </c>
    </row>
    <row r="89" spans="2:51" ht="12.75">
      <c r="B89" s="20" t="str">
        <f t="shared" si="27"/>
        <v/>
      </c>
      <c r="C89" s="5"/>
      <c r="D89" s="5"/>
      <c r="E89" s="5"/>
      <c r="G89" s="5" t="str">
        <f t="shared" si="17"/>
        <v/>
      </c>
      <c r="H89" s="117" t="str">
        <f t="shared" si="29"/>
        <v/>
      </c>
      <c r="I89" s="5" t="str">
        <f t="shared" si="18"/>
        <v/>
      </c>
      <c r="J89" s="5" t="str">
        <f t="shared" si="19"/>
        <v/>
      </c>
      <c r="K89" s="5"/>
      <c r="L89" s="5"/>
      <c r="M89" s="75"/>
      <c r="N89" s="77"/>
      <c r="O89" s="26"/>
      <c r="P89" s="26"/>
      <c r="Q89" s="118" t="str">
        <f t="shared" si="20"/>
        <v/>
      </c>
      <c r="R89" s="153"/>
      <c r="S89" s="138" t="str">
        <f t="shared" si="25"/>
        <v/>
      </c>
      <c r="T89" s="148"/>
      <c r="U89" s="146"/>
      <c r="V89" s="146"/>
      <c r="W89" s="139"/>
      <c r="X89" s="139"/>
      <c r="Y89" s="148"/>
      <c r="Z89" s="138" t="str">
        <f t="shared" si="26"/>
        <v/>
      </c>
      <c r="AA89" s="138" t="str">
        <f t="shared" si="28"/>
        <v/>
      </c>
      <c r="AB89" s="239"/>
      <c r="AC89" s="325"/>
      <c r="AD89" s="325"/>
      <c r="AE89" s="325"/>
      <c r="AF89" s="325"/>
      <c r="AG89" s="325"/>
      <c r="AH89" s="325"/>
      <c r="AI89" s="325"/>
      <c r="AJ89" s="325"/>
      <c r="AK89" s="325"/>
      <c r="AL89" s="325"/>
      <c r="AM89" s="325"/>
      <c r="AN89" s="325"/>
      <c r="AO89" s="325"/>
      <c r="AP89" s="136"/>
      <c r="AQ89" s="136"/>
      <c r="AR89" s="136" t="str">
        <f t="shared" si="22"/>
        <v/>
      </c>
      <c r="AS89" s="136" t="str">
        <f t="shared" si="22"/>
        <v/>
      </c>
      <c r="AT89" s="5" t="str">
        <f t="shared" si="23"/>
        <v/>
      </c>
      <c r="AV89" s="27" t="str">
        <f>IF(G89="","",+"          ["&amp;TRIM(G89)&amp;"] ["&amp;TRIM(I89)&amp;"]"&amp;IF(H89="","","("&amp;H89&amp;")")&amp;" "&amp;TRIM(J89)&amp;IF(G92="","",","))</f>
        <v/>
      </c>
      <c r="AW89" s="27"/>
      <c r="AY89" s="122" t="str">
        <f t="shared" si="24"/>
        <v/>
      </c>
    </row>
    <row r="90" spans="2:51" ht="12.75">
      <c r="B90" s="20" t="str">
        <f t="shared" si="27"/>
        <v/>
      </c>
      <c r="C90" s="5"/>
      <c r="D90" s="5"/>
      <c r="E90" s="5"/>
      <c r="G90" s="5" t="str">
        <f t="shared" si="17"/>
        <v/>
      </c>
      <c r="H90" s="117" t="str">
        <f t="shared" si="29"/>
        <v/>
      </c>
      <c r="I90" s="5" t="str">
        <f t="shared" si="18"/>
        <v/>
      </c>
      <c r="J90" s="5" t="str">
        <f t="shared" si="19"/>
        <v/>
      </c>
      <c r="K90" s="5"/>
      <c r="L90" s="5"/>
      <c r="M90" s="75"/>
      <c r="N90" s="77"/>
      <c r="O90" s="26"/>
      <c r="P90" s="26"/>
      <c r="Q90" s="118" t="str">
        <f t="shared" si="20"/>
        <v/>
      </c>
      <c r="R90" s="153"/>
      <c r="S90" s="138" t="str">
        <f t="shared" si="25"/>
        <v/>
      </c>
      <c r="T90" s="148"/>
      <c r="U90" s="146"/>
      <c r="V90" s="146"/>
      <c r="W90" s="139"/>
      <c r="X90" s="139"/>
      <c r="Y90" s="148"/>
      <c r="Z90" s="138" t="str">
        <f t="shared" si="26"/>
        <v/>
      </c>
      <c r="AA90" s="138" t="str">
        <f t="shared" si="28"/>
        <v/>
      </c>
      <c r="AB90" s="239"/>
      <c r="AC90" s="325"/>
      <c r="AD90" s="325"/>
      <c r="AE90" s="325"/>
      <c r="AF90" s="325"/>
      <c r="AG90" s="325"/>
      <c r="AH90" s="325"/>
      <c r="AI90" s="325"/>
      <c r="AJ90" s="325"/>
      <c r="AK90" s="325"/>
      <c r="AL90" s="325"/>
      <c r="AM90" s="325"/>
      <c r="AN90" s="325"/>
      <c r="AO90" s="325"/>
      <c r="AP90" s="136"/>
      <c r="AQ90" s="136"/>
      <c r="AR90" s="136" t="str">
        <f t="shared" si="22"/>
        <v/>
      </c>
      <c r="AS90" s="136" t="str">
        <f t="shared" si="22"/>
        <v/>
      </c>
      <c r="AT90" s="5" t="str">
        <f t="shared" si="23"/>
        <v/>
      </c>
      <c r="AV90" s="27" t="str">
        <f t="shared" ref="AV90:AV95" si="30">IF(G90="","",+"          ["&amp;TRIM(G90)&amp;"] ["&amp;TRIM(I90)&amp;"]"&amp;IF(H90="","","("&amp;H90&amp;")")&amp;" "&amp;TRIM(J90)&amp;IF(G91="","",","))</f>
        <v/>
      </c>
      <c r="AW90" s="27"/>
      <c r="AY90" s="122" t="str">
        <f t="shared" si="24"/>
        <v/>
      </c>
    </row>
    <row r="91" spans="2:51" ht="12.75">
      <c r="B91" s="20" t="str">
        <f t="shared" si="27"/>
        <v/>
      </c>
      <c r="C91" s="5"/>
      <c r="D91" s="5"/>
      <c r="E91" s="5"/>
      <c r="G91" s="5" t="str">
        <f t="shared" si="17"/>
        <v/>
      </c>
      <c r="H91" s="117" t="str">
        <f t="shared" si="29"/>
        <v/>
      </c>
      <c r="I91" s="5" t="str">
        <f t="shared" si="18"/>
        <v/>
      </c>
      <c r="J91" s="5" t="str">
        <f t="shared" si="19"/>
        <v/>
      </c>
      <c r="K91" s="5"/>
      <c r="L91" s="5"/>
      <c r="M91" s="75"/>
      <c r="N91" s="77"/>
      <c r="O91" s="26"/>
      <c r="P91" s="26"/>
      <c r="Q91" s="118" t="str">
        <f t="shared" si="20"/>
        <v/>
      </c>
      <c r="R91" s="153"/>
      <c r="S91" s="138" t="str">
        <f t="shared" si="25"/>
        <v/>
      </c>
      <c r="T91" s="148"/>
      <c r="U91" s="146"/>
      <c r="V91" s="146"/>
      <c r="W91" s="139"/>
      <c r="X91" s="139"/>
      <c r="Y91" s="148"/>
      <c r="Z91" s="138" t="str">
        <f t="shared" si="26"/>
        <v/>
      </c>
      <c r="AA91" s="138" t="str">
        <f t="shared" si="28"/>
        <v/>
      </c>
      <c r="AB91" s="239"/>
      <c r="AC91" s="325"/>
      <c r="AD91" s="325"/>
      <c r="AE91" s="325"/>
      <c r="AF91" s="325"/>
      <c r="AG91" s="325"/>
      <c r="AH91" s="325"/>
      <c r="AI91" s="325"/>
      <c r="AJ91" s="325"/>
      <c r="AK91" s="325"/>
      <c r="AL91" s="325"/>
      <c r="AM91" s="325"/>
      <c r="AN91" s="325"/>
      <c r="AO91" s="325"/>
      <c r="AP91" s="136"/>
      <c r="AQ91" s="136"/>
      <c r="AR91" s="136" t="str">
        <f t="shared" si="22"/>
        <v/>
      </c>
      <c r="AS91" s="136" t="str">
        <f t="shared" si="22"/>
        <v/>
      </c>
      <c r="AT91" s="5" t="str">
        <f t="shared" si="23"/>
        <v/>
      </c>
      <c r="AV91" s="27" t="str">
        <f t="shared" si="30"/>
        <v/>
      </c>
      <c r="AW91" s="27"/>
      <c r="AY91" s="122" t="str">
        <f t="shared" si="24"/>
        <v/>
      </c>
    </row>
    <row r="92" spans="2:51" ht="12.75">
      <c r="B92" s="20" t="str">
        <f t="shared" si="27"/>
        <v/>
      </c>
      <c r="C92" s="5"/>
      <c r="D92" s="5"/>
      <c r="E92" s="5"/>
      <c r="G92" s="5" t="str">
        <f t="shared" si="17"/>
        <v/>
      </c>
      <c r="H92" s="117" t="str">
        <f t="shared" si="29"/>
        <v/>
      </c>
      <c r="I92" s="5" t="str">
        <f t="shared" si="18"/>
        <v/>
      </c>
      <c r="J92" s="5" t="str">
        <f t="shared" si="19"/>
        <v/>
      </c>
      <c r="K92" s="5"/>
      <c r="L92" s="5"/>
      <c r="M92" s="75"/>
      <c r="N92" s="77"/>
      <c r="O92" s="26"/>
      <c r="P92" s="26"/>
      <c r="Q92" s="118" t="str">
        <f t="shared" si="20"/>
        <v/>
      </c>
      <c r="R92" s="153"/>
      <c r="S92" s="138" t="str">
        <f t="shared" si="25"/>
        <v/>
      </c>
      <c r="T92" s="148"/>
      <c r="U92" s="146"/>
      <c r="V92" s="146"/>
      <c r="W92" s="139"/>
      <c r="X92" s="139"/>
      <c r="Y92" s="148"/>
      <c r="Z92" s="138" t="str">
        <f t="shared" si="26"/>
        <v/>
      </c>
      <c r="AA92" s="138" t="str">
        <f t="shared" si="28"/>
        <v/>
      </c>
      <c r="AB92" s="239"/>
      <c r="AC92" s="325"/>
      <c r="AD92" s="325"/>
      <c r="AE92" s="325"/>
      <c r="AF92" s="325"/>
      <c r="AG92" s="325"/>
      <c r="AH92" s="325"/>
      <c r="AI92" s="325"/>
      <c r="AJ92" s="325"/>
      <c r="AK92" s="325"/>
      <c r="AL92" s="325"/>
      <c r="AM92" s="325"/>
      <c r="AN92" s="325"/>
      <c r="AO92" s="325"/>
      <c r="AP92" s="136"/>
      <c r="AQ92" s="136"/>
      <c r="AR92" s="136" t="str">
        <f t="shared" si="22"/>
        <v/>
      </c>
      <c r="AS92" s="136" t="str">
        <f t="shared" si="22"/>
        <v/>
      </c>
      <c r="AT92" s="5" t="str">
        <f t="shared" si="23"/>
        <v/>
      </c>
      <c r="AV92" s="27" t="str">
        <f t="shared" si="30"/>
        <v/>
      </c>
      <c r="AW92" s="27"/>
      <c r="AY92" s="122" t="str">
        <f t="shared" si="24"/>
        <v/>
      </c>
    </row>
    <row r="93" spans="2:51" ht="12.75">
      <c r="B93" s="20" t="str">
        <f t="shared" si="27"/>
        <v/>
      </c>
      <c r="C93" s="5"/>
      <c r="D93" s="5"/>
      <c r="E93" s="5"/>
      <c r="G93" s="5" t="str">
        <f t="shared" si="17"/>
        <v/>
      </c>
      <c r="H93" s="117" t="str">
        <f t="shared" si="29"/>
        <v/>
      </c>
      <c r="I93" s="5" t="str">
        <f t="shared" si="18"/>
        <v/>
      </c>
      <c r="J93" s="5" t="str">
        <f t="shared" si="19"/>
        <v/>
      </c>
      <c r="K93" s="5"/>
      <c r="L93" s="5"/>
      <c r="M93" s="75"/>
      <c r="N93" s="77"/>
      <c r="O93" s="26"/>
      <c r="P93" s="26"/>
      <c r="Q93" s="118" t="str">
        <f t="shared" si="20"/>
        <v/>
      </c>
      <c r="R93" s="153"/>
      <c r="S93" s="138" t="str">
        <f t="shared" si="25"/>
        <v/>
      </c>
      <c r="T93" s="148"/>
      <c r="U93" s="146"/>
      <c r="V93" s="146"/>
      <c r="W93" s="139"/>
      <c r="X93" s="139"/>
      <c r="Y93" s="148"/>
      <c r="Z93" s="138" t="str">
        <f t="shared" si="26"/>
        <v/>
      </c>
      <c r="AA93" s="138" t="str">
        <f t="shared" si="28"/>
        <v/>
      </c>
      <c r="AB93" s="239"/>
      <c r="AC93" s="325"/>
      <c r="AD93" s="325"/>
      <c r="AE93" s="325"/>
      <c r="AF93" s="325"/>
      <c r="AG93" s="325"/>
      <c r="AH93" s="325"/>
      <c r="AI93" s="325"/>
      <c r="AJ93" s="325"/>
      <c r="AK93" s="325"/>
      <c r="AL93" s="325"/>
      <c r="AM93" s="325"/>
      <c r="AN93" s="325"/>
      <c r="AO93" s="325"/>
      <c r="AP93" s="136"/>
      <c r="AQ93" s="136"/>
      <c r="AR93" s="136" t="str">
        <f t="shared" si="22"/>
        <v/>
      </c>
      <c r="AS93" s="136" t="str">
        <f t="shared" si="22"/>
        <v/>
      </c>
      <c r="AT93" s="5" t="str">
        <f t="shared" si="23"/>
        <v/>
      </c>
      <c r="AV93" s="27" t="str">
        <f t="shared" si="30"/>
        <v/>
      </c>
      <c r="AW93" s="27"/>
      <c r="AY93" s="122" t="str">
        <f t="shared" si="24"/>
        <v/>
      </c>
    </row>
    <row r="94" spans="2:51" ht="12.75">
      <c r="B94" s="20" t="str">
        <f t="shared" si="27"/>
        <v/>
      </c>
      <c r="C94" s="5"/>
      <c r="D94" s="5"/>
      <c r="E94" s="5"/>
      <c r="G94" s="5" t="str">
        <f>SUBSTITUTE(SUBSTITUTE(SUBSTITUTE(SUBSTITUTE(SUBSTITUTE(SUBSTITUTE(SUBSTITUTE(SUBSTITUTE(SUBSTITUTE(C94," ",""),".",""),"#","No"),"%",""),"(",""),"*",""),"-",""),"/",""),")","")</f>
        <v/>
      </c>
      <c r="H94" s="117" t="str">
        <f t="shared" si="29"/>
        <v/>
      </c>
      <c r="I94" s="5" t="str">
        <f>IF(E94=0,"",+E94)</f>
        <v/>
      </c>
      <c r="J94" s="5" t="str">
        <f>IF(C94=0,"",(IF(ISERROR(VLOOKUP(G94,$D$120:$D$127,1,FALSE)),""," NOT")&amp;" NULL"))</f>
        <v/>
      </c>
      <c r="K94" s="5"/>
      <c r="L94" s="5"/>
      <c r="M94" s="75"/>
      <c r="N94" s="77"/>
      <c r="O94" s="26"/>
      <c r="P94" s="26"/>
      <c r="Q94" s="118" t="str">
        <f>IF(M94=0,"",ROW())</f>
        <v/>
      </c>
      <c r="R94" s="153"/>
      <c r="S94" s="138" t="str">
        <f t="shared" si="25"/>
        <v/>
      </c>
      <c r="T94" s="148"/>
      <c r="U94" s="146"/>
      <c r="V94" s="146"/>
      <c r="W94" s="139"/>
      <c r="X94" s="139"/>
      <c r="Y94" s="148"/>
      <c r="Z94" s="138" t="str">
        <f t="shared" si="26"/>
        <v/>
      </c>
      <c r="AA94" s="138" t="str">
        <f t="shared" si="28"/>
        <v/>
      </c>
      <c r="AB94" s="239"/>
      <c r="AC94" s="325"/>
      <c r="AD94" s="325"/>
      <c r="AE94" s="325"/>
      <c r="AF94" s="325"/>
      <c r="AG94" s="325"/>
      <c r="AH94" s="325"/>
      <c r="AI94" s="325"/>
      <c r="AJ94" s="325"/>
      <c r="AK94" s="325"/>
      <c r="AL94" s="325"/>
      <c r="AM94" s="325"/>
      <c r="AN94" s="325"/>
      <c r="AO94" s="325"/>
      <c r="AP94" s="136"/>
      <c r="AQ94" s="136"/>
      <c r="AR94" s="136" t="str">
        <f t="shared" si="22"/>
        <v/>
      </c>
      <c r="AS94" s="136" t="str">
        <f t="shared" si="22"/>
        <v/>
      </c>
      <c r="AT94" s="5" t="str">
        <f t="shared" si="23"/>
        <v/>
      </c>
      <c r="AV94" s="27" t="str">
        <f t="shared" si="30"/>
        <v/>
      </c>
      <c r="AW94" s="27"/>
      <c r="AY94" s="122" t="str">
        <f t="shared" si="24"/>
        <v/>
      </c>
    </row>
    <row r="95" spans="2:51" ht="12.75">
      <c r="B95" s="20" t="str">
        <f t="shared" si="27"/>
        <v/>
      </c>
      <c r="C95" s="5"/>
      <c r="D95" s="5"/>
      <c r="E95" s="5"/>
      <c r="G95" s="5" t="str">
        <f>SUBSTITUTE(SUBSTITUTE(SUBSTITUTE(SUBSTITUTE(SUBSTITUTE(SUBSTITUTE(SUBSTITUTE(SUBSTITUTE(SUBSTITUTE(C95," ",""),".",""),"#","No"),"%",""),"(",""),"*",""),"-",""),"/",""),")","")</f>
        <v/>
      </c>
      <c r="H95" s="117" t="str">
        <f t="shared" si="29"/>
        <v/>
      </c>
      <c r="I95" s="5" t="str">
        <f>IF(E95=0,"",+E95)</f>
        <v/>
      </c>
      <c r="J95" s="5" t="str">
        <f>IF(C95=0,"",(IF(ISERROR(VLOOKUP(G95,$D$120:$D$127,1,FALSE)),""," NOT")&amp;" NULL"))</f>
        <v/>
      </c>
      <c r="K95" s="5"/>
      <c r="L95" s="5"/>
      <c r="M95" s="75"/>
      <c r="N95" s="77"/>
      <c r="O95" s="26"/>
      <c r="P95" s="26"/>
      <c r="Q95" s="118" t="str">
        <f>IF(M95=0,"",ROW())</f>
        <v/>
      </c>
      <c r="R95" s="153"/>
      <c r="S95" s="138" t="str">
        <f t="shared" si="25"/>
        <v/>
      </c>
      <c r="T95" s="148"/>
      <c r="U95" s="146"/>
      <c r="V95" s="146"/>
      <c r="W95" s="139"/>
      <c r="X95" s="139"/>
      <c r="Y95" s="148"/>
      <c r="Z95" s="138" t="str">
        <f t="shared" si="26"/>
        <v/>
      </c>
      <c r="AA95" s="138" t="str">
        <f t="shared" si="28"/>
        <v/>
      </c>
      <c r="AB95" s="239"/>
      <c r="AC95" s="325"/>
      <c r="AD95" s="325"/>
      <c r="AE95" s="325"/>
      <c r="AF95" s="325"/>
      <c r="AG95" s="325"/>
      <c r="AH95" s="325"/>
      <c r="AI95" s="325"/>
      <c r="AJ95" s="325"/>
      <c r="AK95" s="325"/>
      <c r="AL95" s="325"/>
      <c r="AM95" s="325"/>
      <c r="AN95" s="325"/>
      <c r="AO95" s="325"/>
      <c r="AP95" s="136"/>
      <c r="AQ95" s="136"/>
      <c r="AR95" s="136" t="str">
        <f t="shared" si="22"/>
        <v/>
      </c>
      <c r="AS95" s="136" t="str">
        <f t="shared" si="22"/>
        <v/>
      </c>
      <c r="AT95" s="5" t="str">
        <f t="shared" si="23"/>
        <v/>
      </c>
      <c r="AV95" s="27" t="str">
        <f t="shared" si="30"/>
        <v/>
      </c>
      <c r="AW95" s="27"/>
      <c r="AY95" s="122" t="str">
        <f t="shared" si="24"/>
        <v/>
      </c>
    </row>
    <row r="96" spans="2:51" ht="12.75">
      <c r="B96" s="20" t="str">
        <f t="shared" si="27"/>
        <v/>
      </c>
      <c r="C96" s="5"/>
      <c r="D96" s="5"/>
      <c r="E96" s="5"/>
      <c r="G96" s="5" t="str">
        <f>SUBSTITUTE(SUBSTITUTE(SUBSTITUTE(SUBSTITUTE(SUBSTITUTE(SUBSTITUTE(SUBSTITUTE(SUBSTITUTE(SUBSTITUTE(C96," ",""),".",""),"#","No"),"%",""),"(",""),"*",""),"-",""),"/",""),")","")</f>
        <v/>
      </c>
      <c r="H96" s="117" t="str">
        <f t="shared" si="29"/>
        <v/>
      </c>
      <c r="I96" s="5" t="str">
        <f>IF(E96=0,"",+E96)</f>
        <v/>
      </c>
      <c r="J96" s="5" t="str">
        <f>IF(C96=0,"",(IF(ISERROR(VLOOKUP(G96,$D$120:$D$127,1,FALSE)),""," NOT")&amp;" NULL"))</f>
        <v/>
      </c>
      <c r="K96" s="5"/>
      <c r="L96" s="5"/>
      <c r="M96" s="75"/>
      <c r="N96" s="77"/>
      <c r="O96" s="26"/>
      <c r="P96" s="26"/>
      <c r="Q96" s="118" t="str">
        <f>IF(M96=0,"",ROW())</f>
        <v/>
      </c>
      <c r="R96" s="153"/>
      <c r="S96" s="138" t="str">
        <f t="shared" si="25"/>
        <v/>
      </c>
      <c r="T96" s="148"/>
      <c r="U96" s="146"/>
      <c r="V96" s="146"/>
      <c r="W96" s="139"/>
      <c r="X96" s="139"/>
      <c r="Y96" s="148"/>
      <c r="Z96" s="138" t="str">
        <f t="shared" si="26"/>
        <v/>
      </c>
      <c r="AA96" s="138" t="str">
        <f t="shared" si="28"/>
        <v/>
      </c>
      <c r="AB96" s="239"/>
      <c r="AC96" s="325"/>
      <c r="AD96" s="325"/>
      <c r="AE96" s="325"/>
      <c r="AF96" s="325"/>
      <c r="AG96" s="325"/>
      <c r="AH96" s="325"/>
      <c r="AI96" s="325"/>
      <c r="AJ96" s="325"/>
      <c r="AK96" s="325"/>
      <c r="AL96" s="325"/>
      <c r="AM96" s="325"/>
      <c r="AN96" s="325"/>
      <c r="AO96" s="325"/>
      <c r="AP96" s="136"/>
      <c r="AQ96" s="136"/>
      <c r="AR96" s="136" t="str">
        <f t="shared" si="22"/>
        <v/>
      </c>
      <c r="AS96" s="136" t="str">
        <f t="shared" si="22"/>
        <v/>
      </c>
      <c r="AT96" s="5" t="str">
        <f t="shared" si="23"/>
        <v/>
      </c>
      <c r="AV96" s="27" t="str">
        <f>IF(G96="","",+"          ["&amp;TRIM(G96)&amp;"] ["&amp;TRIM(I96)&amp;"]"&amp;IF(H96="","","("&amp;H96&amp;")")&amp;" "&amp;TRIM(J96)&amp;IF(G108="","",","))</f>
        <v/>
      </c>
      <c r="AW96" s="27"/>
      <c r="AY96" s="122" t="str">
        <f t="shared" si="24"/>
        <v/>
      </c>
    </row>
    <row r="97" spans="2:51" ht="12.75">
      <c r="B97" s="20" t="str">
        <f t="shared" si="27"/>
        <v/>
      </c>
      <c r="C97" s="5"/>
      <c r="D97" s="5"/>
      <c r="E97" s="5"/>
      <c r="G97" s="5" t="str">
        <f t="shared" ref="G97:G115" si="31">SUBSTITUTE(SUBSTITUTE(SUBSTITUTE(SUBSTITUTE(SUBSTITUTE(SUBSTITUTE(SUBSTITUTE(SUBSTITUTE(SUBSTITUTE(C97," ",""),".",""),"#","No"),"%",""),"(",""),"*",""),"-",""),"/",""),")","")</f>
        <v/>
      </c>
      <c r="H97" s="117" t="str">
        <f t="shared" si="29"/>
        <v/>
      </c>
      <c r="I97" s="5" t="str">
        <f t="shared" ref="I97:I115" si="32">IF(E97=0,"",+E97)</f>
        <v/>
      </c>
      <c r="J97" s="5" t="str">
        <f t="shared" ref="J97:J115" si="33">IF(C97=0,"",(IF(ISERROR(VLOOKUP(G97,$D$120:$D$127,1,FALSE)),""," NOT")&amp;" NULL"))</f>
        <v/>
      </c>
      <c r="K97" s="5"/>
      <c r="L97" s="5"/>
      <c r="M97" s="75"/>
      <c r="N97" s="77"/>
      <c r="O97" s="26"/>
      <c r="P97" s="26"/>
      <c r="Q97" s="118" t="str">
        <f t="shared" ref="Q97:Q115" si="34">IF(M97=0,"",ROW())</f>
        <v/>
      </c>
      <c r="R97" s="153"/>
      <c r="S97" s="138" t="str">
        <f t="shared" si="25"/>
        <v/>
      </c>
      <c r="T97" s="148"/>
      <c r="U97" s="146"/>
      <c r="V97" s="146"/>
      <c r="W97" s="139"/>
      <c r="X97" s="139"/>
      <c r="Y97" s="148"/>
      <c r="Z97" s="138" t="str">
        <f t="shared" si="26"/>
        <v/>
      </c>
      <c r="AA97" s="138" t="str">
        <f t="shared" si="28"/>
        <v/>
      </c>
      <c r="AB97" s="239"/>
      <c r="AC97" s="325"/>
      <c r="AD97" s="325"/>
      <c r="AE97" s="325"/>
      <c r="AF97" s="325"/>
      <c r="AG97" s="325"/>
      <c r="AH97" s="325"/>
      <c r="AI97" s="325"/>
      <c r="AJ97" s="325"/>
      <c r="AK97" s="325"/>
      <c r="AL97" s="325"/>
      <c r="AM97" s="325"/>
      <c r="AN97" s="325"/>
      <c r="AO97" s="325"/>
      <c r="AP97" s="136"/>
      <c r="AQ97" s="136"/>
      <c r="AR97" s="136" t="str">
        <f t="shared" si="22"/>
        <v/>
      </c>
      <c r="AS97" s="136" t="str">
        <f t="shared" si="22"/>
        <v/>
      </c>
      <c r="AT97" s="5" t="str">
        <f t="shared" si="23"/>
        <v/>
      </c>
      <c r="AV97" s="27" t="str">
        <f>IF(G97="","",+"          ["&amp;TRIM(G97)&amp;"] ["&amp;TRIM(I97)&amp;"]"&amp;IF(H97="","","("&amp;H97&amp;")")&amp;" "&amp;TRIM(J97)&amp;IF(G98="","",","))</f>
        <v/>
      </c>
      <c r="AW97" s="27"/>
      <c r="AY97" s="122" t="str">
        <f t="shared" si="24"/>
        <v/>
      </c>
    </row>
    <row r="98" spans="2:51" ht="12.75">
      <c r="B98" s="20" t="str">
        <f t="shared" si="27"/>
        <v/>
      </c>
      <c r="C98" s="5"/>
      <c r="D98" s="5"/>
      <c r="E98" s="5"/>
      <c r="G98" s="5" t="str">
        <f t="shared" si="31"/>
        <v/>
      </c>
      <c r="H98" s="117" t="str">
        <f t="shared" si="29"/>
        <v/>
      </c>
      <c r="I98" s="5" t="str">
        <f t="shared" si="32"/>
        <v/>
      </c>
      <c r="J98" s="5" t="str">
        <f t="shared" si="33"/>
        <v/>
      </c>
      <c r="K98" s="5"/>
      <c r="L98" s="5"/>
      <c r="M98" s="75"/>
      <c r="N98" s="77"/>
      <c r="O98" s="26"/>
      <c r="P98" s="26"/>
      <c r="Q98" s="118" t="str">
        <f t="shared" si="34"/>
        <v/>
      </c>
      <c r="R98" s="153"/>
      <c r="S98" s="138" t="str">
        <f t="shared" si="25"/>
        <v/>
      </c>
      <c r="T98" s="148"/>
      <c r="U98" s="146"/>
      <c r="V98" s="146"/>
      <c r="W98" s="139"/>
      <c r="X98" s="139"/>
      <c r="Y98" s="148"/>
      <c r="Z98" s="138" t="str">
        <f t="shared" si="26"/>
        <v/>
      </c>
      <c r="AA98" s="138" t="str">
        <f t="shared" si="28"/>
        <v/>
      </c>
      <c r="AB98" s="239"/>
      <c r="AC98" s="325"/>
      <c r="AD98" s="325"/>
      <c r="AE98" s="325"/>
      <c r="AF98" s="325"/>
      <c r="AG98" s="325"/>
      <c r="AH98" s="325"/>
      <c r="AI98" s="325"/>
      <c r="AJ98" s="325"/>
      <c r="AK98" s="325"/>
      <c r="AL98" s="325"/>
      <c r="AM98" s="325"/>
      <c r="AN98" s="325"/>
      <c r="AO98" s="325"/>
      <c r="AP98" s="136"/>
      <c r="AQ98" s="136"/>
      <c r="AR98" s="136" t="str">
        <f t="shared" si="22"/>
        <v/>
      </c>
      <c r="AS98" s="136" t="str">
        <f t="shared" si="22"/>
        <v/>
      </c>
      <c r="AT98" s="5" t="str">
        <f t="shared" si="23"/>
        <v/>
      </c>
      <c r="AV98" s="27" t="str">
        <f>IF(G98="","",+"          ["&amp;TRIM(G98)&amp;"] ["&amp;TRIM(I98)&amp;"]"&amp;IF(H98="","","("&amp;H98&amp;")")&amp;" "&amp;TRIM(J98)&amp;IF(G107="","",","))</f>
        <v/>
      </c>
      <c r="AW98" s="27"/>
      <c r="AY98" s="122" t="str">
        <f t="shared" si="24"/>
        <v/>
      </c>
    </row>
    <row r="99" spans="2:51" ht="12.75">
      <c r="B99" s="20" t="str">
        <f t="shared" si="27"/>
        <v/>
      </c>
      <c r="C99" s="5"/>
      <c r="D99" s="5"/>
      <c r="E99" s="5"/>
      <c r="G99" s="5" t="str">
        <f t="shared" si="31"/>
        <v/>
      </c>
      <c r="H99" s="117" t="str">
        <f t="shared" si="29"/>
        <v/>
      </c>
      <c r="I99" s="5" t="str">
        <f t="shared" si="32"/>
        <v/>
      </c>
      <c r="J99" s="5" t="str">
        <f t="shared" si="33"/>
        <v/>
      </c>
      <c r="K99" s="5"/>
      <c r="L99" s="5"/>
      <c r="M99" s="75"/>
      <c r="N99" s="77"/>
      <c r="O99" s="26"/>
      <c r="P99" s="26"/>
      <c r="Q99" s="118" t="str">
        <f t="shared" si="34"/>
        <v/>
      </c>
      <c r="R99" s="153"/>
      <c r="S99" s="138" t="str">
        <f t="shared" si="25"/>
        <v/>
      </c>
      <c r="T99" s="148"/>
      <c r="U99" s="146"/>
      <c r="V99" s="146"/>
      <c r="W99" s="139"/>
      <c r="X99" s="139"/>
      <c r="Y99" s="148"/>
      <c r="Z99" s="138" t="str">
        <f t="shared" si="26"/>
        <v/>
      </c>
      <c r="AA99" s="138" t="str">
        <f t="shared" si="28"/>
        <v/>
      </c>
      <c r="AB99" s="239"/>
      <c r="AC99" s="325"/>
      <c r="AD99" s="325"/>
      <c r="AE99" s="325"/>
      <c r="AF99" s="325"/>
      <c r="AG99" s="325"/>
      <c r="AH99" s="325"/>
      <c r="AI99" s="325"/>
      <c r="AJ99" s="325"/>
      <c r="AK99" s="325"/>
      <c r="AL99" s="325"/>
      <c r="AM99" s="325"/>
      <c r="AN99" s="325"/>
      <c r="AO99" s="325"/>
      <c r="AP99" s="136"/>
      <c r="AQ99" s="136"/>
      <c r="AR99" s="136" t="str">
        <f t="shared" si="22"/>
        <v/>
      </c>
      <c r="AS99" s="136" t="str">
        <f t="shared" si="22"/>
        <v/>
      </c>
      <c r="AT99" s="5" t="str">
        <f t="shared" si="23"/>
        <v/>
      </c>
      <c r="AV99" s="27" t="str">
        <f>IF(G99="","",+"          ["&amp;TRIM(G99)&amp;"] ["&amp;TRIM(I99)&amp;"]"&amp;IF(H99="","","("&amp;H99&amp;")")&amp;" "&amp;TRIM(J99)&amp;IF(G106="","",","))</f>
        <v/>
      </c>
      <c r="AW99" s="27"/>
      <c r="AY99" s="122" t="str">
        <f t="shared" si="24"/>
        <v/>
      </c>
    </row>
    <row r="100" spans="2:51" ht="12.75">
      <c r="B100" s="20" t="str">
        <f t="shared" si="27"/>
        <v/>
      </c>
      <c r="C100" s="5"/>
      <c r="D100" s="5"/>
      <c r="E100" s="5"/>
      <c r="G100" s="5" t="str">
        <f t="shared" si="31"/>
        <v/>
      </c>
      <c r="H100" s="117" t="str">
        <f t="shared" si="29"/>
        <v/>
      </c>
      <c r="I100" s="5" t="str">
        <f t="shared" si="32"/>
        <v/>
      </c>
      <c r="J100" s="5" t="str">
        <f t="shared" si="33"/>
        <v/>
      </c>
      <c r="K100" s="5"/>
      <c r="L100" s="5"/>
      <c r="M100" s="75"/>
      <c r="N100" s="77"/>
      <c r="O100" s="26"/>
      <c r="P100" s="26"/>
      <c r="Q100" s="118" t="str">
        <f t="shared" si="34"/>
        <v/>
      </c>
      <c r="R100" s="153"/>
      <c r="S100" s="138" t="str">
        <f t="shared" si="25"/>
        <v/>
      </c>
      <c r="T100" s="148"/>
      <c r="U100" s="146"/>
      <c r="V100" s="146"/>
      <c r="W100" s="139"/>
      <c r="X100" s="139"/>
      <c r="Y100" s="148"/>
      <c r="Z100" s="138" t="str">
        <f t="shared" si="26"/>
        <v/>
      </c>
      <c r="AA100" s="138" t="str">
        <f t="shared" si="28"/>
        <v/>
      </c>
      <c r="AB100" s="239"/>
      <c r="AC100" s="325"/>
      <c r="AD100" s="325"/>
      <c r="AE100" s="325"/>
      <c r="AF100" s="325"/>
      <c r="AG100" s="325"/>
      <c r="AH100" s="325"/>
      <c r="AI100" s="325"/>
      <c r="AJ100" s="325"/>
      <c r="AK100" s="325"/>
      <c r="AL100" s="325"/>
      <c r="AM100" s="325"/>
      <c r="AN100" s="325"/>
      <c r="AO100" s="325"/>
      <c r="AP100" s="136"/>
      <c r="AQ100" s="136"/>
      <c r="AR100" s="136" t="str">
        <f t="shared" si="22"/>
        <v/>
      </c>
      <c r="AS100" s="136" t="str">
        <f t="shared" si="22"/>
        <v/>
      </c>
      <c r="AT100" s="5" t="str">
        <f t="shared" si="23"/>
        <v/>
      </c>
      <c r="AV100" s="27" t="str">
        <f>IF(G100="","",+"          ["&amp;TRIM(G100)&amp;"] ["&amp;TRIM(I100)&amp;"]"&amp;IF(H100="","","("&amp;H100&amp;")")&amp;" "&amp;TRIM(J100)&amp;IF(G101="","",","))</f>
        <v/>
      </c>
      <c r="AW100" s="27"/>
      <c r="AY100" s="122" t="str">
        <f t="shared" si="24"/>
        <v/>
      </c>
    </row>
    <row r="101" spans="2:51" ht="12.75">
      <c r="B101" s="20" t="str">
        <f t="shared" si="27"/>
        <v/>
      </c>
      <c r="C101" s="5"/>
      <c r="D101" s="5"/>
      <c r="E101" s="5"/>
      <c r="G101" s="5" t="str">
        <f t="shared" si="31"/>
        <v/>
      </c>
      <c r="H101" s="117" t="str">
        <f t="shared" si="29"/>
        <v/>
      </c>
      <c r="I101" s="5" t="str">
        <f t="shared" si="32"/>
        <v/>
      </c>
      <c r="J101" s="5" t="str">
        <f t="shared" si="33"/>
        <v/>
      </c>
      <c r="K101" s="5"/>
      <c r="L101" s="5"/>
      <c r="M101" s="75"/>
      <c r="N101" s="77"/>
      <c r="O101" s="26"/>
      <c r="P101" s="26"/>
      <c r="Q101" s="118" t="str">
        <f t="shared" si="34"/>
        <v/>
      </c>
      <c r="R101" s="153"/>
      <c r="S101" s="138" t="str">
        <f t="shared" si="25"/>
        <v/>
      </c>
      <c r="T101" s="148"/>
      <c r="U101" s="146"/>
      <c r="V101" s="146"/>
      <c r="W101" s="139"/>
      <c r="X101" s="139"/>
      <c r="Y101" s="148"/>
      <c r="Z101" s="138" t="str">
        <f t="shared" si="26"/>
        <v/>
      </c>
      <c r="AA101" s="138" t="str">
        <f t="shared" si="28"/>
        <v/>
      </c>
      <c r="AB101" s="239"/>
      <c r="AC101" s="325"/>
      <c r="AD101" s="325"/>
      <c r="AE101" s="325"/>
      <c r="AF101" s="325"/>
      <c r="AG101" s="325"/>
      <c r="AH101" s="325"/>
      <c r="AI101" s="325"/>
      <c r="AJ101" s="325"/>
      <c r="AK101" s="325"/>
      <c r="AL101" s="325"/>
      <c r="AM101" s="325"/>
      <c r="AN101" s="325"/>
      <c r="AO101" s="325"/>
      <c r="AP101" s="136"/>
      <c r="AQ101" s="136"/>
      <c r="AR101" s="136" t="str">
        <f t="shared" si="22"/>
        <v/>
      </c>
      <c r="AS101" s="136" t="str">
        <f t="shared" si="22"/>
        <v/>
      </c>
      <c r="AT101" s="5" t="str">
        <f t="shared" si="23"/>
        <v/>
      </c>
      <c r="AV101" s="27" t="str">
        <f>IF(G101="","",+"          ["&amp;TRIM(G101)&amp;"] ["&amp;TRIM(I101)&amp;"]"&amp;IF(H101="","","("&amp;H101&amp;")")&amp;" "&amp;TRIM(J101)&amp;IF(G102="","",","))</f>
        <v/>
      </c>
      <c r="AW101" s="27"/>
      <c r="AY101" s="122" t="str">
        <f t="shared" si="24"/>
        <v/>
      </c>
    </row>
    <row r="102" spans="2:51" ht="12.75">
      <c r="B102" s="20" t="str">
        <f t="shared" si="27"/>
        <v/>
      </c>
      <c r="C102" s="5"/>
      <c r="D102" s="5"/>
      <c r="E102" s="5"/>
      <c r="G102" s="5" t="str">
        <f t="shared" si="31"/>
        <v/>
      </c>
      <c r="H102" s="117" t="str">
        <f t="shared" si="29"/>
        <v/>
      </c>
      <c r="I102" s="5" t="str">
        <f t="shared" si="32"/>
        <v/>
      </c>
      <c r="J102" s="5" t="str">
        <f t="shared" si="33"/>
        <v/>
      </c>
      <c r="K102" s="5"/>
      <c r="L102" s="5"/>
      <c r="M102" s="75"/>
      <c r="N102" s="77"/>
      <c r="O102" s="26"/>
      <c r="P102" s="26"/>
      <c r="Q102" s="118" t="str">
        <f t="shared" si="34"/>
        <v/>
      </c>
      <c r="R102" s="153"/>
      <c r="S102" s="138" t="str">
        <f t="shared" si="25"/>
        <v/>
      </c>
      <c r="T102" s="148"/>
      <c r="U102" s="146"/>
      <c r="V102" s="146"/>
      <c r="W102" s="139"/>
      <c r="X102" s="139"/>
      <c r="Y102" s="148"/>
      <c r="Z102" s="138" t="str">
        <f t="shared" si="26"/>
        <v/>
      </c>
      <c r="AA102" s="138" t="str">
        <f t="shared" si="28"/>
        <v/>
      </c>
      <c r="AB102" s="239"/>
      <c r="AC102" s="325"/>
      <c r="AD102" s="325"/>
      <c r="AE102" s="325"/>
      <c r="AF102" s="325"/>
      <c r="AG102" s="325"/>
      <c r="AH102" s="325"/>
      <c r="AI102" s="325"/>
      <c r="AJ102" s="325"/>
      <c r="AK102" s="325"/>
      <c r="AL102" s="325"/>
      <c r="AM102" s="325"/>
      <c r="AN102" s="325"/>
      <c r="AO102" s="325"/>
      <c r="AP102" s="136"/>
      <c r="AQ102" s="136"/>
      <c r="AR102" s="136" t="str">
        <f t="shared" si="22"/>
        <v/>
      </c>
      <c r="AS102" s="136" t="str">
        <f t="shared" si="22"/>
        <v/>
      </c>
      <c r="AT102" s="5" t="str">
        <f t="shared" si="23"/>
        <v/>
      </c>
      <c r="AV102" s="27" t="str">
        <f>IF(G102="","",+"          ["&amp;TRIM(G102)&amp;"] ["&amp;TRIM(I102)&amp;"]"&amp;IF(H102="","","("&amp;H102&amp;")")&amp;" "&amp;TRIM(J102)&amp;IF(G103="","",","))</f>
        <v/>
      </c>
      <c r="AW102" s="27"/>
      <c r="AY102" s="122" t="str">
        <f t="shared" si="24"/>
        <v/>
      </c>
    </row>
    <row r="103" spans="2:51" ht="12.75">
      <c r="B103" s="20" t="str">
        <f t="shared" si="27"/>
        <v/>
      </c>
      <c r="C103" s="5"/>
      <c r="D103" s="5"/>
      <c r="E103" s="5"/>
      <c r="G103" s="5" t="str">
        <f t="shared" si="31"/>
        <v/>
      </c>
      <c r="H103" s="117" t="str">
        <f t="shared" si="29"/>
        <v/>
      </c>
      <c r="I103" s="5" t="str">
        <f t="shared" si="32"/>
        <v/>
      </c>
      <c r="J103" s="5" t="str">
        <f t="shared" si="33"/>
        <v/>
      </c>
      <c r="K103" s="5"/>
      <c r="L103" s="5"/>
      <c r="M103" s="75"/>
      <c r="N103" s="77"/>
      <c r="O103" s="26"/>
      <c r="P103" s="26"/>
      <c r="Q103" s="118" t="str">
        <f t="shared" si="34"/>
        <v/>
      </c>
      <c r="R103" s="153"/>
      <c r="S103" s="138" t="str">
        <f t="shared" si="25"/>
        <v/>
      </c>
      <c r="T103" s="148"/>
      <c r="U103" s="146"/>
      <c r="V103" s="146"/>
      <c r="W103" s="139"/>
      <c r="X103" s="139"/>
      <c r="Y103" s="148"/>
      <c r="Z103" s="138" t="str">
        <f t="shared" si="26"/>
        <v/>
      </c>
      <c r="AA103" s="138" t="str">
        <f t="shared" si="28"/>
        <v/>
      </c>
      <c r="AB103" s="239"/>
      <c r="AC103" s="325"/>
      <c r="AD103" s="325"/>
      <c r="AE103" s="325"/>
      <c r="AF103" s="325"/>
      <c r="AG103" s="325"/>
      <c r="AH103" s="325"/>
      <c r="AI103" s="325"/>
      <c r="AJ103" s="325"/>
      <c r="AK103" s="325"/>
      <c r="AL103" s="325"/>
      <c r="AM103" s="325"/>
      <c r="AN103" s="325"/>
      <c r="AO103" s="325"/>
      <c r="AP103" s="136"/>
      <c r="AQ103" s="136"/>
      <c r="AR103" s="136" t="str">
        <f t="shared" si="22"/>
        <v/>
      </c>
      <c r="AS103" s="136" t="str">
        <f t="shared" si="22"/>
        <v/>
      </c>
      <c r="AT103" s="5" t="str">
        <f t="shared" si="23"/>
        <v/>
      </c>
      <c r="AV103" s="27" t="str">
        <f>IF(G103="","",+"          ["&amp;TRIM(G103)&amp;"] ["&amp;TRIM(I103)&amp;"]"&amp;IF(H103="","","("&amp;H103&amp;")")&amp;" "&amp;TRIM(J103)&amp;IF(G106="","",","))</f>
        <v/>
      </c>
      <c r="AW103" s="27"/>
      <c r="AY103" s="122" t="str">
        <f t="shared" si="24"/>
        <v/>
      </c>
    </row>
    <row r="104" spans="2:51" ht="12.75">
      <c r="B104" s="20" t="str">
        <f t="shared" si="27"/>
        <v/>
      </c>
      <c r="C104" s="5"/>
      <c r="D104" s="5"/>
      <c r="E104" s="5"/>
      <c r="G104" s="5" t="str">
        <f t="shared" si="31"/>
        <v/>
      </c>
      <c r="H104" s="117" t="str">
        <f t="shared" si="29"/>
        <v/>
      </c>
      <c r="I104" s="5" t="str">
        <f t="shared" si="32"/>
        <v/>
      </c>
      <c r="J104" s="5" t="str">
        <f t="shared" si="33"/>
        <v/>
      </c>
      <c r="K104" s="5"/>
      <c r="L104" s="5"/>
      <c r="M104" s="75"/>
      <c r="N104" s="77"/>
      <c r="O104" s="26"/>
      <c r="P104" s="26"/>
      <c r="Q104" s="118" t="str">
        <f t="shared" si="34"/>
        <v/>
      </c>
      <c r="R104" s="153"/>
      <c r="S104" s="138" t="str">
        <f t="shared" si="25"/>
        <v/>
      </c>
      <c r="T104" s="148"/>
      <c r="U104" s="146"/>
      <c r="V104" s="146"/>
      <c r="W104" s="139"/>
      <c r="X104" s="139"/>
      <c r="Y104" s="148"/>
      <c r="Z104" s="138" t="str">
        <f t="shared" si="26"/>
        <v/>
      </c>
      <c r="AA104" s="138" t="str">
        <f t="shared" si="28"/>
        <v/>
      </c>
      <c r="AB104" s="239"/>
      <c r="AC104" s="325"/>
      <c r="AD104" s="325"/>
      <c r="AE104" s="325"/>
      <c r="AF104" s="325"/>
      <c r="AG104" s="325"/>
      <c r="AH104" s="325"/>
      <c r="AI104" s="325"/>
      <c r="AJ104" s="325"/>
      <c r="AK104" s="325"/>
      <c r="AL104" s="325"/>
      <c r="AM104" s="325"/>
      <c r="AN104" s="325"/>
      <c r="AO104" s="325"/>
      <c r="AP104" s="136"/>
      <c r="AQ104" s="136"/>
      <c r="AR104" s="136" t="str">
        <f t="shared" si="22"/>
        <v/>
      </c>
      <c r="AS104" s="136" t="str">
        <f t="shared" si="22"/>
        <v/>
      </c>
      <c r="AT104" s="5" t="str">
        <f t="shared" si="23"/>
        <v/>
      </c>
      <c r="AV104" s="27" t="str">
        <f t="shared" ref="AV104:AV115" si="35">IF(G104="","",+"          ["&amp;TRIM(G104)&amp;"] ["&amp;TRIM(I104)&amp;"]"&amp;IF(H104="","","("&amp;H104&amp;")")&amp;" "&amp;TRIM(J104)&amp;IF(G105="","",","))</f>
        <v/>
      </c>
      <c r="AW104" s="27"/>
      <c r="AY104" s="122" t="str">
        <f t="shared" si="24"/>
        <v/>
      </c>
    </row>
    <row r="105" spans="2:51" ht="12.75">
      <c r="B105" s="20" t="str">
        <f t="shared" si="27"/>
        <v/>
      </c>
      <c r="C105" s="5"/>
      <c r="D105" s="5"/>
      <c r="E105" s="5"/>
      <c r="G105" s="5" t="str">
        <f t="shared" si="31"/>
        <v/>
      </c>
      <c r="H105" s="117" t="str">
        <f t="shared" si="29"/>
        <v/>
      </c>
      <c r="I105" s="5" t="str">
        <f t="shared" si="32"/>
        <v/>
      </c>
      <c r="J105" s="5" t="str">
        <f t="shared" si="33"/>
        <v/>
      </c>
      <c r="K105" s="5"/>
      <c r="L105" s="5"/>
      <c r="M105" s="75"/>
      <c r="N105" s="77"/>
      <c r="O105" s="26"/>
      <c r="P105" s="26"/>
      <c r="Q105" s="118" t="str">
        <f t="shared" si="34"/>
        <v/>
      </c>
      <c r="R105" s="153"/>
      <c r="S105" s="138" t="str">
        <f t="shared" si="25"/>
        <v/>
      </c>
      <c r="T105" s="148"/>
      <c r="U105" s="146"/>
      <c r="V105" s="146"/>
      <c r="W105" s="139"/>
      <c r="X105" s="139"/>
      <c r="Y105" s="148"/>
      <c r="Z105" s="138" t="str">
        <f t="shared" si="26"/>
        <v/>
      </c>
      <c r="AA105" s="138" t="str">
        <f t="shared" si="28"/>
        <v/>
      </c>
      <c r="AB105" s="239"/>
      <c r="AC105" s="325"/>
      <c r="AD105" s="325"/>
      <c r="AE105" s="325"/>
      <c r="AF105" s="325"/>
      <c r="AG105" s="325"/>
      <c r="AH105" s="325"/>
      <c r="AI105" s="325"/>
      <c r="AJ105" s="325"/>
      <c r="AK105" s="325"/>
      <c r="AL105" s="325"/>
      <c r="AM105" s="325"/>
      <c r="AN105" s="325"/>
      <c r="AO105" s="325"/>
      <c r="AP105" s="136"/>
      <c r="AQ105" s="136"/>
      <c r="AR105" s="136" t="str">
        <f t="shared" si="22"/>
        <v/>
      </c>
      <c r="AS105" s="136" t="str">
        <f t="shared" si="22"/>
        <v/>
      </c>
      <c r="AT105" s="5" t="str">
        <f t="shared" si="23"/>
        <v/>
      </c>
      <c r="AV105" s="27" t="str">
        <f t="shared" si="35"/>
        <v/>
      </c>
      <c r="AW105" s="27"/>
      <c r="AY105" s="122" t="str">
        <f t="shared" si="24"/>
        <v/>
      </c>
    </row>
    <row r="106" spans="2:51" ht="12.75">
      <c r="B106" s="20" t="str">
        <f t="shared" si="27"/>
        <v/>
      </c>
      <c r="C106" s="5"/>
      <c r="D106" s="5"/>
      <c r="E106" s="5"/>
      <c r="G106" s="5" t="str">
        <f t="shared" si="31"/>
        <v/>
      </c>
      <c r="H106" s="117" t="str">
        <f t="shared" si="29"/>
        <v/>
      </c>
      <c r="I106" s="5" t="str">
        <f t="shared" si="32"/>
        <v/>
      </c>
      <c r="J106" s="5" t="str">
        <f t="shared" si="33"/>
        <v/>
      </c>
      <c r="K106" s="5"/>
      <c r="L106" s="5"/>
      <c r="M106" s="75"/>
      <c r="N106" s="77"/>
      <c r="O106" s="26"/>
      <c r="P106" s="26"/>
      <c r="Q106" s="118" t="str">
        <f t="shared" si="34"/>
        <v/>
      </c>
      <c r="R106" s="153"/>
      <c r="S106" s="138" t="str">
        <f t="shared" si="25"/>
        <v/>
      </c>
      <c r="T106" s="148"/>
      <c r="U106" s="146"/>
      <c r="V106" s="146"/>
      <c r="W106" s="139"/>
      <c r="X106" s="139"/>
      <c r="Y106" s="148"/>
      <c r="Z106" s="138" t="str">
        <f t="shared" si="26"/>
        <v/>
      </c>
      <c r="AA106" s="138" t="str">
        <f t="shared" si="28"/>
        <v/>
      </c>
      <c r="AB106" s="239"/>
      <c r="AC106" s="325"/>
      <c r="AD106" s="325"/>
      <c r="AE106" s="325"/>
      <c r="AF106" s="325"/>
      <c r="AG106" s="325"/>
      <c r="AH106" s="325"/>
      <c r="AI106" s="325"/>
      <c r="AJ106" s="325"/>
      <c r="AK106" s="325"/>
      <c r="AL106" s="325"/>
      <c r="AM106" s="325"/>
      <c r="AN106" s="325"/>
      <c r="AO106" s="325"/>
      <c r="AP106" s="136"/>
      <c r="AQ106" s="136"/>
      <c r="AR106" s="136" t="str">
        <f t="shared" si="22"/>
        <v/>
      </c>
      <c r="AS106" s="136" t="str">
        <f t="shared" si="22"/>
        <v/>
      </c>
      <c r="AT106" s="5" t="str">
        <f t="shared" si="23"/>
        <v/>
      </c>
      <c r="AV106" s="27" t="str">
        <f t="shared" si="35"/>
        <v/>
      </c>
      <c r="AW106" s="27"/>
      <c r="AY106" s="122" t="str">
        <f t="shared" si="24"/>
        <v/>
      </c>
    </row>
    <row r="107" spans="2:51" ht="12.75">
      <c r="B107" s="20" t="str">
        <f t="shared" si="27"/>
        <v/>
      </c>
      <c r="C107" s="5"/>
      <c r="D107" s="5"/>
      <c r="E107" s="5"/>
      <c r="G107" s="5" t="str">
        <f t="shared" si="31"/>
        <v/>
      </c>
      <c r="H107" s="117" t="str">
        <f t="shared" si="29"/>
        <v/>
      </c>
      <c r="I107" s="5" t="str">
        <f t="shared" si="32"/>
        <v/>
      </c>
      <c r="J107" s="5" t="str">
        <f t="shared" si="33"/>
        <v/>
      </c>
      <c r="K107" s="5"/>
      <c r="L107" s="5"/>
      <c r="M107" s="75"/>
      <c r="N107" s="77"/>
      <c r="O107" s="26"/>
      <c r="P107" s="26"/>
      <c r="Q107" s="118" t="str">
        <f t="shared" si="34"/>
        <v/>
      </c>
      <c r="R107" s="153"/>
      <c r="S107" s="138" t="str">
        <f t="shared" si="25"/>
        <v/>
      </c>
      <c r="T107" s="148"/>
      <c r="U107" s="146"/>
      <c r="V107" s="146"/>
      <c r="W107" s="139"/>
      <c r="X107" s="139"/>
      <c r="Y107" s="148"/>
      <c r="Z107" s="138" t="str">
        <f t="shared" si="26"/>
        <v/>
      </c>
      <c r="AA107" s="138" t="str">
        <f t="shared" si="28"/>
        <v/>
      </c>
      <c r="AB107" s="239"/>
      <c r="AC107" s="325"/>
      <c r="AD107" s="325"/>
      <c r="AE107" s="325"/>
      <c r="AF107" s="325"/>
      <c r="AG107" s="325"/>
      <c r="AH107" s="325"/>
      <c r="AI107" s="325"/>
      <c r="AJ107" s="325"/>
      <c r="AK107" s="325"/>
      <c r="AL107" s="325"/>
      <c r="AM107" s="325"/>
      <c r="AN107" s="325"/>
      <c r="AO107" s="325"/>
      <c r="AP107" s="136"/>
      <c r="AQ107" s="136"/>
      <c r="AR107" s="136" t="str">
        <f t="shared" si="22"/>
        <v/>
      </c>
      <c r="AS107" s="136" t="str">
        <f t="shared" si="22"/>
        <v/>
      </c>
      <c r="AT107" s="5" t="str">
        <f t="shared" si="23"/>
        <v/>
      </c>
      <c r="AV107" s="27" t="str">
        <f t="shared" si="35"/>
        <v/>
      </c>
      <c r="AW107" s="27"/>
      <c r="AY107" s="122" t="str">
        <f t="shared" si="24"/>
        <v/>
      </c>
    </row>
    <row r="108" spans="2:51" ht="12.75">
      <c r="B108" s="20" t="str">
        <f t="shared" si="27"/>
        <v/>
      </c>
      <c r="C108" s="5"/>
      <c r="D108" s="5"/>
      <c r="E108" s="5"/>
      <c r="G108" s="5" t="str">
        <f t="shared" si="31"/>
        <v/>
      </c>
      <c r="H108" s="117" t="str">
        <f t="shared" si="29"/>
        <v/>
      </c>
      <c r="I108" s="5" t="str">
        <f t="shared" si="32"/>
        <v/>
      </c>
      <c r="J108" s="5" t="str">
        <f t="shared" si="33"/>
        <v/>
      </c>
      <c r="K108" s="5"/>
      <c r="L108" s="5"/>
      <c r="M108" s="75"/>
      <c r="N108" s="77"/>
      <c r="O108" s="26"/>
      <c r="P108" s="26"/>
      <c r="Q108" s="118" t="str">
        <f t="shared" si="34"/>
        <v/>
      </c>
      <c r="R108" s="153"/>
      <c r="S108" s="138" t="str">
        <f t="shared" si="25"/>
        <v/>
      </c>
      <c r="T108" s="148"/>
      <c r="U108" s="146"/>
      <c r="V108" s="146"/>
      <c r="W108" s="139"/>
      <c r="X108" s="139"/>
      <c r="Y108" s="148"/>
      <c r="Z108" s="138" t="str">
        <f t="shared" si="26"/>
        <v/>
      </c>
      <c r="AA108" s="138" t="str">
        <f t="shared" si="28"/>
        <v/>
      </c>
      <c r="AB108" s="239"/>
      <c r="AC108" s="325"/>
      <c r="AD108" s="325"/>
      <c r="AE108" s="325"/>
      <c r="AF108" s="325"/>
      <c r="AG108" s="325"/>
      <c r="AH108" s="325"/>
      <c r="AI108" s="325"/>
      <c r="AJ108" s="325"/>
      <c r="AK108" s="325"/>
      <c r="AL108" s="325"/>
      <c r="AM108" s="325"/>
      <c r="AN108" s="325"/>
      <c r="AO108" s="325"/>
      <c r="AP108" s="136"/>
      <c r="AQ108" s="136"/>
      <c r="AR108" s="136" t="str">
        <f t="shared" si="22"/>
        <v/>
      </c>
      <c r="AS108" s="136" t="str">
        <f t="shared" si="22"/>
        <v/>
      </c>
      <c r="AT108" s="5" t="str">
        <f t="shared" si="23"/>
        <v/>
      </c>
      <c r="AV108" s="27" t="str">
        <f t="shared" si="35"/>
        <v/>
      </c>
      <c r="AW108" s="27"/>
      <c r="AY108" s="122" t="str">
        <f t="shared" si="24"/>
        <v/>
      </c>
    </row>
    <row r="109" spans="2:51" ht="12.75">
      <c r="B109" s="20" t="str">
        <f t="shared" si="27"/>
        <v/>
      </c>
      <c r="C109" s="5"/>
      <c r="D109" s="5"/>
      <c r="E109" s="5"/>
      <c r="G109" s="5" t="str">
        <f t="shared" si="31"/>
        <v/>
      </c>
      <c r="H109" s="117" t="str">
        <f t="shared" si="29"/>
        <v/>
      </c>
      <c r="I109" s="5" t="str">
        <f t="shared" si="32"/>
        <v/>
      </c>
      <c r="J109" s="5" t="str">
        <f t="shared" si="33"/>
        <v/>
      </c>
      <c r="K109" s="5"/>
      <c r="L109" s="5"/>
      <c r="M109" s="75"/>
      <c r="N109" s="77"/>
      <c r="O109" s="26"/>
      <c r="P109" s="26"/>
      <c r="Q109" s="118" t="str">
        <f t="shared" si="34"/>
        <v/>
      </c>
      <c r="R109" s="153"/>
      <c r="S109" s="138" t="str">
        <f t="shared" si="25"/>
        <v/>
      </c>
      <c r="T109" s="148"/>
      <c r="U109" s="146"/>
      <c r="V109" s="146"/>
      <c r="W109" s="139"/>
      <c r="X109" s="139"/>
      <c r="Y109" s="148"/>
      <c r="Z109" s="138" t="str">
        <f t="shared" si="26"/>
        <v/>
      </c>
      <c r="AA109" s="138" t="str">
        <f t="shared" si="28"/>
        <v/>
      </c>
      <c r="AB109" s="239"/>
      <c r="AC109" s="325"/>
      <c r="AD109" s="325"/>
      <c r="AE109" s="325"/>
      <c r="AF109" s="325"/>
      <c r="AG109" s="325"/>
      <c r="AH109" s="325"/>
      <c r="AI109" s="325"/>
      <c r="AJ109" s="325"/>
      <c r="AK109" s="325"/>
      <c r="AL109" s="325"/>
      <c r="AM109" s="325"/>
      <c r="AN109" s="325"/>
      <c r="AO109" s="325"/>
      <c r="AP109" s="136"/>
      <c r="AQ109" s="136"/>
      <c r="AR109" s="136" t="str">
        <f t="shared" si="22"/>
        <v/>
      </c>
      <c r="AS109" s="136" t="str">
        <f t="shared" si="22"/>
        <v/>
      </c>
      <c r="AT109" s="5" t="str">
        <f t="shared" si="23"/>
        <v/>
      </c>
      <c r="AV109" s="27" t="str">
        <f t="shared" si="35"/>
        <v/>
      </c>
      <c r="AW109" s="27"/>
      <c r="AY109" s="122" t="str">
        <f t="shared" si="24"/>
        <v/>
      </c>
    </row>
    <row r="110" spans="2:51" ht="12.75">
      <c r="B110" s="20" t="str">
        <f t="shared" si="27"/>
        <v/>
      </c>
      <c r="C110" s="5"/>
      <c r="D110" s="5"/>
      <c r="E110" s="5"/>
      <c r="G110" s="5" t="str">
        <f t="shared" si="31"/>
        <v/>
      </c>
      <c r="H110" s="117" t="str">
        <f t="shared" si="29"/>
        <v/>
      </c>
      <c r="I110" s="5" t="str">
        <f t="shared" si="32"/>
        <v/>
      </c>
      <c r="J110" s="5" t="str">
        <f t="shared" si="33"/>
        <v/>
      </c>
      <c r="K110" s="5"/>
      <c r="L110" s="5"/>
      <c r="M110" s="75"/>
      <c r="N110" s="77"/>
      <c r="O110" s="26"/>
      <c r="P110" s="26"/>
      <c r="Q110" s="118" t="str">
        <f t="shared" si="34"/>
        <v/>
      </c>
      <c r="R110" s="153"/>
      <c r="S110" s="138" t="str">
        <f t="shared" si="25"/>
        <v/>
      </c>
      <c r="T110" s="148"/>
      <c r="U110" s="146"/>
      <c r="V110" s="146"/>
      <c r="W110" s="139"/>
      <c r="X110" s="139"/>
      <c r="Y110" s="148"/>
      <c r="Z110" s="138" t="str">
        <f t="shared" si="26"/>
        <v/>
      </c>
      <c r="AA110" s="138" t="str">
        <f t="shared" si="28"/>
        <v/>
      </c>
      <c r="AB110" s="239"/>
      <c r="AC110" s="325"/>
      <c r="AD110" s="325"/>
      <c r="AE110" s="325"/>
      <c r="AF110" s="325"/>
      <c r="AG110" s="325"/>
      <c r="AH110" s="325"/>
      <c r="AI110" s="325"/>
      <c r="AJ110" s="325"/>
      <c r="AK110" s="325"/>
      <c r="AL110" s="325"/>
      <c r="AM110" s="325"/>
      <c r="AN110" s="325"/>
      <c r="AO110" s="325"/>
      <c r="AP110" s="136"/>
      <c r="AQ110" s="136"/>
      <c r="AR110" s="136" t="str">
        <f t="shared" si="22"/>
        <v/>
      </c>
      <c r="AS110" s="136" t="str">
        <f t="shared" si="22"/>
        <v/>
      </c>
      <c r="AT110" s="5" t="str">
        <f t="shared" si="23"/>
        <v/>
      </c>
      <c r="AV110" s="27" t="str">
        <f t="shared" si="35"/>
        <v/>
      </c>
      <c r="AW110" s="27"/>
      <c r="AY110" s="122" t="str">
        <f t="shared" si="24"/>
        <v/>
      </c>
    </row>
    <row r="111" spans="2:51" ht="12.75">
      <c r="B111" s="20" t="str">
        <f t="shared" si="27"/>
        <v/>
      </c>
      <c r="C111" s="5"/>
      <c r="D111" s="5"/>
      <c r="E111" s="5"/>
      <c r="G111" s="5" t="str">
        <f t="shared" si="31"/>
        <v/>
      </c>
      <c r="H111" s="117" t="str">
        <f t="shared" si="29"/>
        <v/>
      </c>
      <c r="I111" s="5" t="str">
        <f t="shared" si="32"/>
        <v/>
      </c>
      <c r="J111" s="5" t="str">
        <f t="shared" si="33"/>
        <v/>
      </c>
      <c r="K111" s="5"/>
      <c r="L111" s="5"/>
      <c r="M111" s="75"/>
      <c r="N111" s="77"/>
      <c r="O111" s="26"/>
      <c r="P111" s="26"/>
      <c r="Q111" s="118" t="str">
        <f t="shared" si="34"/>
        <v/>
      </c>
      <c r="R111" s="153"/>
      <c r="S111" s="138" t="str">
        <f t="shared" si="25"/>
        <v/>
      </c>
      <c r="T111" s="148"/>
      <c r="U111" s="146"/>
      <c r="V111" s="146"/>
      <c r="W111" s="139"/>
      <c r="X111" s="139"/>
      <c r="Y111" s="148"/>
      <c r="Z111" s="138" t="str">
        <f t="shared" si="26"/>
        <v/>
      </c>
      <c r="AA111" s="138" t="str">
        <f t="shared" si="28"/>
        <v/>
      </c>
      <c r="AB111" s="239"/>
      <c r="AC111" s="325"/>
      <c r="AD111" s="325"/>
      <c r="AE111" s="325"/>
      <c r="AF111" s="325"/>
      <c r="AG111" s="325"/>
      <c r="AH111" s="325"/>
      <c r="AI111" s="325"/>
      <c r="AJ111" s="325"/>
      <c r="AK111" s="325"/>
      <c r="AL111" s="325"/>
      <c r="AM111" s="325"/>
      <c r="AN111" s="325"/>
      <c r="AO111" s="325"/>
      <c r="AP111" s="136"/>
      <c r="AQ111" s="136"/>
      <c r="AR111" s="136" t="str">
        <f t="shared" si="22"/>
        <v/>
      </c>
      <c r="AS111" s="136" t="str">
        <f t="shared" si="22"/>
        <v/>
      </c>
      <c r="AT111" s="5" t="str">
        <f t="shared" si="23"/>
        <v/>
      </c>
      <c r="AV111" s="27" t="str">
        <f t="shared" si="35"/>
        <v/>
      </c>
      <c r="AW111" s="27"/>
      <c r="AY111" s="122" t="str">
        <f t="shared" si="24"/>
        <v/>
      </c>
    </row>
    <row r="112" spans="2:51" ht="12.75">
      <c r="B112" s="20" t="str">
        <f t="shared" si="27"/>
        <v/>
      </c>
      <c r="C112" s="5"/>
      <c r="D112" s="5"/>
      <c r="E112" s="5"/>
      <c r="G112" s="5" t="str">
        <f t="shared" si="31"/>
        <v/>
      </c>
      <c r="H112" s="117" t="str">
        <f t="shared" si="29"/>
        <v/>
      </c>
      <c r="I112" s="5" t="str">
        <f t="shared" si="32"/>
        <v/>
      </c>
      <c r="J112" s="5" t="str">
        <f t="shared" si="33"/>
        <v/>
      </c>
      <c r="K112" s="5"/>
      <c r="L112" s="5"/>
      <c r="M112" s="75"/>
      <c r="N112" s="77"/>
      <c r="O112" s="26"/>
      <c r="P112" s="26"/>
      <c r="Q112" s="118" t="str">
        <f t="shared" si="34"/>
        <v/>
      </c>
      <c r="R112" s="153"/>
      <c r="S112" s="138" t="str">
        <f t="shared" si="25"/>
        <v/>
      </c>
      <c r="T112" s="148"/>
      <c r="U112" s="146"/>
      <c r="V112" s="146"/>
      <c r="W112" s="139"/>
      <c r="X112" s="139"/>
      <c r="Y112" s="148"/>
      <c r="Z112" s="138" t="str">
        <f t="shared" si="26"/>
        <v/>
      </c>
      <c r="AA112" s="138" t="str">
        <f t="shared" si="28"/>
        <v/>
      </c>
      <c r="AB112" s="239"/>
      <c r="AC112" s="325"/>
      <c r="AD112" s="325"/>
      <c r="AE112" s="325"/>
      <c r="AF112" s="325"/>
      <c r="AG112" s="325"/>
      <c r="AH112" s="325"/>
      <c r="AI112" s="325"/>
      <c r="AJ112" s="325"/>
      <c r="AK112" s="325"/>
      <c r="AL112" s="325"/>
      <c r="AM112" s="325"/>
      <c r="AN112" s="325"/>
      <c r="AO112" s="325"/>
      <c r="AP112" s="136"/>
      <c r="AQ112" s="136"/>
      <c r="AR112" s="136" t="str">
        <f t="shared" si="22"/>
        <v/>
      </c>
      <c r="AS112" s="136" t="str">
        <f t="shared" si="22"/>
        <v/>
      </c>
      <c r="AT112" s="5" t="str">
        <f t="shared" si="23"/>
        <v/>
      </c>
      <c r="AV112" s="27" t="str">
        <f t="shared" si="35"/>
        <v/>
      </c>
      <c r="AW112" s="27"/>
      <c r="AY112" s="122" t="str">
        <f t="shared" si="24"/>
        <v/>
      </c>
    </row>
    <row r="113" spans="2:51" ht="12.75">
      <c r="B113" s="20" t="str">
        <f t="shared" si="27"/>
        <v/>
      </c>
      <c r="C113" s="5"/>
      <c r="D113" s="5"/>
      <c r="E113" s="5"/>
      <c r="G113" s="5" t="str">
        <f t="shared" si="31"/>
        <v/>
      </c>
      <c r="H113" s="117" t="str">
        <f t="shared" si="29"/>
        <v/>
      </c>
      <c r="I113" s="5" t="str">
        <f t="shared" si="32"/>
        <v/>
      </c>
      <c r="J113" s="5" t="str">
        <f t="shared" si="33"/>
        <v/>
      </c>
      <c r="K113" s="5"/>
      <c r="L113" s="5"/>
      <c r="M113" s="75"/>
      <c r="N113" s="77"/>
      <c r="O113" s="26"/>
      <c r="P113" s="26"/>
      <c r="Q113" s="118" t="str">
        <f t="shared" si="34"/>
        <v/>
      </c>
      <c r="R113" s="153"/>
      <c r="S113" s="138" t="str">
        <f t="shared" si="25"/>
        <v/>
      </c>
      <c r="T113" s="148"/>
      <c r="U113" s="146"/>
      <c r="V113" s="146"/>
      <c r="W113" s="139"/>
      <c r="X113" s="139"/>
      <c r="Y113" s="148"/>
      <c r="Z113" s="138" t="str">
        <f t="shared" si="26"/>
        <v/>
      </c>
      <c r="AA113" s="138" t="str">
        <f t="shared" si="28"/>
        <v/>
      </c>
      <c r="AB113" s="239"/>
      <c r="AC113" s="325"/>
      <c r="AD113" s="325"/>
      <c r="AE113" s="325"/>
      <c r="AF113" s="325"/>
      <c r="AG113" s="325"/>
      <c r="AH113" s="325"/>
      <c r="AI113" s="325"/>
      <c r="AJ113" s="325"/>
      <c r="AK113" s="325"/>
      <c r="AL113" s="325"/>
      <c r="AM113" s="325"/>
      <c r="AN113" s="325"/>
      <c r="AO113" s="325"/>
      <c r="AP113" s="136"/>
      <c r="AQ113" s="136"/>
      <c r="AR113" s="136" t="str">
        <f t="shared" si="22"/>
        <v/>
      </c>
      <c r="AS113" s="136" t="str">
        <f t="shared" si="22"/>
        <v/>
      </c>
      <c r="AT113" s="5" t="str">
        <f t="shared" si="23"/>
        <v/>
      </c>
      <c r="AV113" s="27" t="str">
        <f t="shared" si="35"/>
        <v/>
      </c>
      <c r="AW113" s="27"/>
      <c r="AY113" s="122" t="str">
        <f t="shared" si="24"/>
        <v/>
      </c>
    </row>
    <row r="114" spans="2:51" ht="12.75">
      <c r="B114" s="20" t="str">
        <f t="shared" si="27"/>
        <v/>
      </c>
      <c r="C114" s="5"/>
      <c r="D114" s="5"/>
      <c r="E114" s="5"/>
      <c r="G114" s="5" t="str">
        <f t="shared" si="31"/>
        <v/>
      </c>
      <c r="H114" s="117" t="str">
        <f t="shared" si="29"/>
        <v/>
      </c>
      <c r="I114" s="5" t="str">
        <f t="shared" si="32"/>
        <v/>
      </c>
      <c r="J114" s="5" t="str">
        <f t="shared" si="33"/>
        <v/>
      </c>
      <c r="K114" s="5"/>
      <c r="L114" s="5"/>
      <c r="M114" s="75"/>
      <c r="N114" s="77"/>
      <c r="O114" s="26"/>
      <c r="P114" s="26"/>
      <c r="Q114" s="118" t="str">
        <f t="shared" si="34"/>
        <v/>
      </c>
      <c r="R114" s="153"/>
      <c r="S114" s="138" t="str">
        <f t="shared" si="25"/>
        <v/>
      </c>
      <c r="T114" s="148"/>
      <c r="U114" s="146"/>
      <c r="V114" s="146"/>
      <c r="W114" s="139"/>
      <c r="X114" s="139"/>
      <c r="Y114" s="148"/>
      <c r="Z114" s="138" t="str">
        <f t="shared" si="26"/>
        <v/>
      </c>
      <c r="AA114" s="138" t="str">
        <f t="shared" si="28"/>
        <v/>
      </c>
      <c r="AB114" s="239"/>
      <c r="AC114" s="325"/>
      <c r="AD114" s="325"/>
      <c r="AE114" s="325"/>
      <c r="AF114" s="325"/>
      <c r="AG114" s="325"/>
      <c r="AH114" s="325"/>
      <c r="AI114" s="325"/>
      <c r="AJ114" s="325"/>
      <c r="AK114" s="325"/>
      <c r="AL114" s="325"/>
      <c r="AM114" s="325"/>
      <c r="AN114" s="325"/>
      <c r="AO114" s="325"/>
      <c r="AP114" s="136"/>
      <c r="AQ114" s="136"/>
      <c r="AR114" s="136" t="str">
        <f t="shared" si="22"/>
        <v/>
      </c>
      <c r="AS114" s="136" t="str">
        <f t="shared" si="22"/>
        <v/>
      </c>
      <c r="AT114" s="5" t="str">
        <f t="shared" si="23"/>
        <v/>
      </c>
      <c r="AV114" s="27" t="str">
        <f t="shared" si="35"/>
        <v/>
      </c>
      <c r="AW114" s="27"/>
      <c r="AY114" s="122" t="str">
        <f t="shared" si="24"/>
        <v/>
      </c>
    </row>
    <row r="115" spans="2:51" ht="12.75">
      <c r="B115" s="20" t="str">
        <f t="shared" si="27"/>
        <v/>
      </c>
      <c r="C115" s="5"/>
      <c r="D115" s="5"/>
      <c r="E115" s="5"/>
      <c r="G115" s="5" t="str">
        <f t="shared" si="31"/>
        <v/>
      </c>
      <c r="H115" s="117" t="str">
        <f t="shared" si="29"/>
        <v/>
      </c>
      <c r="I115" s="5" t="str">
        <f t="shared" si="32"/>
        <v/>
      </c>
      <c r="J115" s="5" t="str">
        <f t="shared" si="33"/>
        <v/>
      </c>
      <c r="K115" s="5"/>
      <c r="L115" s="5"/>
      <c r="M115" s="75"/>
      <c r="N115" s="77"/>
      <c r="O115" s="26"/>
      <c r="P115" s="26"/>
      <c r="Q115" s="118" t="str">
        <f t="shared" si="34"/>
        <v/>
      </c>
      <c r="R115" s="153"/>
      <c r="S115" s="138" t="str">
        <f t="shared" si="25"/>
        <v/>
      </c>
      <c r="T115" s="148"/>
      <c r="U115" s="146"/>
      <c r="V115" s="146"/>
      <c r="W115" s="139"/>
      <c r="X115" s="139"/>
      <c r="Y115" s="148"/>
      <c r="Z115" s="138" t="str">
        <f t="shared" si="26"/>
        <v/>
      </c>
      <c r="AA115" s="138" t="str">
        <f t="shared" si="28"/>
        <v/>
      </c>
      <c r="AB115" s="239"/>
      <c r="AC115" s="325"/>
      <c r="AD115" s="325"/>
      <c r="AE115" s="325"/>
      <c r="AF115" s="325"/>
      <c r="AG115" s="325"/>
      <c r="AH115" s="325"/>
      <c r="AI115" s="325"/>
      <c r="AJ115" s="325"/>
      <c r="AK115" s="325"/>
      <c r="AL115" s="325"/>
      <c r="AM115" s="325"/>
      <c r="AN115" s="325"/>
      <c r="AO115" s="325"/>
      <c r="AP115" s="136"/>
      <c r="AQ115" s="136"/>
      <c r="AR115" s="136" t="str">
        <f t="shared" si="22"/>
        <v/>
      </c>
      <c r="AS115" s="136" t="str">
        <f t="shared" si="22"/>
        <v/>
      </c>
      <c r="AT115" s="5" t="str">
        <f t="shared" si="23"/>
        <v/>
      </c>
      <c r="AV115" s="27" t="str">
        <f t="shared" si="35"/>
        <v/>
      </c>
      <c r="AW115" s="27"/>
      <c r="AY115" s="122" t="str">
        <f t="shared" si="24"/>
        <v/>
      </c>
    </row>
    <row r="116" spans="2:51">
      <c r="AT116" s="3" t="str">
        <f t="shared" si="23"/>
        <v/>
      </c>
      <c r="AV116" s="28"/>
      <c r="AW116" s="27"/>
      <c r="AY116" s="122" t="str">
        <f t="shared" si="24"/>
        <v/>
      </c>
    </row>
    <row r="117" spans="2:51">
      <c r="B117" s="11" t="s">
        <v>23</v>
      </c>
      <c r="AV117" s="28"/>
      <c r="AW117" s="27"/>
    </row>
    <row r="118" spans="2:51">
      <c r="B118" s="18" t="s">
        <v>17</v>
      </c>
      <c r="C118" s="22" t="str">
        <f>+"By"&amp;D120</f>
        <v>ByIDUsr</v>
      </c>
      <c r="D118" s="23" t="str">
        <f>SUBSTITUTE(SUBSTITUTE(SUBSTITUTE(SUBSTITUTE(SUBSTITUTE(SUBSTITUTE(SUBSTITUTE(C118," ",""),".",""),"&amp;",""),"(",""),")",""),",",""),"/","")&amp;"_"&amp;TRIM(TEXT(C7,"###"))</f>
        <v>ByIDUsr_9019</v>
      </c>
      <c r="E118" s="8"/>
      <c r="S118" s="283" t="s">
        <v>906</v>
      </c>
      <c r="AV118" s="27" t="str">
        <f>+" CONSTRAINT ["&amp;D118&amp;"] PRIMARY KEY NONCLUSTERED "</f>
        <v xml:space="preserve"> CONSTRAINT [ByIDUsr_9019]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6">IFERROR(INDEX($G$16:$G$115,C120),"")</f>
        <v>IDUsr</v>
      </c>
      <c r="E120" s="10" t="s">
        <v>5</v>
      </c>
      <c r="G120" s="5" t="str">
        <f>CHAR(34)&amp;D120&amp;" LIKE "&amp;H120&amp;"%{0}%"&amp;H120&amp;CHAR(34)&amp;","</f>
        <v>"IDUsr LIKE '%{0}%'",</v>
      </c>
      <c r="H120" s="3" t="str">
        <f>IF(IFERROR(INDEX($I$16:$I$115,C120),"")="varchar","'","")</f>
        <v>'</v>
      </c>
      <c r="S120" s="282" t="str">
        <f>RIGHT(T2,1)&amp;V3&amp;MID(T2,2,1)&amp;V3&amp;MID(T2,5,1)&amp;LEFT(T2,1)&amp;C7</f>
        <v>SSSU9019</v>
      </c>
      <c r="T120" s="282" t="str">
        <f>+C8</f>
        <v>MainUsrs</v>
      </c>
      <c r="U120" s="282" t="str">
        <f>+D120</f>
        <v>IDUsr</v>
      </c>
      <c r="V120" s="239" t="str">
        <f>+C10</f>
        <v>01f518c9-c818-4e9f-85cb-6245ee1a2637</v>
      </c>
      <c r="W120" s="272"/>
      <c r="X120" s="272"/>
      <c r="AV120" s="27" t="str">
        <f t="shared" ref="AV120:AV126" si="37">+IF(D120="","","          ["&amp;D120&amp;"] "&amp;IF(TRIM(E120)="Ascending","ASC","DES")&amp;IF(D121="","",","))</f>
        <v xml:space="preserve">          [IDUsr]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87" t="s">
        <v>574</v>
      </c>
      <c r="AV122" s="27" t="str">
        <f t="shared" si="37"/>
        <v/>
      </c>
      <c r="AW122" s="28"/>
    </row>
    <row r="123" spans="2:51">
      <c r="B123" s="20" t="str">
        <f t="shared" si="38"/>
        <v/>
      </c>
      <c r="C123" s="10"/>
      <c r="D123" s="21" t="str">
        <f t="shared" si="36"/>
        <v/>
      </c>
      <c r="E123" s="10"/>
      <c r="G123" s="5"/>
      <c r="S123" s="288" t="s">
        <v>312</v>
      </c>
      <c r="T123" s="288" t="s">
        <v>393</v>
      </c>
      <c r="U123" s="288" t="s">
        <v>394</v>
      </c>
      <c r="V123" s="288" t="s">
        <v>390</v>
      </c>
      <c r="W123" s="288" t="s">
        <v>391</v>
      </c>
      <c r="X123" s="288" t="s">
        <v>392</v>
      </c>
      <c r="Y123" s="288" t="s">
        <v>400</v>
      </c>
      <c r="Z123" s="288" t="s">
        <v>436</v>
      </c>
      <c r="AV123" s="27" t="str">
        <f t="shared" si="37"/>
        <v/>
      </c>
      <c r="AW123" s="28"/>
    </row>
    <row r="124" spans="2:51">
      <c r="B124" s="20" t="str">
        <f t="shared" si="38"/>
        <v/>
      </c>
      <c r="C124" s="10"/>
      <c r="D124" s="21" t="str">
        <f t="shared" si="36"/>
        <v/>
      </c>
      <c r="E124" s="10"/>
      <c r="G124" s="5"/>
      <c r="S124" s="239" t="s">
        <v>918</v>
      </c>
      <c r="T124" s="239" t="s">
        <v>919</v>
      </c>
      <c r="U124" s="239" t="str">
        <f>+E8</f>
        <v>Main User</v>
      </c>
      <c r="V124" s="239"/>
      <c r="W124" s="239"/>
      <c r="X124" s="239" t="str">
        <f>"./"&amp;V2</f>
        <v>./SSSU9019.html</v>
      </c>
      <c r="Y124" s="239"/>
      <c r="Z124" s="282" t="str">
        <f>+S120</f>
        <v>SSSU9019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"01f518c9-c818-4e9f-85cb-6245ee1a2637",</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"MainUsrs",</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"Main User",</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"IDUsr,LGName,Pword,Description,Kright,Tkey,Active,Gright,Scopebase,Department,Division,Nickname,PictureLoc,email,telephone,otp",</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["IDUsr"],</v>
      </c>
      <c r="C137" s="122"/>
      <c r="D137" s="122"/>
      <c r="E137" s="122"/>
      <c r="F137" s="122"/>
      <c r="G137" s="122"/>
      <c r="H137" s="122"/>
      <c r="I137" s="122"/>
      <c r="J137" s="122"/>
      <c r="K137" s="122"/>
      <c r="L137" s="122"/>
      <c r="M137" s="122"/>
    </row>
    <row r="138" spans="2:49">
      <c r="B138" s="273" t="str">
        <f>REPT(" ",6)&amp;CHAR(34)&amp;"QueryStr"&amp;CHAR(34)&amp;": "&amp;G120</f>
        <v xml:space="preserve">      "QueryStr": "IDUsr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"cbb91dcb-9e28-438f-91ad-ed5ffe143802",</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c r="O150" s="14"/>
    </row>
    <row r="151" spans="2:16">
      <c r="B151" s="274"/>
      <c r="C151" s="14"/>
      <c r="D151" s="232"/>
      <c r="E151" s="14"/>
      <c r="F151" s="14"/>
      <c r="G151" s="14"/>
      <c r="H151" s="14"/>
      <c r="I151" s="14"/>
      <c r="J151" s="14"/>
      <c r="K151" s="14"/>
      <c r="L151" s="14"/>
      <c r="M151" s="14"/>
      <c r="N151" s="14"/>
      <c r="O151" s="14"/>
    </row>
    <row r="152" spans="2:16">
      <c r="B152" s="275"/>
      <c r="C152" s="275"/>
      <c r="D152" s="275"/>
      <c r="E152" s="275"/>
      <c r="F152" s="14"/>
      <c r="G152" s="276"/>
      <c r="H152" s="14"/>
      <c r="I152" s="14"/>
      <c r="J152" s="14"/>
      <c r="K152" s="14"/>
      <c r="L152" s="14"/>
      <c r="M152" s="14"/>
      <c r="N152" s="14"/>
      <c r="O152" s="14"/>
      <c r="P152" s="4"/>
    </row>
    <row r="153" spans="2:16">
      <c r="B153" s="277"/>
      <c r="C153" s="277"/>
      <c r="D153" s="278"/>
      <c r="E153" s="14"/>
      <c r="F153" s="14"/>
      <c r="G153" s="14"/>
      <c r="H153" s="14"/>
      <c r="I153" s="14"/>
      <c r="J153" s="14"/>
      <c r="K153" s="14"/>
      <c r="L153" s="14"/>
      <c r="M153" s="14"/>
      <c r="N153" s="14"/>
      <c r="O153" s="14"/>
    </row>
    <row r="154" spans="2:16">
      <c r="B154" s="277"/>
      <c r="C154" s="277"/>
      <c r="D154" s="278"/>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11:16">
      <c r="K161" s="107"/>
    </row>
    <row r="162" spans="11:16">
      <c r="K162" s="115"/>
    </row>
    <row r="163" spans="11:16">
      <c r="K163" s="107"/>
      <c r="L163" s="107"/>
    </row>
    <row r="164" spans="11:16">
      <c r="K164" s="107"/>
      <c r="L164" s="107"/>
      <c r="P164" s="107"/>
    </row>
    <row r="165" spans="11:16">
      <c r="K165" s="107"/>
      <c r="L165" s="107"/>
    </row>
    <row r="166" spans="11:16">
      <c r="K166" s="107"/>
      <c r="L166" s="107"/>
      <c r="O166" s="107"/>
    </row>
    <row r="167" spans="11:16">
      <c r="K167" s="107"/>
    </row>
    <row r="168" spans="11:16">
      <c r="K168" s="107"/>
    </row>
    <row r="169" spans="11:16">
      <c r="K169" s="107"/>
    </row>
    <row r="170" spans="11:16">
      <c r="K170" s="107"/>
      <c r="L170" s="107"/>
    </row>
    <row r="171" spans="11:16">
      <c r="K171" s="107"/>
      <c r="L171" s="107"/>
    </row>
    <row r="172" spans="11:16">
      <c r="K172" s="107"/>
      <c r="L172" s="107"/>
    </row>
    <row r="173" spans="11:16">
      <c r="K173" s="107"/>
      <c r="L173" s="107"/>
      <c r="O173" s="107"/>
    </row>
    <row r="174" spans="11:16">
      <c r="K174" s="107"/>
    </row>
  </sheetData>
  <mergeCells count="1">
    <mergeCell ref="N14:P14"/>
  </mergeCells>
  <dataValidations count="3">
    <dataValidation type="list" showInputMessage="1" showErrorMessage="1" sqref="V16:V115" xr:uid="{7C98C6D9-116C-4142-B8B1-ED50F98C3C38}">
      <formula1>aFormat</formula1>
    </dataValidation>
    <dataValidation type="list" showInputMessage="1" showErrorMessage="1" sqref="U16:U115" xr:uid="{4A6FEC9B-FD3D-4D64-BEF8-C7E874AE35E3}">
      <formula1>aDataType</formula1>
    </dataValidation>
    <dataValidation type="list" showInputMessage="1" showErrorMessage="1" sqref="W16:X115 X2 V6:V7 AL11:AL12 T7" xr:uid="{493EE717-D4EC-401B-8C79-DC2FDB2E3590}">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DB7A232B-3325-437F-82CB-79E89FECD50B}">
          <x14:formula1>
            <xm:f>Variables!$B$22:$B$25</xm:f>
          </x14:formula1>
          <xm:sqref>E6</xm:sqref>
        </x14:dataValidation>
        <x14:dataValidation type="list" allowBlank="1" showInputMessage="1" showErrorMessage="1" xr:uid="{D355C8E3-F14D-4108-BB3A-9FA1DC1ADC20}">
          <x14:formula1>
            <xm:f>Variables!$E$17:$E$22</xm:f>
          </x14:formula1>
          <xm:sqref>C6</xm:sqref>
        </x14:dataValidation>
        <x14:dataValidation type="list" allowBlank="1" showInputMessage="1" showErrorMessage="1" xr:uid="{7736E8D2-6E3B-4215-AE1E-C7FDDDCCAC27}">
          <x14:formula1>
            <xm:f>Variables!$I$28:$I$35</xm:f>
          </x14:formula1>
          <xm:sqref>T6</xm:sqref>
        </x14:dataValidation>
        <x14:dataValidation type="list" allowBlank="1" showInputMessage="1" showErrorMessage="1" xr:uid="{C622FBE9-3A37-437B-9DB0-50FD758268C8}">
          <x14:formula1>
            <xm:f>Variables!$G$6:$G$8</xm:f>
          </x14:formula1>
          <xm:sqref>T5</xm:sqref>
        </x14:dataValidation>
        <x14:dataValidation type="list" allowBlank="1" showInputMessage="1" showErrorMessage="1" xr:uid="{7C2055A6-8AEF-46FB-8709-FF6999F82A33}">
          <x14:formula1>
            <xm:f>Variables!$G$12:$G$14</xm:f>
          </x14:formula1>
          <xm:sqref>AA16:AA115</xm:sqref>
        </x14:dataValidation>
        <x14:dataValidation type="list" showInputMessage="1" showErrorMessage="1" xr:uid="{58253D4F-38A8-415A-8E92-2CD0AA046CAD}">
          <x14:formula1>
            <xm:f>Variables!$G$17:$G$22</xm:f>
          </x14:formula1>
          <xm:sqref>T8:T10</xm:sqref>
        </x14:dataValidation>
        <x14:dataValidation type="list" allowBlank="1" showInputMessage="1" showErrorMessage="1" xr:uid="{79A60295-1D76-4FAE-BDA1-79AF7971C8C3}">
          <x14:formula1>
            <xm:f>Variables!E$28:E$34</xm:f>
          </x14:formula1>
          <xm:sqref>AJ16:AJ115</xm:sqref>
        </x14:dataValidation>
        <x14:dataValidation type="list" allowBlank="1" showInputMessage="1" showErrorMessage="1" xr:uid="{7F99B286-FA66-4143-8A52-3732A1EB5C1C}">
          <x14:formula1>
            <xm:f>Variables!E$28:E$34</xm:f>
          </x14:formula1>
          <xm:sqref>AM16:AM115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C4872-0A35-4ECC-B2D7-197855854CDF}">
  <sheetPr codeName="Sheet30">
    <tabColor theme="4" tint="0.79998168889431442"/>
  </sheetPr>
  <dimension ref="B1:AY174"/>
  <sheetViews>
    <sheetView showGridLines="0" workbookViewId="0">
      <pane xSplit="6" ySplit="15" topLeftCell="L112" activePane="bottomRight" state="frozen"/>
      <selection activeCell="C12" sqref="C12"/>
      <selection pane="topRight" activeCell="C12" sqref="C12"/>
      <selection pane="bottomLeft" activeCell="C12" sqref="C12"/>
      <selection pane="bottomRight" activeCell="X124" sqref="X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7.42578125" style="134" customWidth="1"/>
    <col min="23" max="23" width="13.5703125" style="134" bestFit="1" customWidth="1"/>
    <col min="24" max="24" width="16" style="134" bestFit="1" customWidth="1"/>
    <col min="25" max="25" width="9.85546875" style="134" bestFit="1" customWidth="1"/>
    <col min="26" max="26" width="10.7109375" style="143" bestFit="1"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6"/>
      <c r="AV1" s="13" t="s">
        <v>430</v>
      </c>
    </row>
    <row r="2" spans="2:51">
      <c r="S2" s="255" t="s">
        <v>875</v>
      </c>
      <c r="T2" s="240" t="str" cm="1">
        <f t="array" ref="T2">MID(CELL("filename",A1),FIND("]",CELL("filename",A1))+1,255)</f>
        <v>CLIENTS</v>
      </c>
      <c r="U2" s="255" t="s">
        <v>874</v>
      </c>
      <c r="V2" s="253" t="str">
        <f>UPPER(RIGHT(T2,1)&amp;V3&amp;MID(T2,2,1)&amp;V3&amp;MID(T2,5,1)&amp;LEFT(T2,1)&amp;C7)&amp;".html"</f>
        <v>SXLXNC9019.html</v>
      </c>
      <c r="W2" s="255" t="s">
        <v>1071</v>
      </c>
      <c r="X2" s="245" t="s">
        <v>367</v>
      </c>
      <c r="AV2" s="27" t="str">
        <f>+"USE "&amp;TRIM(C5)</f>
        <v>USE SIBISDB</v>
      </c>
      <c r="AW2" s="27"/>
    </row>
    <row r="3" spans="2:51">
      <c r="B3" s="222" t="s">
        <v>577</v>
      </c>
      <c r="C3" s="102" t="str">
        <f>+DBTableList!G5</f>
        <v>http://wikran-w10:8081</v>
      </c>
      <c r="D3" s="222" t="s">
        <v>775</v>
      </c>
      <c r="E3" s="5" t="s">
        <v>776</v>
      </c>
      <c r="U3" s="254" t="s">
        <v>876</v>
      </c>
      <c r="V3" s="240" t="str">
        <f>IF(ISERROR(FIND("EntryBy",C11)),"","X")</f>
        <v>X</v>
      </c>
      <c r="AV3" s="27" t="s">
        <v>0</v>
      </c>
      <c r="AW3" s="27"/>
    </row>
    <row r="4" spans="2:51">
      <c r="B4" s="222" t="s">
        <v>854</v>
      </c>
      <c r="C4" s="218" t="str">
        <f>+DBTableList!G6</f>
        <v>pythonLT</v>
      </c>
      <c r="D4" s="105" t="s">
        <v>412</v>
      </c>
      <c r="E4" s="120" t="s">
        <v>407</v>
      </c>
      <c r="F4" s="3" t="str">
        <f>IF(E7=0,"(MAX)","")</f>
        <v/>
      </c>
      <c r="S4" s="256" t="s">
        <v>872</v>
      </c>
      <c r="AV4" s="28" t="s">
        <v>1</v>
      </c>
      <c r="AW4" s="27"/>
    </row>
    <row r="5" spans="2:51">
      <c r="B5" s="100" t="s">
        <v>19</v>
      </c>
      <c r="C5" s="101" t="s">
        <v>20</v>
      </c>
      <c r="D5" s="222" t="s">
        <v>408</v>
      </c>
      <c r="E5" s="5" t="str">
        <f>+DBTableList!$G$4</f>
        <v>CBS</v>
      </c>
      <c r="S5" s="241" t="s">
        <v>873</v>
      </c>
      <c r="T5" s="244" t="s">
        <v>569</v>
      </c>
      <c r="U5" s="243" t="s">
        <v>377</v>
      </c>
      <c r="V5" s="240" t="str">
        <f>CHAR(34)&amp;E8&amp;" Info"&amp;CHAR(34)</f>
        <v>"Clients Info"</v>
      </c>
      <c r="W5" s="242"/>
      <c r="X5" s="240"/>
      <c r="AV5" s="28" t="s">
        <v>1</v>
      </c>
      <c r="AW5" s="27"/>
    </row>
    <row r="6" spans="2:51">
      <c r="B6" s="250" t="s">
        <v>10</v>
      </c>
      <c r="C6" s="5" t="s">
        <v>852</v>
      </c>
      <c r="D6" s="249" t="s">
        <v>429</v>
      </c>
      <c r="E6" s="5" t="s">
        <v>424</v>
      </c>
      <c r="S6" s="242" t="s">
        <v>514</v>
      </c>
      <c r="T6" s="245" t="s">
        <v>506</v>
      </c>
      <c r="U6" s="242" t="s">
        <v>507</v>
      </c>
      <c r="V6" s="245" t="s">
        <v>367</v>
      </c>
      <c r="W6" s="242"/>
      <c r="X6" s="240"/>
      <c r="AV6" s="27" t="s">
        <v>2</v>
      </c>
      <c r="AW6" s="27"/>
    </row>
    <row r="7" spans="2:51">
      <c r="B7" s="100" t="s">
        <v>315</v>
      </c>
      <c r="C7" s="17">
        <v>9019</v>
      </c>
      <c r="D7" s="100" t="str">
        <f>"LIMIT "&amp;IF(E7=0,"(MAX)","")</f>
        <v xml:space="preserve">LIMIT </v>
      </c>
      <c r="E7" s="17">
        <v>9000</v>
      </c>
      <c r="F7" s="228"/>
      <c r="G7" s="228"/>
      <c r="S7" s="242" t="s">
        <v>508</v>
      </c>
      <c r="T7" s="245" t="s">
        <v>379</v>
      </c>
      <c r="U7" s="242" t="s">
        <v>385</v>
      </c>
      <c r="V7" s="245" t="s">
        <v>379</v>
      </c>
      <c r="W7" s="242"/>
      <c r="X7" s="240"/>
      <c r="AV7" s="27" t="s">
        <v>0</v>
      </c>
      <c r="AW7" s="27"/>
    </row>
    <row r="8" spans="2:51">
      <c r="B8" s="224" t="s">
        <v>16</v>
      </c>
      <c r="C8" s="17" t="s">
        <v>403</v>
      </c>
      <c r="D8" s="105" t="s">
        <v>410</v>
      </c>
      <c r="E8" s="120" t="s">
        <v>403</v>
      </c>
      <c r="F8" s="14"/>
      <c r="G8" s="14"/>
      <c r="S8" s="242" t="s">
        <v>509</v>
      </c>
      <c r="T8" s="245" t="s">
        <v>379</v>
      </c>
      <c r="U8" s="242" t="s">
        <v>380</v>
      </c>
      <c r="V8" s="246">
        <v>1000</v>
      </c>
      <c r="W8" s="242"/>
      <c r="X8" s="240"/>
      <c r="AV8" s="28" t="s">
        <v>1</v>
      </c>
      <c r="AW8" s="27"/>
    </row>
    <row r="9" spans="2:51">
      <c r="B9" s="105" t="s">
        <v>409</v>
      </c>
      <c r="C9" s="102" t="str">
        <f>VLOOKUP(E6,Variables!$B$22:$C$25,2,FALSE)</f>
        <v>b18e9f22-2069-4f35-9739-4d7f976335eb</v>
      </c>
      <c r="D9" s="104"/>
      <c r="E9" s="103"/>
      <c r="S9" s="242" t="s">
        <v>510</v>
      </c>
      <c r="T9" s="245" t="s">
        <v>1244</v>
      </c>
      <c r="U9" s="242" t="s">
        <v>378</v>
      </c>
      <c r="V9" s="246">
        <v>525</v>
      </c>
      <c r="W9" s="242"/>
      <c r="X9" s="240"/>
      <c r="AV9" s="27" t="s">
        <v>3</v>
      </c>
      <c r="AW9" s="27"/>
    </row>
    <row r="10" spans="2:51">
      <c r="B10" s="217" t="str">
        <f>HYPERLINK("[http://wikran-w10:8080/Gentoken.html]","TBTOKEN")</f>
        <v>TBTOKEN</v>
      </c>
      <c r="C10" s="63" t="s">
        <v>548</v>
      </c>
      <c r="D10" s="64"/>
      <c r="E10" s="65"/>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http://wikran-w10:8081/pythonLT/A75FCC75-8FB6-4460-B3F6-7070B4437930/7f47ed54-a6fc-4d92-99e8-ae7ee6340232/all</v>
      </c>
      <c r="D12" s="64"/>
      <c r="E12" s="64"/>
      <c r="F12" s="64"/>
      <c r="G12" s="64"/>
      <c r="H12" s="64"/>
      <c r="I12" s="64"/>
      <c r="J12" s="64"/>
      <c r="K12" s="64"/>
      <c r="L12" s="65"/>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43</v>
      </c>
      <c r="D14" s="3" t="s">
        <v>496</v>
      </c>
      <c r="E14" s="3">
        <f>+C14+15</f>
        <v>58</v>
      </c>
      <c r="G14" s="16" t="s">
        <v>22</v>
      </c>
      <c r="H14" s="131" t="str">
        <f>IF(IFERROR(FIND("varchar",E22),0)&gt;0,IF(D22&gt;8000,"max",D22),"")</f>
        <v/>
      </c>
      <c r="M14" s="107" t="s">
        <v>369</v>
      </c>
      <c r="N14" s="489" t="s">
        <v>305</v>
      </c>
      <c r="O14" s="490"/>
      <c r="P14" s="491"/>
      <c r="S14" s="257" t="s">
        <v>871</v>
      </c>
      <c r="T14" s="149" t="s">
        <v>893</v>
      </c>
      <c r="AJ14" s="347">
        <f>COUNTBLANK(AJ16:AJ115)</f>
        <v>99</v>
      </c>
      <c r="AK14" s="30" t="s">
        <v>1044</v>
      </c>
      <c r="AM14" s="347">
        <f>COUNTBLANK(AM16:AM115)</f>
        <v>99</v>
      </c>
      <c r="AN14" s="30" t="s">
        <v>1036</v>
      </c>
      <c r="AO14" s="347">
        <f>+AM14+AJ14</f>
        <v>198</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[dbo].[Clients](</v>
      </c>
      <c r="AW15" s="27"/>
      <c r="AY15" s="122" t="str">
        <f>+"CREATE TABLE "&amp;TRIM(C8)&amp;" ("</f>
        <v>CREATE TABLE Clients (</v>
      </c>
    </row>
    <row r="16" spans="2:51" ht="12.75">
      <c r="B16" s="20">
        <f>IF(C16=0,"",1)</f>
        <v>1</v>
      </c>
      <c r="C16" s="5" t="s">
        <v>387</v>
      </c>
      <c r="D16" s="5">
        <v>12</v>
      </c>
      <c r="E16" s="5" t="s">
        <v>11</v>
      </c>
      <c r="G16" s="5" t="str">
        <f t="shared" ref="G16:G32" si="0">SUBSTITUTE(SUBSTITUTE(SUBSTITUTE(SUBSTITUTE(SUBSTITUTE(SUBSTITUTE(SUBSTITUTE(SUBSTITUTE(SUBSTITUTE(C16," ",""),".",""),"#","No"),"%",""),"(",""),"*",""),"-",""),"/",""),")","")</f>
        <v>Client</v>
      </c>
      <c r="H16" s="117">
        <f t="shared" ref="H16:H21" si="1">IF(IFERROR(FIND("varchar",E16),0)&gt;0,IF(D16&gt;8000,"max",D16),"")</f>
        <v>12</v>
      </c>
      <c r="I16" s="5" t="str">
        <f t="shared" ref="I16:I45" si="2">IF(E16=0,"",+E16)</f>
        <v>varchar</v>
      </c>
      <c r="J16" s="5" t="str">
        <f t="shared" ref="J16:J45" si="3">IF(C16=0,"",(IF(ISERROR(VLOOKUP(G16,$D$120:$D$127,1,FALSE)),""," NOT")&amp;" NULL"))</f>
        <v xml:space="preserve"> NOT NULL</v>
      </c>
      <c r="K16" s="138" t="s">
        <v>345</v>
      </c>
      <c r="L16" s="5"/>
      <c r="M16" s="75">
        <v>1</v>
      </c>
      <c r="N16" s="77"/>
      <c r="O16" s="26"/>
      <c r="P16" s="26"/>
      <c r="Q16" s="118">
        <f t="shared" ref="Q16:Q45" si="4">IF(M16=0,"",ROW())</f>
        <v>16</v>
      </c>
      <c r="R16" s="153"/>
      <c r="S16" s="138" t="s">
        <v>345</v>
      </c>
      <c r="T16" s="148"/>
      <c r="U16" s="146"/>
      <c r="V16" s="146"/>
      <c r="W16" s="139" t="s">
        <v>379</v>
      </c>
      <c r="X16" s="139" t="s">
        <v>367</v>
      </c>
      <c r="Y16" s="148">
        <v>100</v>
      </c>
      <c r="Z16" s="138" t="str">
        <f>IF(M16&lt;9000,"","false")</f>
        <v/>
      </c>
      <c r="AA16" s="138" t="str">
        <f>IF($C$120=B16,"asc","")</f>
        <v>asc</v>
      </c>
      <c r="AB16" s="239"/>
      <c r="AC16" s="325"/>
      <c r="AD16" s="325"/>
      <c r="AE16" s="325"/>
      <c r="AF16" s="325"/>
      <c r="AG16" s="325"/>
      <c r="AH16" s="325"/>
      <c r="AI16" s="325"/>
      <c r="AJ16" s="325"/>
      <c r="AK16" s="325"/>
      <c r="AL16" s="325"/>
      <c r="AM16" s="325" t="s">
        <v>1028</v>
      </c>
      <c r="AN16" s="325"/>
      <c r="AO16" s="325"/>
      <c r="AP16" s="136"/>
      <c r="AQ16" s="136"/>
      <c r="AR16" s="136" t="str">
        <f t="shared" ref="AR16:AS47" si="5">IF(O16=0,"",ROW())</f>
        <v/>
      </c>
      <c r="AS16" s="136" t="str">
        <f t="shared" si="5"/>
        <v/>
      </c>
      <c r="AT16" s="5" t="str">
        <f t="shared" ref="AT16:AT47" si="6">IF(C16="","",C16&amp;IF(B17="","",","))</f>
        <v>Client,</v>
      </c>
      <c r="AV16" s="27" t="str">
        <f t="shared" ref="AV16:AV35" si="7">IF(G16="","",+"          ["&amp;TRIM(G16)&amp;"] ["&amp;TRIM(I16)&amp;"]"&amp;IF(H16="","","("&amp;H16&amp;")")&amp;" "&amp;TRIM(J16)&amp;IF(G17="","",","))</f>
        <v xml:space="preserve">          [Client] [varchar](12) NOT NULL,</v>
      </c>
      <c r="AW16" s="27"/>
      <c r="AY16" s="122" t="str">
        <f t="shared" ref="AY16:AY79" si="8">IF(G16="",IF(OR(AY15=");",AY15=""),"",");"),+"          "&amp;TRIM(G16)&amp;" "&amp;UPPER(TRIM(I16))&amp;IF(H16="",""," ("&amp;H16&amp;")")&amp;" "&amp;IF(TRIM(J16)="NOT NULL","PRIMARY KEY UNIQUE NOT NULL",TRIM(J16))&amp;IF(G17="","",","))</f>
        <v xml:space="preserve">          Client VARCHAR (12) PRIMARY KEY UNIQUE NOT NULL,</v>
      </c>
    </row>
    <row r="17" spans="2:51" ht="12.75">
      <c r="B17" s="20">
        <f>IF(C17=0,"",+B16+1)</f>
        <v>2</v>
      </c>
      <c r="C17" s="5" t="s">
        <v>526</v>
      </c>
      <c r="D17" s="5">
        <v>8</v>
      </c>
      <c r="E17" s="5" t="s">
        <v>11</v>
      </c>
      <c r="G17" s="5" t="str">
        <f t="shared" si="0"/>
        <v>CrossRef</v>
      </c>
      <c r="H17" s="117">
        <f t="shared" si="1"/>
        <v>8</v>
      </c>
      <c r="I17" s="5" t="str">
        <f t="shared" si="2"/>
        <v>varchar</v>
      </c>
      <c r="J17" s="5" t="str">
        <f t="shared" si="3"/>
        <v xml:space="preserve"> NULL</v>
      </c>
      <c r="K17" s="138" t="s">
        <v>526</v>
      </c>
      <c r="L17" s="5"/>
      <c r="M17" s="75">
        <v>9001</v>
      </c>
      <c r="N17" s="77"/>
      <c r="O17" s="26"/>
      <c r="P17" s="26"/>
      <c r="Q17" s="118">
        <f t="shared" si="4"/>
        <v>17</v>
      </c>
      <c r="R17" s="153"/>
      <c r="S17" s="138" t="s">
        <v>526</v>
      </c>
      <c r="T17" s="148"/>
      <c r="U17" s="146"/>
      <c r="V17" s="146"/>
      <c r="W17" s="139"/>
      <c r="X17" s="139"/>
      <c r="Y17" s="148"/>
      <c r="Z17" s="138" t="str">
        <f t="shared" ref="Z17:Z80" si="9">IF(M17&lt;9000,"","false")</f>
        <v>false</v>
      </c>
      <c r="AA17" s="138" t="str">
        <f>IF($C$120=B17,"asc","")</f>
        <v/>
      </c>
      <c r="AB17" s="239"/>
      <c r="AC17" s="325"/>
      <c r="AD17" s="325"/>
      <c r="AE17" s="325"/>
      <c r="AF17" s="325"/>
      <c r="AG17" s="325"/>
      <c r="AH17" s="325"/>
      <c r="AI17" s="325"/>
      <c r="AJ17" s="325"/>
      <c r="AK17" s="325"/>
      <c r="AL17" s="325"/>
      <c r="AM17" s="325"/>
      <c r="AN17" s="325"/>
      <c r="AO17" s="325"/>
      <c r="AP17" s="136"/>
      <c r="AQ17" s="136"/>
      <c r="AR17" s="136" t="str">
        <f t="shared" si="5"/>
        <v/>
      </c>
      <c r="AS17" s="136" t="str">
        <f t="shared" si="5"/>
        <v/>
      </c>
      <c r="AT17" s="5" t="str">
        <f t="shared" si="6"/>
        <v>CrossRef,</v>
      </c>
      <c r="AV17" s="27" t="str">
        <f t="shared" si="7"/>
        <v xml:space="preserve">          [CrossRef] [varchar](8) NULL,</v>
      </c>
      <c r="AW17" s="27"/>
      <c r="AY17" s="122" t="str">
        <f t="shared" si="8"/>
        <v xml:space="preserve">          CrossRef VARCHAR (8) NULL,</v>
      </c>
    </row>
    <row r="18" spans="2:51" ht="12.75">
      <c r="B18" s="20">
        <f t="shared" ref="B18:B81" si="10">IF(C18=0,"",+B17+1)</f>
        <v>3</v>
      </c>
      <c r="C18" s="5" t="s">
        <v>443</v>
      </c>
      <c r="D18" s="5">
        <v>100</v>
      </c>
      <c r="E18" s="5" t="s">
        <v>11</v>
      </c>
      <c r="G18" s="5" t="str">
        <f t="shared" si="0"/>
        <v>Name</v>
      </c>
      <c r="H18" s="117">
        <f t="shared" si="1"/>
        <v>100</v>
      </c>
      <c r="I18" s="5" t="str">
        <f t="shared" si="2"/>
        <v>varchar</v>
      </c>
      <c r="J18" s="5" t="str">
        <f t="shared" si="3"/>
        <v xml:space="preserve"> NULL</v>
      </c>
      <c r="K18" s="138" t="s">
        <v>443</v>
      </c>
      <c r="L18" s="5"/>
      <c r="M18" s="75">
        <v>2</v>
      </c>
      <c r="N18" s="77"/>
      <c r="O18" s="26"/>
      <c r="P18" s="26"/>
      <c r="Q18" s="118">
        <f t="shared" si="4"/>
        <v>18</v>
      </c>
      <c r="R18" s="153"/>
      <c r="S18" s="138" t="s">
        <v>443</v>
      </c>
      <c r="T18" s="148"/>
      <c r="U18" s="146"/>
      <c r="V18" s="146"/>
      <c r="W18" s="139" t="s">
        <v>379</v>
      </c>
      <c r="X18" s="139"/>
      <c r="Y18" s="148"/>
      <c r="Z18" s="138" t="str">
        <f t="shared" si="9"/>
        <v/>
      </c>
      <c r="AA18" s="138" t="str">
        <f t="shared" ref="AA18:AA81" si="11">IF($C$120=B18,"asc","")</f>
        <v/>
      </c>
      <c r="AB18" s="239"/>
      <c r="AC18" s="325"/>
      <c r="AD18" s="325"/>
      <c r="AE18" s="325"/>
      <c r="AF18" s="325"/>
      <c r="AG18" s="325"/>
      <c r="AH18" s="325"/>
      <c r="AI18" s="325"/>
      <c r="AJ18" s="325"/>
      <c r="AK18" s="325"/>
      <c r="AL18" s="325"/>
      <c r="AM18" s="325"/>
      <c r="AN18" s="325"/>
      <c r="AO18" s="325"/>
      <c r="AP18" s="136"/>
      <c r="AQ18" s="136"/>
      <c r="AR18" s="136" t="str">
        <f t="shared" si="5"/>
        <v/>
      </c>
      <c r="AS18" s="136" t="str">
        <f t="shared" si="5"/>
        <v/>
      </c>
      <c r="AT18" s="5" t="str">
        <f t="shared" si="6"/>
        <v>Name,</v>
      </c>
      <c r="AV18" s="27" t="str">
        <f t="shared" si="7"/>
        <v xml:space="preserve">          [Name] [varchar](100) NULL,</v>
      </c>
      <c r="AW18" s="27"/>
      <c r="AY18" s="122" t="str">
        <f t="shared" si="8"/>
        <v xml:space="preserve">          Name VARCHAR (100) NULL,</v>
      </c>
    </row>
    <row r="19" spans="2:51" ht="12.75">
      <c r="B19" s="20">
        <f t="shared" si="10"/>
        <v>4</v>
      </c>
      <c r="C19" s="5" t="s">
        <v>316</v>
      </c>
      <c r="D19" s="5">
        <v>35</v>
      </c>
      <c r="E19" s="5" t="s">
        <v>11</v>
      </c>
      <c r="G19" s="5" t="str">
        <f t="shared" si="0"/>
        <v>Address1</v>
      </c>
      <c r="H19" s="117">
        <f t="shared" si="1"/>
        <v>35</v>
      </c>
      <c r="I19" s="5" t="str">
        <f t="shared" si="2"/>
        <v>varchar</v>
      </c>
      <c r="J19" s="5" t="str">
        <f t="shared" si="3"/>
        <v xml:space="preserve"> NULL</v>
      </c>
      <c r="K19" s="138" t="s">
        <v>319</v>
      </c>
      <c r="L19" s="5"/>
      <c r="M19" s="75">
        <v>9001</v>
      </c>
      <c r="N19" s="77"/>
      <c r="O19" s="26"/>
      <c r="P19" s="26"/>
      <c r="Q19" s="118">
        <f t="shared" si="4"/>
        <v>19</v>
      </c>
      <c r="R19" s="153"/>
      <c r="S19" s="138" t="s">
        <v>319</v>
      </c>
      <c r="T19" s="148"/>
      <c r="U19" s="146"/>
      <c r="V19" s="146"/>
      <c r="W19" s="139"/>
      <c r="X19" s="139"/>
      <c r="Y19" s="148"/>
      <c r="Z19" s="138" t="str">
        <f t="shared" si="9"/>
        <v>false</v>
      </c>
      <c r="AA19" s="138" t="str">
        <f t="shared" si="11"/>
        <v/>
      </c>
      <c r="AB19" s="239"/>
      <c r="AC19" s="325"/>
      <c r="AD19" s="325"/>
      <c r="AE19" s="325"/>
      <c r="AF19" s="325"/>
      <c r="AG19" s="325"/>
      <c r="AH19" s="325"/>
      <c r="AI19" s="325"/>
      <c r="AJ19" s="325"/>
      <c r="AK19" s="325"/>
      <c r="AL19" s="325"/>
      <c r="AM19" s="325"/>
      <c r="AN19" s="325"/>
      <c r="AO19" s="325"/>
      <c r="AP19" s="136"/>
      <c r="AQ19" s="136"/>
      <c r="AR19" s="136" t="str">
        <f t="shared" si="5"/>
        <v/>
      </c>
      <c r="AS19" s="136" t="str">
        <f t="shared" si="5"/>
        <v/>
      </c>
      <c r="AT19" s="5" t="str">
        <f t="shared" si="6"/>
        <v>Address1,</v>
      </c>
      <c r="AV19" s="27" t="str">
        <f t="shared" si="7"/>
        <v xml:space="preserve">          [Address1] [varchar](35) NULL,</v>
      </c>
      <c r="AW19" s="27"/>
      <c r="AY19" s="122" t="str">
        <f t="shared" si="8"/>
        <v xml:space="preserve">          Address1 VARCHAR (35) NULL,</v>
      </c>
    </row>
    <row r="20" spans="2:51" ht="12.75">
      <c r="B20" s="20">
        <f t="shared" si="10"/>
        <v>5</v>
      </c>
      <c r="C20" s="5" t="s">
        <v>317</v>
      </c>
      <c r="D20" s="5">
        <v>35</v>
      </c>
      <c r="E20" s="5" t="s">
        <v>11</v>
      </c>
      <c r="G20" s="5" t="str">
        <f t="shared" si="0"/>
        <v>Address2</v>
      </c>
      <c r="H20" s="117">
        <f t="shared" si="1"/>
        <v>35</v>
      </c>
      <c r="I20" s="5" t="str">
        <f t="shared" si="2"/>
        <v>varchar</v>
      </c>
      <c r="J20" s="5" t="str">
        <f t="shared" si="3"/>
        <v xml:space="preserve"> NULL</v>
      </c>
      <c r="K20" s="138" t="s">
        <v>320</v>
      </c>
      <c r="L20" s="5"/>
      <c r="M20" s="75">
        <v>9001</v>
      </c>
      <c r="N20" s="77"/>
      <c r="O20" s="26"/>
      <c r="P20" s="26"/>
      <c r="Q20" s="118">
        <f t="shared" si="4"/>
        <v>20</v>
      </c>
      <c r="R20" s="153"/>
      <c r="S20" s="138" t="s">
        <v>320</v>
      </c>
      <c r="T20" s="148"/>
      <c r="U20" s="146"/>
      <c r="V20" s="146"/>
      <c r="W20" s="139"/>
      <c r="X20" s="139"/>
      <c r="Y20" s="148"/>
      <c r="Z20" s="138" t="str">
        <f t="shared" si="9"/>
        <v>false</v>
      </c>
      <c r="AA20" s="138" t="str">
        <f t="shared" si="11"/>
        <v/>
      </c>
      <c r="AB20" s="239"/>
      <c r="AC20" s="325"/>
      <c r="AD20" s="325"/>
      <c r="AE20" s="325"/>
      <c r="AF20" s="325"/>
      <c r="AG20" s="325"/>
      <c r="AH20" s="325"/>
      <c r="AI20" s="325"/>
      <c r="AJ20" s="325"/>
      <c r="AK20" s="325"/>
      <c r="AL20" s="325"/>
      <c r="AM20" s="325"/>
      <c r="AN20" s="325"/>
      <c r="AO20" s="325"/>
      <c r="AP20" s="136"/>
      <c r="AQ20" s="136"/>
      <c r="AR20" s="136" t="str">
        <f t="shared" si="5"/>
        <v/>
      </c>
      <c r="AS20" s="136" t="str">
        <f t="shared" si="5"/>
        <v/>
      </c>
      <c r="AT20" s="5" t="str">
        <f t="shared" si="6"/>
        <v>Address2,</v>
      </c>
      <c r="AV20" s="27" t="str">
        <f t="shared" si="7"/>
        <v xml:space="preserve">          [Address2] [varchar](35) NULL,</v>
      </c>
      <c r="AW20" s="27"/>
      <c r="AY20" s="122" t="str">
        <f t="shared" si="8"/>
        <v xml:space="preserve">          Address2 VARCHAR (35) NULL,</v>
      </c>
    </row>
    <row r="21" spans="2:51" ht="12.75">
      <c r="B21" s="20">
        <f t="shared" si="10"/>
        <v>6</v>
      </c>
      <c r="C21" s="5" t="s">
        <v>444</v>
      </c>
      <c r="D21" s="5">
        <v>35</v>
      </c>
      <c r="E21" s="5" t="s">
        <v>11</v>
      </c>
      <c r="G21" s="5" t="str">
        <f t="shared" si="0"/>
        <v>Address3</v>
      </c>
      <c r="H21" s="117">
        <f t="shared" si="1"/>
        <v>35</v>
      </c>
      <c r="I21" s="5" t="str">
        <f t="shared" si="2"/>
        <v>varchar</v>
      </c>
      <c r="J21" s="5" t="str">
        <f t="shared" si="3"/>
        <v xml:space="preserve"> NULL</v>
      </c>
      <c r="K21" s="138" t="s">
        <v>445</v>
      </c>
      <c r="L21" s="5"/>
      <c r="M21" s="75">
        <v>9001</v>
      </c>
      <c r="N21" s="77"/>
      <c r="O21" s="26"/>
      <c r="P21" s="26"/>
      <c r="Q21" s="118">
        <f t="shared" si="4"/>
        <v>21</v>
      </c>
      <c r="R21" s="153"/>
      <c r="S21" s="138" t="s">
        <v>445</v>
      </c>
      <c r="T21" s="148"/>
      <c r="U21" s="146"/>
      <c r="V21" s="146"/>
      <c r="W21" s="139"/>
      <c r="X21" s="139"/>
      <c r="Y21" s="148"/>
      <c r="Z21" s="138" t="str">
        <f t="shared" si="9"/>
        <v>false</v>
      </c>
      <c r="AA21" s="138" t="str">
        <f t="shared" si="11"/>
        <v/>
      </c>
      <c r="AB21" s="239"/>
      <c r="AC21" s="325"/>
      <c r="AD21" s="325"/>
      <c r="AE21" s="325"/>
      <c r="AF21" s="325"/>
      <c r="AG21" s="325"/>
      <c r="AH21" s="325"/>
      <c r="AI21" s="325"/>
      <c r="AJ21" s="325"/>
      <c r="AK21" s="325"/>
      <c r="AL21" s="325"/>
      <c r="AM21" s="325"/>
      <c r="AN21" s="325"/>
      <c r="AO21" s="325"/>
      <c r="AP21" s="136"/>
      <c r="AQ21" s="136"/>
      <c r="AR21" s="136" t="str">
        <f t="shared" si="5"/>
        <v/>
      </c>
      <c r="AS21" s="136" t="str">
        <f t="shared" si="5"/>
        <v/>
      </c>
      <c r="AT21" s="5" t="str">
        <f t="shared" si="6"/>
        <v>Address3,</v>
      </c>
      <c r="AV21" s="27" t="str">
        <f t="shared" si="7"/>
        <v xml:space="preserve">          [Address3] [varchar](35) NULL,</v>
      </c>
      <c r="AW21" s="27"/>
      <c r="AY21" s="122" t="str">
        <f t="shared" si="8"/>
        <v xml:space="preserve">          Address3 VARCHAR (35) NULL,</v>
      </c>
    </row>
    <row r="22" spans="2:51" ht="12.75">
      <c r="B22" s="20">
        <f t="shared" si="10"/>
        <v>7</v>
      </c>
      <c r="C22" s="5" t="s">
        <v>456</v>
      </c>
      <c r="D22" s="5">
        <v>6</v>
      </c>
      <c r="E22" s="5" t="s">
        <v>524</v>
      </c>
      <c r="G22" s="5" t="str">
        <f t="shared" si="0"/>
        <v>PostCode</v>
      </c>
      <c r="H22" s="117" t="str">
        <f>IF(IFERROR(FIND("varchar",E22),0)&gt;0,IF(D22&gt;8000,"max",D22),"")</f>
        <v/>
      </c>
      <c r="I22" s="5" t="str">
        <f t="shared" si="2"/>
        <v>boolean</v>
      </c>
      <c r="J22" s="5" t="str">
        <f t="shared" si="3"/>
        <v xml:space="preserve"> NULL</v>
      </c>
      <c r="K22" s="138" t="s">
        <v>321</v>
      </c>
      <c r="L22" s="5"/>
      <c r="M22" s="75">
        <v>9001</v>
      </c>
      <c r="N22" s="77"/>
      <c r="O22" s="26"/>
      <c r="P22" s="26"/>
      <c r="Q22" s="118">
        <f t="shared" si="4"/>
        <v>22</v>
      </c>
      <c r="R22" s="153"/>
      <c r="S22" s="138" t="s">
        <v>321</v>
      </c>
      <c r="T22" s="148"/>
      <c r="U22" s="146"/>
      <c r="V22" s="146"/>
      <c r="W22" s="139"/>
      <c r="X22" s="139"/>
      <c r="Y22" s="148"/>
      <c r="Z22" s="138" t="str">
        <f t="shared" si="9"/>
        <v>false</v>
      </c>
      <c r="AA22" s="138" t="str">
        <f t="shared" si="11"/>
        <v/>
      </c>
      <c r="AB22" s="239"/>
      <c r="AC22" s="325"/>
      <c r="AD22" s="325"/>
      <c r="AE22" s="325"/>
      <c r="AF22" s="325"/>
      <c r="AG22" s="325"/>
      <c r="AH22" s="325"/>
      <c r="AI22" s="325"/>
      <c r="AJ22" s="325"/>
      <c r="AK22" s="325"/>
      <c r="AL22" s="325"/>
      <c r="AM22" s="325"/>
      <c r="AN22" s="325"/>
      <c r="AO22" s="325"/>
      <c r="AP22" s="136"/>
      <c r="AQ22" s="136"/>
      <c r="AR22" s="136" t="str">
        <f t="shared" si="5"/>
        <v/>
      </c>
      <c r="AS22" s="136" t="str">
        <f t="shared" si="5"/>
        <v/>
      </c>
      <c r="AT22" s="5" t="str">
        <f t="shared" si="6"/>
        <v>PostCode,</v>
      </c>
      <c r="AV22" s="27" t="str">
        <f t="shared" si="7"/>
        <v xml:space="preserve">          [PostCode] [boolean] NULL,</v>
      </c>
      <c r="AW22" s="27"/>
      <c r="AY22" s="122" t="str">
        <f t="shared" si="8"/>
        <v xml:space="preserve">          PostCode BOOLEAN NULL,</v>
      </c>
    </row>
    <row r="23" spans="2:51" ht="12.75">
      <c r="B23" s="20">
        <f t="shared" si="10"/>
        <v>8</v>
      </c>
      <c r="C23" s="5" t="s">
        <v>318</v>
      </c>
      <c r="D23" s="5">
        <v>30</v>
      </c>
      <c r="E23" s="5" t="s">
        <v>11</v>
      </c>
      <c r="G23" s="5" t="str">
        <f t="shared" si="0"/>
        <v>City</v>
      </c>
      <c r="H23" s="117">
        <f t="shared" ref="H23:H86" si="12">IF(IFERROR(FIND("varchar",E23),0)&gt;0,IF(D23&gt;8000,"max",D23),"")</f>
        <v>30</v>
      </c>
      <c r="I23" s="5" t="str">
        <f t="shared" si="2"/>
        <v>varchar</v>
      </c>
      <c r="J23" s="5" t="str">
        <f t="shared" si="3"/>
        <v xml:space="preserve"> NULL</v>
      </c>
      <c r="K23" s="138" t="s">
        <v>318</v>
      </c>
      <c r="L23" s="5"/>
      <c r="M23" s="75">
        <v>9001</v>
      </c>
      <c r="N23" s="77"/>
      <c r="O23" s="26"/>
      <c r="P23" s="26"/>
      <c r="Q23" s="118">
        <f t="shared" si="4"/>
        <v>23</v>
      </c>
      <c r="R23" s="153"/>
      <c r="S23" s="138" t="s">
        <v>318</v>
      </c>
      <c r="T23" s="148"/>
      <c r="U23" s="146"/>
      <c r="V23" s="146"/>
      <c r="W23" s="139"/>
      <c r="X23" s="139"/>
      <c r="Y23" s="148"/>
      <c r="Z23" s="138" t="str">
        <f t="shared" si="9"/>
        <v>false</v>
      </c>
      <c r="AA23" s="138" t="str">
        <f t="shared" si="11"/>
        <v/>
      </c>
      <c r="AB23" s="239"/>
      <c r="AC23" s="325"/>
      <c r="AD23" s="325"/>
      <c r="AE23" s="325"/>
      <c r="AF23" s="325"/>
      <c r="AG23" s="325"/>
      <c r="AH23" s="325"/>
      <c r="AI23" s="325"/>
      <c r="AJ23" s="325"/>
      <c r="AK23" s="325"/>
      <c r="AL23" s="325"/>
      <c r="AM23" s="325"/>
      <c r="AN23" s="325"/>
      <c r="AO23" s="325"/>
      <c r="AP23" s="136"/>
      <c r="AQ23" s="136"/>
      <c r="AR23" s="136" t="str">
        <f t="shared" si="5"/>
        <v/>
      </c>
      <c r="AS23" s="136" t="str">
        <f t="shared" si="5"/>
        <v/>
      </c>
      <c r="AT23" s="5" t="str">
        <f t="shared" si="6"/>
        <v>City,</v>
      </c>
      <c r="AV23" s="27" t="str">
        <f t="shared" si="7"/>
        <v xml:space="preserve">          [City] [varchar](30) NULL,</v>
      </c>
      <c r="AW23" s="27"/>
      <c r="AY23" s="122" t="str">
        <f t="shared" si="8"/>
        <v xml:space="preserve">          City VARCHAR (30) NULL,</v>
      </c>
    </row>
    <row r="24" spans="2:51" ht="12.75">
      <c r="B24" s="20">
        <f t="shared" si="10"/>
        <v>9</v>
      </c>
      <c r="C24" s="5" t="s">
        <v>527</v>
      </c>
      <c r="D24" s="5">
        <v>8</v>
      </c>
      <c r="E24" s="5" t="s">
        <v>11</v>
      </c>
      <c r="G24" s="5" t="str">
        <f t="shared" si="0"/>
        <v>Area</v>
      </c>
      <c r="H24" s="117">
        <f t="shared" si="12"/>
        <v>8</v>
      </c>
      <c r="I24" s="5" t="str">
        <f t="shared" si="2"/>
        <v>varchar</v>
      </c>
      <c r="J24" s="5" t="str">
        <f t="shared" si="3"/>
        <v xml:space="preserve"> NULL</v>
      </c>
      <c r="K24" s="138" t="s">
        <v>549</v>
      </c>
      <c r="L24" s="5"/>
      <c r="M24" s="75">
        <v>9001</v>
      </c>
      <c r="N24" s="77"/>
      <c r="O24" s="26"/>
      <c r="P24" s="26"/>
      <c r="Q24" s="118">
        <f t="shared" si="4"/>
        <v>24</v>
      </c>
      <c r="R24" s="153"/>
      <c r="S24" s="138" t="s">
        <v>549</v>
      </c>
      <c r="T24" s="148"/>
      <c r="U24" s="146"/>
      <c r="V24" s="146"/>
      <c r="W24" s="139"/>
      <c r="X24" s="139"/>
      <c r="Y24" s="148"/>
      <c r="Z24" s="138" t="str">
        <f t="shared" si="9"/>
        <v>false</v>
      </c>
      <c r="AA24" s="138" t="str">
        <f t="shared" si="11"/>
        <v/>
      </c>
      <c r="AB24" s="239"/>
      <c r="AC24" s="325"/>
      <c r="AD24" s="325"/>
      <c r="AE24" s="325"/>
      <c r="AF24" s="325"/>
      <c r="AG24" s="325"/>
      <c r="AH24" s="325"/>
      <c r="AI24" s="325"/>
      <c r="AJ24" s="325"/>
      <c r="AK24" s="325"/>
      <c r="AL24" s="325"/>
      <c r="AM24" s="325"/>
      <c r="AN24" s="325"/>
      <c r="AO24" s="325"/>
      <c r="AP24" s="136"/>
      <c r="AQ24" s="136"/>
      <c r="AR24" s="136" t="str">
        <f t="shared" si="5"/>
        <v/>
      </c>
      <c r="AS24" s="136" t="str">
        <f t="shared" si="5"/>
        <v/>
      </c>
      <c r="AT24" s="5" t="str">
        <f t="shared" si="6"/>
        <v>Area,</v>
      </c>
      <c r="AV24" s="27" t="str">
        <f t="shared" si="7"/>
        <v xml:space="preserve">          [Area] [varchar](8) NULL,</v>
      </c>
      <c r="AW24" s="27"/>
      <c r="AY24" s="122" t="str">
        <f t="shared" si="8"/>
        <v xml:space="preserve">          Area VARCHAR (8) NULL,</v>
      </c>
    </row>
    <row r="25" spans="2:51" ht="12.75">
      <c r="B25" s="20">
        <f t="shared" si="10"/>
        <v>10</v>
      </c>
      <c r="C25" s="5" t="s">
        <v>528</v>
      </c>
      <c r="D25" s="5">
        <v>8</v>
      </c>
      <c r="E25" s="5" t="s">
        <v>11</v>
      </c>
      <c r="G25" s="5" t="str">
        <f t="shared" si="0"/>
        <v>Industry</v>
      </c>
      <c r="H25" s="117">
        <f t="shared" si="12"/>
        <v>8</v>
      </c>
      <c r="I25" s="5" t="str">
        <f t="shared" si="2"/>
        <v>varchar</v>
      </c>
      <c r="J25" s="5" t="str">
        <f t="shared" si="3"/>
        <v xml:space="preserve"> NULL</v>
      </c>
      <c r="K25" s="138" t="s">
        <v>528</v>
      </c>
      <c r="L25" s="5"/>
      <c r="M25" s="75">
        <v>9001</v>
      </c>
      <c r="N25" s="77"/>
      <c r="O25" s="26"/>
      <c r="P25" s="26"/>
      <c r="Q25" s="118">
        <f t="shared" si="4"/>
        <v>25</v>
      </c>
      <c r="R25" s="153"/>
      <c r="S25" s="138" t="s">
        <v>528</v>
      </c>
      <c r="T25" s="148"/>
      <c r="U25" s="146"/>
      <c r="V25" s="146"/>
      <c r="W25" s="139"/>
      <c r="X25" s="139"/>
      <c r="Y25" s="148"/>
      <c r="Z25" s="138" t="str">
        <f t="shared" si="9"/>
        <v>false</v>
      </c>
      <c r="AA25" s="138" t="str">
        <f t="shared" si="11"/>
        <v/>
      </c>
      <c r="AB25" s="239"/>
      <c r="AC25" s="325"/>
      <c r="AD25" s="325"/>
      <c r="AE25" s="325"/>
      <c r="AF25" s="325"/>
      <c r="AG25" s="325"/>
      <c r="AH25" s="325"/>
      <c r="AI25" s="325"/>
      <c r="AJ25" s="325"/>
      <c r="AK25" s="325"/>
      <c r="AL25" s="325"/>
      <c r="AM25" s="325"/>
      <c r="AN25" s="325"/>
      <c r="AO25" s="325"/>
      <c r="AP25" s="136"/>
      <c r="AQ25" s="136"/>
      <c r="AR25" s="136" t="str">
        <f t="shared" si="5"/>
        <v/>
      </c>
      <c r="AS25" s="136" t="str">
        <f t="shared" si="5"/>
        <v/>
      </c>
      <c r="AT25" s="5" t="str">
        <f t="shared" si="6"/>
        <v>Industry,</v>
      </c>
      <c r="AV25" s="27" t="str">
        <f t="shared" si="7"/>
        <v xml:space="preserve">          [Industry] [varchar](8) NULL,</v>
      </c>
      <c r="AW25" s="27"/>
      <c r="AY25" s="122" t="str">
        <f t="shared" si="8"/>
        <v xml:space="preserve">          Industry VARCHAR (8) NULL,</v>
      </c>
    </row>
    <row r="26" spans="2:51" ht="12.75">
      <c r="B26" s="20">
        <f t="shared" si="10"/>
        <v>11</v>
      </c>
      <c r="C26" s="5" t="s">
        <v>446</v>
      </c>
      <c r="D26" s="5">
        <v>15</v>
      </c>
      <c r="E26" s="5" t="s">
        <v>11</v>
      </c>
      <c r="G26" s="5" t="str">
        <f t="shared" si="0"/>
        <v>PhoneBusiness</v>
      </c>
      <c r="H26" s="117">
        <f t="shared" si="12"/>
        <v>15</v>
      </c>
      <c r="I26" s="5" t="str">
        <f t="shared" si="2"/>
        <v>varchar</v>
      </c>
      <c r="J26" s="5" t="str">
        <f t="shared" si="3"/>
        <v xml:space="preserve"> NULL</v>
      </c>
      <c r="K26" s="138" t="s">
        <v>448</v>
      </c>
      <c r="L26" s="5"/>
      <c r="M26" s="75">
        <v>9001</v>
      </c>
      <c r="N26" s="77"/>
      <c r="O26" s="26"/>
      <c r="P26" s="26"/>
      <c r="Q26" s="118">
        <f t="shared" si="4"/>
        <v>26</v>
      </c>
      <c r="R26" s="153"/>
      <c r="S26" s="138" t="s">
        <v>448</v>
      </c>
      <c r="T26" s="148"/>
      <c r="U26" s="146"/>
      <c r="V26" s="146"/>
      <c r="W26" s="139"/>
      <c r="X26" s="139"/>
      <c r="Y26" s="148"/>
      <c r="Z26" s="138" t="str">
        <f t="shared" si="9"/>
        <v>false</v>
      </c>
      <c r="AA26" s="138" t="str">
        <f t="shared" si="11"/>
        <v/>
      </c>
      <c r="AB26" s="239"/>
      <c r="AC26" s="325"/>
      <c r="AD26" s="325"/>
      <c r="AE26" s="325"/>
      <c r="AF26" s="325"/>
      <c r="AG26" s="325"/>
      <c r="AH26" s="325"/>
      <c r="AI26" s="325"/>
      <c r="AJ26" s="325"/>
      <c r="AK26" s="325"/>
      <c r="AL26" s="325"/>
      <c r="AM26" s="325"/>
      <c r="AN26" s="325"/>
      <c r="AO26" s="325"/>
      <c r="AP26" s="136"/>
      <c r="AQ26" s="136"/>
      <c r="AR26" s="136" t="str">
        <f t="shared" si="5"/>
        <v/>
      </c>
      <c r="AS26" s="136" t="str">
        <f t="shared" si="5"/>
        <v/>
      </c>
      <c r="AT26" s="5" t="str">
        <f t="shared" si="6"/>
        <v>PhoneBusiness,</v>
      </c>
      <c r="AV26" s="27" t="str">
        <f t="shared" si="7"/>
        <v xml:space="preserve">          [PhoneBusiness] [varchar](15) NULL,</v>
      </c>
      <c r="AW26" s="27"/>
      <c r="AY26" s="122" t="str">
        <f t="shared" si="8"/>
        <v xml:space="preserve">          PhoneBusiness VARCHAR (15) NULL,</v>
      </c>
    </row>
    <row r="27" spans="2:51" ht="12.75">
      <c r="B27" s="20">
        <f t="shared" si="10"/>
        <v>12</v>
      </c>
      <c r="C27" s="5" t="s">
        <v>447</v>
      </c>
      <c r="D27" s="5">
        <v>15</v>
      </c>
      <c r="E27" s="5" t="s">
        <v>11</v>
      </c>
      <c r="G27" s="5" t="str">
        <f t="shared" si="0"/>
        <v>PhoneHome</v>
      </c>
      <c r="H27" s="117">
        <f t="shared" si="12"/>
        <v>15</v>
      </c>
      <c r="I27" s="5" t="str">
        <f t="shared" si="2"/>
        <v>varchar</v>
      </c>
      <c r="J27" s="5" t="str">
        <f t="shared" si="3"/>
        <v xml:space="preserve"> NULL</v>
      </c>
      <c r="K27" s="138" t="s">
        <v>449</v>
      </c>
      <c r="L27" s="5"/>
      <c r="M27" s="75">
        <v>9001</v>
      </c>
      <c r="N27" s="77"/>
      <c r="O27" s="26"/>
      <c r="P27" s="26"/>
      <c r="Q27" s="118">
        <f t="shared" si="4"/>
        <v>27</v>
      </c>
      <c r="R27" s="153"/>
      <c r="S27" s="138" t="s">
        <v>449</v>
      </c>
      <c r="T27" s="148"/>
      <c r="U27" s="146"/>
      <c r="V27" s="146"/>
      <c r="W27" s="139"/>
      <c r="X27" s="139"/>
      <c r="Y27" s="148"/>
      <c r="Z27" s="138" t="str">
        <f t="shared" si="9"/>
        <v>false</v>
      </c>
      <c r="AA27" s="138" t="str">
        <f t="shared" si="11"/>
        <v/>
      </c>
      <c r="AB27" s="239"/>
      <c r="AC27" s="325"/>
      <c r="AD27" s="325"/>
      <c r="AE27" s="325"/>
      <c r="AF27" s="325"/>
      <c r="AG27" s="325"/>
      <c r="AH27" s="325"/>
      <c r="AI27" s="325"/>
      <c r="AJ27" s="325"/>
      <c r="AK27" s="325"/>
      <c r="AL27" s="325"/>
      <c r="AM27" s="325"/>
      <c r="AN27" s="325"/>
      <c r="AO27" s="325"/>
      <c r="AP27" s="136"/>
      <c r="AQ27" s="136"/>
      <c r="AR27" s="136" t="str">
        <f t="shared" si="5"/>
        <v/>
      </c>
      <c r="AS27" s="136" t="str">
        <f t="shared" si="5"/>
        <v/>
      </c>
      <c r="AT27" s="5" t="str">
        <f t="shared" si="6"/>
        <v>PhoneHome,</v>
      </c>
      <c r="AV27" s="27" t="str">
        <f t="shared" si="7"/>
        <v xml:space="preserve">          [PhoneHome] [varchar](15) NULL,</v>
      </c>
      <c r="AW27" s="27"/>
      <c r="AY27" s="122" t="str">
        <f t="shared" si="8"/>
        <v xml:space="preserve">          PhoneHome VARCHAR (15) NULL,</v>
      </c>
    </row>
    <row r="28" spans="2:51" ht="12.75">
      <c r="B28" s="20">
        <f t="shared" si="10"/>
        <v>13</v>
      </c>
      <c r="C28" s="5" t="s">
        <v>457</v>
      </c>
      <c r="D28" s="5">
        <v>30</v>
      </c>
      <c r="E28" s="5" t="s">
        <v>11</v>
      </c>
      <c r="G28" s="5" t="str">
        <f t="shared" si="0"/>
        <v>Facsimile</v>
      </c>
      <c r="H28" s="117">
        <f t="shared" si="12"/>
        <v>30</v>
      </c>
      <c r="I28" s="5" t="str">
        <f t="shared" si="2"/>
        <v>varchar</v>
      </c>
      <c r="J28" s="5" t="str">
        <f t="shared" si="3"/>
        <v xml:space="preserve"> NULL</v>
      </c>
      <c r="K28" s="138" t="s">
        <v>477</v>
      </c>
      <c r="L28" s="5"/>
      <c r="M28" s="75">
        <v>9001</v>
      </c>
      <c r="N28" s="77"/>
      <c r="O28" s="26"/>
      <c r="P28" s="26"/>
      <c r="Q28" s="118">
        <f t="shared" si="4"/>
        <v>28</v>
      </c>
      <c r="R28" s="153"/>
      <c r="S28" s="138" t="s">
        <v>477</v>
      </c>
      <c r="T28" s="148"/>
      <c r="U28" s="146"/>
      <c r="V28" s="146"/>
      <c r="W28" s="139"/>
      <c r="X28" s="139"/>
      <c r="Y28" s="148"/>
      <c r="Z28" s="138" t="str">
        <f t="shared" si="9"/>
        <v>false</v>
      </c>
      <c r="AA28" s="138" t="str">
        <f t="shared" si="11"/>
        <v/>
      </c>
      <c r="AB28" s="239"/>
      <c r="AC28" s="325"/>
      <c r="AD28" s="325"/>
      <c r="AE28" s="325"/>
      <c r="AF28" s="325"/>
      <c r="AG28" s="325"/>
      <c r="AH28" s="325"/>
      <c r="AI28" s="325"/>
      <c r="AJ28" s="325"/>
      <c r="AK28" s="325"/>
      <c r="AL28" s="325"/>
      <c r="AM28" s="325"/>
      <c r="AN28" s="325"/>
      <c r="AO28" s="325"/>
      <c r="AP28" s="136"/>
      <c r="AQ28" s="136"/>
      <c r="AR28" s="136" t="str">
        <f t="shared" si="5"/>
        <v/>
      </c>
      <c r="AS28" s="136" t="str">
        <f t="shared" si="5"/>
        <v/>
      </c>
      <c r="AT28" s="5" t="str">
        <f t="shared" si="6"/>
        <v>Facsimile,</v>
      </c>
      <c r="AV28" s="27" t="str">
        <f t="shared" si="7"/>
        <v xml:space="preserve">          [Facsimile] [varchar](30) NULL,</v>
      </c>
      <c r="AW28" s="27"/>
      <c r="AY28" s="122" t="str">
        <f t="shared" si="8"/>
        <v xml:space="preserve">          Facsimile VARCHAR (30) NULL,</v>
      </c>
    </row>
    <row r="29" spans="2:51" ht="12.75">
      <c r="B29" s="20">
        <f t="shared" si="10"/>
        <v>14</v>
      </c>
      <c r="C29" s="5" t="s">
        <v>458</v>
      </c>
      <c r="D29" s="5">
        <v>30</v>
      </c>
      <c r="E29" s="5" t="s">
        <v>11</v>
      </c>
      <c r="G29" s="5" t="str">
        <f t="shared" si="0"/>
        <v>AccountContact</v>
      </c>
      <c r="H29" s="117">
        <f t="shared" si="12"/>
        <v>30</v>
      </c>
      <c r="I29" s="5" t="str">
        <f t="shared" si="2"/>
        <v>varchar</v>
      </c>
      <c r="J29" s="5" t="str">
        <f t="shared" si="3"/>
        <v xml:space="preserve"> NULL</v>
      </c>
      <c r="K29" s="138" t="s">
        <v>478</v>
      </c>
      <c r="L29" s="5"/>
      <c r="M29" s="75">
        <v>9001</v>
      </c>
      <c r="N29" s="77"/>
      <c r="O29" s="26"/>
      <c r="P29" s="26"/>
      <c r="Q29" s="118">
        <f t="shared" si="4"/>
        <v>29</v>
      </c>
      <c r="R29" s="153"/>
      <c r="S29" s="138" t="s">
        <v>478</v>
      </c>
      <c r="T29" s="148"/>
      <c r="U29" s="146"/>
      <c r="V29" s="146"/>
      <c r="W29" s="139"/>
      <c r="X29" s="139"/>
      <c r="Y29" s="148"/>
      <c r="Z29" s="138" t="str">
        <f t="shared" si="9"/>
        <v>false</v>
      </c>
      <c r="AA29" s="138" t="str">
        <f t="shared" si="11"/>
        <v/>
      </c>
      <c r="AB29" s="239"/>
      <c r="AC29" s="325"/>
      <c r="AD29" s="325"/>
      <c r="AE29" s="325"/>
      <c r="AF29" s="325"/>
      <c r="AG29" s="325"/>
      <c r="AH29" s="325"/>
      <c r="AI29" s="325"/>
      <c r="AJ29" s="325"/>
      <c r="AK29" s="325"/>
      <c r="AL29" s="325"/>
      <c r="AM29" s="325"/>
      <c r="AN29" s="325"/>
      <c r="AO29" s="325"/>
      <c r="AP29" s="136"/>
      <c r="AQ29" s="136"/>
      <c r="AR29" s="136" t="str">
        <f t="shared" si="5"/>
        <v/>
      </c>
      <c r="AS29" s="136" t="str">
        <f t="shared" si="5"/>
        <v/>
      </c>
      <c r="AT29" s="5" t="str">
        <f t="shared" si="6"/>
        <v>AccountContact,</v>
      </c>
      <c r="AV29" s="27" t="str">
        <f t="shared" si="7"/>
        <v xml:space="preserve">          [AccountContact] [varchar](30) NULL,</v>
      </c>
      <c r="AW29" s="27"/>
      <c r="AY29" s="122" t="str">
        <f t="shared" si="8"/>
        <v xml:space="preserve">          AccountContact VARCHAR (30) NULL,</v>
      </c>
    </row>
    <row r="30" spans="2:51" ht="12.75">
      <c r="B30" s="20">
        <f t="shared" si="10"/>
        <v>15</v>
      </c>
      <c r="C30" s="5" t="s">
        <v>459</v>
      </c>
      <c r="D30" s="5">
        <v>30</v>
      </c>
      <c r="E30" s="5" t="s">
        <v>11</v>
      </c>
      <c r="G30" s="5" t="str">
        <f t="shared" si="0"/>
        <v>Addressee</v>
      </c>
      <c r="H30" s="117">
        <f t="shared" si="12"/>
        <v>30</v>
      </c>
      <c r="I30" s="5" t="str">
        <f t="shared" si="2"/>
        <v>varchar</v>
      </c>
      <c r="J30" s="5" t="str">
        <f t="shared" si="3"/>
        <v xml:space="preserve"> NULL</v>
      </c>
      <c r="K30" s="138" t="s">
        <v>459</v>
      </c>
      <c r="L30" s="5"/>
      <c r="M30" s="75">
        <v>9001</v>
      </c>
      <c r="N30" s="77"/>
      <c r="O30" s="26"/>
      <c r="P30" s="26"/>
      <c r="Q30" s="118">
        <f t="shared" si="4"/>
        <v>30</v>
      </c>
      <c r="R30" s="153"/>
      <c r="S30" s="138" t="s">
        <v>459</v>
      </c>
      <c r="T30" s="148"/>
      <c r="U30" s="146"/>
      <c r="V30" s="146"/>
      <c r="W30" s="139"/>
      <c r="X30" s="139"/>
      <c r="Y30" s="148"/>
      <c r="Z30" s="138" t="str">
        <f t="shared" si="9"/>
        <v>false</v>
      </c>
      <c r="AA30" s="138" t="str">
        <f t="shared" si="11"/>
        <v/>
      </c>
      <c r="AB30" s="239"/>
      <c r="AC30" s="325"/>
      <c r="AD30" s="325"/>
      <c r="AE30" s="325"/>
      <c r="AF30" s="325"/>
      <c r="AG30" s="325"/>
      <c r="AH30" s="325"/>
      <c r="AI30" s="325"/>
      <c r="AJ30" s="325"/>
      <c r="AK30" s="325"/>
      <c r="AL30" s="325"/>
      <c r="AM30" s="325"/>
      <c r="AN30" s="325"/>
      <c r="AO30" s="325"/>
      <c r="AP30" s="136"/>
      <c r="AQ30" s="136"/>
      <c r="AR30" s="136" t="str">
        <f t="shared" si="5"/>
        <v/>
      </c>
      <c r="AS30" s="136" t="str">
        <f t="shared" si="5"/>
        <v/>
      </c>
      <c r="AT30" s="5" t="str">
        <f t="shared" si="6"/>
        <v>Addressee,</v>
      </c>
      <c r="AV30" s="27" t="str">
        <f t="shared" si="7"/>
        <v xml:space="preserve">          [Addressee] [varchar](30) NULL,</v>
      </c>
      <c r="AW30" s="27"/>
      <c r="AY30" s="122" t="str">
        <f t="shared" si="8"/>
        <v xml:space="preserve">          Addressee VARCHAR (30) NULL,</v>
      </c>
    </row>
    <row r="31" spans="2:51" ht="12.75">
      <c r="B31" s="20">
        <f t="shared" si="10"/>
        <v>16</v>
      </c>
      <c r="C31" s="5" t="s">
        <v>460</v>
      </c>
      <c r="D31" s="5">
        <v>30</v>
      </c>
      <c r="E31" s="5" t="s">
        <v>11</v>
      </c>
      <c r="G31" s="5" t="str">
        <f t="shared" si="0"/>
        <v>Salutation</v>
      </c>
      <c r="H31" s="117">
        <f t="shared" si="12"/>
        <v>30</v>
      </c>
      <c r="I31" s="5" t="str">
        <f t="shared" si="2"/>
        <v>varchar</v>
      </c>
      <c r="J31" s="5" t="str">
        <f t="shared" si="3"/>
        <v xml:space="preserve"> NULL</v>
      </c>
      <c r="K31" s="138" t="s">
        <v>460</v>
      </c>
      <c r="L31" s="5"/>
      <c r="M31" s="75">
        <v>9001</v>
      </c>
      <c r="N31" s="77"/>
      <c r="O31" s="26"/>
      <c r="P31" s="26"/>
      <c r="Q31" s="118">
        <f t="shared" si="4"/>
        <v>31</v>
      </c>
      <c r="R31" s="153"/>
      <c r="S31" s="138" t="s">
        <v>460</v>
      </c>
      <c r="T31" s="148"/>
      <c r="U31" s="146"/>
      <c r="V31" s="146"/>
      <c r="W31" s="139"/>
      <c r="X31" s="139"/>
      <c r="Y31" s="148"/>
      <c r="Z31" s="138" t="str">
        <f t="shared" si="9"/>
        <v>false</v>
      </c>
      <c r="AA31" s="138" t="str">
        <f t="shared" si="11"/>
        <v/>
      </c>
      <c r="AB31" s="239"/>
      <c r="AC31" s="325"/>
      <c r="AD31" s="325"/>
      <c r="AE31" s="325"/>
      <c r="AF31" s="325"/>
      <c r="AG31" s="325"/>
      <c r="AH31" s="325"/>
      <c r="AI31" s="325"/>
      <c r="AJ31" s="325"/>
      <c r="AK31" s="325"/>
      <c r="AL31" s="325"/>
      <c r="AM31" s="325"/>
      <c r="AN31" s="325"/>
      <c r="AO31" s="325"/>
      <c r="AP31" s="136"/>
      <c r="AQ31" s="136"/>
      <c r="AR31" s="136" t="str">
        <f t="shared" si="5"/>
        <v/>
      </c>
      <c r="AS31" s="136" t="str">
        <f t="shared" si="5"/>
        <v/>
      </c>
      <c r="AT31" s="5" t="str">
        <f t="shared" si="6"/>
        <v>Salutation,</v>
      </c>
      <c r="AV31" s="27" t="str">
        <f t="shared" si="7"/>
        <v xml:space="preserve">          [Salutation] [varchar](30) NULL,</v>
      </c>
      <c r="AW31" s="27"/>
      <c r="AY31" s="122" t="str">
        <f t="shared" si="8"/>
        <v xml:space="preserve">          Salutation VARCHAR (30) NULL,</v>
      </c>
    </row>
    <row r="32" spans="2:51" ht="12.75">
      <c r="B32" s="20">
        <f t="shared" si="10"/>
        <v>17</v>
      </c>
      <c r="C32" s="5" t="s">
        <v>529</v>
      </c>
      <c r="D32" s="5">
        <v>30</v>
      </c>
      <c r="E32" s="5" t="s">
        <v>11</v>
      </c>
      <c r="G32" s="5" t="str">
        <f t="shared" si="0"/>
        <v>Occupation</v>
      </c>
      <c r="H32" s="117">
        <f t="shared" si="12"/>
        <v>30</v>
      </c>
      <c r="I32" s="5" t="str">
        <f t="shared" si="2"/>
        <v>varchar</v>
      </c>
      <c r="J32" s="5" t="str">
        <f t="shared" si="3"/>
        <v xml:space="preserve"> NULL</v>
      </c>
      <c r="K32" s="138" t="s">
        <v>529</v>
      </c>
      <c r="L32" s="5"/>
      <c r="M32" s="75">
        <v>9001</v>
      </c>
      <c r="N32" s="77"/>
      <c r="O32" s="26"/>
      <c r="P32" s="26"/>
      <c r="Q32" s="118">
        <f t="shared" si="4"/>
        <v>32</v>
      </c>
      <c r="R32" s="153"/>
      <c r="S32" s="138" t="s">
        <v>529</v>
      </c>
      <c r="T32" s="148"/>
      <c r="U32" s="146"/>
      <c r="V32" s="146"/>
      <c r="W32" s="139"/>
      <c r="X32" s="139"/>
      <c r="Y32" s="148"/>
      <c r="Z32" s="138" t="str">
        <f t="shared" si="9"/>
        <v>false</v>
      </c>
      <c r="AA32" s="138" t="str">
        <f t="shared" si="11"/>
        <v/>
      </c>
      <c r="AB32" s="239"/>
      <c r="AC32" s="325"/>
      <c r="AD32" s="325"/>
      <c r="AE32" s="325"/>
      <c r="AF32" s="325"/>
      <c r="AG32" s="325"/>
      <c r="AH32" s="325"/>
      <c r="AI32" s="325"/>
      <c r="AJ32" s="325"/>
      <c r="AK32" s="325"/>
      <c r="AL32" s="325"/>
      <c r="AM32" s="325"/>
      <c r="AN32" s="325"/>
      <c r="AO32" s="325"/>
      <c r="AP32" s="136"/>
      <c r="AQ32" s="136"/>
      <c r="AR32" s="136" t="str">
        <f t="shared" si="5"/>
        <v/>
      </c>
      <c r="AS32" s="136" t="str">
        <f t="shared" si="5"/>
        <v/>
      </c>
      <c r="AT32" s="5" t="str">
        <f t="shared" si="6"/>
        <v>Occupation,</v>
      </c>
      <c r="AV32" s="27" t="str">
        <f t="shared" si="7"/>
        <v xml:space="preserve">          [Occupation] [varchar](30) NULL,</v>
      </c>
      <c r="AW32" s="27"/>
      <c r="AY32" s="122" t="str">
        <f t="shared" si="8"/>
        <v xml:space="preserve">          Occupation VARCHAR (30) NULL,</v>
      </c>
    </row>
    <row r="33" spans="2:51" ht="12.75">
      <c r="B33" s="20">
        <f t="shared" si="10"/>
        <v>18</v>
      </c>
      <c r="C33" s="5" t="s">
        <v>530</v>
      </c>
      <c r="D33" s="5"/>
      <c r="E33" s="5" t="s">
        <v>12</v>
      </c>
      <c r="G33" s="5" t="str">
        <f>SUBSTITUTE(SUBSTITUTE(SUBSTITUTE(SUBSTITUTE(SUBSTITUTE(SUBSTITUTE(SUBSTITUTE(SUBSTITUTE(SUBSTITUTE(C33," ",""),".",""),"#","No"),"%",""),"(",""),"*",""),"-",""),"/",""),")","")</f>
        <v>DateofBirth</v>
      </c>
      <c r="H33" s="117" t="str">
        <f t="shared" si="12"/>
        <v/>
      </c>
      <c r="I33" s="5" t="str">
        <f t="shared" si="2"/>
        <v>datetime</v>
      </c>
      <c r="J33" s="5" t="str">
        <f t="shared" si="3"/>
        <v xml:space="preserve"> NULL</v>
      </c>
      <c r="K33" s="138" t="s">
        <v>550</v>
      </c>
      <c r="L33" s="5"/>
      <c r="M33" s="75">
        <v>9001</v>
      </c>
      <c r="N33" s="77"/>
      <c r="O33" s="26"/>
      <c r="P33" s="26"/>
      <c r="Q33" s="118">
        <f t="shared" si="4"/>
        <v>33</v>
      </c>
      <c r="R33" s="153"/>
      <c r="S33" s="138" t="s">
        <v>550</v>
      </c>
      <c r="T33" s="148"/>
      <c r="U33" s="146" t="s">
        <v>373</v>
      </c>
      <c r="V33" s="146" t="s">
        <v>433</v>
      </c>
      <c r="W33" s="139"/>
      <c r="X33" s="139"/>
      <c r="Y33" s="148"/>
      <c r="Z33" s="138" t="str">
        <f t="shared" si="9"/>
        <v>false</v>
      </c>
      <c r="AA33" s="138" t="str">
        <f t="shared" si="11"/>
        <v/>
      </c>
      <c r="AB33" s="239"/>
      <c r="AC33" s="325"/>
      <c r="AD33" s="325"/>
      <c r="AE33" s="325"/>
      <c r="AF33" s="325"/>
      <c r="AG33" s="325"/>
      <c r="AH33" s="325"/>
      <c r="AI33" s="325"/>
      <c r="AJ33" s="325"/>
      <c r="AK33" s="325"/>
      <c r="AL33" s="325"/>
      <c r="AM33" s="325"/>
      <c r="AN33" s="325"/>
      <c r="AO33" s="325"/>
      <c r="AP33" s="136"/>
      <c r="AQ33" s="136"/>
      <c r="AR33" s="136" t="str">
        <f t="shared" si="5"/>
        <v/>
      </c>
      <c r="AS33" s="136" t="str">
        <f t="shared" si="5"/>
        <v/>
      </c>
      <c r="AT33" s="5" t="str">
        <f t="shared" si="6"/>
        <v>DateofBirth,</v>
      </c>
      <c r="AV33" s="27" t="str">
        <f t="shared" si="7"/>
        <v xml:space="preserve">          [DateofBirth] [datetime] NULL,</v>
      </c>
      <c r="AW33" s="27"/>
      <c r="AY33" s="122" t="str">
        <f t="shared" si="8"/>
        <v xml:space="preserve">          DateofBirth DATETIME NULL,</v>
      </c>
    </row>
    <row r="34" spans="2:51" ht="12.75">
      <c r="B34" s="20">
        <f t="shared" si="10"/>
        <v>19</v>
      </c>
      <c r="C34" s="5" t="s">
        <v>434</v>
      </c>
      <c r="D34" s="5">
        <v>8</v>
      </c>
      <c r="E34" s="5" t="s">
        <v>11</v>
      </c>
      <c r="G34" s="5" t="str">
        <f>SUBSTITUTE(SUBSTITUTE(SUBSTITUTE(SUBSTITUTE(SUBSTITUTE(SUBSTITUTE(SUBSTITUTE(SUBSTITUTE(SUBSTITUTE(C34," ",""),".",""),"#","No"),"%",""),"(",""),"*",""),"-",""),"/",""),")","")</f>
        <v>AccountExecutive</v>
      </c>
      <c r="H34" s="117">
        <f t="shared" si="12"/>
        <v>8</v>
      </c>
      <c r="I34" s="5" t="str">
        <f t="shared" si="2"/>
        <v>varchar</v>
      </c>
      <c r="J34" s="5" t="str">
        <f t="shared" si="3"/>
        <v xml:space="preserve"> NULL</v>
      </c>
      <c r="K34" s="138" t="s">
        <v>406</v>
      </c>
      <c r="L34" s="5"/>
      <c r="M34" s="75">
        <v>3</v>
      </c>
      <c r="N34" s="77"/>
      <c r="O34" s="26"/>
      <c r="P34" s="26"/>
      <c r="Q34" s="118">
        <f t="shared" si="4"/>
        <v>34</v>
      </c>
      <c r="R34" s="153"/>
      <c r="S34" s="138" t="s">
        <v>406</v>
      </c>
      <c r="T34" s="148"/>
      <c r="U34" s="146"/>
      <c r="V34" s="146"/>
      <c r="W34" s="139"/>
      <c r="X34" s="139"/>
      <c r="Y34" s="148"/>
      <c r="Z34" s="138" t="str">
        <f t="shared" si="9"/>
        <v/>
      </c>
      <c r="AA34" s="138" t="str">
        <f t="shared" si="11"/>
        <v/>
      </c>
      <c r="AB34" s="239"/>
      <c r="AC34" s="325"/>
      <c r="AD34" s="325"/>
      <c r="AE34" s="325"/>
      <c r="AF34" s="325"/>
      <c r="AG34" s="325"/>
      <c r="AH34" s="325"/>
      <c r="AI34" s="325"/>
      <c r="AJ34" s="325"/>
      <c r="AK34" s="325"/>
      <c r="AL34" s="325"/>
      <c r="AM34" s="325"/>
      <c r="AN34" s="325"/>
      <c r="AO34" s="325"/>
      <c r="AP34" s="136"/>
      <c r="AQ34" s="136"/>
      <c r="AR34" s="136" t="str">
        <f t="shared" si="5"/>
        <v/>
      </c>
      <c r="AS34" s="136" t="str">
        <f t="shared" si="5"/>
        <v/>
      </c>
      <c r="AT34" s="5" t="str">
        <f t="shared" si="6"/>
        <v>AccountExecutive,</v>
      </c>
      <c r="AV34" s="27" t="str">
        <f t="shared" si="7"/>
        <v xml:space="preserve">          [AccountExecutive] [varchar](8) NULL,</v>
      </c>
      <c r="AW34" s="27"/>
      <c r="AY34" s="122" t="str">
        <f t="shared" si="8"/>
        <v xml:space="preserve">          AccountExecutive VARCHAR (8) NULL,</v>
      </c>
    </row>
    <row r="35" spans="2:51" ht="12.75">
      <c r="B35" s="20">
        <f t="shared" si="10"/>
        <v>20</v>
      </c>
      <c r="C35" s="5" t="s">
        <v>531</v>
      </c>
      <c r="D35" s="5">
        <v>8</v>
      </c>
      <c r="E35" s="5" t="s">
        <v>11</v>
      </c>
      <c r="G35" s="5" t="str">
        <f>SUBSTITUTE(SUBSTITUTE(SUBSTITUTE(SUBSTITUTE(SUBSTITUTE(SUBSTITUTE(SUBSTITUTE(SUBSTITUTE(SUBSTITUTE(C35," ",""),".",""),"#","No"),"%",""),"(",""),"*",""),"-",""),"/",""),")","")</f>
        <v>AccountAgent</v>
      </c>
      <c r="H35" s="117">
        <f t="shared" si="12"/>
        <v>8</v>
      </c>
      <c r="I35" s="5" t="str">
        <f t="shared" si="2"/>
        <v>varchar</v>
      </c>
      <c r="J35" s="5" t="str">
        <f t="shared" si="3"/>
        <v xml:space="preserve"> NULL</v>
      </c>
      <c r="K35" s="138" t="s">
        <v>551</v>
      </c>
      <c r="L35" s="5"/>
      <c r="M35" s="75">
        <v>9001</v>
      </c>
      <c r="N35" s="77"/>
      <c r="O35" s="26"/>
      <c r="P35" s="26"/>
      <c r="Q35" s="118">
        <f t="shared" si="4"/>
        <v>35</v>
      </c>
      <c r="R35" s="153"/>
      <c r="S35" s="138" t="s">
        <v>551</v>
      </c>
      <c r="T35" s="148"/>
      <c r="U35" s="146"/>
      <c r="V35" s="146"/>
      <c r="W35" s="139"/>
      <c r="X35" s="139"/>
      <c r="Y35" s="148"/>
      <c r="Z35" s="138" t="str">
        <f t="shared" si="9"/>
        <v>false</v>
      </c>
      <c r="AA35" s="138" t="str">
        <f t="shared" si="11"/>
        <v/>
      </c>
      <c r="AB35" s="239"/>
      <c r="AC35" s="325"/>
      <c r="AD35" s="325"/>
      <c r="AE35" s="325"/>
      <c r="AF35" s="325"/>
      <c r="AG35" s="325"/>
      <c r="AH35" s="325"/>
      <c r="AI35" s="325"/>
      <c r="AJ35" s="325"/>
      <c r="AK35" s="325"/>
      <c r="AL35" s="325"/>
      <c r="AM35" s="325"/>
      <c r="AN35" s="325"/>
      <c r="AO35" s="325"/>
      <c r="AP35" s="136"/>
      <c r="AQ35" s="136"/>
      <c r="AR35" s="136" t="str">
        <f t="shared" si="5"/>
        <v/>
      </c>
      <c r="AS35" s="136" t="str">
        <f t="shared" si="5"/>
        <v/>
      </c>
      <c r="AT35" s="5" t="str">
        <f t="shared" si="6"/>
        <v>AccountAgent,</v>
      </c>
      <c r="AV35" s="27" t="str">
        <f t="shared" si="7"/>
        <v xml:space="preserve">          [AccountAgent] [varchar](8) NULL,</v>
      </c>
      <c r="AW35" s="27"/>
      <c r="AY35" s="122" t="str">
        <f t="shared" si="8"/>
        <v xml:space="preserve">          AccountAgent VARCHAR (8) NULL,</v>
      </c>
    </row>
    <row r="36" spans="2:51" ht="12.75">
      <c r="B36" s="20">
        <f t="shared" si="10"/>
        <v>21</v>
      </c>
      <c r="C36" s="5" t="s">
        <v>532</v>
      </c>
      <c r="D36" s="5">
        <v>8</v>
      </c>
      <c r="E36" s="5" t="s">
        <v>11</v>
      </c>
      <c r="G36" s="5" t="str">
        <f>SUBSTITUTE(SUBSTITUTE(SUBSTITUTE(SUBSTITUTE(SUBSTITUTE(SUBSTITUTE(SUBSTITUTE(SUBSTITUTE(SUBSTITUTE(C36," ",""),".",""),"#","No"),"%",""),"(",""),"*",""),"-",""),"/",""),")","")</f>
        <v>ClientGroup</v>
      </c>
      <c r="H36" s="117">
        <f t="shared" si="12"/>
        <v>8</v>
      </c>
      <c r="I36" s="5" t="str">
        <f t="shared" si="2"/>
        <v>varchar</v>
      </c>
      <c r="J36" s="5" t="str">
        <f t="shared" si="3"/>
        <v xml:space="preserve"> NULL</v>
      </c>
      <c r="K36" s="138" t="s">
        <v>552</v>
      </c>
      <c r="L36" s="5"/>
      <c r="M36" s="75">
        <v>4</v>
      </c>
      <c r="N36" s="77"/>
      <c r="O36" s="26"/>
      <c r="P36" s="26"/>
      <c r="Q36" s="118">
        <f t="shared" si="4"/>
        <v>36</v>
      </c>
      <c r="R36" s="153"/>
      <c r="S36" s="138" t="s">
        <v>552</v>
      </c>
      <c r="T36" s="148">
        <v>1</v>
      </c>
      <c r="U36" s="146"/>
      <c r="V36" s="146"/>
      <c r="W36" s="139"/>
      <c r="X36" s="139"/>
      <c r="Y36" s="148"/>
      <c r="Z36" s="138" t="str">
        <f t="shared" si="9"/>
        <v/>
      </c>
      <c r="AA36" s="138" t="str">
        <f t="shared" si="11"/>
        <v/>
      </c>
      <c r="AB36" s="239"/>
      <c r="AC36" s="325"/>
      <c r="AD36" s="325"/>
      <c r="AE36" s="325"/>
      <c r="AF36" s="325"/>
      <c r="AG36" s="325"/>
      <c r="AH36" s="325"/>
      <c r="AI36" s="325"/>
      <c r="AJ36" s="325" t="s">
        <v>1028</v>
      </c>
      <c r="AK36" s="325"/>
      <c r="AL36" s="325"/>
      <c r="AM36" s="325"/>
      <c r="AN36" s="325"/>
      <c r="AO36" s="325"/>
      <c r="AP36" s="136"/>
      <c r="AQ36" s="136"/>
      <c r="AR36" s="136" t="str">
        <f t="shared" si="5"/>
        <v/>
      </c>
      <c r="AS36" s="136" t="str">
        <f t="shared" si="5"/>
        <v/>
      </c>
      <c r="AT36" s="5" t="str">
        <f t="shared" si="6"/>
        <v>ClientGroup,</v>
      </c>
      <c r="AV36" s="27" t="str">
        <f>IF(G36="","",+"          ["&amp;TRIM(G36)&amp;"] ["&amp;TRIM(I36)&amp;"]"&amp;IF(H36="","","("&amp;H36&amp;")")&amp;" "&amp;TRIM(J36)&amp;IF(G46="","",","))</f>
        <v xml:space="preserve">          [ClientGroup] [varchar](8) NULL,</v>
      </c>
      <c r="AW36" s="27"/>
      <c r="AY36" s="122" t="str">
        <f t="shared" si="8"/>
        <v xml:space="preserve">          ClientGroup VARCHAR (8) NULL,</v>
      </c>
    </row>
    <row r="37" spans="2:51" ht="12.75">
      <c r="B37" s="20">
        <f t="shared" si="10"/>
        <v>22</v>
      </c>
      <c r="C37" s="5" t="s">
        <v>74</v>
      </c>
      <c r="D37" s="5">
        <v>10</v>
      </c>
      <c r="E37" s="5" t="s">
        <v>11</v>
      </c>
      <c r="G37" s="5" t="str">
        <f t="shared" ref="G37:G45" si="13">SUBSTITUTE(SUBSTITUTE(SUBSTITUTE(SUBSTITUTE(SUBSTITUTE(SUBSTITUTE(SUBSTITUTE(SUBSTITUTE(SUBSTITUTE(C37," ",""),".",""),"#","No"),"%",""),"(",""),"*",""),"-",""),"/",""),")","")</f>
        <v>EntryBy</v>
      </c>
      <c r="H37" s="117">
        <f t="shared" si="12"/>
        <v>10</v>
      </c>
      <c r="I37" s="5" t="str">
        <f t="shared" si="2"/>
        <v>varchar</v>
      </c>
      <c r="J37" s="5" t="str">
        <f t="shared" si="3"/>
        <v xml:space="preserve"> NULL</v>
      </c>
      <c r="K37" s="138" t="s">
        <v>322</v>
      </c>
      <c r="L37" s="5"/>
      <c r="M37" s="75">
        <v>5</v>
      </c>
      <c r="N37" s="77"/>
      <c r="O37" s="26"/>
      <c r="P37" s="26"/>
      <c r="Q37" s="118">
        <f t="shared" si="4"/>
        <v>37</v>
      </c>
      <c r="R37" s="153"/>
      <c r="S37" s="138" t="s">
        <v>322</v>
      </c>
      <c r="T37" s="148"/>
      <c r="U37" s="146"/>
      <c r="V37" s="146"/>
      <c r="W37" s="139"/>
      <c r="X37" s="139"/>
      <c r="Y37" s="148"/>
      <c r="Z37" s="138" t="str">
        <f t="shared" si="9"/>
        <v/>
      </c>
      <c r="AA37" s="138" t="str">
        <f t="shared" si="11"/>
        <v/>
      </c>
      <c r="AB37" s="239"/>
      <c r="AC37" s="325"/>
      <c r="AD37" s="325"/>
      <c r="AE37" s="325"/>
      <c r="AF37" s="325"/>
      <c r="AG37" s="325"/>
      <c r="AH37" s="325"/>
      <c r="AI37" s="325"/>
      <c r="AJ37" s="325"/>
      <c r="AK37" s="325"/>
      <c r="AL37" s="325"/>
      <c r="AM37" s="325"/>
      <c r="AN37" s="325"/>
      <c r="AO37" s="325"/>
      <c r="AP37" s="136"/>
      <c r="AQ37" s="136"/>
      <c r="AR37" s="136" t="str">
        <f t="shared" si="5"/>
        <v/>
      </c>
      <c r="AS37" s="136" t="str">
        <f t="shared" si="5"/>
        <v/>
      </c>
      <c r="AT37" s="5" t="str">
        <f t="shared" si="6"/>
        <v>EntryBy,</v>
      </c>
      <c r="AV37" s="27" t="str">
        <f>IF(G37="","",+"          ["&amp;TRIM(G37)&amp;"] ["&amp;TRIM(I37)&amp;"]"&amp;IF(H37="","","("&amp;H37&amp;")")&amp;" "&amp;TRIM(J37)&amp;IF(G38="","",","))</f>
        <v xml:space="preserve">          [EntryBy] [varchar](10) NULL,</v>
      </c>
      <c r="AW37" s="27"/>
      <c r="AY37" s="122" t="str">
        <f t="shared" si="8"/>
        <v xml:space="preserve">          EntryBy VARCHAR (10) NULL,</v>
      </c>
    </row>
    <row r="38" spans="2:51" ht="12.75">
      <c r="B38" s="20">
        <f t="shared" si="10"/>
        <v>23</v>
      </c>
      <c r="C38" s="5" t="s">
        <v>75</v>
      </c>
      <c r="D38" s="5"/>
      <c r="E38" s="5" t="s">
        <v>12</v>
      </c>
      <c r="G38" s="5" t="str">
        <f t="shared" si="13"/>
        <v>EntryDate</v>
      </c>
      <c r="H38" s="117" t="str">
        <f t="shared" si="12"/>
        <v/>
      </c>
      <c r="I38" s="5" t="str">
        <f t="shared" si="2"/>
        <v>datetime</v>
      </c>
      <c r="J38" s="5" t="str">
        <f t="shared" si="3"/>
        <v xml:space="preserve"> NULL</v>
      </c>
      <c r="K38" s="138" t="s">
        <v>323</v>
      </c>
      <c r="L38" s="5"/>
      <c r="M38" s="75">
        <v>6</v>
      </c>
      <c r="N38" s="77"/>
      <c r="O38" s="26"/>
      <c r="P38" s="26"/>
      <c r="Q38" s="118">
        <f t="shared" si="4"/>
        <v>38</v>
      </c>
      <c r="R38" s="153"/>
      <c r="S38" s="138" t="s">
        <v>323</v>
      </c>
      <c r="T38" s="148"/>
      <c r="U38" s="146" t="s">
        <v>373</v>
      </c>
      <c r="V38" s="146" t="s">
        <v>433</v>
      </c>
      <c r="W38" s="139"/>
      <c r="X38" s="139"/>
      <c r="Y38" s="148"/>
      <c r="Z38" s="138" t="str">
        <f t="shared" si="9"/>
        <v/>
      </c>
      <c r="AA38" s="138" t="str">
        <f t="shared" si="11"/>
        <v/>
      </c>
      <c r="AB38" s="239"/>
      <c r="AC38" s="325"/>
      <c r="AD38" s="325"/>
      <c r="AE38" s="325"/>
      <c r="AF38" s="325"/>
      <c r="AG38" s="325"/>
      <c r="AH38" s="325"/>
      <c r="AI38" s="325"/>
      <c r="AJ38" s="325"/>
      <c r="AK38" s="325"/>
      <c r="AL38" s="325"/>
      <c r="AM38" s="325"/>
      <c r="AN38" s="325"/>
      <c r="AO38" s="325"/>
      <c r="AP38" s="136"/>
      <c r="AQ38" s="136"/>
      <c r="AR38" s="136" t="str">
        <f t="shared" si="5"/>
        <v/>
      </c>
      <c r="AS38" s="136" t="str">
        <f t="shared" si="5"/>
        <v/>
      </c>
      <c r="AT38" s="5" t="str">
        <f t="shared" si="6"/>
        <v>EntryDate,</v>
      </c>
      <c r="AV38" s="27" t="str">
        <f>IF(G38="","",+"          ["&amp;TRIM(G38)&amp;"] ["&amp;TRIM(I38)&amp;"]"&amp;IF(H38="","","("&amp;H38&amp;")")&amp;" "&amp;TRIM(J38)&amp;IF(G39="","",","))</f>
        <v xml:space="preserve">          [EntryDate] [datetime] NULL,</v>
      </c>
      <c r="AW38" s="27"/>
      <c r="AY38" s="122" t="str">
        <f t="shared" si="8"/>
        <v xml:space="preserve">          EntryDate DATETIME NULL,</v>
      </c>
    </row>
    <row r="39" spans="2:51" ht="12.75">
      <c r="B39" s="20">
        <f t="shared" si="10"/>
        <v>24</v>
      </c>
      <c r="C39" s="5" t="s">
        <v>533</v>
      </c>
      <c r="D39" s="5">
        <v>8</v>
      </c>
      <c r="E39" s="5" t="s">
        <v>11</v>
      </c>
      <c r="G39" s="5" t="str">
        <f t="shared" si="13"/>
        <v>ClientCategory</v>
      </c>
      <c r="H39" s="117">
        <f t="shared" si="12"/>
        <v>8</v>
      </c>
      <c r="I39" s="5" t="str">
        <f t="shared" si="2"/>
        <v>varchar</v>
      </c>
      <c r="J39" s="5" t="str">
        <f t="shared" si="3"/>
        <v xml:space="preserve"> NULL</v>
      </c>
      <c r="K39" s="138" t="s">
        <v>553</v>
      </c>
      <c r="L39" s="5"/>
      <c r="M39" s="75">
        <v>9001</v>
      </c>
      <c r="N39" s="77"/>
      <c r="O39" s="26"/>
      <c r="P39" s="26"/>
      <c r="Q39" s="118">
        <f t="shared" si="4"/>
        <v>39</v>
      </c>
      <c r="R39" s="153"/>
      <c r="S39" s="138" t="s">
        <v>553</v>
      </c>
      <c r="T39" s="148"/>
      <c r="U39" s="146"/>
      <c r="V39" s="146"/>
      <c r="W39" s="139"/>
      <c r="X39" s="139"/>
      <c r="Y39" s="148"/>
      <c r="Z39" s="138" t="str">
        <f t="shared" si="9"/>
        <v>false</v>
      </c>
      <c r="AA39" s="138" t="str">
        <f t="shared" si="11"/>
        <v/>
      </c>
      <c r="AB39" s="239"/>
      <c r="AC39" s="325"/>
      <c r="AD39" s="325"/>
      <c r="AE39" s="325"/>
      <c r="AF39" s="325"/>
      <c r="AG39" s="325"/>
      <c r="AH39" s="325"/>
      <c r="AI39" s="325"/>
      <c r="AJ39" s="325"/>
      <c r="AK39" s="325"/>
      <c r="AL39" s="325"/>
      <c r="AM39" s="325"/>
      <c r="AN39" s="325"/>
      <c r="AO39" s="325"/>
      <c r="AP39" s="136"/>
      <c r="AQ39" s="136"/>
      <c r="AR39" s="136" t="str">
        <f t="shared" si="5"/>
        <v/>
      </c>
      <c r="AS39" s="136" t="str">
        <f t="shared" si="5"/>
        <v/>
      </c>
      <c r="AT39" s="5" t="str">
        <f t="shared" si="6"/>
        <v>ClientCategory,</v>
      </c>
      <c r="AV39" s="27" t="str">
        <f>IF(G39="","",+"          ["&amp;TRIM(G39)&amp;"] ["&amp;TRIM(I39)&amp;"]"&amp;IF(H39="","","("&amp;H39&amp;")")&amp;" "&amp;TRIM(J39)&amp;IF(G69="","",","))</f>
        <v xml:space="preserve">          [ClientCategory] [varchar](8) NULL</v>
      </c>
      <c r="AW39" s="27"/>
      <c r="AY39" s="122" t="str">
        <f t="shared" si="8"/>
        <v xml:space="preserve">          ClientCategory VARCHAR (8) NULL,</v>
      </c>
    </row>
    <row r="40" spans="2:51" ht="12.75">
      <c r="B40" s="20">
        <f t="shared" si="10"/>
        <v>25</v>
      </c>
      <c r="C40" s="5" t="s">
        <v>339</v>
      </c>
      <c r="D40" s="5">
        <v>8</v>
      </c>
      <c r="E40" s="5" t="s">
        <v>11</v>
      </c>
      <c r="G40" s="5" t="str">
        <f t="shared" si="13"/>
        <v>ClientType</v>
      </c>
      <c r="H40" s="117">
        <f t="shared" si="12"/>
        <v>8</v>
      </c>
      <c r="I40" s="5" t="str">
        <f t="shared" si="2"/>
        <v>varchar</v>
      </c>
      <c r="J40" s="5" t="str">
        <f t="shared" si="3"/>
        <v xml:space="preserve"> NULL</v>
      </c>
      <c r="K40" s="138" t="s">
        <v>344</v>
      </c>
      <c r="L40" s="5"/>
      <c r="M40" s="75">
        <v>9001</v>
      </c>
      <c r="N40" s="77"/>
      <c r="O40" s="26"/>
      <c r="P40" s="26"/>
      <c r="Q40" s="118">
        <f t="shared" si="4"/>
        <v>40</v>
      </c>
      <c r="R40" s="153"/>
      <c r="S40" s="138" t="s">
        <v>344</v>
      </c>
      <c r="T40" s="148"/>
      <c r="U40" s="146"/>
      <c r="V40" s="146"/>
      <c r="W40" s="139"/>
      <c r="X40" s="139"/>
      <c r="Y40" s="148"/>
      <c r="Z40" s="138" t="str">
        <f t="shared" si="9"/>
        <v>false</v>
      </c>
      <c r="AA40" s="138" t="str">
        <f t="shared" si="11"/>
        <v/>
      </c>
      <c r="AB40" s="239"/>
      <c r="AC40" s="325"/>
      <c r="AD40" s="325"/>
      <c r="AE40" s="325"/>
      <c r="AF40" s="325"/>
      <c r="AG40" s="325"/>
      <c r="AH40" s="325"/>
      <c r="AI40" s="325"/>
      <c r="AJ40" s="325"/>
      <c r="AK40" s="325"/>
      <c r="AL40" s="325"/>
      <c r="AM40" s="325"/>
      <c r="AN40" s="325"/>
      <c r="AO40" s="325"/>
      <c r="AP40" s="136"/>
      <c r="AQ40" s="136"/>
      <c r="AR40" s="136" t="str">
        <f t="shared" si="5"/>
        <v/>
      </c>
      <c r="AS40" s="136" t="str">
        <f t="shared" si="5"/>
        <v/>
      </c>
      <c r="AT40" s="5" t="str">
        <f t="shared" si="6"/>
        <v>ClientType,</v>
      </c>
      <c r="AV40" s="27" t="str">
        <f>IF(G40="","",+"          ["&amp;TRIM(G40)&amp;"] ["&amp;TRIM(I40)&amp;"]"&amp;IF(H40="","","("&amp;H40&amp;")")&amp;" "&amp;TRIM(J40)&amp;IF(G68="","",","))</f>
        <v xml:space="preserve">          [ClientType] [varchar](8) NULL</v>
      </c>
      <c r="AW40" s="27"/>
      <c r="AY40" s="122" t="str">
        <f t="shared" si="8"/>
        <v xml:space="preserve">          ClientType VARCHAR (8) NULL,</v>
      </c>
    </row>
    <row r="41" spans="2:51" ht="12.75">
      <c r="B41" s="20">
        <f t="shared" si="10"/>
        <v>26</v>
      </c>
      <c r="C41" s="5" t="s">
        <v>534</v>
      </c>
      <c r="D41" s="5">
        <v>100</v>
      </c>
      <c r="E41" s="5" t="s">
        <v>11</v>
      </c>
      <c r="G41" s="5" t="str">
        <f t="shared" si="13"/>
        <v>OtherName</v>
      </c>
      <c r="H41" s="117">
        <f t="shared" si="12"/>
        <v>100</v>
      </c>
      <c r="I41" s="5" t="str">
        <f t="shared" si="2"/>
        <v>varchar</v>
      </c>
      <c r="J41" s="5" t="str">
        <f t="shared" si="3"/>
        <v xml:space="preserve"> NULL</v>
      </c>
      <c r="K41" s="138" t="s">
        <v>554</v>
      </c>
      <c r="L41" s="5"/>
      <c r="M41" s="75">
        <v>7</v>
      </c>
      <c r="N41" s="77"/>
      <c r="O41" s="26"/>
      <c r="P41" s="26"/>
      <c r="Q41" s="118">
        <f t="shared" si="4"/>
        <v>41</v>
      </c>
      <c r="R41" s="153"/>
      <c r="S41" s="138" t="s">
        <v>554</v>
      </c>
      <c r="T41" s="148"/>
      <c r="U41" s="146"/>
      <c r="V41" s="146"/>
      <c r="W41" s="139"/>
      <c r="X41" s="139"/>
      <c r="Y41" s="148"/>
      <c r="Z41" s="138" t="str">
        <f t="shared" si="9"/>
        <v/>
      </c>
      <c r="AA41" s="138" t="str">
        <f t="shared" si="11"/>
        <v/>
      </c>
      <c r="AB41" s="239"/>
      <c r="AC41" s="325"/>
      <c r="AD41" s="325"/>
      <c r="AE41" s="325"/>
      <c r="AF41" s="325"/>
      <c r="AG41" s="325"/>
      <c r="AH41" s="325"/>
      <c r="AI41" s="325"/>
      <c r="AJ41" s="325"/>
      <c r="AK41" s="325"/>
      <c r="AL41" s="325"/>
      <c r="AM41" s="325"/>
      <c r="AN41" s="325"/>
      <c r="AO41" s="325"/>
      <c r="AP41" s="136"/>
      <c r="AQ41" s="136"/>
      <c r="AR41" s="136" t="str">
        <f t="shared" si="5"/>
        <v/>
      </c>
      <c r="AS41" s="136" t="str">
        <f t="shared" si="5"/>
        <v/>
      </c>
      <c r="AT41" s="5" t="str">
        <f t="shared" si="6"/>
        <v>OtherName,</v>
      </c>
      <c r="AV41" s="27" t="str">
        <f>IF(G41="","",+"          ["&amp;TRIM(G41)&amp;"] ["&amp;TRIM(I41)&amp;"]"&amp;IF(H41="","","("&amp;H41&amp;")")&amp;" "&amp;TRIM(J41)&amp;IF(G42="","",","))</f>
        <v xml:space="preserve">          [OtherName] [varchar](100) NULL,</v>
      </c>
      <c r="AW41" s="27"/>
      <c r="AY41" s="122" t="str">
        <f t="shared" si="8"/>
        <v xml:space="preserve">          OtherName VARCHAR (100) NULL,</v>
      </c>
    </row>
    <row r="42" spans="2:51" ht="12.75">
      <c r="B42" s="20">
        <f t="shared" si="10"/>
        <v>27</v>
      </c>
      <c r="C42" s="5" t="s">
        <v>535</v>
      </c>
      <c r="D42" s="5"/>
      <c r="E42" s="5" t="s">
        <v>12</v>
      </c>
      <c r="G42" s="5" t="str">
        <f t="shared" si="13"/>
        <v>CreationDate</v>
      </c>
      <c r="H42" s="117" t="str">
        <f t="shared" si="12"/>
        <v/>
      </c>
      <c r="I42" s="5" t="str">
        <f t="shared" si="2"/>
        <v>datetime</v>
      </c>
      <c r="J42" s="5" t="str">
        <f>IF(C42=0,"",(IF(ISERROR(VLOOKUP(G42,$D$120:$D$127,1,FALSE)),""," NOT")&amp;" NULL"))</f>
        <v xml:space="preserve"> NULL</v>
      </c>
      <c r="K42" s="138" t="s">
        <v>555</v>
      </c>
      <c r="L42" s="5"/>
      <c r="M42" s="75">
        <v>8</v>
      </c>
      <c r="N42" s="77"/>
      <c r="O42" s="26"/>
      <c r="P42" s="26"/>
      <c r="Q42" s="118">
        <f t="shared" si="4"/>
        <v>42</v>
      </c>
      <c r="R42" s="153"/>
      <c r="S42" s="138" t="s">
        <v>555</v>
      </c>
      <c r="T42" s="148"/>
      <c r="U42" s="146" t="s">
        <v>373</v>
      </c>
      <c r="V42" s="146" t="s">
        <v>433</v>
      </c>
      <c r="W42" s="139"/>
      <c r="X42" s="139"/>
      <c r="Y42" s="148"/>
      <c r="Z42" s="138" t="str">
        <f t="shared" si="9"/>
        <v/>
      </c>
      <c r="AA42" s="138" t="str">
        <f t="shared" si="11"/>
        <v/>
      </c>
      <c r="AB42" s="239"/>
      <c r="AC42" s="325"/>
      <c r="AD42" s="325"/>
      <c r="AE42" s="325"/>
      <c r="AF42" s="325"/>
      <c r="AG42" s="325"/>
      <c r="AH42" s="325"/>
      <c r="AI42" s="325"/>
      <c r="AJ42" s="325"/>
      <c r="AK42" s="325"/>
      <c r="AL42" s="325"/>
      <c r="AM42" s="325"/>
      <c r="AN42" s="325"/>
      <c r="AO42" s="325"/>
      <c r="AP42" s="136"/>
      <c r="AQ42" s="136"/>
      <c r="AR42" s="136" t="str">
        <f t="shared" si="5"/>
        <v/>
      </c>
      <c r="AS42" s="136" t="str">
        <f t="shared" si="5"/>
        <v/>
      </c>
      <c r="AT42" s="5" t="str">
        <f t="shared" si="6"/>
        <v>CreationDate,</v>
      </c>
      <c r="AV42" s="27" t="str">
        <f>IF(G42="","",+"          ["&amp;TRIM(G42)&amp;"] ["&amp;TRIM(I42)&amp;"]"&amp;IF(H42="","","("&amp;H42&amp;")")&amp;" "&amp;TRIM(J42)&amp;IF(G45="","",","))</f>
        <v xml:space="preserve">          [CreationDate] [datetime] NULL,</v>
      </c>
      <c r="AW42" s="27"/>
      <c r="AY42" s="122" t="str">
        <f t="shared" si="8"/>
        <v xml:space="preserve">          CreationDate DATETIME NULL,</v>
      </c>
    </row>
    <row r="43" spans="2:51" ht="12.75">
      <c r="B43" s="20">
        <f t="shared" si="10"/>
        <v>28</v>
      </c>
      <c r="C43" s="5" t="s">
        <v>536</v>
      </c>
      <c r="D43" s="5">
        <v>8</v>
      </c>
      <c r="E43" s="5" t="s">
        <v>11</v>
      </c>
      <c r="G43" s="5" t="str">
        <f t="shared" si="13"/>
        <v>HistoryCategory</v>
      </c>
      <c r="H43" s="117">
        <f t="shared" si="12"/>
        <v>8</v>
      </c>
      <c r="I43" s="5" t="str">
        <f t="shared" si="2"/>
        <v>varchar</v>
      </c>
      <c r="J43" s="5" t="str">
        <f t="shared" si="3"/>
        <v xml:space="preserve"> NULL</v>
      </c>
      <c r="K43" s="138" t="s">
        <v>556</v>
      </c>
      <c r="L43" s="5"/>
      <c r="M43" s="75">
        <v>9001</v>
      </c>
      <c r="N43" s="77"/>
      <c r="O43" s="26"/>
      <c r="P43" s="26"/>
      <c r="Q43" s="118">
        <f t="shared" si="4"/>
        <v>43</v>
      </c>
      <c r="R43" s="153"/>
      <c r="S43" s="138" t="s">
        <v>556</v>
      </c>
      <c r="T43" s="148"/>
      <c r="U43" s="146"/>
      <c r="V43" s="146"/>
      <c r="W43" s="139"/>
      <c r="X43" s="139"/>
      <c r="Y43" s="148"/>
      <c r="Z43" s="138" t="str">
        <f t="shared" si="9"/>
        <v>false</v>
      </c>
      <c r="AA43" s="138" t="str">
        <f t="shared" si="11"/>
        <v/>
      </c>
      <c r="AB43" s="239"/>
      <c r="AC43" s="325"/>
      <c r="AD43" s="325"/>
      <c r="AE43" s="325"/>
      <c r="AF43" s="325"/>
      <c r="AG43" s="325"/>
      <c r="AH43" s="325"/>
      <c r="AI43" s="325"/>
      <c r="AJ43" s="325"/>
      <c r="AK43" s="325"/>
      <c r="AL43" s="325"/>
      <c r="AM43" s="325"/>
      <c r="AN43" s="325"/>
      <c r="AO43" s="325"/>
      <c r="AP43" s="136"/>
      <c r="AQ43" s="136"/>
      <c r="AR43" s="136" t="str">
        <f t="shared" si="5"/>
        <v/>
      </c>
      <c r="AS43" s="136" t="str">
        <f t="shared" si="5"/>
        <v/>
      </c>
      <c r="AT43" s="5" t="str">
        <f t="shared" si="6"/>
        <v>HistoryCategory,</v>
      </c>
      <c r="AV43" s="27" t="str">
        <f>IF(G43="","",+"          ["&amp;TRIM(G43)&amp;"] ["&amp;TRIM(I43)&amp;"]"&amp;IF(H43="","","("&amp;H43&amp;")")&amp;" "&amp;TRIM(J43)&amp;IF(G44="","",","))</f>
        <v xml:space="preserve">          [HistoryCategory] [varchar](8) NULL,</v>
      </c>
      <c r="AW43" s="27"/>
      <c r="AY43" s="122" t="str">
        <f t="shared" si="8"/>
        <v xml:space="preserve">          HistoryCategory VARCHAR (8) NULL,</v>
      </c>
    </row>
    <row r="44" spans="2:51" ht="12.75">
      <c r="B44" s="20">
        <f t="shared" si="10"/>
        <v>29</v>
      </c>
      <c r="C44" s="5" t="s">
        <v>537</v>
      </c>
      <c r="D44" s="5">
        <v>8</v>
      </c>
      <c r="E44" s="5" t="s">
        <v>11</v>
      </c>
      <c r="G44" s="5" t="str">
        <f t="shared" si="13"/>
        <v>NewClient</v>
      </c>
      <c r="H44" s="117">
        <f t="shared" si="12"/>
        <v>8</v>
      </c>
      <c r="I44" s="5" t="str">
        <f t="shared" si="2"/>
        <v>varchar</v>
      </c>
      <c r="J44" s="5" t="str">
        <f t="shared" si="3"/>
        <v xml:space="preserve"> NULL</v>
      </c>
      <c r="K44" s="138" t="s">
        <v>557</v>
      </c>
      <c r="L44" s="5"/>
      <c r="M44" s="75">
        <v>9001</v>
      </c>
      <c r="N44" s="77"/>
      <c r="O44" s="26"/>
      <c r="P44" s="26"/>
      <c r="Q44" s="118">
        <f t="shared" si="4"/>
        <v>44</v>
      </c>
      <c r="R44" s="153"/>
      <c r="S44" s="138" t="s">
        <v>557</v>
      </c>
      <c r="T44" s="148"/>
      <c r="U44" s="146"/>
      <c r="V44" s="146"/>
      <c r="W44" s="139"/>
      <c r="X44" s="139"/>
      <c r="Y44" s="148"/>
      <c r="Z44" s="138" t="str">
        <f t="shared" si="9"/>
        <v>false</v>
      </c>
      <c r="AA44" s="138" t="str">
        <f t="shared" si="11"/>
        <v/>
      </c>
      <c r="AB44" s="239"/>
      <c r="AC44" s="325"/>
      <c r="AD44" s="325"/>
      <c r="AE44" s="325"/>
      <c r="AF44" s="325"/>
      <c r="AG44" s="325"/>
      <c r="AH44" s="325"/>
      <c r="AI44" s="325"/>
      <c r="AJ44" s="325"/>
      <c r="AK44" s="325"/>
      <c r="AL44" s="325"/>
      <c r="AM44" s="325"/>
      <c r="AN44" s="325"/>
      <c r="AO44" s="325"/>
      <c r="AP44" s="136"/>
      <c r="AQ44" s="136"/>
      <c r="AR44" s="136" t="str">
        <f t="shared" si="5"/>
        <v/>
      </c>
      <c r="AS44" s="136" t="str">
        <f t="shared" si="5"/>
        <v/>
      </c>
      <c r="AT44" s="5" t="str">
        <f t="shared" si="6"/>
        <v>NewClient,</v>
      </c>
      <c r="AV44" s="27" t="str">
        <f>IF(G44="","",+"          ["&amp;TRIM(G44)&amp;"] ["&amp;TRIM(I44)&amp;"]"&amp;IF(H44="","","("&amp;H44&amp;")")&amp;" "&amp;TRIM(J44)&amp;IF(G45="","",","))</f>
        <v xml:space="preserve">          [NewClient] [varchar](8) NULL,</v>
      </c>
      <c r="AW44" s="27"/>
      <c r="AY44" s="122" t="str">
        <f t="shared" si="8"/>
        <v xml:space="preserve">          NewClient VARCHAR (8) NULL,</v>
      </c>
    </row>
    <row r="45" spans="2:51" ht="12.75">
      <c r="B45" s="20">
        <f t="shared" si="10"/>
        <v>30</v>
      </c>
      <c r="C45" s="5" t="s">
        <v>538</v>
      </c>
      <c r="D45" s="5">
        <v>40</v>
      </c>
      <c r="E45" s="5" t="s">
        <v>11</v>
      </c>
      <c r="G45" s="5" t="str">
        <f t="shared" si="13"/>
        <v>InternetAddress</v>
      </c>
      <c r="H45" s="117">
        <f t="shared" si="12"/>
        <v>40</v>
      </c>
      <c r="I45" s="5" t="str">
        <f t="shared" si="2"/>
        <v>varchar</v>
      </c>
      <c r="J45" s="5" t="str">
        <f t="shared" si="3"/>
        <v xml:space="preserve"> NULL</v>
      </c>
      <c r="K45" s="138" t="s">
        <v>558</v>
      </c>
      <c r="L45" s="5"/>
      <c r="M45" s="75">
        <v>9001</v>
      </c>
      <c r="N45" s="77"/>
      <c r="O45" s="26"/>
      <c r="P45" s="26"/>
      <c r="Q45" s="118">
        <f t="shared" si="4"/>
        <v>45</v>
      </c>
      <c r="R45" s="153"/>
      <c r="S45" s="138" t="s">
        <v>558</v>
      </c>
      <c r="T45" s="148"/>
      <c r="U45" s="146"/>
      <c r="V45" s="146"/>
      <c r="W45" s="139"/>
      <c r="X45" s="139"/>
      <c r="Y45" s="148"/>
      <c r="Z45" s="138" t="str">
        <f t="shared" si="9"/>
        <v>false</v>
      </c>
      <c r="AA45" s="138" t="str">
        <f t="shared" si="11"/>
        <v/>
      </c>
      <c r="AB45" s="239"/>
      <c r="AC45" s="325"/>
      <c r="AD45" s="325"/>
      <c r="AE45" s="325"/>
      <c r="AF45" s="325"/>
      <c r="AG45" s="325"/>
      <c r="AH45" s="325"/>
      <c r="AI45" s="325"/>
      <c r="AJ45" s="325"/>
      <c r="AK45" s="325"/>
      <c r="AL45" s="325"/>
      <c r="AM45" s="325"/>
      <c r="AN45" s="325"/>
      <c r="AO45" s="325"/>
      <c r="AP45" s="136"/>
      <c r="AQ45" s="136"/>
      <c r="AR45" s="136" t="str">
        <f t="shared" si="5"/>
        <v/>
      </c>
      <c r="AS45" s="136" t="str">
        <f t="shared" si="5"/>
        <v/>
      </c>
      <c r="AT45" s="5" t="str">
        <f t="shared" si="6"/>
        <v>InternetAddress,</v>
      </c>
      <c r="AV45" s="27" t="str">
        <f>IF(G45="","",+"          ["&amp;TRIM(G45)&amp;"] ["&amp;TRIM(I45)&amp;"]"&amp;IF(H45="","","("&amp;H45&amp;")")&amp;" "&amp;TRIM(J45)&amp;IF(G54="","",","))</f>
        <v xml:space="preserve">          [InternetAddress] [varchar](40) NULL,</v>
      </c>
      <c r="AW45" s="27"/>
      <c r="AY45" s="122" t="str">
        <f t="shared" si="8"/>
        <v xml:space="preserve">          InternetAddress VARCHAR (40) NULL,</v>
      </c>
    </row>
    <row r="46" spans="2:51" ht="12.75">
      <c r="B46" s="20">
        <f t="shared" si="10"/>
        <v>31</v>
      </c>
      <c r="C46" s="5" t="s">
        <v>539</v>
      </c>
      <c r="D46" s="5">
        <v>5</v>
      </c>
      <c r="E46" s="5" t="s">
        <v>11</v>
      </c>
      <c r="G46" s="5" t="str">
        <f>SUBSTITUTE(SUBSTITUTE(SUBSTITUTE(SUBSTITUTE(SUBSTITUTE(SUBSTITUTE(SUBSTITUTE(SUBSTITUTE(SUBSTITUTE(C46," ",""),".",""),"#","No"),"%",""),"(",""),"*",""),"-",""),"/",""),")","")</f>
        <v>ShortName</v>
      </c>
      <c r="H46" s="117">
        <f t="shared" si="12"/>
        <v>5</v>
      </c>
      <c r="I46" s="5" t="str">
        <f>IF(E46=0,"",+E46)</f>
        <v>varchar</v>
      </c>
      <c r="J46" s="5" t="str">
        <f>IF(C46=0,"",(IF(ISERROR(VLOOKUP(G46,$D$120:$D$127,1,FALSE)),""," NOT")&amp;" NULL"))</f>
        <v xml:space="preserve"> NULL</v>
      </c>
      <c r="K46" s="138" t="s">
        <v>474</v>
      </c>
      <c r="L46" s="5"/>
      <c r="M46" s="75">
        <v>9001</v>
      </c>
      <c r="N46" s="77"/>
      <c r="O46" s="26"/>
      <c r="P46" s="26"/>
      <c r="Q46" s="118">
        <f>IF(M46=0,"",ROW())</f>
        <v>46</v>
      </c>
      <c r="R46" s="153"/>
      <c r="S46" s="138" t="s">
        <v>474</v>
      </c>
      <c r="T46" s="148"/>
      <c r="U46" s="146"/>
      <c r="V46" s="146"/>
      <c r="W46" s="139"/>
      <c r="X46" s="139"/>
      <c r="Y46" s="148"/>
      <c r="Z46" s="138" t="str">
        <f t="shared" si="9"/>
        <v>false</v>
      </c>
      <c r="AA46" s="138" t="str">
        <f t="shared" si="11"/>
        <v/>
      </c>
      <c r="AB46" s="239"/>
      <c r="AC46" s="325"/>
      <c r="AD46" s="325"/>
      <c r="AE46" s="325"/>
      <c r="AF46" s="325"/>
      <c r="AG46" s="325"/>
      <c r="AH46" s="325"/>
      <c r="AI46" s="325"/>
      <c r="AJ46" s="325"/>
      <c r="AK46" s="325"/>
      <c r="AL46" s="325"/>
      <c r="AM46" s="325"/>
      <c r="AN46" s="325"/>
      <c r="AO46" s="325"/>
      <c r="AP46" s="136"/>
      <c r="AQ46" s="136"/>
      <c r="AR46" s="136" t="str">
        <f t="shared" si="5"/>
        <v/>
      </c>
      <c r="AS46" s="136" t="str">
        <f t="shared" si="5"/>
        <v/>
      </c>
      <c r="AT46" s="5" t="str">
        <f t="shared" si="6"/>
        <v>ShortName,</v>
      </c>
      <c r="AV46" s="27" t="str">
        <f>IF(G46="","",+"          ["&amp;TRIM(G46)&amp;"] ["&amp;TRIM(I46)&amp;"]"&amp;IF(H46="","","("&amp;H46&amp;")")&amp;" "&amp;TRIM(J46)&amp;IF(G47="","",","))</f>
        <v xml:space="preserve">          [ShortName] [varchar](5) NULL,</v>
      </c>
      <c r="AW46" s="27"/>
      <c r="AY46" s="122" t="str">
        <f t="shared" si="8"/>
        <v xml:space="preserve">          ShortName VARCHAR (5) NULL,</v>
      </c>
    </row>
    <row r="47" spans="2:51" ht="12.75">
      <c r="B47" s="20">
        <f t="shared" si="10"/>
        <v>32</v>
      </c>
      <c r="C47" s="5" t="s">
        <v>540</v>
      </c>
      <c r="D47" s="5">
        <v>7</v>
      </c>
      <c r="E47" s="5" t="s">
        <v>11</v>
      </c>
      <c r="G47" s="5" t="str">
        <f>SUBSTITUTE(SUBSTITUTE(SUBSTITUTE(SUBSTITUTE(SUBSTITUTE(SUBSTITUTE(SUBSTITUTE(SUBSTITUTE(SUBSTITUTE(C47," ",""),".",""),"#","No"),"%",""),"(",""),"*",""),"-",""),"/",""),")","")</f>
        <v>RunningNumber</v>
      </c>
      <c r="H47" s="117">
        <f t="shared" si="12"/>
        <v>7</v>
      </c>
      <c r="I47" s="5" t="str">
        <f>IF(E47=0,"",+E47)</f>
        <v>varchar</v>
      </c>
      <c r="J47" s="5" t="str">
        <f>IF(C47=0,"",(IF(ISERROR(VLOOKUP(G47,$D$120:$D$127,1,FALSE)),""," NOT")&amp;" NULL"))</f>
        <v xml:space="preserve"> NULL</v>
      </c>
      <c r="K47" s="138" t="s">
        <v>559</v>
      </c>
      <c r="L47" s="5"/>
      <c r="M47" s="75">
        <v>9001</v>
      </c>
      <c r="N47" s="77"/>
      <c r="O47" s="26"/>
      <c r="P47" s="26"/>
      <c r="Q47" s="118">
        <f>IF(M47=0,"",ROW())</f>
        <v>47</v>
      </c>
      <c r="R47" s="153"/>
      <c r="S47" s="138" t="s">
        <v>559</v>
      </c>
      <c r="T47" s="148"/>
      <c r="U47" s="146"/>
      <c r="V47" s="146"/>
      <c r="W47" s="139"/>
      <c r="X47" s="139"/>
      <c r="Y47" s="148"/>
      <c r="Z47" s="138" t="str">
        <f t="shared" si="9"/>
        <v>false</v>
      </c>
      <c r="AA47" s="138" t="str">
        <f t="shared" si="11"/>
        <v/>
      </c>
      <c r="AB47" s="239"/>
      <c r="AC47" s="325"/>
      <c r="AD47" s="325"/>
      <c r="AE47" s="325"/>
      <c r="AF47" s="325"/>
      <c r="AG47" s="325"/>
      <c r="AH47" s="325"/>
      <c r="AI47" s="325"/>
      <c r="AJ47" s="325"/>
      <c r="AK47" s="325"/>
      <c r="AL47" s="325"/>
      <c r="AM47" s="325"/>
      <c r="AN47" s="325"/>
      <c r="AO47" s="325"/>
      <c r="AP47" s="136"/>
      <c r="AQ47" s="136"/>
      <c r="AR47" s="136" t="str">
        <f t="shared" si="5"/>
        <v/>
      </c>
      <c r="AS47" s="136" t="str">
        <f t="shared" si="5"/>
        <v/>
      </c>
      <c r="AT47" s="5" t="str">
        <f t="shared" si="6"/>
        <v>RunningNumber,</v>
      </c>
      <c r="AV47" s="27" t="str">
        <f>IF(G47="","",+"          ["&amp;TRIM(G47)&amp;"] ["&amp;TRIM(I47)&amp;"]"&amp;IF(H47="","","("&amp;H47&amp;")")&amp;" "&amp;TRIM(J47)&amp;IF(G48="","",","))</f>
        <v xml:space="preserve">          [RunningNumber] [varchar](7) NULL,</v>
      </c>
      <c r="AW47" s="27"/>
      <c r="AY47" s="122" t="str">
        <f t="shared" si="8"/>
        <v xml:space="preserve">          RunningNumber VARCHAR (7) NULL,</v>
      </c>
    </row>
    <row r="48" spans="2:51" ht="12.75">
      <c r="B48" s="20">
        <f t="shared" si="10"/>
        <v>33</v>
      </c>
      <c r="C48" s="5" t="s">
        <v>541</v>
      </c>
      <c r="D48" s="5">
        <v>30</v>
      </c>
      <c r="E48" s="5" t="s">
        <v>11</v>
      </c>
      <c r="G48" s="5" t="str">
        <f>SUBSTITUTE(SUBSTITUTE(SUBSTITUTE(SUBSTITUTE(SUBSTITUTE(SUBSTITUTE(SUBSTITUTE(SUBSTITUTE(SUBSTITUTE(C48," ",""),".",""),"#","No"),"%",""),"(",""),"*",""),"-",""),"/",""),")","")</f>
        <v>ContactFinance</v>
      </c>
      <c r="H48" s="117">
        <f t="shared" si="12"/>
        <v>30</v>
      </c>
      <c r="I48" s="5" t="str">
        <f>IF(E48=0,"",+E48)</f>
        <v>varchar</v>
      </c>
      <c r="J48" s="5" t="str">
        <f>IF(C48=0,"",(IF(ISERROR(VLOOKUP(G48,$D$120:$D$127,1,FALSE)),""," NOT")&amp;" NULL"))</f>
        <v xml:space="preserve"> NULL</v>
      </c>
      <c r="K48" s="138" t="s">
        <v>480</v>
      </c>
      <c r="L48" s="5"/>
      <c r="M48" s="75">
        <v>9001</v>
      </c>
      <c r="N48" s="77"/>
      <c r="O48" s="26"/>
      <c r="P48" s="26"/>
      <c r="Q48" s="118">
        <f>IF(M48=0,"",ROW())</f>
        <v>48</v>
      </c>
      <c r="R48" s="153"/>
      <c r="S48" s="138" t="s">
        <v>480</v>
      </c>
      <c r="T48" s="148"/>
      <c r="U48" s="146"/>
      <c r="V48" s="146"/>
      <c r="W48" s="139"/>
      <c r="X48" s="139"/>
      <c r="Y48" s="148"/>
      <c r="Z48" s="138" t="str">
        <f t="shared" si="9"/>
        <v>false</v>
      </c>
      <c r="AA48" s="138" t="str">
        <f t="shared" si="11"/>
        <v/>
      </c>
      <c r="AB48" s="239"/>
      <c r="AC48" s="325"/>
      <c r="AD48" s="325"/>
      <c r="AE48" s="325"/>
      <c r="AF48" s="325"/>
      <c r="AG48" s="325"/>
      <c r="AH48" s="325"/>
      <c r="AI48" s="325"/>
      <c r="AJ48" s="325"/>
      <c r="AK48" s="325"/>
      <c r="AL48" s="325"/>
      <c r="AM48" s="325"/>
      <c r="AN48" s="325"/>
      <c r="AO48" s="325"/>
      <c r="AP48" s="136"/>
      <c r="AQ48" s="136"/>
      <c r="AR48" s="136" t="str">
        <f t="shared" ref="AR48:AS79" si="14">IF(O48=0,"",ROW())</f>
        <v/>
      </c>
      <c r="AS48" s="136" t="str">
        <f t="shared" si="14"/>
        <v/>
      </c>
      <c r="AT48" s="5" t="str">
        <f t="shared" ref="AT48:AT79" si="15">IF(C48="","",C48&amp;IF(B49="","",","))</f>
        <v>ContactFinance,</v>
      </c>
      <c r="AV48" s="27" t="str">
        <f>IF(G48="","",+"          ["&amp;TRIM(G48)&amp;"] ["&amp;TRIM(I48)&amp;"]"&amp;IF(H48="","","("&amp;H48&amp;")")&amp;" "&amp;TRIM(J48)&amp;IF(G96="","",","))</f>
        <v xml:space="preserve">          [ContactFinance] [varchar](30) NULL</v>
      </c>
      <c r="AW48" s="27"/>
      <c r="AY48" s="122" t="str">
        <f t="shared" si="8"/>
        <v xml:space="preserve">          ContactFinance VARCHAR (30) NULL,</v>
      </c>
    </row>
    <row r="49" spans="2:51" ht="12.75">
      <c r="B49" s="20">
        <f t="shared" si="10"/>
        <v>34</v>
      </c>
      <c r="C49" s="5" t="s">
        <v>467</v>
      </c>
      <c r="D49" s="5">
        <v>15</v>
      </c>
      <c r="E49" s="5" t="s">
        <v>11</v>
      </c>
      <c r="G49" s="5" t="str">
        <f>SUBSTITUTE(SUBSTITUTE(SUBSTITUTE(SUBSTITUTE(SUBSTITUTE(SUBSTITUTE(SUBSTITUTE(SUBSTITUTE(SUBSTITUTE(C49," ",""),".",""),"#","No"),"%",""),"(",""),"*",""),"-",""),"/",""),")","")</f>
        <v>PhoneFinance</v>
      </c>
      <c r="H49" s="117">
        <f t="shared" si="12"/>
        <v>15</v>
      </c>
      <c r="I49" s="5" t="str">
        <f>IF(E49=0,"",+E49)</f>
        <v>varchar</v>
      </c>
      <c r="J49" s="5" t="str">
        <f>IF(C49=0,"",(IF(ISERROR(VLOOKUP(G49,$D$120:$D$127,1,FALSE)),""," NOT")&amp;" NULL"))</f>
        <v xml:space="preserve"> NULL</v>
      </c>
      <c r="K49" s="138" t="s">
        <v>484</v>
      </c>
      <c r="L49" s="5"/>
      <c r="M49" s="75">
        <v>9001</v>
      </c>
      <c r="N49" s="77"/>
      <c r="O49" s="26"/>
      <c r="P49" s="26"/>
      <c r="Q49" s="118">
        <f>IF(M49=0,"",ROW())</f>
        <v>49</v>
      </c>
      <c r="R49" s="153"/>
      <c r="S49" s="138" t="s">
        <v>484</v>
      </c>
      <c r="T49" s="148"/>
      <c r="U49" s="146"/>
      <c r="V49" s="146"/>
      <c r="W49" s="139"/>
      <c r="X49" s="139"/>
      <c r="Y49" s="148"/>
      <c r="Z49" s="138" t="str">
        <f t="shared" si="9"/>
        <v>false</v>
      </c>
      <c r="AA49" s="138" t="str">
        <f t="shared" si="11"/>
        <v/>
      </c>
      <c r="AB49" s="239"/>
      <c r="AC49" s="325"/>
      <c r="AD49" s="325"/>
      <c r="AE49" s="325"/>
      <c r="AF49" s="325"/>
      <c r="AG49" s="325"/>
      <c r="AH49" s="325"/>
      <c r="AI49" s="325"/>
      <c r="AJ49" s="325"/>
      <c r="AK49" s="325"/>
      <c r="AL49" s="325"/>
      <c r="AM49" s="325"/>
      <c r="AN49" s="325"/>
      <c r="AO49" s="325"/>
      <c r="AP49" s="136"/>
      <c r="AQ49" s="136"/>
      <c r="AR49" s="136" t="str">
        <f t="shared" si="14"/>
        <v/>
      </c>
      <c r="AS49" s="136" t="str">
        <f t="shared" si="14"/>
        <v/>
      </c>
      <c r="AT49" s="5" t="str">
        <f t="shared" si="15"/>
        <v>PhoneFinance,</v>
      </c>
      <c r="AV49" s="27" t="str">
        <f>IF(G49="","",+"          ["&amp;TRIM(G49)&amp;"] ["&amp;TRIM(I49)&amp;"]"&amp;IF(H49="","","("&amp;H49&amp;")")&amp;" "&amp;TRIM(J49)&amp;IF(G95="","",","))</f>
        <v xml:space="preserve">          [PhoneFinance] [varchar](15) NULL</v>
      </c>
      <c r="AW49" s="27"/>
      <c r="AY49" s="122" t="str">
        <f t="shared" si="8"/>
        <v xml:space="preserve">          PhoneFinance VARCHAR (15) NULL,</v>
      </c>
    </row>
    <row r="50" spans="2:51" ht="12.75">
      <c r="B50" s="20">
        <f t="shared" si="10"/>
        <v>35</v>
      </c>
      <c r="C50" s="5" t="s">
        <v>469</v>
      </c>
      <c r="D50" s="5">
        <v>30</v>
      </c>
      <c r="E50" s="5" t="s">
        <v>11</v>
      </c>
      <c r="G50" s="5" t="str">
        <f t="shared" ref="G50:G93" si="16">SUBSTITUTE(SUBSTITUTE(SUBSTITUTE(SUBSTITUTE(SUBSTITUTE(SUBSTITUTE(SUBSTITUTE(SUBSTITUTE(SUBSTITUTE(C50," ",""),".",""),"#","No"),"%",""),"(",""),"*",""),"-",""),"/",""),")","")</f>
        <v>FaxFinance</v>
      </c>
      <c r="H50" s="117">
        <f t="shared" si="12"/>
        <v>30</v>
      </c>
      <c r="I50" s="5" t="str">
        <f t="shared" ref="I50:I93" si="17">IF(E50=0,"",+E50)</f>
        <v>varchar</v>
      </c>
      <c r="J50" s="5" t="str">
        <f t="shared" ref="J50:J93" si="18">IF(C50=0,"",(IF(ISERROR(VLOOKUP(G50,$D$120:$D$127,1,FALSE)),""," NOT")&amp;" NULL"))</f>
        <v xml:space="preserve"> NULL</v>
      </c>
      <c r="K50" s="138" t="s">
        <v>486</v>
      </c>
      <c r="L50" s="5"/>
      <c r="M50" s="75">
        <v>9001</v>
      </c>
      <c r="N50" s="77"/>
      <c r="O50" s="26"/>
      <c r="P50" s="26"/>
      <c r="Q50" s="118">
        <f t="shared" ref="Q50:Q93" si="19">IF(M50=0,"",ROW())</f>
        <v>50</v>
      </c>
      <c r="R50" s="153"/>
      <c r="S50" s="138" t="s">
        <v>486</v>
      </c>
      <c r="T50" s="148"/>
      <c r="U50" s="146"/>
      <c r="V50" s="146"/>
      <c r="W50" s="139"/>
      <c r="X50" s="139"/>
      <c r="Y50" s="148"/>
      <c r="Z50" s="138" t="str">
        <f t="shared" si="9"/>
        <v>false</v>
      </c>
      <c r="AA50" s="138" t="str">
        <f t="shared" si="11"/>
        <v/>
      </c>
      <c r="AB50" s="239"/>
      <c r="AC50" s="325"/>
      <c r="AD50" s="325"/>
      <c r="AE50" s="325"/>
      <c r="AF50" s="325"/>
      <c r="AG50" s="325"/>
      <c r="AH50" s="325"/>
      <c r="AI50" s="325"/>
      <c r="AJ50" s="325"/>
      <c r="AK50" s="325"/>
      <c r="AL50" s="325"/>
      <c r="AM50" s="325"/>
      <c r="AN50" s="325"/>
      <c r="AO50" s="325"/>
      <c r="AP50" s="136"/>
      <c r="AQ50" s="136"/>
      <c r="AR50" s="136" t="str">
        <f t="shared" si="14"/>
        <v/>
      </c>
      <c r="AS50" s="136" t="str">
        <f t="shared" si="14"/>
        <v/>
      </c>
      <c r="AT50" s="5" t="str">
        <f t="shared" si="15"/>
        <v>FaxFinance,</v>
      </c>
      <c r="AV50" s="27" t="str">
        <f>IF(G50="","",+"          ["&amp;TRIM(G50)&amp;"] ["&amp;TRIM(I50)&amp;"]"&amp;IF(H50="","","("&amp;H50&amp;")")&amp;" "&amp;TRIM(J50)&amp;IF(G51="","",","))</f>
        <v xml:space="preserve">          [FaxFinance] [varchar](30) NULL,</v>
      </c>
      <c r="AW50" s="27"/>
      <c r="AY50" s="122" t="str">
        <f t="shared" si="8"/>
        <v xml:space="preserve">          FaxFinance VARCHAR (30) NULL,</v>
      </c>
    </row>
    <row r="51" spans="2:51" ht="12.75">
      <c r="B51" s="20">
        <f t="shared" si="10"/>
        <v>36</v>
      </c>
      <c r="C51" s="5" t="s">
        <v>542</v>
      </c>
      <c r="D51" s="5">
        <v>50</v>
      </c>
      <c r="E51" s="5" t="s">
        <v>11</v>
      </c>
      <c r="G51" s="5" t="str">
        <f t="shared" si="16"/>
        <v>TaxName</v>
      </c>
      <c r="H51" s="117">
        <f t="shared" si="12"/>
        <v>50</v>
      </c>
      <c r="I51" s="5" t="str">
        <f t="shared" si="17"/>
        <v>varchar</v>
      </c>
      <c r="J51" s="5" t="str">
        <f t="shared" si="18"/>
        <v xml:space="preserve"> NULL</v>
      </c>
      <c r="K51" s="138" t="s">
        <v>560</v>
      </c>
      <c r="L51" s="5"/>
      <c r="M51" s="75">
        <v>9001</v>
      </c>
      <c r="N51" s="77"/>
      <c r="O51" s="26"/>
      <c r="P51" s="26"/>
      <c r="Q51" s="118">
        <f t="shared" si="19"/>
        <v>51</v>
      </c>
      <c r="R51" s="153"/>
      <c r="S51" s="138" t="s">
        <v>560</v>
      </c>
      <c r="T51" s="148"/>
      <c r="U51" s="146"/>
      <c r="V51" s="146"/>
      <c r="W51" s="139"/>
      <c r="X51" s="139"/>
      <c r="Y51" s="148"/>
      <c r="Z51" s="138" t="str">
        <f t="shared" si="9"/>
        <v>false</v>
      </c>
      <c r="AA51" s="138" t="str">
        <f t="shared" si="11"/>
        <v/>
      </c>
      <c r="AB51" s="239"/>
      <c r="AC51" s="325"/>
      <c r="AD51" s="325"/>
      <c r="AE51" s="325"/>
      <c r="AF51" s="325"/>
      <c r="AG51" s="325"/>
      <c r="AH51" s="325"/>
      <c r="AI51" s="325"/>
      <c r="AJ51" s="325"/>
      <c r="AK51" s="325"/>
      <c r="AL51" s="325"/>
      <c r="AM51" s="325"/>
      <c r="AN51" s="325"/>
      <c r="AO51" s="325"/>
      <c r="AP51" s="136"/>
      <c r="AQ51" s="136"/>
      <c r="AR51" s="136" t="str">
        <f t="shared" si="14"/>
        <v/>
      </c>
      <c r="AS51" s="136" t="str">
        <f t="shared" si="14"/>
        <v/>
      </c>
      <c r="AT51" s="5" t="str">
        <f t="shared" si="15"/>
        <v>TaxName,</v>
      </c>
      <c r="AV51" s="27" t="str">
        <f>IF(G51="","",+"          ["&amp;TRIM(G51)&amp;"] ["&amp;TRIM(I51)&amp;"]"&amp;IF(H51="","","("&amp;H51&amp;")")&amp;" "&amp;TRIM(J51)&amp;IF(G54="","",","))</f>
        <v xml:space="preserve">          [TaxName] [varchar](50) NULL,</v>
      </c>
      <c r="AW51" s="27"/>
      <c r="AY51" s="122" t="str">
        <f t="shared" si="8"/>
        <v xml:space="preserve">          TaxName VARCHAR (50) NULL,</v>
      </c>
    </row>
    <row r="52" spans="2:51" ht="12.75">
      <c r="B52" s="20">
        <f t="shared" si="10"/>
        <v>37</v>
      </c>
      <c r="C52" s="5" t="s">
        <v>543</v>
      </c>
      <c r="D52" s="5">
        <v>35</v>
      </c>
      <c r="E52" s="5" t="s">
        <v>11</v>
      </c>
      <c r="G52" s="5" t="str">
        <f t="shared" si="16"/>
        <v>TaxAddress1</v>
      </c>
      <c r="H52" s="117">
        <f t="shared" si="12"/>
        <v>35</v>
      </c>
      <c r="I52" s="5" t="str">
        <f t="shared" si="17"/>
        <v>varchar</v>
      </c>
      <c r="J52" s="5" t="str">
        <f t="shared" si="18"/>
        <v xml:space="preserve"> NULL</v>
      </c>
      <c r="K52" s="138" t="s">
        <v>561</v>
      </c>
      <c r="L52" s="5"/>
      <c r="M52" s="75">
        <v>9001</v>
      </c>
      <c r="N52" s="77"/>
      <c r="O52" s="26"/>
      <c r="P52" s="26"/>
      <c r="Q52" s="118">
        <f t="shared" si="19"/>
        <v>52</v>
      </c>
      <c r="R52" s="153"/>
      <c r="S52" s="138" t="s">
        <v>561</v>
      </c>
      <c r="T52" s="148"/>
      <c r="U52" s="146"/>
      <c r="V52" s="146"/>
      <c r="W52" s="139"/>
      <c r="X52" s="139"/>
      <c r="Y52" s="148"/>
      <c r="Z52" s="138" t="str">
        <f t="shared" si="9"/>
        <v>false</v>
      </c>
      <c r="AA52" s="138" t="str">
        <f t="shared" si="11"/>
        <v/>
      </c>
      <c r="AB52" s="239"/>
      <c r="AC52" s="325"/>
      <c r="AD52" s="325"/>
      <c r="AE52" s="325"/>
      <c r="AF52" s="325"/>
      <c r="AG52" s="325"/>
      <c r="AH52" s="325"/>
      <c r="AI52" s="325"/>
      <c r="AJ52" s="325"/>
      <c r="AK52" s="325"/>
      <c r="AL52" s="325"/>
      <c r="AM52" s="325"/>
      <c r="AN52" s="325"/>
      <c r="AO52" s="325"/>
      <c r="AP52" s="136"/>
      <c r="AQ52" s="136"/>
      <c r="AR52" s="136" t="str">
        <f t="shared" si="14"/>
        <v/>
      </c>
      <c r="AS52" s="136" t="str">
        <f t="shared" si="14"/>
        <v/>
      </c>
      <c r="AT52" s="5" t="str">
        <f t="shared" si="15"/>
        <v>TaxAddress1,</v>
      </c>
      <c r="AV52" s="27" t="str">
        <f>IF(G52="","",+"          ["&amp;TRIM(G52)&amp;"] ["&amp;TRIM(I52)&amp;"]"&amp;IF(H52="","","("&amp;H52&amp;")")&amp;" "&amp;TRIM(J52)&amp;IF(G53="","",","))</f>
        <v xml:space="preserve">          [TaxAddress1] [varchar](35) NULL,</v>
      </c>
      <c r="AW52" s="27"/>
      <c r="AY52" s="122" t="str">
        <f t="shared" si="8"/>
        <v xml:space="preserve">          TaxAddress1 VARCHAR (35) NULL,</v>
      </c>
    </row>
    <row r="53" spans="2:51" ht="12.75">
      <c r="B53" s="20">
        <f t="shared" si="10"/>
        <v>38</v>
      </c>
      <c r="C53" s="5" t="s">
        <v>544</v>
      </c>
      <c r="D53" s="5">
        <v>35</v>
      </c>
      <c r="E53" s="5" t="s">
        <v>11</v>
      </c>
      <c r="G53" s="5" t="str">
        <f t="shared" si="16"/>
        <v>TaxAddress2</v>
      </c>
      <c r="H53" s="117">
        <f t="shared" si="12"/>
        <v>35</v>
      </c>
      <c r="I53" s="5" t="str">
        <f t="shared" si="17"/>
        <v>varchar</v>
      </c>
      <c r="J53" s="5" t="str">
        <f t="shared" si="18"/>
        <v xml:space="preserve"> NULL</v>
      </c>
      <c r="K53" s="138" t="s">
        <v>562</v>
      </c>
      <c r="L53" s="5"/>
      <c r="M53" s="75">
        <v>9001</v>
      </c>
      <c r="N53" s="77"/>
      <c r="O53" s="26"/>
      <c r="P53" s="26"/>
      <c r="Q53" s="118">
        <f t="shared" si="19"/>
        <v>53</v>
      </c>
      <c r="R53" s="153"/>
      <c r="S53" s="138" t="s">
        <v>562</v>
      </c>
      <c r="T53" s="148"/>
      <c r="U53" s="146"/>
      <c r="V53" s="146"/>
      <c r="W53" s="139"/>
      <c r="X53" s="139"/>
      <c r="Y53" s="148"/>
      <c r="Z53" s="138" t="str">
        <f t="shared" si="9"/>
        <v>false</v>
      </c>
      <c r="AA53" s="138" t="str">
        <f t="shared" si="11"/>
        <v/>
      </c>
      <c r="AB53" s="239"/>
      <c r="AC53" s="325"/>
      <c r="AD53" s="325"/>
      <c r="AE53" s="325"/>
      <c r="AF53" s="325"/>
      <c r="AG53" s="325"/>
      <c r="AH53" s="325"/>
      <c r="AI53" s="325"/>
      <c r="AJ53" s="325"/>
      <c r="AK53" s="325"/>
      <c r="AL53" s="325"/>
      <c r="AM53" s="325"/>
      <c r="AN53" s="325"/>
      <c r="AO53" s="325"/>
      <c r="AP53" s="136"/>
      <c r="AQ53" s="136"/>
      <c r="AR53" s="136" t="str">
        <f t="shared" si="14"/>
        <v/>
      </c>
      <c r="AS53" s="136" t="str">
        <f t="shared" si="14"/>
        <v/>
      </c>
      <c r="AT53" s="5" t="str">
        <f t="shared" si="15"/>
        <v>TaxAddress2,</v>
      </c>
      <c r="AV53" s="27" t="str">
        <f>IF(G53="","",+"          ["&amp;TRIM(G53)&amp;"] ["&amp;TRIM(I53)&amp;"]"&amp;IF(H53="","","("&amp;H53&amp;")")&amp;" "&amp;TRIM(J53)&amp;IF(G54="","",","))</f>
        <v xml:space="preserve">          [TaxAddress2] [varchar](35) NULL,</v>
      </c>
      <c r="AW53" s="27"/>
      <c r="AY53" s="122" t="str">
        <f t="shared" si="8"/>
        <v xml:space="preserve">          TaxAddress2 VARCHAR (35) NULL,</v>
      </c>
    </row>
    <row r="54" spans="2:51" ht="12.75">
      <c r="B54" s="20">
        <f t="shared" si="10"/>
        <v>39</v>
      </c>
      <c r="C54" s="5" t="s">
        <v>545</v>
      </c>
      <c r="D54" s="5">
        <v>35</v>
      </c>
      <c r="E54" s="5" t="s">
        <v>11</v>
      </c>
      <c r="G54" s="5" t="str">
        <f t="shared" si="16"/>
        <v>TaxAddress3</v>
      </c>
      <c r="H54" s="117">
        <f t="shared" si="12"/>
        <v>35</v>
      </c>
      <c r="I54" s="5" t="str">
        <f t="shared" si="17"/>
        <v>varchar</v>
      </c>
      <c r="J54" s="5" t="str">
        <f t="shared" si="18"/>
        <v xml:space="preserve"> NULL</v>
      </c>
      <c r="K54" s="138" t="s">
        <v>563</v>
      </c>
      <c r="L54" s="5"/>
      <c r="M54" s="75">
        <v>9001</v>
      </c>
      <c r="N54" s="77"/>
      <c r="O54" s="26"/>
      <c r="P54" s="26"/>
      <c r="Q54" s="118">
        <f t="shared" si="19"/>
        <v>54</v>
      </c>
      <c r="R54" s="153"/>
      <c r="S54" s="138" t="s">
        <v>563</v>
      </c>
      <c r="T54" s="148"/>
      <c r="U54" s="146"/>
      <c r="V54" s="146"/>
      <c r="W54" s="139"/>
      <c r="X54" s="139"/>
      <c r="Y54" s="148"/>
      <c r="Z54" s="138" t="str">
        <f t="shared" si="9"/>
        <v>false</v>
      </c>
      <c r="AA54" s="138" t="str">
        <f t="shared" si="11"/>
        <v/>
      </c>
      <c r="AB54" s="239"/>
      <c r="AC54" s="325"/>
      <c r="AD54" s="325"/>
      <c r="AE54" s="325"/>
      <c r="AF54" s="325"/>
      <c r="AG54" s="325"/>
      <c r="AH54" s="325"/>
      <c r="AI54" s="325"/>
      <c r="AJ54" s="325"/>
      <c r="AK54" s="325"/>
      <c r="AL54" s="325"/>
      <c r="AM54" s="325"/>
      <c r="AN54" s="325"/>
      <c r="AO54" s="325"/>
      <c r="AP54" s="136"/>
      <c r="AQ54" s="136"/>
      <c r="AR54" s="136" t="str">
        <f t="shared" si="14"/>
        <v/>
      </c>
      <c r="AS54" s="136" t="str">
        <f t="shared" si="14"/>
        <v/>
      </c>
      <c r="AT54" s="5" t="str">
        <f t="shared" si="15"/>
        <v>TaxAddress3,</v>
      </c>
      <c r="AV54" s="27" t="str">
        <f>IF(G54="","",+"          ["&amp;TRIM(G54)&amp;"] ["&amp;TRIM(I54)&amp;"]"&amp;IF(H54="","","("&amp;H54&amp;")")&amp;" "&amp;TRIM(J54)&amp;IF(G63="","",","))</f>
        <v xml:space="preserve">          [TaxAddress3] [varchar](35) NULL</v>
      </c>
      <c r="AW54" s="27"/>
      <c r="AY54" s="122" t="str">
        <f t="shared" si="8"/>
        <v xml:space="preserve">          TaxAddress3 VARCHAR (35) NULL,</v>
      </c>
    </row>
    <row r="55" spans="2:51" ht="12.75">
      <c r="B55" s="20">
        <f t="shared" si="10"/>
        <v>40</v>
      </c>
      <c r="C55" s="5" t="s">
        <v>546</v>
      </c>
      <c r="D55" s="5">
        <v>35</v>
      </c>
      <c r="E55" s="5" t="s">
        <v>11</v>
      </c>
      <c r="G55" s="5" t="str">
        <f t="shared" si="16"/>
        <v>TaxIDNO</v>
      </c>
      <c r="H55" s="117">
        <f t="shared" si="12"/>
        <v>35</v>
      </c>
      <c r="I55" s="5" t="str">
        <f t="shared" si="17"/>
        <v>varchar</v>
      </c>
      <c r="J55" s="5" t="str">
        <f t="shared" si="18"/>
        <v xml:space="preserve"> NULL</v>
      </c>
      <c r="K55" s="138" t="s">
        <v>564</v>
      </c>
      <c r="L55" s="5"/>
      <c r="M55" s="75">
        <v>9001</v>
      </c>
      <c r="N55" s="77"/>
      <c r="O55" s="26"/>
      <c r="P55" s="26"/>
      <c r="Q55" s="118">
        <f t="shared" si="19"/>
        <v>55</v>
      </c>
      <c r="R55" s="153"/>
      <c r="S55" s="138" t="s">
        <v>564</v>
      </c>
      <c r="T55" s="148"/>
      <c r="U55" s="146"/>
      <c r="V55" s="146"/>
      <c r="W55" s="139"/>
      <c r="X55" s="139"/>
      <c r="Y55" s="148"/>
      <c r="Z55" s="138" t="str">
        <f t="shared" si="9"/>
        <v>false</v>
      </c>
      <c r="AA55" s="138" t="str">
        <f t="shared" si="11"/>
        <v/>
      </c>
      <c r="AB55" s="239"/>
      <c r="AC55" s="325"/>
      <c r="AD55" s="325"/>
      <c r="AE55" s="325"/>
      <c r="AF55" s="325"/>
      <c r="AG55" s="325"/>
      <c r="AH55" s="325"/>
      <c r="AI55" s="325"/>
      <c r="AJ55" s="325"/>
      <c r="AK55" s="325"/>
      <c r="AL55" s="325"/>
      <c r="AM55" s="325"/>
      <c r="AN55" s="325"/>
      <c r="AO55" s="325"/>
      <c r="AP55" s="136"/>
      <c r="AQ55" s="136"/>
      <c r="AR55" s="136" t="str">
        <f t="shared" si="14"/>
        <v/>
      </c>
      <c r="AS55" s="136" t="str">
        <f t="shared" si="14"/>
        <v/>
      </c>
      <c r="AT55" s="5" t="str">
        <f t="shared" si="15"/>
        <v>TaxIDNO,</v>
      </c>
      <c r="AV55" s="27" t="str">
        <f>IF(G55="","",+"          ["&amp;TRIM(G55)&amp;"] ["&amp;TRIM(I55)&amp;"]"&amp;IF(H55="","","("&amp;H55&amp;")")&amp;" "&amp;TRIM(J55)&amp;IF(G56="","",","))</f>
        <v xml:space="preserve">          [TaxIDNO] [varchar](35) NULL,</v>
      </c>
      <c r="AW55" s="27"/>
      <c r="AY55" s="122" t="str">
        <f t="shared" si="8"/>
        <v xml:space="preserve">          TaxIDNO VARCHAR (35) NULL,</v>
      </c>
    </row>
    <row r="56" spans="2:51" ht="12.75">
      <c r="B56" s="20">
        <f t="shared" si="10"/>
        <v>41</v>
      </c>
      <c r="C56" s="5" t="s">
        <v>547</v>
      </c>
      <c r="D56" s="5">
        <v>8</v>
      </c>
      <c r="E56" s="5" t="s">
        <v>11</v>
      </c>
      <c r="G56" s="5" t="str">
        <f t="shared" si="16"/>
        <v>SourceOfBiz_Code</v>
      </c>
      <c r="H56" s="117">
        <f t="shared" si="12"/>
        <v>8</v>
      </c>
      <c r="I56" s="5" t="str">
        <f t="shared" si="17"/>
        <v>varchar</v>
      </c>
      <c r="J56" s="5" t="str">
        <f t="shared" si="18"/>
        <v xml:space="preserve"> NULL</v>
      </c>
      <c r="K56" s="138" t="s">
        <v>565</v>
      </c>
      <c r="L56" s="5"/>
      <c r="M56" s="75">
        <v>9001</v>
      </c>
      <c r="N56" s="77"/>
      <c r="O56" s="26"/>
      <c r="P56" s="26"/>
      <c r="Q56" s="118">
        <f t="shared" si="19"/>
        <v>56</v>
      </c>
      <c r="R56" s="153"/>
      <c r="S56" s="138" t="s">
        <v>565</v>
      </c>
      <c r="T56" s="148"/>
      <c r="U56" s="146"/>
      <c r="V56" s="146"/>
      <c r="W56" s="139"/>
      <c r="X56" s="139"/>
      <c r="Y56" s="148"/>
      <c r="Z56" s="138" t="str">
        <f t="shared" si="9"/>
        <v>false</v>
      </c>
      <c r="AA56" s="138" t="str">
        <f t="shared" si="11"/>
        <v/>
      </c>
      <c r="AB56" s="239"/>
      <c r="AC56" s="325"/>
      <c r="AD56" s="325"/>
      <c r="AE56" s="325"/>
      <c r="AF56" s="325"/>
      <c r="AG56" s="325"/>
      <c r="AH56" s="325"/>
      <c r="AI56" s="325"/>
      <c r="AJ56" s="325"/>
      <c r="AK56" s="325"/>
      <c r="AL56" s="325"/>
      <c r="AM56" s="325"/>
      <c r="AN56" s="325"/>
      <c r="AO56" s="325"/>
      <c r="AP56" s="136"/>
      <c r="AQ56" s="136"/>
      <c r="AR56" s="136" t="str">
        <f t="shared" si="14"/>
        <v/>
      </c>
      <c r="AS56" s="136" t="str">
        <f t="shared" si="14"/>
        <v/>
      </c>
      <c r="AT56" s="5" t="str">
        <f t="shared" si="15"/>
        <v>SourceOfBiz_Code,</v>
      </c>
      <c r="AV56" s="27" t="str">
        <f>IF(G56="","",+"          ["&amp;TRIM(G56)&amp;"] ["&amp;TRIM(I56)&amp;"]"&amp;IF(H56="","","("&amp;H56&amp;")")&amp;" "&amp;TRIM(J56)&amp;IF(G62="","",","))</f>
        <v xml:space="preserve">          [SourceOfBiz_Code] [varchar](8) NULL</v>
      </c>
      <c r="AW56" s="27"/>
      <c r="AY56" s="122" t="str">
        <f t="shared" si="8"/>
        <v xml:space="preserve">          SourceOfBiz_Code VARCHAR (8) NULL,</v>
      </c>
    </row>
    <row r="57" spans="2:51" ht="12.75">
      <c r="B57" s="20">
        <f t="shared" si="10"/>
        <v>42</v>
      </c>
      <c r="C57" s="5" t="s">
        <v>349</v>
      </c>
      <c r="D57" s="5">
        <v>13</v>
      </c>
      <c r="E57" s="5" t="s">
        <v>11</v>
      </c>
      <c r="G57" s="5" t="str">
        <f t="shared" si="16"/>
        <v>IDCardNo</v>
      </c>
      <c r="H57" s="117">
        <f t="shared" si="12"/>
        <v>13</v>
      </c>
      <c r="I57" s="5" t="str">
        <f t="shared" si="17"/>
        <v>varchar</v>
      </c>
      <c r="J57" s="5" t="str">
        <f t="shared" si="18"/>
        <v xml:space="preserve"> NULL</v>
      </c>
      <c r="K57" s="138" t="s">
        <v>566</v>
      </c>
      <c r="L57" s="5"/>
      <c r="M57" s="75">
        <v>9</v>
      </c>
      <c r="N57" s="77"/>
      <c r="O57" s="26"/>
      <c r="P57" s="26"/>
      <c r="Q57" s="118">
        <f t="shared" si="19"/>
        <v>57</v>
      </c>
      <c r="R57" s="153"/>
      <c r="S57" s="138" t="s">
        <v>566</v>
      </c>
      <c r="T57" s="148"/>
      <c r="U57" s="146"/>
      <c r="V57" s="146"/>
      <c r="W57" s="139"/>
      <c r="X57" s="139"/>
      <c r="Y57" s="148"/>
      <c r="Z57" s="138" t="str">
        <f t="shared" si="9"/>
        <v/>
      </c>
      <c r="AA57" s="138" t="str">
        <f t="shared" si="11"/>
        <v/>
      </c>
      <c r="AB57" s="239"/>
      <c r="AC57" s="325"/>
      <c r="AD57" s="325"/>
      <c r="AE57" s="325"/>
      <c r="AF57" s="325"/>
      <c r="AG57" s="325"/>
      <c r="AH57" s="325"/>
      <c r="AI57" s="325"/>
      <c r="AJ57" s="325"/>
      <c r="AK57" s="325"/>
      <c r="AL57" s="325"/>
      <c r="AM57" s="325"/>
      <c r="AN57" s="325"/>
      <c r="AO57" s="325"/>
      <c r="AP57" s="136"/>
      <c r="AQ57" s="136"/>
      <c r="AR57" s="136" t="str">
        <f t="shared" si="14"/>
        <v/>
      </c>
      <c r="AS57" s="136" t="str">
        <f t="shared" si="14"/>
        <v/>
      </c>
      <c r="AT57" s="5" t="str">
        <f t="shared" si="15"/>
        <v>IDCardNo,</v>
      </c>
      <c r="AV57" s="27" t="str">
        <f>IF(G57="","",+"          ["&amp;TRIM(G57)&amp;"] ["&amp;TRIM(I57)&amp;"]"&amp;IF(H57="","","("&amp;H57&amp;")")&amp;" "&amp;TRIM(J57)&amp;IF(G58="","",","))</f>
        <v xml:space="preserve">          [IDCardNo] [varchar](13) NULL,</v>
      </c>
      <c r="AW57" s="27"/>
      <c r="AY57" s="122" t="str">
        <f t="shared" si="8"/>
        <v xml:space="preserve">          IDCardNo VARCHAR (13) NULL,</v>
      </c>
    </row>
    <row r="58" spans="2:51" ht="12.75">
      <c r="B58" s="20">
        <f t="shared" si="10"/>
        <v>43</v>
      </c>
      <c r="C58" s="5" t="s">
        <v>340</v>
      </c>
      <c r="D58" s="5">
        <v>10</v>
      </c>
      <c r="E58" s="5" t="s">
        <v>11</v>
      </c>
      <c r="G58" s="5" t="str">
        <f t="shared" si="16"/>
        <v>MobileNo</v>
      </c>
      <c r="H58" s="117">
        <f t="shared" si="12"/>
        <v>10</v>
      </c>
      <c r="I58" s="5" t="str">
        <f t="shared" si="17"/>
        <v>varchar</v>
      </c>
      <c r="J58" s="5" t="str">
        <f t="shared" si="18"/>
        <v xml:space="preserve"> NULL</v>
      </c>
      <c r="K58" s="138" t="s">
        <v>346</v>
      </c>
      <c r="L58" s="5"/>
      <c r="M58" s="75">
        <v>10</v>
      </c>
      <c r="N58" s="77"/>
      <c r="O58" s="26"/>
      <c r="P58" s="26"/>
      <c r="Q58" s="118">
        <f t="shared" si="19"/>
        <v>58</v>
      </c>
      <c r="R58" s="153"/>
      <c r="S58" s="138" t="s">
        <v>346</v>
      </c>
      <c r="T58" s="148"/>
      <c r="U58" s="146"/>
      <c r="V58" s="146"/>
      <c r="W58" s="139"/>
      <c r="X58" s="139"/>
      <c r="Y58" s="148"/>
      <c r="Z58" s="138" t="str">
        <f t="shared" si="9"/>
        <v/>
      </c>
      <c r="AA58" s="138" t="str">
        <f t="shared" si="11"/>
        <v/>
      </c>
      <c r="AB58" s="239"/>
      <c r="AC58" s="325"/>
      <c r="AD58" s="325"/>
      <c r="AE58" s="325"/>
      <c r="AF58" s="325"/>
      <c r="AG58" s="325"/>
      <c r="AH58" s="325"/>
      <c r="AI58" s="325"/>
      <c r="AJ58" s="325"/>
      <c r="AK58" s="325"/>
      <c r="AL58" s="325"/>
      <c r="AM58" s="325"/>
      <c r="AN58" s="325"/>
      <c r="AO58" s="325"/>
      <c r="AP58" s="136"/>
      <c r="AQ58" s="136"/>
      <c r="AR58" s="136" t="str">
        <f t="shared" si="14"/>
        <v/>
      </c>
      <c r="AS58" s="136" t="str">
        <f t="shared" si="14"/>
        <v/>
      </c>
      <c r="AT58" s="5" t="str">
        <f t="shared" si="15"/>
        <v>MobileNo</v>
      </c>
      <c r="AV58" s="27" t="str">
        <f>IF(G58="","",+"          ["&amp;TRIM(G58)&amp;"] ["&amp;TRIM(I58)&amp;"]"&amp;IF(H58="","","("&amp;H58&amp;")")&amp;" "&amp;TRIM(J58)&amp;IF(G61="","",","))</f>
        <v xml:space="preserve">          [MobileNo] [varchar](10) NULL</v>
      </c>
      <c r="AW58" s="27"/>
      <c r="AY58" s="122" t="str">
        <f t="shared" si="8"/>
        <v xml:space="preserve">          MobileNo VARCHAR (10) NULL</v>
      </c>
    </row>
    <row r="59" spans="2:51" ht="12.75">
      <c r="B59" s="20" t="str">
        <f t="shared" si="10"/>
        <v/>
      </c>
      <c r="C59" s="5"/>
      <c r="D59" s="5"/>
      <c r="E59" s="5"/>
      <c r="G59" s="5" t="str">
        <f t="shared" si="16"/>
        <v/>
      </c>
      <c r="H59" s="117" t="str">
        <f t="shared" si="12"/>
        <v/>
      </c>
      <c r="I59" s="5" t="str">
        <f t="shared" si="17"/>
        <v/>
      </c>
      <c r="J59" s="5" t="str">
        <f t="shared" si="18"/>
        <v/>
      </c>
      <c r="K59" s="5"/>
      <c r="L59" s="5"/>
      <c r="M59" s="75"/>
      <c r="N59" s="77"/>
      <c r="O59" s="26"/>
      <c r="P59" s="26"/>
      <c r="Q59" s="118" t="str">
        <f t="shared" si="19"/>
        <v/>
      </c>
      <c r="R59" s="153"/>
      <c r="S59" s="138" t="str">
        <f t="shared" ref="S59:S80" si="20">IF(+K59=0,"",K59)</f>
        <v/>
      </c>
      <c r="T59" s="148"/>
      <c r="U59" s="146"/>
      <c r="V59" s="146"/>
      <c r="W59" s="139"/>
      <c r="X59" s="139"/>
      <c r="Y59" s="148"/>
      <c r="Z59" s="138" t="str">
        <f t="shared" si="9"/>
        <v/>
      </c>
      <c r="AA59" s="138" t="str">
        <f t="shared" si="11"/>
        <v/>
      </c>
      <c r="AB59" s="239"/>
      <c r="AC59" s="325"/>
      <c r="AD59" s="325"/>
      <c r="AE59" s="325"/>
      <c r="AF59" s="325"/>
      <c r="AG59" s="325"/>
      <c r="AH59" s="325"/>
      <c r="AI59" s="325"/>
      <c r="AJ59" s="325"/>
      <c r="AK59" s="325"/>
      <c r="AL59" s="325"/>
      <c r="AM59" s="325"/>
      <c r="AN59" s="325"/>
      <c r="AO59" s="325"/>
      <c r="AP59" s="136"/>
      <c r="AQ59" s="136"/>
      <c r="AR59" s="136" t="str">
        <f t="shared" si="14"/>
        <v/>
      </c>
      <c r="AS59" s="136" t="str">
        <f t="shared" si="14"/>
        <v/>
      </c>
      <c r="AT59" s="5" t="str">
        <f t="shared" si="15"/>
        <v/>
      </c>
      <c r="AV59" s="27" t="str">
        <f t="shared" ref="AV59:AV64" si="21">IF(G59="","",+"          ["&amp;TRIM(G59)&amp;"] ["&amp;TRIM(I59)&amp;"]"&amp;IF(H59="","","("&amp;H59&amp;")")&amp;" "&amp;TRIM(J59)&amp;IF(G60="","",","))</f>
        <v/>
      </c>
      <c r="AW59" s="27"/>
      <c r="AY59" s="122" t="str">
        <f t="shared" si="8"/>
        <v>);</v>
      </c>
    </row>
    <row r="60" spans="2:51" ht="12.75">
      <c r="B60" s="20" t="str">
        <f t="shared" si="10"/>
        <v/>
      </c>
      <c r="C60" s="5"/>
      <c r="D60" s="5"/>
      <c r="E60" s="5"/>
      <c r="G60" s="5" t="str">
        <f t="shared" si="16"/>
        <v/>
      </c>
      <c r="H60" s="117" t="str">
        <f t="shared" si="12"/>
        <v/>
      </c>
      <c r="I60" s="5" t="str">
        <f t="shared" si="17"/>
        <v/>
      </c>
      <c r="J60" s="5" t="str">
        <f t="shared" si="18"/>
        <v/>
      </c>
      <c r="K60" s="5"/>
      <c r="L60" s="5"/>
      <c r="M60" s="75"/>
      <c r="N60" s="77"/>
      <c r="O60" s="26"/>
      <c r="P60" s="26"/>
      <c r="Q60" s="118" t="str">
        <f t="shared" si="19"/>
        <v/>
      </c>
      <c r="R60" s="153"/>
      <c r="S60" s="138" t="str">
        <f t="shared" si="20"/>
        <v/>
      </c>
      <c r="T60" s="148"/>
      <c r="U60" s="146"/>
      <c r="V60" s="146"/>
      <c r="W60" s="139"/>
      <c r="X60" s="139"/>
      <c r="Y60" s="148"/>
      <c r="Z60" s="138" t="str">
        <f t="shared" si="9"/>
        <v/>
      </c>
      <c r="AA60" s="138" t="str">
        <f t="shared" si="11"/>
        <v/>
      </c>
      <c r="AB60" s="239"/>
      <c r="AC60" s="325"/>
      <c r="AD60" s="325"/>
      <c r="AE60" s="325"/>
      <c r="AF60" s="325"/>
      <c r="AG60" s="325"/>
      <c r="AH60" s="325"/>
      <c r="AI60" s="325"/>
      <c r="AJ60" s="325"/>
      <c r="AK60" s="325"/>
      <c r="AL60" s="325"/>
      <c r="AM60" s="325"/>
      <c r="AN60" s="325"/>
      <c r="AO60" s="325"/>
      <c r="AP60" s="136"/>
      <c r="AQ60" s="136"/>
      <c r="AR60" s="136" t="str">
        <f t="shared" si="14"/>
        <v/>
      </c>
      <c r="AS60" s="136" t="str">
        <f t="shared" si="14"/>
        <v/>
      </c>
      <c r="AT60" s="5" t="str">
        <f t="shared" si="15"/>
        <v/>
      </c>
      <c r="AV60" s="27" t="str">
        <f t="shared" si="21"/>
        <v/>
      </c>
      <c r="AW60" s="27"/>
      <c r="AY60" s="122" t="str">
        <f t="shared" si="8"/>
        <v/>
      </c>
    </row>
    <row r="61" spans="2:51" ht="12.75">
      <c r="B61" s="20" t="str">
        <f t="shared" si="10"/>
        <v/>
      </c>
      <c r="C61" s="5"/>
      <c r="D61" s="5"/>
      <c r="E61" s="5"/>
      <c r="G61" s="5" t="str">
        <f t="shared" si="16"/>
        <v/>
      </c>
      <c r="H61" s="117" t="str">
        <f t="shared" si="12"/>
        <v/>
      </c>
      <c r="I61" s="5" t="str">
        <f t="shared" si="17"/>
        <v/>
      </c>
      <c r="J61" s="5" t="str">
        <f t="shared" si="18"/>
        <v/>
      </c>
      <c r="K61" s="5"/>
      <c r="L61" s="5"/>
      <c r="M61" s="75"/>
      <c r="N61" s="77"/>
      <c r="O61" s="26"/>
      <c r="P61" s="26"/>
      <c r="Q61" s="118" t="str">
        <f t="shared" si="19"/>
        <v/>
      </c>
      <c r="R61" s="153"/>
      <c r="S61" s="138" t="str">
        <f t="shared" si="20"/>
        <v/>
      </c>
      <c r="T61" s="148"/>
      <c r="U61" s="146"/>
      <c r="V61" s="146"/>
      <c r="W61" s="139"/>
      <c r="X61" s="139"/>
      <c r="Y61" s="148"/>
      <c r="Z61" s="138" t="str">
        <f t="shared" si="9"/>
        <v/>
      </c>
      <c r="AA61" s="138" t="str">
        <f t="shared" si="11"/>
        <v/>
      </c>
      <c r="AB61" s="239"/>
      <c r="AC61" s="325"/>
      <c r="AD61" s="325"/>
      <c r="AE61" s="325"/>
      <c r="AF61" s="325"/>
      <c r="AG61" s="325"/>
      <c r="AH61" s="325"/>
      <c r="AI61" s="325"/>
      <c r="AJ61" s="325"/>
      <c r="AK61" s="325"/>
      <c r="AL61" s="325"/>
      <c r="AM61" s="325"/>
      <c r="AN61" s="325"/>
      <c r="AO61" s="325"/>
      <c r="AP61" s="136"/>
      <c r="AQ61" s="136"/>
      <c r="AR61" s="136" t="str">
        <f t="shared" si="14"/>
        <v/>
      </c>
      <c r="AS61" s="136" t="str">
        <f t="shared" si="14"/>
        <v/>
      </c>
      <c r="AT61" s="5" t="str">
        <f t="shared" si="15"/>
        <v/>
      </c>
      <c r="AV61" s="27" t="str">
        <f t="shared" si="21"/>
        <v/>
      </c>
      <c r="AW61" s="27"/>
      <c r="AY61" s="122" t="str">
        <f t="shared" si="8"/>
        <v/>
      </c>
    </row>
    <row r="62" spans="2:51" ht="12.75">
      <c r="B62" s="20" t="str">
        <f t="shared" si="10"/>
        <v/>
      </c>
      <c r="C62" s="5"/>
      <c r="D62" s="5"/>
      <c r="E62" s="5"/>
      <c r="G62" s="5" t="str">
        <f t="shared" si="16"/>
        <v/>
      </c>
      <c r="H62" s="117" t="str">
        <f t="shared" si="12"/>
        <v/>
      </c>
      <c r="I62" s="5" t="str">
        <f t="shared" si="17"/>
        <v/>
      </c>
      <c r="J62" s="5" t="str">
        <f t="shared" si="18"/>
        <v/>
      </c>
      <c r="K62" s="5"/>
      <c r="L62" s="5"/>
      <c r="M62" s="75"/>
      <c r="N62" s="77"/>
      <c r="O62" s="26"/>
      <c r="P62" s="26"/>
      <c r="Q62" s="118" t="str">
        <f t="shared" si="19"/>
        <v/>
      </c>
      <c r="R62" s="153"/>
      <c r="S62" s="138" t="str">
        <f t="shared" si="20"/>
        <v/>
      </c>
      <c r="T62" s="148"/>
      <c r="U62" s="146"/>
      <c r="V62" s="146"/>
      <c r="W62" s="139"/>
      <c r="X62" s="139"/>
      <c r="Y62" s="148"/>
      <c r="Z62" s="138" t="str">
        <f t="shared" si="9"/>
        <v/>
      </c>
      <c r="AA62" s="138" t="str">
        <f t="shared" si="11"/>
        <v/>
      </c>
      <c r="AB62" s="239"/>
      <c r="AC62" s="325"/>
      <c r="AD62" s="325"/>
      <c r="AE62" s="325"/>
      <c r="AF62" s="325"/>
      <c r="AG62" s="325"/>
      <c r="AH62" s="325"/>
      <c r="AI62" s="325"/>
      <c r="AJ62" s="325"/>
      <c r="AK62" s="325"/>
      <c r="AL62" s="325"/>
      <c r="AM62" s="325"/>
      <c r="AN62" s="325"/>
      <c r="AO62" s="325"/>
      <c r="AP62" s="136"/>
      <c r="AQ62" s="136"/>
      <c r="AR62" s="136" t="str">
        <f t="shared" si="14"/>
        <v/>
      </c>
      <c r="AS62" s="136" t="str">
        <f t="shared" si="14"/>
        <v/>
      </c>
      <c r="AT62" s="5" t="str">
        <f t="shared" si="15"/>
        <v/>
      </c>
      <c r="AV62" s="27" t="str">
        <f t="shared" si="21"/>
        <v/>
      </c>
      <c r="AW62" s="27"/>
      <c r="AY62" s="122" t="str">
        <f t="shared" si="8"/>
        <v/>
      </c>
    </row>
    <row r="63" spans="2:51" ht="12.75">
      <c r="B63" s="20" t="str">
        <f t="shared" si="10"/>
        <v/>
      </c>
      <c r="C63" s="5"/>
      <c r="D63" s="5"/>
      <c r="E63" s="5"/>
      <c r="G63" s="5" t="str">
        <f t="shared" si="16"/>
        <v/>
      </c>
      <c r="H63" s="117" t="str">
        <f t="shared" si="12"/>
        <v/>
      </c>
      <c r="I63" s="5" t="str">
        <f t="shared" si="17"/>
        <v/>
      </c>
      <c r="J63" s="5" t="str">
        <f t="shared" si="18"/>
        <v/>
      </c>
      <c r="K63" s="5"/>
      <c r="L63" s="5"/>
      <c r="M63" s="75"/>
      <c r="N63" s="77"/>
      <c r="O63" s="26"/>
      <c r="P63" s="26"/>
      <c r="Q63" s="118" t="str">
        <f t="shared" si="19"/>
        <v/>
      </c>
      <c r="R63" s="153"/>
      <c r="S63" s="138" t="str">
        <f t="shared" si="20"/>
        <v/>
      </c>
      <c r="T63" s="148"/>
      <c r="U63" s="146"/>
      <c r="V63" s="146"/>
      <c r="W63" s="139"/>
      <c r="X63" s="139"/>
      <c r="Y63" s="148"/>
      <c r="Z63" s="138" t="str">
        <f t="shared" si="9"/>
        <v/>
      </c>
      <c r="AA63" s="138" t="str">
        <f t="shared" si="11"/>
        <v/>
      </c>
      <c r="AB63" s="239"/>
      <c r="AC63" s="325"/>
      <c r="AD63" s="325"/>
      <c r="AE63" s="325"/>
      <c r="AF63" s="325"/>
      <c r="AG63" s="325"/>
      <c r="AH63" s="325"/>
      <c r="AI63" s="325"/>
      <c r="AJ63" s="325"/>
      <c r="AK63" s="325"/>
      <c r="AL63" s="325"/>
      <c r="AM63" s="325"/>
      <c r="AN63" s="325"/>
      <c r="AO63" s="325"/>
      <c r="AP63" s="136"/>
      <c r="AQ63" s="136"/>
      <c r="AR63" s="136" t="str">
        <f t="shared" si="14"/>
        <v/>
      </c>
      <c r="AS63" s="136" t="str">
        <f t="shared" si="14"/>
        <v/>
      </c>
      <c r="AT63" s="5" t="str">
        <f t="shared" si="15"/>
        <v/>
      </c>
      <c r="AV63" s="27" t="str">
        <f t="shared" si="21"/>
        <v/>
      </c>
      <c r="AW63" s="27"/>
      <c r="AY63" s="122" t="str">
        <f t="shared" si="8"/>
        <v/>
      </c>
    </row>
    <row r="64" spans="2:51" ht="12.75">
      <c r="B64" s="20" t="str">
        <f t="shared" si="10"/>
        <v/>
      </c>
      <c r="C64" s="5"/>
      <c r="D64" s="5"/>
      <c r="E64" s="5"/>
      <c r="G64" s="5" t="str">
        <f t="shared" si="16"/>
        <v/>
      </c>
      <c r="H64" s="117" t="str">
        <f t="shared" si="12"/>
        <v/>
      </c>
      <c r="I64" s="5" t="str">
        <f t="shared" si="17"/>
        <v/>
      </c>
      <c r="J64" s="5" t="str">
        <f t="shared" si="18"/>
        <v/>
      </c>
      <c r="K64" s="5"/>
      <c r="L64" s="5"/>
      <c r="M64" s="75"/>
      <c r="N64" s="77"/>
      <c r="O64" s="26"/>
      <c r="P64" s="26"/>
      <c r="Q64" s="118" t="str">
        <f t="shared" si="19"/>
        <v/>
      </c>
      <c r="R64" s="153"/>
      <c r="S64" s="138" t="str">
        <f t="shared" si="20"/>
        <v/>
      </c>
      <c r="T64" s="148"/>
      <c r="U64" s="146"/>
      <c r="V64" s="146"/>
      <c r="W64" s="139"/>
      <c r="X64" s="139"/>
      <c r="Y64" s="148"/>
      <c r="Z64" s="138" t="str">
        <f t="shared" si="9"/>
        <v/>
      </c>
      <c r="AA64" s="138" t="str">
        <f t="shared" si="11"/>
        <v/>
      </c>
      <c r="AB64" s="239"/>
      <c r="AC64" s="325"/>
      <c r="AD64" s="325"/>
      <c r="AE64" s="325"/>
      <c r="AF64" s="325"/>
      <c r="AG64" s="325"/>
      <c r="AH64" s="325"/>
      <c r="AI64" s="325"/>
      <c r="AJ64" s="325"/>
      <c r="AK64" s="325"/>
      <c r="AL64" s="325"/>
      <c r="AM64" s="325"/>
      <c r="AN64" s="325"/>
      <c r="AO64" s="325"/>
      <c r="AP64" s="136"/>
      <c r="AQ64" s="136"/>
      <c r="AR64" s="136" t="str">
        <f t="shared" si="14"/>
        <v/>
      </c>
      <c r="AS64" s="136" t="str">
        <f t="shared" si="14"/>
        <v/>
      </c>
      <c r="AT64" s="5" t="str">
        <f t="shared" si="15"/>
        <v/>
      </c>
      <c r="AV64" s="27" t="str">
        <f t="shared" si="21"/>
        <v/>
      </c>
      <c r="AW64" s="27"/>
      <c r="AY64" s="122" t="str">
        <f t="shared" si="8"/>
        <v/>
      </c>
    </row>
    <row r="65" spans="2:51" ht="12.75">
      <c r="B65" s="20" t="str">
        <f t="shared" si="10"/>
        <v/>
      </c>
      <c r="C65" s="5"/>
      <c r="D65" s="5"/>
      <c r="E65" s="5"/>
      <c r="G65" s="5" t="str">
        <f t="shared" si="16"/>
        <v/>
      </c>
      <c r="H65" s="117" t="str">
        <f t="shared" si="12"/>
        <v/>
      </c>
      <c r="I65" s="5" t="str">
        <f t="shared" si="17"/>
        <v/>
      </c>
      <c r="J65" s="5" t="str">
        <f t="shared" si="18"/>
        <v/>
      </c>
      <c r="K65" s="5"/>
      <c r="L65" s="5"/>
      <c r="M65" s="75"/>
      <c r="N65" s="77"/>
      <c r="O65" s="26"/>
      <c r="P65" s="26"/>
      <c r="Q65" s="118" t="str">
        <f t="shared" si="19"/>
        <v/>
      </c>
      <c r="R65" s="153"/>
      <c r="S65" s="138" t="str">
        <f t="shared" si="20"/>
        <v/>
      </c>
      <c r="T65" s="148"/>
      <c r="U65" s="146"/>
      <c r="V65" s="146"/>
      <c r="W65" s="139"/>
      <c r="X65" s="139"/>
      <c r="Y65" s="148"/>
      <c r="Z65" s="138" t="str">
        <f t="shared" si="9"/>
        <v/>
      </c>
      <c r="AA65" s="138" t="str">
        <f t="shared" si="11"/>
        <v/>
      </c>
      <c r="AB65" s="239"/>
      <c r="AC65" s="325"/>
      <c r="AD65" s="325"/>
      <c r="AE65" s="325"/>
      <c r="AF65" s="325"/>
      <c r="AG65" s="325"/>
      <c r="AH65" s="325"/>
      <c r="AI65" s="325"/>
      <c r="AJ65" s="325"/>
      <c r="AK65" s="325"/>
      <c r="AL65" s="325"/>
      <c r="AM65" s="325"/>
      <c r="AN65" s="325"/>
      <c r="AO65" s="325"/>
      <c r="AP65" s="136"/>
      <c r="AQ65" s="136"/>
      <c r="AR65" s="136" t="str">
        <f t="shared" si="14"/>
        <v/>
      </c>
      <c r="AS65" s="136" t="str">
        <f t="shared" si="14"/>
        <v/>
      </c>
      <c r="AT65" s="5" t="str">
        <f t="shared" si="15"/>
        <v/>
      </c>
      <c r="AV65" s="27" t="str">
        <f>IF(G65="","",+"          ["&amp;TRIM(G65)&amp;"] ["&amp;TRIM(I65)&amp;"]"&amp;IF(H65="","","("&amp;H65&amp;")")&amp;" "&amp;TRIM(J65)&amp;IF(G68="","",","))</f>
        <v/>
      </c>
      <c r="AW65" s="27"/>
      <c r="AY65" s="122" t="str">
        <f t="shared" si="8"/>
        <v/>
      </c>
    </row>
    <row r="66" spans="2:51" ht="12.75">
      <c r="B66" s="20" t="str">
        <f t="shared" si="10"/>
        <v/>
      </c>
      <c r="C66" s="5"/>
      <c r="D66" s="5"/>
      <c r="E66" s="5"/>
      <c r="G66" s="5" t="str">
        <f t="shared" si="16"/>
        <v/>
      </c>
      <c r="H66" s="117" t="str">
        <f t="shared" si="12"/>
        <v/>
      </c>
      <c r="I66" s="5" t="str">
        <f t="shared" si="17"/>
        <v/>
      </c>
      <c r="J66" s="5" t="str">
        <f t="shared" si="18"/>
        <v/>
      </c>
      <c r="K66" s="5"/>
      <c r="L66" s="5"/>
      <c r="M66" s="75"/>
      <c r="N66" s="77"/>
      <c r="O66" s="26"/>
      <c r="P66" s="26"/>
      <c r="Q66" s="118" t="str">
        <f t="shared" si="19"/>
        <v/>
      </c>
      <c r="R66" s="153"/>
      <c r="S66" s="138" t="str">
        <f t="shared" si="20"/>
        <v/>
      </c>
      <c r="T66" s="148"/>
      <c r="U66" s="146"/>
      <c r="V66" s="146"/>
      <c r="W66" s="139"/>
      <c r="X66" s="139"/>
      <c r="Y66" s="148"/>
      <c r="Z66" s="138" t="str">
        <f t="shared" si="9"/>
        <v/>
      </c>
      <c r="AA66" s="138" t="str">
        <f t="shared" si="11"/>
        <v/>
      </c>
      <c r="AB66" s="239"/>
      <c r="AC66" s="325"/>
      <c r="AD66" s="325"/>
      <c r="AE66" s="325"/>
      <c r="AF66" s="325"/>
      <c r="AG66" s="325"/>
      <c r="AH66" s="325"/>
      <c r="AI66" s="325"/>
      <c r="AJ66" s="325"/>
      <c r="AK66" s="325"/>
      <c r="AL66" s="325"/>
      <c r="AM66" s="325"/>
      <c r="AN66" s="325"/>
      <c r="AO66" s="325"/>
      <c r="AP66" s="136"/>
      <c r="AQ66" s="136"/>
      <c r="AR66" s="136" t="str">
        <f t="shared" si="14"/>
        <v/>
      </c>
      <c r="AS66" s="136" t="str">
        <f t="shared" si="14"/>
        <v/>
      </c>
      <c r="AT66" s="5" t="str">
        <f t="shared" si="15"/>
        <v/>
      </c>
      <c r="AV66" s="27" t="str">
        <f>IF(G66="","",+"          ["&amp;TRIM(G66)&amp;"] ["&amp;TRIM(I66)&amp;"]"&amp;IF(H66="","","("&amp;H66&amp;")")&amp;" "&amp;TRIM(J66)&amp;IF(G67="","",","))</f>
        <v/>
      </c>
      <c r="AW66" s="27"/>
      <c r="AY66" s="122" t="str">
        <f t="shared" si="8"/>
        <v/>
      </c>
    </row>
    <row r="67" spans="2:51" ht="12.75">
      <c r="B67" s="20" t="str">
        <f t="shared" si="10"/>
        <v/>
      </c>
      <c r="C67" s="5"/>
      <c r="D67" s="5"/>
      <c r="E67" s="5"/>
      <c r="G67" s="5" t="str">
        <f t="shared" si="16"/>
        <v/>
      </c>
      <c r="H67" s="117" t="str">
        <f t="shared" si="12"/>
        <v/>
      </c>
      <c r="I67" s="5" t="str">
        <f t="shared" si="17"/>
        <v/>
      </c>
      <c r="J67" s="5" t="str">
        <f t="shared" si="18"/>
        <v/>
      </c>
      <c r="K67" s="5"/>
      <c r="L67" s="5"/>
      <c r="M67" s="75"/>
      <c r="N67" s="77"/>
      <c r="O67" s="26"/>
      <c r="P67" s="26"/>
      <c r="Q67" s="118" t="str">
        <f t="shared" si="19"/>
        <v/>
      </c>
      <c r="R67" s="153"/>
      <c r="S67" s="138" t="str">
        <f t="shared" si="20"/>
        <v/>
      </c>
      <c r="T67" s="148"/>
      <c r="U67" s="146"/>
      <c r="V67" s="146"/>
      <c r="W67" s="139"/>
      <c r="X67" s="139"/>
      <c r="Y67" s="148"/>
      <c r="Z67" s="138" t="str">
        <f t="shared" si="9"/>
        <v/>
      </c>
      <c r="AA67" s="138" t="str">
        <f t="shared" si="11"/>
        <v/>
      </c>
      <c r="AB67" s="239"/>
      <c r="AC67" s="325"/>
      <c r="AD67" s="325"/>
      <c r="AE67" s="325"/>
      <c r="AF67" s="325"/>
      <c r="AG67" s="325"/>
      <c r="AH67" s="325"/>
      <c r="AI67" s="325"/>
      <c r="AJ67" s="325"/>
      <c r="AK67" s="325"/>
      <c r="AL67" s="325"/>
      <c r="AM67" s="325"/>
      <c r="AN67" s="325"/>
      <c r="AO67" s="325"/>
      <c r="AP67" s="136"/>
      <c r="AQ67" s="136"/>
      <c r="AR67" s="136" t="str">
        <f t="shared" si="14"/>
        <v/>
      </c>
      <c r="AS67" s="136" t="str">
        <f t="shared" si="14"/>
        <v/>
      </c>
      <c r="AT67" s="5" t="str">
        <f t="shared" si="15"/>
        <v/>
      </c>
      <c r="AV67" s="27" t="str">
        <f>IF(G67="","",+"          ["&amp;TRIM(G67)&amp;"] ["&amp;TRIM(I67)&amp;"]"&amp;IF(H67="","","("&amp;H67&amp;")")&amp;" "&amp;TRIM(J67)&amp;IF(G68="","",","))</f>
        <v/>
      </c>
      <c r="AW67" s="27"/>
      <c r="AY67" s="122" t="str">
        <f t="shared" si="8"/>
        <v/>
      </c>
    </row>
    <row r="68" spans="2:51" ht="12.75">
      <c r="B68" s="20" t="str">
        <f t="shared" si="10"/>
        <v/>
      </c>
      <c r="C68" s="5"/>
      <c r="D68" s="5"/>
      <c r="E68" s="5"/>
      <c r="G68" s="5" t="str">
        <f t="shared" si="16"/>
        <v/>
      </c>
      <c r="H68" s="117" t="str">
        <f t="shared" si="12"/>
        <v/>
      </c>
      <c r="I68" s="5" t="str">
        <f t="shared" si="17"/>
        <v/>
      </c>
      <c r="J68" s="5" t="str">
        <f t="shared" si="18"/>
        <v/>
      </c>
      <c r="K68" s="5"/>
      <c r="L68" s="5"/>
      <c r="M68" s="75"/>
      <c r="N68" s="77"/>
      <c r="O68" s="26"/>
      <c r="P68" s="26"/>
      <c r="Q68" s="118" t="str">
        <f t="shared" si="19"/>
        <v/>
      </c>
      <c r="R68" s="153"/>
      <c r="S68" s="138" t="str">
        <f t="shared" si="20"/>
        <v/>
      </c>
      <c r="T68" s="148"/>
      <c r="U68" s="146"/>
      <c r="V68" s="146"/>
      <c r="W68" s="139"/>
      <c r="X68" s="139"/>
      <c r="Y68" s="148"/>
      <c r="Z68" s="138" t="str">
        <f t="shared" si="9"/>
        <v/>
      </c>
      <c r="AA68" s="138" t="str">
        <f t="shared" si="11"/>
        <v/>
      </c>
      <c r="AB68" s="239"/>
      <c r="AC68" s="325"/>
      <c r="AD68" s="325"/>
      <c r="AE68" s="325"/>
      <c r="AF68" s="325"/>
      <c r="AG68" s="325"/>
      <c r="AH68" s="325"/>
      <c r="AI68" s="325"/>
      <c r="AJ68" s="325"/>
      <c r="AK68" s="325"/>
      <c r="AL68" s="325"/>
      <c r="AM68" s="325"/>
      <c r="AN68" s="325"/>
      <c r="AO68" s="325"/>
      <c r="AP68" s="136"/>
      <c r="AQ68" s="136"/>
      <c r="AR68" s="136" t="str">
        <f t="shared" si="14"/>
        <v/>
      </c>
      <c r="AS68" s="136" t="str">
        <f t="shared" si="14"/>
        <v/>
      </c>
      <c r="AT68" s="5" t="str">
        <f t="shared" si="15"/>
        <v/>
      </c>
      <c r="AV68" s="27" t="str">
        <f>IF(G68="","",+"          ["&amp;TRIM(G68)&amp;"] ["&amp;TRIM(I68)&amp;"]"&amp;IF(H68="","","("&amp;H68&amp;")")&amp;" "&amp;TRIM(J68)&amp;IF(G95="","",","))</f>
        <v/>
      </c>
      <c r="AW68" s="27"/>
      <c r="AY68" s="122" t="str">
        <f t="shared" si="8"/>
        <v/>
      </c>
    </row>
    <row r="69" spans="2:51" ht="12.75">
      <c r="B69" s="20" t="str">
        <f t="shared" si="10"/>
        <v/>
      </c>
      <c r="C69" s="5"/>
      <c r="D69" s="5"/>
      <c r="E69" s="5"/>
      <c r="G69" s="5" t="str">
        <f t="shared" si="16"/>
        <v/>
      </c>
      <c r="H69" s="117" t="str">
        <f t="shared" si="12"/>
        <v/>
      </c>
      <c r="I69" s="5" t="str">
        <f t="shared" si="17"/>
        <v/>
      </c>
      <c r="J69" s="5" t="str">
        <f t="shared" si="18"/>
        <v/>
      </c>
      <c r="K69" s="5"/>
      <c r="L69" s="5"/>
      <c r="M69" s="75"/>
      <c r="N69" s="77"/>
      <c r="O69" s="26"/>
      <c r="P69" s="26"/>
      <c r="Q69" s="118" t="str">
        <f t="shared" si="19"/>
        <v/>
      </c>
      <c r="R69" s="153"/>
      <c r="S69" s="138" t="str">
        <f t="shared" si="20"/>
        <v/>
      </c>
      <c r="T69" s="148"/>
      <c r="U69" s="146"/>
      <c r="V69" s="146"/>
      <c r="W69" s="139"/>
      <c r="X69" s="139"/>
      <c r="Y69" s="148"/>
      <c r="Z69" s="138" t="str">
        <f t="shared" si="9"/>
        <v/>
      </c>
      <c r="AA69" s="138" t="str">
        <f t="shared" si="11"/>
        <v/>
      </c>
      <c r="AB69" s="239"/>
      <c r="AC69" s="325"/>
      <c r="AD69" s="325"/>
      <c r="AE69" s="325"/>
      <c r="AF69" s="325"/>
      <c r="AG69" s="325"/>
      <c r="AH69" s="325"/>
      <c r="AI69" s="325"/>
      <c r="AJ69" s="325"/>
      <c r="AK69" s="325"/>
      <c r="AL69" s="325"/>
      <c r="AM69" s="325"/>
      <c r="AN69" s="325"/>
      <c r="AO69" s="325"/>
      <c r="AP69" s="136"/>
      <c r="AQ69" s="136"/>
      <c r="AR69" s="136" t="str">
        <f t="shared" si="14"/>
        <v/>
      </c>
      <c r="AS69" s="136" t="str">
        <f t="shared" si="14"/>
        <v/>
      </c>
      <c r="AT69" s="5" t="str">
        <f t="shared" si="15"/>
        <v/>
      </c>
      <c r="AV69" s="27" t="str">
        <f>IF(G69="","",+"          ["&amp;TRIM(G69)&amp;"] ["&amp;TRIM(I69)&amp;"]"&amp;IF(H69="","","("&amp;H69&amp;")")&amp;" "&amp;TRIM(J69)&amp;IF(G70="","",","))</f>
        <v/>
      </c>
      <c r="AW69" s="27"/>
      <c r="AY69" s="122" t="str">
        <f t="shared" si="8"/>
        <v/>
      </c>
    </row>
    <row r="70" spans="2:51" ht="12.75">
      <c r="B70" s="20" t="str">
        <f t="shared" si="10"/>
        <v/>
      </c>
      <c r="C70" s="5"/>
      <c r="D70" s="5"/>
      <c r="E70" s="5"/>
      <c r="G70" s="5" t="str">
        <f t="shared" si="16"/>
        <v/>
      </c>
      <c r="H70" s="117" t="str">
        <f t="shared" si="12"/>
        <v/>
      </c>
      <c r="I70" s="5" t="str">
        <f t="shared" si="17"/>
        <v/>
      </c>
      <c r="J70" s="5" t="str">
        <f t="shared" si="18"/>
        <v/>
      </c>
      <c r="K70" s="5"/>
      <c r="L70" s="5"/>
      <c r="M70" s="75"/>
      <c r="N70" s="77"/>
      <c r="O70" s="26"/>
      <c r="P70" s="26"/>
      <c r="Q70" s="118" t="str">
        <f t="shared" si="19"/>
        <v/>
      </c>
      <c r="R70" s="153"/>
      <c r="S70" s="138" t="str">
        <f t="shared" si="20"/>
        <v/>
      </c>
      <c r="T70" s="148"/>
      <c r="U70" s="146"/>
      <c r="V70" s="146"/>
      <c r="W70" s="139"/>
      <c r="X70" s="139"/>
      <c r="Y70" s="148"/>
      <c r="Z70" s="138" t="str">
        <f t="shared" si="9"/>
        <v/>
      </c>
      <c r="AA70" s="138" t="str">
        <f t="shared" si="11"/>
        <v/>
      </c>
      <c r="AB70" s="239"/>
      <c r="AC70" s="325"/>
      <c r="AD70" s="325"/>
      <c r="AE70" s="325"/>
      <c r="AF70" s="325"/>
      <c r="AG70" s="325"/>
      <c r="AH70" s="325"/>
      <c r="AI70" s="325"/>
      <c r="AJ70" s="325"/>
      <c r="AK70" s="325"/>
      <c r="AL70" s="325"/>
      <c r="AM70" s="325"/>
      <c r="AN70" s="325"/>
      <c r="AO70" s="325"/>
      <c r="AP70" s="136"/>
      <c r="AQ70" s="136"/>
      <c r="AR70" s="136" t="str">
        <f t="shared" si="14"/>
        <v/>
      </c>
      <c r="AS70" s="136" t="str">
        <f t="shared" si="14"/>
        <v/>
      </c>
      <c r="AT70" s="5" t="str">
        <f t="shared" si="15"/>
        <v/>
      </c>
      <c r="AV70" s="27" t="str">
        <f>IF(G70="","",+"          ["&amp;TRIM(G70)&amp;"] ["&amp;TRIM(I70)&amp;"]"&amp;IF(H70="","","("&amp;H70&amp;")")&amp;" "&amp;TRIM(J70)&amp;IF(G94="","",","))</f>
        <v/>
      </c>
      <c r="AW70" s="27"/>
      <c r="AY70" s="122" t="str">
        <f t="shared" si="8"/>
        <v/>
      </c>
    </row>
    <row r="71" spans="2:51" ht="12.75">
      <c r="B71" s="20" t="str">
        <f t="shared" si="10"/>
        <v/>
      </c>
      <c r="C71" s="5"/>
      <c r="D71" s="5"/>
      <c r="E71" s="5"/>
      <c r="G71" s="5" t="str">
        <f t="shared" si="16"/>
        <v/>
      </c>
      <c r="H71" s="117" t="str">
        <f t="shared" si="12"/>
        <v/>
      </c>
      <c r="I71" s="5" t="str">
        <f t="shared" si="17"/>
        <v/>
      </c>
      <c r="J71" s="5" t="str">
        <f t="shared" si="18"/>
        <v/>
      </c>
      <c r="K71" s="5"/>
      <c r="L71" s="5"/>
      <c r="M71" s="75"/>
      <c r="N71" s="77"/>
      <c r="O71" s="26"/>
      <c r="P71" s="26"/>
      <c r="Q71" s="118" t="str">
        <f t="shared" si="19"/>
        <v/>
      </c>
      <c r="R71" s="153"/>
      <c r="S71" s="138" t="str">
        <f t="shared" si="20"/>
        <v/>
      </c>
      <c r="T71" s="148"/>
      <c r="U71" s="146"/>
      <c r="V71" s="146"/>
      <c r="W71" s="139"/>
      <c r="X71" s="139"/>
      <c r="Y71" s="148"/>
      <c r="Z71" s="138" t="str">
        <f t="shared" si="9"/>
        <v/>
      </c>
      <c r="AA71" s="138" t="str">
        <f t="shared" si="11"/>
        <v/>
      </c>
      <c r="AB71" s="239"/>
      <c r="AC71" s="325"/>
      <c r="AD71" s="325"/>
      <c r="AE71" s="325"/>
      <c r="AF71" s="325"/>
      <c r="AG71" s="325"/>
      <c r="AH71" s="325"/>
      <c r="AI71" s="325"/>
      <c r="AJ71" s="325"/>
      <c r="AK71" s="325"/>
      <c r="AL71" s="325"/>
      <c r="AM71" s="325"/>
      <c r="AN71" s="325"/>
      <c r="AO71" s="325"/>
      <c r="AP71" s="136"/>
      <c r="AQ71" s="136"/>
      <c r="AR71" s="136" t="str">
        <f t="shared" si="14"/>
        <v/>
      </c>
      <c r="AS71" s="136" t="str">
        <f t="shared" si="14"/>
        <v/>
      </c>
      <c r="AT71" s="5" t="str">
        <f t="shared" si="15"/>
        <v/>
      </c>
      <c r="AV71" s="27" t="str">
        <f>IF(G71="","",+"          ["&amp;TRIM(G71)&amp;"] ["&amp;TRIM(I71)&amp;"]"&amp;IF(H71="","","("&amp;H71&amp;")")&amp;" "&amp;TRIM(J71)&amp;IF(G72="","",","))</f>
        <v/>
      </c>
      <c r="AW71" s="27"/>
      <c r="AY71" s="122" t="str">
        <f t="shared" si="8"/>
        <v/>
      </c>
    </row>
    <row r="72" spans="2:51" ht="12.75">
      <c r="B72" s="20" t="str">
        <f t="shared" si="10"/>
        <v/>
      </c>
      <c r="C72" s="5"/>
      <c r="D72" s="5"/>
      <c r="E72" s="5"/>
      <c r="G72" s="5" t="str">
        <f t="shared" si="16"/>
        <v/>
      </c>
      <c r="H72" s="117" t="str">
        <f t="shared" si="12"/>
        <v/>
      </c>
      <c r="I72" s="5" t="str">
        <f t="shared" si="17"/>
        <v/>
      </c>
      <c r="J72" s="5" t="str">
        <f t="shared" si="18"/>
        <v/>
      </c>
      <c r="K72" s="5"/>
      <c r="L72" s="5"/>
      <c r="M72" s="75"/>
      <c r="N72" s="77"/>
      <c r="O72" s="26"/>
      <c r="P72" s="26"/>
      <c r="Q72" s="118" t="str">
        <f t="shared" si="19"/>
        <v/>
      </c>
      <c r="R72" s="153"/>
      <c r="S72" s="138" t="str">
        <f t="shared" si="20"/>
        <v/>
      </c>
      <c r="T72" s="148"/>
      <c r="U72" s="146"/>
      <c r="V72" s="146"/>
      <c r="W72" s="139"/>
      <c r="X72" s="139"/>
      <c r="Y72" s="148"/>
      <c r="Z72" s="138" t="str">
        <f t="shared" si="9"/>
        <v/>
      </c>
      <c r="AA72" s="138" t="str">
        <f t="shared" si="11"/>
        <v/>
      </c>
      <c r="AB72" s="239"/>
      <c r="AC72" s="325"/>
      <c r="AD72" s="325"/>
      <c r="AE72" s="325"/>
      <c r="AF72" s="325"/>
      <c r="AG72" s="325"/>
      <c r="AH72" s="325"/>
      <c r="AI72" s="325"/>
      <c r="AJ72" s="325"/>
      <c r="AK72" s="325"/>
      <c r="AL72" s="325"/>
      <c r="AM72" s="325"/>
      <c r="AN72" s="325"/>
      <c r="AO72" s="325"/>
      <c r="AP72" s="136"/>
      <c r="AQ72" s="136"/>
      <c r="AR72" s="136" t="str">
        <f t="shared" si="14"/>
        <v/>
      </c>
      <c r="AS72" s="136" t="str">
        <f t="shared" si="14"/>
        <v/>
      </c>
      <c r="AT72" s="5" t="str">
        <f t="shared" si="15"/>
        <v/>
      </c>
      <c r="AV72" s="27" t="str">
        <f>IF(G72="","",+"          ["&amp;TRIM(G72)&amp;"] ["&amp;TRIM(I72)&amp;"]"&amp;IF(H72="","","("&amp;H72&amp;")")&amp;" "&amp;TRIM(J72)&amp;IF(G75="","",","))</f>
        <v/>
      </c>
      <c r="AW72" s="27"/>
      <c r="AY72" s="122" t="str">
        <f t="shared" si="8"/>
        <v/>
      </c>
    </row>
    <row r="73" spans="2:51" ht="12.75">
      <c r="B73" s="20" t="str">
        <f t="shared" si="10"/>
        <v/>
      </c>
      <c r="C73" s="5"/>
      <c r="D73" s="5"/>
      <c r="E73" s="5"/>
      <c r="G73" s="5" t="str">
        <f t="shared" si="16"/>
        <v/>
      </c>
      <c r="H73" s="117" t="str">
        <f t="shared" si="12"/>
        <v/>
      </c>
      <c r="I73" s="5" t="str">
        <f t="shared" si="17"/>
        <v/>
      </c>
      <c r="J73" s="5" t="str">
        <f t="shared" si="18"/>
        <v/>
      </c>
      <c r="K73" s="5"/>
      <c r="L73" s="5"/>
      <c r="M73" s="75"/>
      <c r="N73" s="77"/>
      <c r="O73" s="26"/>
      <c r="P73" s="26"/>
      <c r="Q73" s="118" t="str">
        <f t="shared" si="19"/>
        <v/>
      </c>
      <c r="R73" s="153"/>
      <c r="S73" s="138" t="str">
        <f t="shared" si="20"/>
        <v/>
      </c>
      <c r="T73" s="148"/>
      <c r="U73" s="146"/>
      <c r="V73" s="146"/>
      <c r="W73" s="139"/>
      <c r="X73" s="139"/>
      <c r="Y73" s="148"/>
      <c r="Z73" s="138" t="str">
        <f t="shared" si="9"/>
        <v/>
      </c>
      <c r="AA73" s="138" t="str">
        <f t="shared" si="11"/>
        <v/>
      </c>
      <c r="AB73" s="239"/>
      <c r="AC73" s="325"/>
      <c r="AD73" s="325"/>
      <c r="AE73" s="325"/>
      <c r="AF73" s="325"/>
      <c r="AG73" s="325"/>
      <c r="AH73" s="325"/>
      <c r="AI73" s="325"/>
      <c r="AJ73" s="325"/>
      <c r="AK73" s="325"/>
      <c r="AL73" s="325"/>
      <c r="AM73" s="325"/>
      <c r="AN73" s="325"/>
      <c r="AO73" s="325"/>
      <c r="AP73" s="136"/>
      <c r="AQ73" s="136"/>
      <c r="AR73" s="136" t="str">
        <f t="shared" si="14"/>
        <v/>
      </c>
      <c r="AS73" s="136" t="str">
        <f t="shared" si="14"/>
        <v/>
      </c>
      <c r="AT73" s="5" t="str">
        <f t="shared" si="15"/>
        <v/>
      </c>
      <c r="AV73" s="27" t="str">
        <f>IF(G73="","",+"          ["&amp;TRIM(G73)&amp;"] ["&amp;TRIM(I73)&amp;"]"&amp;IF(H73="","","("&amp;H73&amp;")")&amp;" "&amp;TRIM(J73)&amp;IF(G74="","",","))</f>
        <v/>
      </c>
      <c r="AW73" s="27"/>
      <c r="AY73" s="122" t="str">
        <f t="shared" si="8"/>
        <v/>
      </c>
    </row>
    <row r="74" spans="2:51" ht="12.75">
      <c r="B74" s="20" t="str">
        <f t="shared" si="10"/>
        <v/>
      </c>
      <c r="C74" s="5"/>
      <c r="D74" s="5"/>
      <c r="E74" s="5"/>
      <c r="G74" s="5" t="str">
        <f t="shared" si="16"/>
        <v/>
      </c>
      <c r="H74" s="117" t="str">
        <f t="shared" si="12"/>
        <v/>
      </c>
      <c r="I74" s="5" t="str">
        <f t="shared" si="17"/>
        <v/>
      </c>
      <c r="J74" s="5" t="str">
        <f t="shared" si="18"/>
        <v/>
      </c>
      <c r="K74" s="5"/>
      <c r="L74" s="5"/>
      <c r="M74" s="75"/>
      <c r="N74" s="77"/>
      <c r="O74" s="26"/>
      <c r="P74" s="26"/>
      <c r="Q74" s="118" t="str">
        <f t="shared" si="19"/>
        <v/>
      </c>
      <c r="R74" s="153"/>
      <c r="S74" s="138" t="str">
        <f t="shared" si="20"/>
        <v/>
      </c>
      <c r="T74" s="148"/>
      <c r="U74" s="146"/>
      <c r="V74" s="146"/>
      <c r="W74" s="139"/>
      <c r="X74" s="139"/>
      <c r="Y74" s="148"/>
      <c r="Z74" s="138" t="str">
        <f t="shared" si="9"/>
        <v/>
      </c>
      <c r="AA74" s="138" t="str">
        <f t="shared" si="11"/>
        <v/>
      </c>
      <c r="AB74" s="239"/>
      <c r="AC74" s="325"/>
      <c r="AD74" s="325"/>
      <c r="AE74" s="325"/>
      <c r="AF74" s="325"/>
      <c r="AG74" s="325"/>
      <c r="AH74" s="325"/>
      <c r="AI74" s="325"/>
      <c r="AJ74" s="325"/>
      <c r="AK74" s="325"/>
      <c r="AL74" s="325"/>
      <c r="AM74" s="325"/>
      <c r="AN74" s="325"/>
      <c r="AO74" s="325"/>
      <c r="AP74" s="136"/>
      <c r="AQ74" s="136"/>
      <c r="AR74" s="136" t="str">
        <f t="shared" si="14"/>
        <v/>
      </c>
      <c r="AS74" s="136" t="str">
        <f t="shared" si="14"/>
        <v/>
      </c>
      <c r="AT74" s="5" t="str">
        <f t="shared" si="15"/>
        <v/>
      </c>
      <c r="AV74" s="27" t="str">
        <f>IF(G74="","",+"          ["&amp;TRIM(G74)&amp;"] ["&amp;TRIM(I74)&amp;"]"&amp;IF(H74="","","("&amp;H74&amp;")")&amp;" "&amp;TRIM(J74)&amp;IF(G75="","",","))</f>
        <v/>
      </c>
      <c r="AW74" s="27"/>
      <c r="AY74" s="122" t="str">
        <f t="shared" si="8"/>
        <v/>
      </c>
    </row>
    <row r="75" spans="2:51" ht="12.75">
      <c r="B75" s="20" t="str">
        <f t="shared" si="10"/>
        <v/>
      </c>
      <c r="C75" s="5"/>
      <c r="D75" s="5"/>
      <c r="E75" s="5"/>
      <c r="G75" s="5" t="str">
        <f t="shared" si="16"/>
        <v/>
      </c>
      <c r="H75" s="117" t="str">
        <f t="shared" si="12"/>
        <v/>
      </c>
      <c r="I75" s="5" t="str">
        <f t="shared" si="17"/>
        <v/>
      </c>
      <c r="J75" s="5" t="str">
        <f t="shared" si="18"/>
        <v/>
      </c>
      <c r="K75" s="5"/>
      <c r="L75" s="5"/>
      <c r="M75" s="75"/>
      <c r="N75" s="77"/>
      <c r="O75" s="26"/>
      <c r="P75" s="26"/>
      <c r="Q75" s="118" t="str">
        <f t="shared" si="19"/>
        <v/>
      </c>
      <c r="R75" s="153"/>
      <c r="S75" s="138" t="str">
        <f t="shared" si="20"/>
        <v/>
      </c>
      <c r="T75" s="148"/>
      <c r="U75" s="146"/>
      <c r="V75" s="146"/>
      <c r="W75" s="139"/>
      <c r="X75" s="139"/>
      <c r="Y75" s="148"/>
      <c r="Z75" s="138" t="str">
        <f t="shared" si="9"/>
        <v/>
      </c>
      <c r="AA75" s="138" t="str">
        <f t="shared" si="11"/>
        <v/>
      </c>
      <c r="AB75" s="239"/>
      <c r="AC75" s="325"/>
      <c r="AD75" s="325"/>
      <c r="AE75" s="325"/>
      <c r="AF75" s="325"/>
      <c r="AG75" s="325"/>
      <c r="AH75" s="325"/>
      <c r="AI75" s="325"/>
      <c r="AJ75" s="325"/>
      <c r="AK75" s="325"/>
      <c r="AL75" s="325"/>
      <c r="AM75" s="325"/>
      <c r="AN75" s="325"/>
      <c r="AO75" s="325"/>
      <c r="AP75" s="136"/>
      <c r="AQ75" s="136"/>
      <c r="AR75" s="136" t="str">
        <f t="shared" si="14"/>
        <v/>
      </c>
      <c r="AS75" s="136" t="str">
        <f t="shared" si="14"/>
        <v/>
      </c>
      <c r="AT75" s="5" t="str">
        <f t="shared" si="15"/>
        <v/>
      </c>
      <c r="AV75" s="27" t="str">
        <f>IF(G75="","",+"          ["&amp;TRIM(G75)&amp;"] ["&amp;TRIM(I75)&amp;"]"&amp;IF(H75="","","("&amp;H75&amp;")")&amp;" "&amp;TRIM(J75)&amp;IF(G94="","",","))</f>
        <v/>
      </c>
      <c r="AW75" s="27"/>
      <c r="AY75" s="122" t="str">
        <f t="shared" si="8"/>
        <v/>
      </c>
    </row>
    <row r="76" spans="2:51" ht="12.75">
      <c r="B76" s="20" t="str">
        <f t="shared" si="10"/>
        <v/>
      </c>
      <c r="C76" s="5"/>
      <c r="D76" s="5"/>
      <c r="E76" s="5"/>
      <c r="G76" s="5" t="str">
        <f t="shared" si="16"/>
        <v/>
      </c>
      <c r="H76" s="117" t="str">
        <f t="shared" si="12"/>
        <v/>
      </c>
      <c r="I76" s="5" t="str">
        <f t="shared" si="17"/>
        <v/>
      </c>
      <c r="J76" s="5" t="str">
        <f t="shared" si="18"/>
        <v/>
      </c>
      <c r="K76" s="5"/>
      <c r="L76" s="5"/>
      <c r="M76" s="75"/>
      <c r="N76" s="77"/>
      <c r="O76" s="26"/>
      <c r="P76" s="26"/>
      <c r="Q76" s="118" t="str">
        <f t="shared" si="19"/>
        <v/>
      </c>
      <c r="R76" s="153"/>
      <c r="S76" s="138" t="str">
        <f t="shared" si="20"/>
        <v/>
      </c>
      <c r="T76" s="148"/>
      <c r="U76" s="146"/>
      <c r="V76" s="146"/>
      <c r="W76" s="139"/>
      <c r="X76" s="139"/>
      <c r="Y76" s="148"/>
      <c r="Z76" s="138" t="str">
        <f t="shared" si="9"/>
        <v/>
      </c>
      <c r="AA76" s="138" t="str">
        <f t="shared" si="11"/>
        <v/>
      </c>
      <c r="AB76" s="239"/>
      <c r="AC76" s="325"/>
      <c r="AD76" s="325"/>
      <c r="AE76" s="325"/>
      <c r="AF76" s="325"/>
      <c r="AG76" s="325"/>
      <c r="AH76" s="325"/>
      <c r="AI76" s="325"/>
      <c r="AJ76" s="325"/>
      <c r="AK76" s="325"/>
      <c r="AL76" s="325"/>
      <c r="AM76" s="325"/>
      <c r="AN76" s="325"/>
      <c r="AO76" s="325"/>
      <c r="AP76" s="136"/>
      <c r="AQ76" s="136"/>
      <c r="AR76" s="136" t="str">
        <f t="shared" si="14"/>
        <v/>
      </c>
      <c r="AS76" s="136" t="str">
        <f t="shared" si="14"/>
        <v/>
      </c>
      <c r="AT76" s="5" t="str">
        <f t="shared" si="15"/>
        <v/>
      </c>
      <c r="AV76" s="27" t="str">
        <f>IF(G76="","",+"          ["&amp;TRIM(G76)&amp;"] ["&amp;TRIM(I76)&amp;"]"&amp;IF(H76="","","("&amp;H76&amp;")")&amp;" "&amp;TRIM(J76)&amp;IF(G77="","",","))</f>
        <v/>
      </c>
      <c r="AW76" s="27"/>
      <c r="AY76" s="122" t="str">
        <f t="shared" si="8"/>
        <v/>
      </c>
    </row>
    <row r="77" spans="2:51" ht="12.75">
      <c r="B77" s="20" t="str">
        <f t="shared" si="10"/>
        <v/>
      </c>
      <c r="C77" s="5"/>
      <c r="D77" s="5"/>
      <c r="E77" s="5"/>
      <c r="G77" s="5" t="str">
        <f t="shared" si="16"/>
        <v/>
      </c>
      <c r="H77" s="117" t="str">
        <f t="shared" si="12"/>
        <v/>
      </c>
      <c r="I77" s="5" t="str">
        <f t="shared" si="17"/>
        <v/>
      </c>
      <c r="J77" s="5" t="str">
        <f t="shared" si="18"/>
        <v/>
      </c>
      <c r="K77" s="5"/>
      <c r="L77" s="5"/>
      <c r="M77" s="75"/>
      <c r="N77" s="77"/>
      <c r="O77" s="26"/>
      <c r="P77" s="26"/>
      <c r="Q77" s="118" t="str">
        <f t="shared" si="19"/>
        <v/>
      </c>
      <c r="R77" s="153"/>
      <c r="S77" s="138" t="str">
        <f t="shared" si="20"/>
        <v/>
      </c>
      <c r="T77" s="148"/>
      <c r="U77" s="146"/>
      <c r="V77" s="146"/>
      <c r="W77" s="139"/>
      <c r="X77" s="139"/>
      <c r="Y77" s="148"/>
      <c r="Z77" s="138" t="str">
        <f t="shared" si="9"/>
        <v/>
      </c>
      <c r="AA77" s="138" t="str">
        <f t="shared" si="11"/>
        <v/>
      </c>
      <c r="AB77" s="239"/>
      <c r="AC77" s="325"/>
      <c r="AD77" s="325"/>
      <c r="AE77" s="325"/>
      <c r="AF77" s="325"/>
      <c r="AG77" s="325"/>
      <c r="AH77" s="325"/>
      <c r="AI77" s="325"/>
      <c r="AJ77" s="325"/>
      <c r="AK77" s="325"/>
      <c r="AL77" s="325"/>
      <c r="AM77" s="325"/>
      <c r="AN77" s="325"/>
      <c r="AO77" s="325"/>
      <c r="AP77" s="136"/>
      <c r="AQ77" s="136"/>
      <c r="AR77" s="136" t="str">
        <f t="shared" si="14"/>
        <v/>
      </c>
      <c r="AS77" s="136" t="str">
        <f t="shared" si="14"/>
        <v/>
      </c>
      <c r="AT77" s="5" t="str">
        <f t="shared" si="15"/>
        <v/>
      </c>
      <c r="AV77" s="27" t="str">
        <f>IF(G77="","",+"          ["&amp;TRIM(G77)&amp;"] ["&amp;TRIM(I77)&amp;"]"&amp;IF(H77="","","("&amp;H77&amp;")")&amp;" "&amp;TRIM(J77)&amp;IF(G78="","",","))</f>
        <v/>
      </c>
      <c r="AW77" s="27"/>
      <c r="AY77" s="122" t="str">
        <f t="shared" si="8"/>
        <v/>
      </c>
    </row>
    <row r="78" spans="2:51" ht="12.75">
      <c r="B78" s="20" t="str">
        <f t="shared" si="10"/>
        <v/>
      </c>
      <c r="C78" s="5"/>
      <c r="D78" s="5"/>
      <c r="E78" s="5"/>
      <c r="G78" s="5" t="str">
        <f t="shared" si="16"/>
        <v/>
      </c>
      <c r="H78" s="117" t="str">
        <f t="shared" si="12"/>
        <v/>
      </c>
      <c r="I78" s="5" t="str">
        <f t="shared" si="17"/>
        <v/>
      </c>
      <c r="J78" s="5" t="str">
        <f t="shared" si="18"/>
        <v/>
      </c>
      <c r="K78" s="5"/>
      <c r="L78" s="5"/>
      <c r="M78" s="75"/>
      <c r="N78" s="77"/>
      <c r="O78" s="26"/>
      <c r="P78" s="26"/>
      <c r="Q78" s="118" t="str">
        <f t="shared" si="19"/>
        <v/>
      </c>
      <c r="R78" s="153"/>
      <c r="S78" s="138" t="str">
        <f t="shared" si="20"/>
        <v/>
      </c>
      <c r="T78" s="148"/>
      <c r="U78" s="146"/>
      <c r="V78" s="146"/>
      <c r="W78" s="139"/>
      <c r="X78" s="139"/>
      <c r="Y78" s="148"/>
      <c r="Z78" s="138" t="str">
        <f t="shared" si="9"/>
        <v/>
      </c>
      <c r="AA78" s="138" t="str">
        <f t="shared" si="11"/>
        <v/>
      </c>
      <c r="AB78" s="239"/>
      <c r="AC78" s="325"/>
      <c r="AD78" s="325"/>
      <c r="AE78" s="325"/>
      <c r="AF78" s="325"/>
      <c r="AG78" s="325"/>
      <c r="AH78" s="325"/>
      <c r="AI78" s="325"/>
      <c r="AJ78" s="325"/>
      <c r="AK78" s="325"/>
      <c r="AL78" s="325"/>
      <c r="AM78" s="325"/>
      <c r="AN78" s="325"/>
      <c r="AO78" s="325"/>
      <c r="AP78" s="136"/>
      <c r="AQ78" s="136"/>
      <c r="AR78" s="136" t="str">
        <f t="shared" si="14"/>
        <v/>
      </c>
      <c r="AS78" s="136" t="str">
        <f t="shared" si="14"/>
        <v/>
      </c>
      <c r="AT78" s="5" t="str">
        <f t="shared" si="15"/>
        <v/>
      </c>
      <c r="AV78" s="27" t="str">
        <f>IF(G78="","",+"          ["&amp;TRIM(G78)&amp;"] ["&amp;TRIM(I78)&amp;"]"&amp;IF(H78="","","("&amp;H78&amp;")")&amp;" "&amp;TRIM(J78)&amp;IF(G93="","",","))</f>
        <v/>
      </c>
      <c r="AW78" s="27"/>
      <c r="AY78" s="122" t="str">
        <f t="shared" si="8"/>
        <v/>
      </c>
    </row>
    <row r="79" spans="2:51" ht="12.75">
      <c r="B79" s="20" t="str">
        <f t="shared" si="10"/>
        <v/>
      </c>
      <c r="C79" s="5"/>
      <c r="D79" s="5"/>
      <c r="E79" s="5"/>
      <c r="G79" s="5" t="str">
        <f t="shared" si="16"/>
        <v/>
      </c>
      <c r="H79" s="117" t="str">
        <f t="shared" si="12"/>
        <v/>
      </c>
      <c r="I79" s="5" t="str">
        <f t="shared" si="17"/>
        <v/>
      </c>
      <c r="J79" s="5" t="str">
        <f t="shared" si="18"/>
        <v/>
      </c>
      <c r="K79" s="5"/>
      <c r="L79" s="5"/>
      <c r="M79" s="75"/>
      <c r="N79" s="77"/>
      <c r="O79" s="26"/>
      <c r="P79" s="26"/>
      <c r="Q79" s="118" t="str">
        <f t="shared" si="19"/>
        <v/>
      </c>
      <c r="R79" s="153"/>
      <c r="S79" s="138" t="str">
        <f t="shared" si="20"/>
        <v/>
      </c>
      <c r="T79" s="148"/>
      <c r="U79" s="146"/>
      <c r="V79" s="146"/>
      <c r="W79" s="139"/>
      <c r="X79" s="139"/>
      <c r="Y79" s="148"/>
      <c r="Z79" s="138" t="str">
        <f t="shared" si="9"/>
        <v/>
      </c>
      <c r="AA79" s="138" t="str">
        <f t="shared" si="11"/>
        <v/>
      </c>
      <c r="AB79" s="239"/>
      <c r="AC79" s="325"/>
      <c r="AD79" s="325"/>
      <c r="AE79" s="325"/>
      <c r="AF79" s="325"/>
      <c r="AG79" s="325"/>
      <c r="AH79" s="325"/>
      <c r="AI79" s="325"/>
      <c r="AJ79" s="325"/>
      <c r="AK79" s="325"/>
      <c r="AL79" s="325"/>
      <c r="AM79" s="325"/>
      <c r="AN79" s="325"/>
      <c r="AO79" s="325"/>
      <c r="AP79" s="136"/>
      <c r="AQ79" s="136"/>
      <c r="AR79" s="136" t="str">
        <f t="shared" si="14"/>
        <v/>
      </c>
      <c r="AS79" s="136" t="str">
        <f t="shared" si="14"/>
        <v/>
      </c>
      <c r="AT79" s="5" t="str">
        <f t="shared" si="15"/>
        <v/>
      </c>
      <c r="AV79" s="27" t="str">
        <f>IF(G79="","",+"          ["&amp;TRIM(G79)&amp;"] ["&amp;TRIM(I79)&amp;"]"&amp;IF(H79="","","("&amp;H79&amp;")")&amp;" "&amp;TRIM(J79)&amp;IF(G80="","",","))</f>
        <v/>
      </c>
      <c r="AW79" s="27"/>
      <c r="AY79" s="122" t="str">
        <f t="shared" si="8"/>
        <v/>
      </c>
    </row>
    <row r="80" spans="2:51" ht="12.75">
      <c r="B80" s="20" t="str">
        <f t="shared" si="10"/>
        <v/>
      </c>
      <c r="C80" s="5"/>
      <c r="D80" s="5"/>
      <c r="E80" s="5"/>
      <c r="G80" s="5" t="str">
        <f t="shared" si="16"/>
        <v/>
      </c>
      <c r="H80" s="117" t="str">
        <f t="shared" si="12"/>
        <v/>
      </c>
      <c r="I80" s="5" t="str">
        <f t="shared" si="17"/>
        <v/>
      </c>
      <c r="J80" s="5" t="str">
        <f t="shared" si="18"/>
        <v/>
      </c>
      <c r="K80" s="5"/>
      <c r="L80" s="5"/>
      <c r="M80" s="75"/>
      <c r="N80" s="77"/>
      <c r="O80" s="26"/>
      <c r="P80" s="26"/>
      <c r="Q80" s="118" t="str">
        <f t="shared" si="19"/>
        <v/>
      </c>
      <c r="R80" s="153"/>
      <c r="S80" s="138" t="str">
        <f t="shared" si="20"/>
        <v/>
      </c>
      <c r="T80" s="148"/>
      <c r="U80" s="146"/>
      <c r="V80" s="146"/>
      <c r="W80" s="139"/>
      <c r="X80" s="139"/>
      <c r="Y80" s="148"/>
      <c r="Z80" s="138" t="str">
        <f t="shared" si="9"/>
        <v/>
      </c>
      <c r="AA80" s="138" t="str">
        <f t="shared" si="11"/>
        <v/>
      </c>
      <c r="AB80" s="239"/>
      <c r="AC80" s="325"/>
      <c r="AD80" s="325"/>
      <c r="AE80" s="325"/>
      <c r="AF80" s="325"/>
      <c r="AG80" s="325"/>
      <c r="AH80" s="325"/>
      <c r="AI80" s="325"/>
      <c r="AJ80" s="325"/>
      <c r="AK80" s="325"/>
      <c r="AL80" s="325"/>
      <c r="AM80" s="325"/>
      <c r="AN80" s="325"/>
      <c r="AO80" s="325"/>
      <c r="AP80" s="136"/>
      <c r="AQ80" s="136"/>
      <c r="AR80" s="136" t="str">
        <f t="shared" ref="AR80:AS115" si="22">IF(O80=0,"",ROW())</f>
        <v/>
      </c>
      <c r="AS80" s="136" t="str">
        <f t="shared" si="22"/>
        <v/>
      </c>
      <c r="AT80" s="5" t="str">
        <f t="shared" ref="AT80:AT116" si="23">IF(C80="","",C80&amp;IF(B81="","",","))</f>
        <v/>
      </c>
      <c r="AV80" s="27" t="str">
        <f>IF(G80="","",+"          ["&amp;TRIM(G80)&amp;"] ["&amp;TRIM(I80)&amp;"]"&amp;IF(H80="","","("&amp;H80&amp;")")&amp;" "&amp;TRIM(J80)&amp;IF(G83="","",","))</f>
        <v/>
      </c>
      <c r="AW80" s="27"/>
      <c r="AY80" s="122" t="str">
        <f t="shared" ref="AY80:AY116" si="24">IF(G80="",IF(OR(AY79=");",AY79=""),"",");"),+"          "&amp;TRIM(G80)&amp;" "&amp;UPPER(TRIM(I80))&amp;IF(H80="",""," ("&amp;H80&amp;")")&amp;" "&amp;IF(TRIM(J80)="NOT NULL","PRIMARY KEY UNIQUE NOT NULL",TRIM(J80))&amp;IF(G81="","",","))</f>
        <v/>
      </c>
    </row>
    <row r="81" spans="2:51" ht="12.75">
      <c r="B81" s="20" t="str">
        <f t="shared" si="10"/>
        <v/>
      </c>
      <c r="C81" s="5"/>
      <c r="D81" s="5"/>
      <c r="E81" s="5"/>
      <c r="G81" s="5" t="str">
        <f t="shared" si="16"/>
        <v/>
      </c>
      <c r="H81" s="117" t="str">
        <f t="shared" si="12"/>
        <v/>
      </c>
      <c r="I81" s="5" t="str">
        <f t="shared" si="17"/>
        <v/>
      </c>
      <c r="J81" s="5" t="str">
        <f t="shared" si="18"/>
        <v/>
      </c>
      <c r="K81" s="5"/>
      <c r="L81" s="5"/>
      <c r="M81" s="75"/>
      <c r="N81" s="77"/>
      <c r="O81" s="26"/>
      <c r="P81" s="26"/>
      <c r="Q81" s="118" t="str">
        <f t="shared" si="19"/>
        <v/>
      </c>
      <c r="R81" s="153"/>
      <c r="S81" s="138" t="str">
        <f t="shared" ref="S81:S115" si="25">IF(+K81=0,"",K81)</f>
        <v/>
      </c>
      <c r="T81" s="148"/>
      <c r="U81" s="146"/>
      <c r="V81" s="146"/>
      <c r="W81" s="139"/>
      <c r="X81" s="139"/>
      <c r="Y81" s="148"/>
      <c r="Z81" s="138" t="str">
        <f t="shared" ref="Z81:Z115" si="26">IF(M81&lt;9000,"","false")</f>
        <v/>
      </c>
      <c r="AA81" s="138" t="str">
        <f t="shared" si="11"/>
        <v/>
      </c>
      <c r="AB81" s="239"/>
      <c r="AC81" s="325"/>
      <c r="AD81" s="325"/>
      <c r="AE81" s="325"/>
      <c r="AF81" s="325"/>
      <c r="AG81" s="325"/>
      <c r="AH81" s="325"/>
      <c r="AI81" s="325"/>
      <c r="AJ81" s="325"/>
      <c r="AK81" s="325"/>
      <c r="AL81" s="325"/>
      <c r="AM81" s="325"/>
      <c r="AN81" s="325"/>
      <c r="AO81" s="325"/>
      <c r="AP81" s="136"/>
      <c r="AQ81" s="136"/>
      <c r="AR81" s="136" t="str">
        <f t="shared" si="22"/>
        <v/>
      </c>
      <c r="AS81" s="136" t="str">
        <f t="shared" si="22"/>
        <v/>
      </c>
      <c r="AT81" s="5" t="str">
        <f t="shared" si="23"/>
        <v/>
      </c>
      <c r="AV81" s="27" t="str">
        <f>IF(G81="","",+"          ["&amp;TRIM(G81)&amp;"] ["&amp;TRIM(I81)&amp;"]"&amp;IF(H81="","","("&amp;H81&amp;")")&amp;" "&amp;TRIM(J81)&amp;IF(G82="","",","))</f>
        <v/>
      </c>
      <c r="AW81" s="27"/>
      <c r="AY81" s="122" t="str">
        <f t="shared" si="24"/>
        <v/>
      </c>
    </row>
    <row r="82" spans="2:51" ht="12.75">
      <c r="B82" s="20" t="str">
        <f t="shared" ref="B82:B115" si="27">IF(C82=0,"",+B81+1)</f>
        <v/>
      </c>
      <c r="C82" s="5"/>
      <c r="D82" s="5"/>
      <c r="E82" s="5"/>
      <c r="G82" s="5" t="str">
        <f t="shared" si="16"/>
        <v/>
      </c>
      <c r="H82" s="117" t="str">
        <f t="shared" si="12"/>
        <v/>
      </c>
      <c r="I82" s="5" t="str">
        <f t="shared" si="17"/>
        <v/>
      </c>
      <c r="J82" s="5" t="str">
        <f t="shared" si="18"/>
        <v/>
      </c>
      <c r="K82" s="5"/>
      <c r="L82" s="5"/>
      <c r="M82" s="75"/>
      <c r="N82" s="77"/>
      <c r="O82" s="26"/>
      <c r="P82" s="26"/>
      <c r="Q82" s="118" t="str">
        <f t="shared" si="19"/>
        <v/>
      </c>
      <c r="R82" s="153"/>
      <c r="S82" s="138" t="str">
        <f t="shared" si="25"/>
        <v/>
      </c>
      <c r="T82" s="148"/>
      <c r="U82" s="146"/>
      <c r="V82" s="146"/>
      <c r="W82" s="139"/>
      <c r="X82" s="139"/>
      <c r="Y82" s="148"/>
      <c r="Z82" s="138" t="str">
        <f t="shared" si="26"/>
        <v/>
      </c>
      <c r="AA82" s="138" t="str">
        <f t="shared" ref="AA82:AA115" si="28">IF($C$120=B82,"asc","")</f>
        <v/>
      </c>
      <c r="AB82" s="239"/>
      <c r="AC82" s="325"/>
      <c r="AD82" s="325"/>
      <c r="AE82" s="325"/>
      <c r="AF82" s="325"/>
      <c r="AG82" s="325"/>
      <c r="AH82" s="325"/>
      <c r="AI82" s="325"/>
      <c r="AJ82" s="325"/>
      <c r="AK82" s="325"/>
      <c r="AL82" s="325"/>
      <c r="AM82" s="325"/>
      <c r="AN82" s="325"/>
      <c r="AO82" s="325"/>
      <c r="AP82" s="136"/>
      <c r="AQ82" s="136"/>
      <c r="AR82" s="136" t="str">
        <f t="shared" si="22"/>
        <v/>
      </c>
      <c r="AS82" s="136" t="str">
        <f t="shared" si="22"/>
        <v/>
      </c>
      <c r="AT82" s="5" t="str">
        <f t="shared" si="23"/>
        <v/>
      </c>
      <c r="AV82" s="27" t="str">
        <f>IF(G82="","",+"          ["&amp;TRIM(G82)&amp;"] ["&amp;TRIM(I82)&amp;"]"&amp;IF(H82="","","("&amp;H82&amp;")")&amp;" "&amp;TRIM(J82)&amp;IF(G83="","",","))</f>
        <v/>
      </c>
      <c r="AW82" s="27"/>
      <c r="AY82" s="122" t="str">
        <f t="shared" si="24"/>
        <v/>
      </c>
    </row>
    <row r="83" spans="2:51" ht="12.75">
      <c r="B83" s="20" t="str">
        <f t="shared" si="27"/>
        <v/>
      </c>
      <c r="C83" s="5"/>
      <c r="D83" s="5"/>
      <c r="E83" s="5"/>
      <c r="G83" s="5" t="str">
        <f t="shared" si="16"/>
        <v/>
      </c>
      <c r="H83" s="117" t="str">
        <f t="shared" si="12"/>
        <v/>
      </c>
      <c r="I83" s="5" t="str">
        <f t="shared" si="17"/>
        <v/>
      </c>
      <c r="J83" s="5" t="str">
        <f t="shared" si="18"/>
        <v/>
      </c>
      <c r="K83" s="5"/>
      <c r="L83" s="5"/>
      <c r="M83" s="75"/>
      <c r="N83" s="77"/>
      <c r="O83" s="26"/>
      <c r="P83" s="26"/>
      <c r="Q83" s="118" t="str">
        <f t="shared" si="19"/>
        <v/>
      </c>
      <c r="R83" s="153"/>
      <c r="S83" s="138" t="str">
        <f t="shared" si="25"/>
        <v/>
      </c>
      <c r="T83" s="148"/>
      <c r="U83" s="146"/>
      <c r="V83" s="146"/>
      <c r="W83" s="139"/>
      <c r="X83" s="139"/>
      <c r="Y83" s="148"/>
      <c r="Z83" s="138" t="str">
        <f t="shared" si="26"/>
        <v/>
      </c>
      <c r="AA83" s="138" t="str">
        <f t="shared" si="28"/>
        <v/>
      </c>
      <c r="AB83" s="239"/>
      <c r="AC83" s="325"/>
      <c r="AD83" s="325"/>
      <c r="AE83" s="325"/>
      <c r="AF83" s="325"/>
      <c r="AG83" s="325"/>
      <c r="AH83" s="325"/>
      <c r="AI83" s="325"/>
      <c r="AJ83" s="325"/>
      <c r="AK83" s="325"/>
      <c r="AL83" s="325"/>
      <c r="AM83" s="325"/>
      <c r="AN83" s="325"/>
      <c r="AO83" s="325"/>
      <c r="AP83" s="136"/>
      <c r="AQ83" s="136"/>
      <c r="AR83" s="136" t="str">
        <f t="shared" si="22"/>
        <v/>
      </c>
      <c r="AS83" s="136" t="str">
        <f t="shared" si="22"/>
        <v/>
      </c>
      <c r="AT83" s="5" t="str">
        <f t="shared" si="23"/>
        <v/>
      </c>
      <c r="AV83" s="27" t="str">
        <f>IF(G83="","",+"          ["&amp;TRIM(G83)&amp;"] ["&amp;TRIM(I83)&amp;"]"&amp;IF(H83="","","("&amp;H83&amp;")")&amp;" "&amp;TRIM(J83)&amp;IF(G93="","",","))</f>
        <v/>
      </c>
      <c r="AW83" s="27"/>
      <c r="AY83" s="122" t="str">
        <f t="shared" si="24"/>
        <v/>
      </c>
    </row>
    <row r="84" spans="2:51" ht="12.75">
      <c r="B84" s="20" t="str">
        <f t="shared" si="27"/>
        <v/>
      </c>
      <c r="C84" s="5"/>
      <c r="D84" s="5"/>
      <c r="E84" s="5"/>
      <c r="G84" s="5" t="str">
        <f t="shared" si="16"/>
        <v/>
      </c>
      <c r="H84" s="117" t="str">
        <f t="shared" si="12"/>
        <v/>
      </c>
      <c r="I84" s="5" t="str">
        <f t="shared" si="17"/>
        <v/>
      </c>
      <c r="J84" s="5" t="str">
        <f t="shared" si="18"/>
        <v/>
      </c>
      <c r="K84" s="5"/>
      <c r="L84" s="5"/>
      <c r="M84" s="75"/>
      <c r="N84" s="77"/>
      <c r="O84" s="26"/>
      <c r="P84" s="26"/>
      <c r="Q84" s="118" t="str">
        <f t="shared" si="19"/>
        <v/>
      </c>
      <c r="R84" s="153"/>
      <c r="S84" s="138" t="str">
        <f t="shared" si="25"/>
        <v/>
      </c>
      <c r="T84" s="148"/>
      <c r="U84" s="146"/>
      <c r="V84" s="146"/>
      <c r="W84" s="139"/>
      <c r="X84" s="139"/>
      <c r="Y84" s="148"/>
      <c r="Z84" s="138" t="str">
        <f t="shared" si="26"/>
        <v/>
      </c>
      <c r="AA84" s="138" t="str">
        <f t="shared" si="28"/>
        <v/>
      </c>
      <c r="AB84" s="239"/>
      <c r="AC84" s="325"/>
      <c r="AD84" s="325"/>
      <c r="AE84" s="325"/>
      <c r="AF84" s="325"/>
      <c r="AG84" s="325"/>
      <c r="AH84" s="325"/>
      <c r="AI84" s="325"/>
      <c r="AJ84" s="325"/>
      <c r="AK84" s="325"/>
      <c r="AL84" s="325"/>
      <c r="AM84" s="325"/>
      <c r="AN84" s="325"/>
      <c r="AO84" s="325"/>
      <c r="AP84" s="136"/>
      <c r="AQ84" s="136"/>
      <c r="AR84" s="136" t="str">
        <f t="shared" si="22"/>
        <v/>
      </c>
      <c r="AS84" s="136" t="str">
        <f t="shared" si="22"/>
        <v/>
      </c>
      <c r="AT84" s="5" t="str">
        <f t="shared" si="23"/>
        <v/>
      </c>
      <c r="AV84" s="27" t="str">
        <f>IF(G84="","",+"          ["&amp;TRIM(G84)&amp;"] ["&amp;TRIM(I84)&amp;"]"&amp;IF(H84="","","("&amp;H84&amp;")")&amp;" "&amp;TRIM(J84)&amp;IF(G85="","",","))</f>
        <v/>
      </c>
      <c r="AW84" s="27"/>
      <c r="AY84" s="122" t="str">
        <f t="shared" si="24"/>
        <v/>
      </c>
    </row>
    <row r="85" spans="2:51" ht="12.75">
      <c r="B85" s="20" t="str">
        <f t="shared" si="27"/>
        <v/>
      </c>
      <c r="C85" s="5"/>
      <c r="D85" s="5"/>
      <c r="E85" s="5"/>
      <c r="G85" s="5" t="str">
        <f t="shared" si="16"/>
        <v/>
      </c>
      <c r="H85" s="117" t="str">
        <f t="shared" si="12"/>
        <v/>
      </c>
      <c r="I85" s="5" t="str">
        <f t="shared" si="17"/>
        <v/>
      </c>
      <c r="J85" s="5" t="str">
        <f t="shared" si="18"/>
        <v/>
      </c>
      <c r="K85" s="5"/>
      <c r="L85" s="5"/>
      <c r="M85" s="75"/>
      <c r="N85" s="77"/>
      <c r="O85" s="26"/>
      <c r="P85" s="26"/>
      <c r="Q85" s="118" t="str">
        <f t="shared" si="19"/>
        <v/>
      </c>
      <c r="R85" s="153"/>
      <c r="S85" s="138" t="str">
        <f t="shared" si="25"/>
        <v/>
      </c>
      <c r="T85" s="148"/>
      <c r="U85" s="146"/>
      <c r="V85" s="146"/>
      <c r="W85" s="139"/>
      <c r="X85" s="139"/>
      <c r="Y85" s="148"/>
      <c r="Z85" s="138" t="str">
        <f t="shared" si="26"/>
        <v/>
      </c>
      <c r="AA85" s="138" t="str">
        <f t="shared" si="28"/>
        <v/>
      </c>
      <c r="AB85" s="239"/>
      <c r="AC85" s="325"/>
      <c r="AD85" s="325"/>
      <c r="AE85" s="325"/>
      <c r="AF85" s="325"/>
      <c r="AG85" s="325"/>
      <c r="AH85" s="325"/>
      <c r="AI85" s="325"/>
      <c r="AJ85" s="325"/>
      <c r="AK85" s="325"/>
      <c r="AL85" s="325"/>
      <c r="AM85" s="325"/>
      <c r="AN85" s="325"/>
      <c r="AO85" s="325"/>
      <c r="AP85" s="136"/>
      <c r="AQ85" s="136"/>
      <c r="AR85" s="136" t="str">
        <f t="shared" si="22"/>
        <v/>
      </c>
      <c r="AS85" s="136" t="str">
        <f t="shared" si="22"/>
        <v/>
      </c>
      <c r="AT85" s="5" t="str">
        <f t="shared" si="23"/>
        <v/>
      </c>
      <c r="AV85" s="27" t="str">
        <f>IF(G85="","",+"          ["&amp;TRIM(G85)&amp;"] ["&amp;TRIM(I85)&amp;"]"&amp;IF(H85="","","("&amp;H85&amp;")")&amp;" "&amp;TRIM(J85)&amp;IF(G86="","",","))</f>
        <v/>
      </c>
      <c r="AW85" s="27"/>
      <c r="AY85" s="122" t="str">
        <f t="shared" si="24"/>
        <v/>
      </c>
    </row>
    <row r="86" spans="2:51" ht="12.75">
      <c r="B86" s="20" t="str">
        <f t="shared" si="27"/>
        <v/>
      </c>
      <c r="C86" s="5"/>
      <c r="D86" s="5"/>
      <c r="E86" s="5"/>
      <c r="G86" s="5" t="str">
        <f t="shared" si="16"/>
        <v/>
      </c>
      <c r="H86" s="117" t="str">
        <f t="shared" si="12"/>
        <v/>
      </c>
      <c r="I86" s="5" t="str">
        <f t="shared" si="17"/>
        <v/>
      </c>
      <c r="J86" s="5" t="str">
        <f t="shared" si="18"/>
        <v/>
      </c>
      <c r="K86" s="5"/>
      <c r="L86" s="5"/>
      <c r="M86" s="75"/>
      <c r="N86" s="77"/>
      <c r="O86" s="26"/>
      <c r="P86" s="26"/>
      <c r="Q86" s="118" t="str">
        <f t="shared" si="19"/>
        <v/>
      </c>
      <c r="R86" s="153"/>
      <c r="S86" s="138" t="str">
        <f t="shared" si="25"/>
        <v/>
      </c>
      <c r="T86" s="148"/>
      <c r="U86" s="146"/>
      <c r="V86" s="146"/>
      <c r="W86" s="139"/>
      <c r="X86" s="139"/>
      <c r="Y86" s="148"/>
      <c r="Z86" s="138" t="str">
        <f t="shared" si="26"/>
        <v/>
      </c>
      <c r="AA86" s="138" t="str">
        <f t="shared" si="28"/>
        <v/>
      </c>
      <c r="AB86" s="239"/>
      <c r="AC86" s="325"/>
      <c r="AD86" s="325"/>
      <c r="AE86" s="325"/>
      <c r="AF86" s="325"/>
      <c r="AG86" s="325"/>
      <c r="AH86" s="325"/>
      <c r="AI86" s="325"/>
      <c r="AJ86" s="325"/>
      <c r="AK86" s="325"/>
      <c r="AL86" s="325"/>
      <c r="AM86" s="325"/>
      <c r="AN86" s="325"/>
      <c r="AO86" s="325"/>
      <c r="AP86" s="136"/>
      <c r="AQ86" s="136"/>
      <c r="AR86" s="136" t="str">
        <f t="shared" si="22"/>
        <v/>
      </c>
      <c r="AS86" s="136" t="str">
        <f t="shared" si="22"/>
        <v/>
      </c>
      <c r="AT86" s="5" t="str">
        <f t="shared" si="23"/>
        <v/>
      </c>
      <c r="AV86" s="27" t="str">
        <f>IF(G86="","",+"          ["&amp;TRIM(G86)&amp;"] ["&amp;TRIM(I86)&amp;"]"&amp;IF(H86="","","("&amp;H86&amp;")")&amp;" "&amp;TRIM(J86)&amp;IF(G87="","",","))</f>
        <v/>
      </c>
      <c r="AW86" s="27"/>
      <c r="AY86" s="122" t="str">
        <f t="shared" si="24"/>
        <v/>
      </c>
    </row>
    <row r="87" spans="2:51" ht="12.75">
      <c r="B87" s="20" t="str">
        <f t="shared" si="27"/>
        <v/>
      </c>
      <c r="C87" s="5"/>
      <c r="D87" s="5"/>
      <c r="E87" s="5"/>
      <c r="G87" s="5" t="str">
        <f t="shared" si="16"/>
        <v/>
      </c>
      <c r="H87" s="117" t="str">
        <f t="shared" ref="H87:H115" si="29">IF(IFERROR(FIND("varchar",E87),0)&gt;0,IF(D87&gt;8000,"max",D87),"")</f>
        <v/>
      </c>
      <c r="I87" s="5" t="str">
        <f t="shared" si="17"/>
        <v/>
      </c>
      <c r="J87" s="5" t="str">
        <f t="shared" si="18"/>
        <v/>
      </c>
      <c r="K87" s="5"/>
      <c r="L87" s="5"/>
      <c r="M87" s="75"/>
      <c r="N87" s="77"/>
      <c r="O87" s="26"/>
      <c r="P87" s="26"/>
      <c r="Q87" s="118" t="str">
        <f t="shared" si="19"/>
        <v/>
      </c>
      <c r="R87" s="153"/>
      <c r="S87" s="138" t="str">
        <f t="shared" si="25"/>
        <v/>
      </c>
      <c r="T87" s="148"/>
      <c r="U87" s="146"/>
      <c r="V87" s="146"/>
      <c r="W87" s="139"/>
      <c r="X87" s="139"/>
      <c r="Y87" s="148"/>
      <c r="Z87" s="138" t="str">
        <f t="shared" si="26"/>
        <v/>
      </c>
      <c r="AA87" s="138" t="str">
        <f t="shared" si="28"/>
        <v/>
      </c>
      <c r="AB87" s="239"/>
      <c r="AC87" s="325"/>
      <c r="AD87" s="325"/>
      <c r="AE87" s="325"/>
      <c r="AF87" s="325"/>
      <c r="AG87" s="325"/>
      <c r="AH87" s="325"/>
      <c r="AI87" s="325"/>
      <c r="AJ87" s="325"/>
      <c r="AK87" s="325"/>
      <c r="AL87" s="325"/>
      <c r="AM87" s="325"/>
      <c r="AN87" s="325"/>
      <c r="AO87" s="325"/>
      <c r="AP87" s="136"/>
      <c r="AQ87" s="136"/>
      <c r="AR87" s="136" t="str">
        <f t="shared" si="22"/>
        <v/>
      </c>
      <c r="AS87" s="136" t="str">
        <f t="shared" si="22"/>
        <v/>
      </c>
      <c r="AT87" s="5" t="str">
        <f t="shared" si="23"/>
        <v/>
      </c>
      <c r="AV87" s="27" t="str">
        <f>IF(G87="","",+"          ["&amp;TRIM(G87)&amp;"] ["&amp;TRIM(I87)&amp;"]"&amp;IF(H87="","","("&amp;H87&amp;")")&amp;" "&amp;TRIM(J87)&amp;IF(G93="","",","))</f>
        <v/>
      </c>
      <c r="AW87" s="27"/>
      <c r="AY87" s="122" t="str">
        <f t="shared" si="24"/>
        <v/>
      </c>
    </row>
    <row r="88" spans="2:51" ht="12.75">
      <c r="B88" s="20" t="str">
        <f t="shared" si="27"/>
        <v/>
      </c>
      <c r="C88" s="5"/>
      <c r="D88" s="5"/>
      <c r="E88" s="5"/>
      <c r="G88" s="5" t="str">
        <f t="shared" si="16"/>
        <v/>
      </c>
      <c r="H88" s="117" t="str">
        <f t="shared" si="29"/>
        <v/>
      </c>
      <c r="I88" s="5" t="str">
        <f t="shared" si="17"/>
        <v/>
      </c>
      <c r="J88" s="5" t="str">
        <f t="shared" si="18"/>
        <v/>
      </c>
      <c r="K88" s="5"/>
      <c r="L88" s="5"/>
      <c r="M88" s="75"/>
      <c r="N88" s="77"/>
      <c r="O88" s="26"/>
      <c r="P88" s="26"/>
      <c r="Q88" s="118" t="str">
        <f t="shared" si="19"/>
        <v/>
      </c>
      <c r="R88" s="153"/>
      <c r="S88" s="138" t="str">
        <f t="shared" si="25"/>
        <v/>
      </c>
      <c r="T88" s="148"/>
      <c r="U88" s="146"/>
      <c r="V88" s="146"/>
      <c r="W88" s="139"/>
      <c r="X88" s="139"/>
      <c r="Y88" s="148"/>
      <c r="Z88" s="138" t="str">
        <f t="shared" si="26"/>
        <v/>
      </c>
      <c r="AA88" s="138" t="str">
        <f t="shared" si="28"/>
        <v/>
      </c>
      <c r="AB88" s="239"/>
      <c r="AC88" s="325"/>
      <c r="AD88" s="325"/>
      <c r="AE88" s="325"/>
      <c r="AF88" s="325"/>
      <c r="AG88" s="325"/>
      <c r="AH88" s="325"/>
      <c r="AI88" s="325"/>
      <c r="AJ88" s="325"/>
      <c r="AK88" s="325"/>
      <c r="AL88" s="325"/>
      <c r="AM88" s="325"/>
      <c r="AN88" s="325"/>
      <c r="AO88" s="325"/>
      <c r="AP88" s="136"/>
      <c r="AQ88" s="136"/>
      <c r="AR88" s="136" t="str">
        <f t="shared" si="22"/>
        <v/>
      </c>
      <c r="AS88" s="136" t="str">
        <f t="shared" si="22"/>
        <v/>
      </c>
      <c r="AT88" s="5" t="str">
        <f t="shared" si="23"/>
        <v/>
      </c>
      <c r="AV88" s="27" t="str">
        <f>IF(G88="","",+"          ["&amp;TRIM(G88)&amp;"] ["&amp;TRIM(I88)&amp;"]"&amp;IF(H88="","","("&amp;H88&amp;")")&amp;" "&amp;TRIM(J88)&amp;IF(G89="","",","))</f>
        <v/>
      </c>
      <c r="AW88" s="27"/>
      <c r="AY88" s="122" t="str">
        <f t="shared" si="24"/>
        <v/>
      </c>
    </row>
    <row r="89" spans="2:51" ht="12.75">
      <c r="B89" s="20" t="str">
        <f t="shared" si="27"/>
        <v/>
      </c>
      <c r="C89" s="5"/>
      <c r="D89" s="5"/>
      <c r="E89" s="5"/>
      <c r="G89" s="5" t="str">
        <f t="shared" si="16"/>
        <v/>
      </c>
      <c r="H89" s="117" t="str">
        <f t="shared" si="29"/>
        <v/>
      </c>
      <c r="I89" s="5" t="str">
        <f t="shared" si="17"/>
        <v/>
      </c>
      <c r="J89" s="5" t="str">
        <f t="shared" si="18"/>
        <v/>
      </c>
      <c r="K89" s="5"/>
      <c r="L89" s="5"/>
      <c r="M89" s="75"/>
      <c r="N89" s="77"/>
      <c r="O89" s="26"/>
      <c r="P89" s="26"/>
      <c r="Q89" s="118" t="str">
        <f t="shared" si="19"/>
        <v/>
      </c>
      <c r="R89" s="153"/>
      <c r="S89" s="138" t="str">
        <f t="shared" si="25"/>
        <v/>
      </c>
      <c r="T89" s="148"/>
      <c r="U89" s="146"/>
      <c r="V89" s="146"/>
      <c r="W89" s="139"/>
      <c r="X89" s="139"/>
      <c r="Y89" s="148"/>
      <c r="Z89" s="138" t="str">
        <f t="shared" si="26"/>
        <v/>
      </c>
      <c r="AA89" s="138" t="str">
        <f t="shared" si="28"/>
        <v/>
      </c>
      <c r="AB89" s="239"/>
      <c r="AC89" s="325"/>
      <c r="AD89" s="325"/>
      <c r="AE89" s="325"/>
      <c r="AF89" s="325"/>
      <c r="AG89" s="325"/>
      <c r="AH89" s="325"/>
      <c r="AI89" s="325"/>
      <c r="AJ89" s="325"/>
      <c r="AK89" s="325"/>
      <c r="AL89" s="325"/>
      <c r="AM89" s="325"/>
      <c r="AN89" s="325"/>
      <c r="AO89" s="325"/>
      <c r="AP89" s="136"/>
      <c r="AQ89" s="136"/>
      <c r="AR89" s="136" t="str">
        <f t="shared" si="22"/>
        <v/>
      </c>
      <c r="AS89" s="136" t="str">
        <f t="shared" si="22"/>
        <v/>
      </c>
      <c r="AT89" s="5" t="str">
        <f t="shared" si="23"/>
        <v/>
      </c>
      <c r="AV89" s="27" t="str">
        <f>IF(G89="","",+"          ["&amp;TRIM(G89)&amp;"] ["&amp;TRIM(I89)&amp;"]"&amp;IF(H89="","","("&amp;H89&amp;")")&amp;" "&amp;TRIM(J89)&amp;IF(G92="","",","))</f>
        <v/>
      </c>
      <c r="AW89" s="27"/>
      <c r="AY89" s="122" t="str">
        <f t="shared" si="24"/>
        <v/>
      </c>
    </row>
    <row r="90" spans="2:51" ht="12.75">
      <c r="B90" s="20" t="str">
        <f t="shared" si="27"/>
        <v/>
      </c>
      <c r="C90" s="5"/>
      <c r="D90" s="5"/>
      <c r="E90" s="5"/>
      <c r="G90" s="5" t="str">
        <f t="shared" si="16"/>
        <v/>
      </c>
      <c r="H90" s="117" t="str">
        <f t="shared" si="29"/>
        <v/>
      </c>
      <c r="I90" s="5" t="str">
        <f t="shared" si="17"/>
        <v/>
      </c>
      <c r="J90" s="5" t="str">
        <f t="shared" si="18"/>
        <v/>
      </c>
      <c r="K90" s="5"/>
      <c r="L90" s="5"/>
      <c r="M90" s="75"/>
      <c r="N90" s="77"/>
      <c r="O90" s="26"/>
      <c r="P90" s="26"/>
      <c r="Q90" s="118" t="str">
        <f t="shared" si="19"/>
        <v/>
      </c>
      <c r="R90" s="153"/>
      <c r="S90" s="138" t="str">
        <f t="shared" si="25"/>
        <v/>
      </c>
      <c r="T90" s="148"/>
      <c r="U90" s="146"/>
      <c r="V90" s="146"/>
      <c r="W90" s="139"/>
      <c r="X90" s="139"/>
      <c r="Y90" s="148"/>
      <c r="Z90" s="138" t="str">
        <f t="shared" si="26"/>
        <v/>
      </c>
      <c r="AA90" s="138" t="str">
        <f t="shared" si="28"/>
        <v/>
      </c>
      <c r="AB90" s="239"/>
      <c r="AC90" s="325"/>
      <c r="AD90" s="325"/>
      <c r="AE90" s="325"/>
      <c r="AF90" s="325"/>
      <c r="AG90" s="325"/>
      <c r="AH90" s="325"/>
      <c r="AI90" s="325"/>
      <c r="AJ90" s="325"/>
      <c r="AK90" s="325"/>
      <c r="AL90" s="325"/>
      <c r="AM90" s="325"/>
      <c r="AN90" s="325"/>
      <c r="AO90" s="325"/>
      <c r="AP90" s="136"/>
      <c r="AQ90" s="136"/>
      <c r="AR90" s="136" t="str">
        <f t="shared" si="22"/>
        <v/>
      </c>
      <c r="AS90" s="136" t="str">
        <f t="shared" si="22"/>
        <v/>
      </c>
      <c r="AT90" s="5" t="str">
        <f t="shared" si="23"/>
        <v/>
      </c>
      <c r="AV90" s="27" t="str">
        <f t="shared" ref="AV90:AV95" si="30">IF(G90="","",+"          ["&amp;TRIM(G90)&amp;"] ["&amp;TRIM(I90)&amp;"]"&amp;IF(H90="","","("&amp;H90&amp;")")&amp;" "&amp;TRIM(J90)&amp;IF(G91="","",","))</f>
        <v/>
      </c>
      <c r="AW90" s="27"/>
      <c r="AY90" s="122" t="str">
        <f t="shared" si="24"/>
        <v/>
      </c>
    </row>
    <row r="91" spans="2:51" ht="12.75">
      <c r="B91" s="20" t="str">
        <f t="shared" si="27"/>
        <v/>
      </c>
      <c r="C91" s="5"/>
      <c r="D91" s="5"/>
      <c r="E91" s="5"/>
      <c r="G91" s="5" t="str">
        <f t="shared" si="16"/>
        <v/>
      </c>
      <c r="H91" s="117" t="str">
        <f t="shared" si="29"/>
        <v/>
      </c>
      <c r="I91" s="5" t="str">
        <f t="shared" si="17"/>
        <v/>
      </c>
      <c r="J91" s="5" t="str">
        <f t="shared" si="18"/>
        <v/>
      </c>
      <c r="K91" s="5"/>
      <c r="L91" s="5"/>
      <c r="M91" s="75"/>
      <c r="N91" s="77"/>
      <c r="O91" s="26"/>
      <c r="P91" s="26"/>
      <c r="Q91" s="118" t="str">
        <f t="shared" si="19"/>
        <v/>
      </c>
      <c r="R91" s="153"/>
      <c r="S91" s="138" t="str">
        <f t="shared" si="25"/>
        <v/>
      </c>
      <c r="T91" s="148"/>
      <c r="U91" s="146"/>
      <c r="V91" s="146"/>
      <c r="W91" s="139"/>
      <c r="X91" s="139"/>
      <c r="Y91" s="148"/>
      <c r="Z91" s="138" t="str">
        <f t="shared" si="26"/>
        <v/>
      </c>
      <c r="AA91" s="138" t="str">
        <f t="shared" si="28"/>
        <v/>
      </c>
      <c r="AB91" s="239"/>
      <c r="AC91" s="325"/>
      <c r="AD91" s="325"/>
      <c r="AE91" s="325"/>
      <c r="AF91" s="325"/>
      <c r="AG91" s="325"/>
      <c r="AH91" s="325"/>
      <c r="AI91" s="325"/>
      <c r="AJ91" s="325"/>
      <c r="AK91" s="325"/>
      <c r="AL91" s="325"/>
      <c r="AM91" s="325"/>
      <c r="AN91" s="325"/>
      <c r="AO91" s="325"/>
      <c r="AP91" s="136"/>
      <c r="AQ91" s="136"/>
      <c r="AR91" s="136" t="str">
        <f t="shared" si="22"/>
        <v/>
      </c>
      <c r="AS91" s="136" t="str">
        <f t="shared" si="22"/>
        <v/>
      </c>
      <c r="AT91" s="5" t="str">
        <f t="shared" si="23"/>
        <v/>
      </c>
      <c r="AV91" s="27" t="str">
        <f t="shared" si="30"/>
        <v/>
      </c>
      <c r="AW91" s="27"/>
      <c r="AY91" s="122" t="str">
        <f t="shared" si="24"/>
        <v/>
      </c>
    </row>
    <row r="92" spans="2:51" ht="12.75">
      <c r="B92" s="20" t="str">
        <f t="shared" si="27"/>
        <v/>
      </c>
      <c r="C92" s="5"/>
      <c r="D92" s="5"/>
      <c r="E92" s="5"/>
      <c r="G92" s="5" t="str">
        <f t="shared" si="16"/>
        <v/>
      </c>
      <c r="H92" s="117" t="str">
        <f t="shared" si="29"/>
        <v/>
      </c>
      <c r="I92" s="5" t="str">
        <f t="shared" si="17"/>
        <v/>
      </c>
      <c r="J92" s="5" t="str">
        <f t="shared" si="18"/>
        <v/>
      </c>
      <c r="K92" s="5"/>
      <c r="L92" s="5"/>
      <c r="M92" s="75"/>
      <c r="N92" s="77"/>
      <c r="O92" s="26"/>
      <c r="P92" s="26"/>
      <c r="Q92" s="118" t="str">
        <f t="shared" si="19"/>
        <v/>
      </c>
      <c r="R92" s="153"/>
      <c r="S92" s="138" t="str">
        <f t="shared" si="25"/>
        <v/>
      </c>
      <c r="T92" s="148"/>
      <c r="U92" s="146"/>
      <c r="V92" s="146"/>
      <c r="W92" s="139"/>
      <c r="X92" s="139"/>
      <c r="Y92" s="148"/>
      <c r="Z92" s="138" t="str">
        <f t="shared" si="26"/>
        <v/>
      </c>
      <c r="AA92" s="138" t="str">
        <f t="shared" si="28"/>
        <v/>
      </c>
      <c r="AB92" s="239"/>
      <c r="AC92" s="325"/>
      <c r="AD92" s="325"/>
      <c r="AE92" s="325"/>
      <c r="AF92" s="325"/>
      <c r="AG92" s="325"/>
      <c r="AH92" s="325"/>
      <c r="AI92" s="325"/>
      <c r="AJ92" s="325"/>
      <c r="AK92" s="325"/>
      <c r="AL92" s="325"/>
      <c r="AM92" s="325"/>
      <c r="AN92" s="325"/>
      <c r="AO92" s="325"/>
      <c r="AP92" s="136"/>
      <c r="AQ92" s="136"/>
      <c r="AR92" s="136" t="str">
        <f t="shared" si="22"/>
        <v/>
      </c>
      <c r="AS92" s="136" t="str">
        <f t="shared" si="22"/>
        <v/>
      </c>
      <c r="AT92" s="5" t="str">
        <f t="shared" si="23"/>
        <v/>
      </c>
      <c r="AV92" s="27" t="str">
        <f t="shared" si="30"/>
        <v/>
      </c>
      <c r="AW92" s="27"/>
      <c r="AY92" s="122" t="str">
        <f t="shared" si="24"/>
        <v/>
      </c>
    </row>
    <row r="93" spans="2:51" ht="12.75">
      <c r="B93" s="20" t="str">
        <f t="shared" si="27"/>
        <v/>
      </c>
      <c r="C93" s="5"/>
      <c r="D93" s="5"/>
      <c r="E93" s="5"/>
      <c r="G93" s="5" t="str">
        <f t="shared" si="16"/>
        <v/>
      </c>
      <c r="H93" s="117" t="str">
        <f t="shared" si="29"/>
        <v/>
      </c>
      <c r="I93" s="5" t="str">
        <f t="shared" si="17"/>
        <v/>
      </c>
      <c r="J93" s="5" t="str">
        <f t="shared" si="18"/>
        <v/>
      </c>
      <c r="K93" s="5"/>
      <c r="L93" s="5"/>
      <c r="M93" s="75"/>
      <c r="N93" s="77"/>
      <c r="O93" s="26"/>
      <c r="P93" s="26"/>
      <c r="Q93" s="118" t="str">
        <f t="shared" si="19"/>
        <v/>
      </c>
      <c r="R93" s="153"/>
      <c r="S93" s="138" t="str">
        <f t="shared" si="25"/>
        <v/>
      </c>
      <c r="T93" s="148"/>
      <c r="U93" s="146"/>
      <c r="V93" s="146"/>
      <c r="W93" s="139"/>
      <c r="X93" s="139"/>
      <c r="Y93" s="148"/>
      <c r="Z93" s="138" t="str">
        <f t="shared" si="26"/>
        <v/>
      </c>
      <c r="AA93" s="138" t="str">
        <f t="shared" si="28"/>
        <v/>
      </c>
      <c r="AB93" s="239"/>
      <c r="AC93" s="325"/>
      <c r="AD93" s="325"/>
      <c r="AE93" s="325"/>
      <c r="AF93" s="325"/>
      <c r="AG93" s="325"/>
      <c r="AH93" s="325"/>
      <c r="AI93" s="325"/>
      <c r="AJ93" s="325"/>
      <c r="AK93" s="325"/>
      <c r="AL93" s="325"/>
      <c r="AM93" s="325"/>
      <c r="AN93" s="325"/>
      <c r="AO93" s="325"/>
      <c r="AP93" s="136"/>
      <c r="AQ93" s="136"/>
      <c r="AR93" s="136" t="str">
        <f t="shared" si="22"/>
        <v/>
      </c>
      <c r="AS93" s="136" t="str">
        <f t="shared" si="22"/>
        <v/>
      </c>
      <c r="AT93" s="5" t="str">
        <f t="shared" si="23"/>
        <v/>
      </c>
      <c r="AV93" s="27" t="str">
        <f t="shared" si="30"/>
        <v/>
      </c>
      <c r="AW93" s="27"/>
      <c r="AY93" s="122" t="str">
        <f t="shared" si="24"/>
        <v/>
      </c>
    </row>
    <row r="94" spans="2:51" ht="12.75">
      <c r="B94" s="20" t="str">
        <f t="shared" si="27"/>
        <v/>
      </c>
      <c r="C94" s="5"/>
      <c r="D94" s="5"/>
      <c r="E94" s="5"/>
      <c r="G94" s="5" t="str">
        <f>SUBSTITUTE(SUBSTITUTE(SUBSTITUTE(SUBSTITUTE(SUBSTITUTE(SUBSTITUTE(SUBSTITUTE(SUBSTITUTE(SUBSTITUTE(C94," ",""),".",""),"#","No"),"%",""),"(",""),"*",""),"-",""),"/",""),")","")</f>
        <v/>
      </c>
      <c r="H94" s="117" t="str">
        <f t="shared" si="29"/>
        <v/>
      </c>
      <c r="I94" s="5" t="str">
        <f>IF(E94=0,"",+E94)</f>
        <v/>
      </c>
      <c r="J94" s="5" t="str">
        <f>IF(C94=0,"",(IF(ISERROR(VLOOKUP(G94,$D$120:$D$127,1,FALSE)),""," NOT")&amp;" NULL"))</f>
        <v/>
      </c>
      <c r="K94" s="5"/>
      <c r="L94" s="5"/>
      <c r="M94" s="75"/>
      <c r="N94" s="77"/>
      <c r="O94" s="26"/>
      <c r="P94" s="26"/>
      <c r="Q94" s="118" t="str">
        <f>IF(M94=0,"",ROW())</f>
        <v/>
      </c>
      <c r="R94" s="153"/>
      <c r="S94" s="138" t="str">
        <f t="shared" si="25"/>
        <v/>
      </c>
      <c r="T94" s="148"/>
      <c r="U94" s="146"/>
      <c r="V94" s="146"/>
      <c r="W94" s="139"/>
      <c r="X94" s="139"/>
      <c r="Y94" s="148"/>
      <c r="Z94" s="138" t="str">
        <f t="shared" si="26"/>
        <v/>
      </c>
      <c r="AA94" s="138" t="str">
        <f t="shared" si="28"/>
        <v/>
      </c>
      <c r="AB94" s="239"/>
      <c r="AC94" s="325"/>
      <c r="AD94" s="325"/>
      <c r="AE94" s="325"/>
      <c r="AF94" s="325"/>
      <c r="AG94" s="325"/>
      <c r="AH94" s="325"/>
      <c r="AI94" s="325"/>
      <c r="AJ94" s="325"/>
      <c r="AK94" s="325"/>
      <c r="AL94" s="325"/>
      <c r="AM94" s="325"/>
      <c r="AN94" s="325"/>
      <c r="AO94" s="325"/>
      <c r="AP94" s="136"/>
      <c r="AQ94" s="136"/>
      <c r="AR94" s="136" t="str">
        <f t="shared" si="22"/>
        <v/>
      </c>
      <c r="AS94" s="136" t="str">
        <f t="shared" si="22"/>
        <v/>
      </c>
      <c r="AT94" s="5" t="str">
        <f t="shared" si="23"/>
        <v/>
      </c>
      <c r="AV94" s="27" t="str">
        <f t="shared" si="30"/>
        <v/>
      </c>
      <c r="AW94" s="27"/>
      <c r="AY94" s="122" t="str">
        <f t="shared" si="24"/>
        <v/>
      </c>
    </row>
    <row r="95" spans="2:51" ht="12.75">
      <c r="B95" s="20" t="str">
        <f t="shared" si="27"/>
        <v/>
      </c>
      <c r="C95" s="5"/>
      <c r="D95" s="5"/>
      <c r="E95" s="5"/>
      <c r="G95" s="5" t="str">
        <f>SUBSTITUTE(SUBSTITUTE(SUBSTITUTE(SUBSTITUTE(SUBSTITUTE(SUBSTITUTE(SUBSTITUTE(SUBSTITUTE(SUBSTITUTE(C95," ",""),".",""),"#","No"),"%",""),"(",""),"*",""),"-",""),"/",""),")","")</f>
        <v/>
      </c>
      <c r="H95" s="117" t="str">
        <f t="shared" si="29"/>
        <v/>
      </c>
      <c r="I95" s="5" t="str">
        <f>IF(E95=0,"",+E95)</f>
        <v/>
      </c>
      <c r="J95" s="5" t="str">
        <f>IF(C95=0,"",(IF(ISERROR(VLOOKUP(G95,$D$120:$D$127,1,FALSE)),""," NOT")&amp;" NULL"))</f>
        <v/>
      </c>
      <c r="K95" s="5"/>
      <c r="L95" s="5"/>
      <c r="M95" s="75"/>
      <c r="N95" s="77"/>
      <c r="O95" s="26"/>
      <c r="P95" s="26"/>
      <c r="Q95" s="118" t="str">
        <f>IF(M95=0,"",ROW())</f>
        <v/>
      </c>
      <c r="R95" s="153"/>
      <c r="S95" s="138" t="str">
        <f t="shared" si="25"/>
        <v/>
      </c>
      <c r="T95" s="148"/>
      <c r="U95" s="146"/>
      <c r="V95" s="146"/>
      <c r="W95" s="139"/>
      <c r="X95" s="139"/>
      <c r="Y95" s="148"/>
      <c r="Z95" s="138" t="str">
        <f t="shared" si="26"/>
        <v/>
      </c>
      <c r="AA95" s="138" t="str">
        <f t="shared" si="28"/>
        <v/>
      </c>
      <c r="AB95" s="239"/>
      <c r="AC95" s="325"/>
      <c r="AD95" s="325"/>
      <c r="AE95" s="325"/>
      <c r="AF95" s="325"/>
      <c r="AG95" s="325"/>
      <c r="AH95" s="325"/>
      <c r="AI95" s="325"/>
      <c r="AJ95" s="325"/>
      <c r="AK95" s="325"/>
      <c r="AL95" s="325"/>
      <c r="AM95" s="325"/>
      <c r="AN95" s="325"/>
      <c r="AO95" s="325"/>
      <c r="AP95" s="136"/>
      <c r="AQ95" s="136"/>
      <c r="AR95" s="136" t="str">
        <f t="shared" si="22"/>
        <v/>
      </c>
      <c r="AS95" s="136" t="str">
        <f t="shared" si="22"/>
        <v/>
      </c>
      <c r="AT95" s="5" t="str">
        <f t="shared" si="23"/>
        <v/>
      </c>
      <c r="AV95" s="27" t="str">
        <f t="shared" si="30"/>
        <v/>
      </c>
      <c r="AW95" s="27"/>
      <c r="AY95" s="122" t="str">
        <f t="shared" si="24"/>
        <v/>
      </c>
    </row>
    <row r="96" spans="2:51" ht="12.75">
      <c r="B96" s="20" t="str">
        <f t="shared" si="27"/>
        <v/>
      </c>
      <c r="C96" s="5"/>
      <c r="D96" s="5"/>
      <c r="E96" s="5"/>
      <c r="G96" s="5" t="str">
        <f>SUBSTITUTE(SUBSTITUTE(SUBSTITUTE(SUBSTITUTE(SUBSTITUTE(SUBSTITUTE(SUBSTITUTE(SUBSTITUTE(SUBSTITUTE(C96," ",""),".",""),"#","No"),"%",""),"(",""),"*",""),"-",""),"/",""),")","")</f>
        <v/>
      </c>
      <c r="H96" s="117" t="str">
        <f t="shared" si="29"/>
        <v/>
      </c>
      <c r="I96" s="5" t="str">
        <f>IF(E96=0,"",+E96)</f>
        <v/>
      </c>
      <c r="J96" s="5" t="str">
        <f>IF(C96=0,"",(IF(ISERROR(VLOOKUP(G96,$D$120:$D$127,1,FALSE)),""," NOT")&amp;" NULL"))</f>
        <v/>
      </c>
      <c r="K96" s="5"/>
      <c r="L96" s="5"/>
      <c r="M96" s="75"/>
      <c r="N96" s="77"/>
      <c r="O96" s="26"/>
      <c r="P96" s="26"/>
      <c r="Q96" s="118" t="str">
        <f>IF(M96=0,"",ROW())</f>
        <v/>
      </c>
      <c r="R96" s="153"/>
      <c r="S96" s="138" t="str">
        <f t="shared" si="25"/>
        <v/>
      </c>
      <c r="T96" s="148"/>
      <c r="U96" s="146"/>
      <c r="V96" s="146"/>
      <c r="W96" s="139"/>
      <c r="X96" s="139"/>
      <c r="Y96" s="148"/>
      <c r="Z96" s="138" t="str">
        <f t="shared" si="26"/>
        <v/>
      </c>
      <c r="AA96" s="138" t="str">
        <f t="shared" si="28"/>
        <v/>
      </c>
      <c r="AB96" s="239"/>
      <c r="AC96" s="325"/>
      <c r="AD96" s="325"/>
      <c r="AE96" s="325"/>
      <c r="AF96" s="325"/>
      <c r="AG96" s="325"/>
      <c r="AH96" s="325"/>
      <c r="AI96" s="325"/>
      <c r="AJ96" s="325"/>
      <c r="AK96" s="325"/>
      <c r="AL96" s="325"/>
      <c r="AM96" s="325"/>
      <c r="AN96" s="325"/>
      <c r="AO96" s="325"/>
      <c r="AP96" s="136"/>
      <c r="AQ96" s="136"/>
      <c r="AR96" s="136" t="str">
        <f t="shared" si="22"/>
        <v/>
      </c>
      <c r="AS96" s="136" t="str">
        <f t="shared" si="22"/>
        <v/>
      </c>
      <c r="AT96" s="5" t="str">
        <f t="shared" si="23"/>
        <v/>
      </c>
      <c r="AV96" s="27" t="str">
        <f>IF(G96="","",+"          ["&amp;TRIM(G96)&amp;"] ["&amp;TRIM(I96)&amp;"]"&amp;IF(H96="","","("&amp;H96&amp;")")&amp;" "&amp;TRIM(J96)&amp;IF(G108="","",","))</f>
        <v/>
      </c>
      <c r="AW96" s="27"/>
      <c r="AY96" s="122" t="str">
        <f t="shared" si="24"/>
        <v/>
      </c>
    </row>
    <row r="97" spans="2:51" ht="12.75">
      <c r="B97" s="20" t="str">
        <f t="shared" si="27"/>
        <v/>
      </c>
      <c r="C97" s="5"/>
      <c r="D97" s="5"/>
      <c r="E97" s="5"/>
      <c r="G97" s="5" t="str">
        <f t="shared" ref="G97:G115" si="31">SUBSTITUTE(SUBSTITUTE(SUBSTITUTE(SUBSTITUTE(SUBSTITUTE(SUBSTITUTE(SUBSTITUTE(SUBSTITUTE(SUBSTITUTE(C97," ",""),".",""),"#","No"),"%",""),"(",""),"*",""),"-",""),"/",""),")","")</f>
        <v/>
      </c>
      <c r="H97" s="117" t="str">
        <f t="shared" si="29"/>
        <v/>
      </c>
      <c r="I97" s="5" t="str">
        <f t="shared" ref="I97:I115" si="32">IF(E97=0,"",+E97)</f>
        <v/>
      </c>
      <c r="J97" s="5" t="str">
        <f t="shared" ref="J97:J115" si="33">IF(C97=0,"",(IF(ISERROR(VLOOKUP(G97,$D$120:$D$127,1,FALSE)),""," NOT")&amp;" NULL"))</f>
        <v/>
      </c>
      <c r="K97" s="5"/>
      <c r="L97" s="5"/>
      <c r="M97" s="75"/>
      <c r="N97" s="77"/>
      <c r="O97" s="26"/>
      <c r="P97" s="26"/>
      <c r="Q97" s="118" t="str">
        <f t="shared" ref="Q97:Q115" si="34">IF(M97=0,"",ROW())</f>
        <v/>
      </c>
      <c r="R97" s="153"/>
      <c r="S97" s="138" t="str">
        <f t="shared" si="25"/>
        <v/>
      </c>
      <c r="T97" s="148"/>
      <c r="U97" s="146"/>
      <c r="V97" s="146"/>
      <c r="W97" s="139"/>
      <c r="X97" s="139"/>
      <c r="Y97" s="148"/>
      <c r="Z97" s="138" t="str">
        <f t="shared" si="26"/>
        <v/>
      </c>
      <c r="AA97" s="138" t="str">
        <f t="shared" si="28"/>
        <v/>
      </c>
      <c r="AB97" s="239"/>
      <c r="AC97" s="325"/>
      <c r="AD97" s="325"/>
      <c r="AE97" s="325"/>
      <c r="AF97" s="325"/>
      <c r="AG97" s="325"/>
      <c r="AH97" s="325"/>
      <c r="AI97" s="325"/>
      <c r="AJ97" s="325"/>
      <c r="AK97" s="325"/>
      <c r="AL97" s="325"/>
      <c r="AM97" s="325"/>
      <c r="AN97" s="325"/>
      <c r="AO97" s="325"/>
      <c r="AP97" s="136"/>
      <c r="AQ97" s="136"/>
      <c r="AR97" s="136" t="str">
        <f t="shared" si="22"/>
        <v/>
      </c>
      <c r="AS97" s="136" t="str">
        <f t="shared" si="22"/>
        <v/>
      </c>
      <c r="AT97" s="5" t="str">
        <f t="shared" si="23"/>
        <v/>
      </c>
      <c r="AV97" s="27" t="str">
        <f>IF(G97="","",+"          ["&amp;TRIM(G97)&amp;"] ["&amp;TRIM(I97)&amp;"]"&amp;IF(H97="","","("&amp;H97&amp;")")&amp;" "&amp;TRIM(J97)&amp;IF(G98="","",","))</f>
        <v/>
      </c>
      <c r="AW97" s="27"/>
      <c r="AY97" s="122" t="str">
        <f t="shared" si="24"/>
        <v/>
      </c>
    </row>
    <row r="98" spans="2:51" ht="12.75">
      <c r="B98" s="20" t="str">
        <f t="shared" si="27"/>
        <v/>
      </c>
      <c r="C98" s="5"/>
      <c r="D98" s="5"/>
      <c r="E98" s="5"/>
      <c r="G98" s="5" t="str">
        <f t="shared" si="31"/>
        <v/>
      </c>
      <c r="H98" s="117" t="str">
        <f t="shared" si="29"/>
        <v/>
      </c>
      <c r="I98" s="5" t="str">
        <f t="shared" si="32"/>
        <v/>
      </c>
      <c r="J98" s="5" t="str">
        <f t="shared" si="33"/>
        <v/>
      </c>
      <c r="K98" s="5"/>
      <c r="L98" s="5"/>
      <c r="M98" s="75"/>
      <c r="N98" s="77"/>
      <c r="O98" s="26"/>
      <c r="P98" s="26"/>
      <c r="Q98" s="118" t="str">
        <f t="shared" si="34"/>
        <v/>
      </c>
      <c r="R98" s="153"/>
      <c r="S98" s="138" t="str">
        <f t="shared" si="25"/>
        <v/>
      </c>
      <c r="T98" s="148"/>
      <c r="U98" s="146"/>
      <c r="V98" s="146"/>
      <c r="W98" s="139"/>
      <c r="X98" s="139"/>
      <c r="Y98" s="148"/>
      <c r="Z98" s="138" t="str">
        <f t="shared" si="26"/>
        <v/>
      </c>
      <c r="AA98" s="138" t="str">
        <f t="shared" si="28"/>
        <v/>
      </c>
      <c r="AB98" s="239"/>
      <c r="AC98" s="325"/>
      <c r="AD98" s="325"/>
      <c r="AE98" s="325"/>
      <c r="AF98" s="325"/>
      <c r="AG98" s="325"/>
      <c r="AH98" s="325"/>
      <c r="AI98" s="325"/>
      <c r="AJ98" s="325"/>
      <c r="AK98" s="325"/>
      <c r="AL98" s="325"/>
      <c r="AM98" s="325"/>
      <c r="AN98" s="325"/>
      <c r="AO98" s="325"/>
      <c r="AP98" s="136"/>
      <c r="AQ98" s="136"/>
      <c r="AR98" s="136" t="str">
        <f t="shared" si="22"/>
        <v/>
      </c>
      <c r="AS98" s="136" t="str">
        <f t="shared" si="22"/>
        <v/>
      </c>
      <c r="AT98" s="5" t="str">
        <f t="shared" si="23"/>
        <v/>
      </c>
      <c r="AV98" s="27" t="str">
        <f>IF(G98="","",+"          ["&amp;TRIM(G98)&amp;"] ["&amp;TRIM(I98)&amp;"]"&amp;IF(H98="","","("&amp;H98&amp;")")&amp;" "&amp;TRIM(J98)&amp;IF(G107="","",","))</f>
        <v/>
      </c>
      <c r="AW98" s="27"/>
      <c r="AY98" s="122" t="str">
        <f t="shared" si="24"/>
        <v/>
      </c>
    </row>
    <row r="99" spans="2:51" ht="12.75">
      <c r="B99" s="20" t="str">
        <f t="shared" si="27"/>
        <v/>
      </c>
      <c r="C99" s="5"/>
      <c r="D99" s="5"/>
      <c r="E99" s="5"/>
      <c r="G99" s="5" t="str">
        <f t="shared" si="31"/>
        <v/>
      </c>
      <c r="H99" s="117" t="str">
        <f t="shared" si="29"/>
        <v/>
      </c>
      <c r="I99" s="5" t="str">
        <f t="shared" si="32"/>
        <v/>
      </c>
      <c r="J99" s="5" t="str">
        <f t="shared" si="33"/>
        <v/>
      </c>
      <c r="K99" s="5"/>
      <c r="L99" s="5"/>
      <c r="M99" s="75"/>
      <c r="N99" s="77"/>
      <c r="O99" s="26"/>
      <c r="P99" s="26"/>
      <c r="Q99" s="118" t="str">
        <f t="shared" si="34"/>
        <v/>
      </c>
      <c r="R99" s="153"/>
      <c r="S99" s="138" t="str">
        <f t="shared" si="25"/>
        <v/>
      </c>
      <c r="T99" s="148"/>
      <c r="U99" s="146"/>
      <c r="V99" s="146"/>
      <c r="W99" s="139"/>
      <c r="X99" s="139"/>
      <c r="Y99" s="148"/>
      <c r="Z99" s="138" t="str">
        <f t="shared" si="26"/>
        <v/>
      </c>
      <c r="AA99" s="138" t="str">
        <f t="shared" si="28"/>
        <v/>
      </c>
      <c r="AB99" s="239"/>
      <c r="AC99" s="325"/>
      <c r="AD99" s="325"/>
      <c r="AE99" s="325"/>
      <c r="AF99" s="325"/>
      <c r="AG99" s="325"/>
      <c r="AH99" s="325"/>
      <c r="AI99" s="325"/>
      <c r="AJ99" s="325"/>
      <c r="AK99" s="325"/>
      <c r="AL99" s="325"/>
      <c r="AM99" s="325"/>
      <c r="AN99" s="325"/>
      <c r="AO99" s="325"/>
      <c r="AP99" s="136"/>
      <c r="AQ99" s="136"/>
      <c r="AR99" s="136" t="str">
        <f t="shared" si="22"/>
        <v/>
      </c>
      <c r="AS99" s="136" t="str">
        <f t="shared" si="22"/>
        <v/>
      </c>
      <c r="AT99" s="5" t="str">
        <f t="shared" si="23"/>
        <v/>
      </c>
      <c r="AV99" s="27" t="str">
        <f>IF(G99="","",+"          ["&amp;TRIM(G99)&amp;"] ["&amp;TRIM(I99)&amp;"]"&amp;IF(H99="","","("&amp;H99&amp;")")&amp;" "&amp;TRIM(J99)&amp;IF(G106="","",","))</f>
        <v/>
      </c>
      <c r="AW99" s="27"/>
      <c r="AY99" s="122" t="str">
        <f t="shared" si="24"/>
        <v/>
      </c>
    </row>
    <row r="100" spans="2:51" ht="12.75">
      <c r="B100" s="20" t="str">
        <f t="shared" si="27"/>
        <v/>
      </c>
      <c r="C100" s="5"/>
      <c r="D100" s="5"/>
      <c r="E100" s="5"/>
      <c r="G100" s="5" t="str">
        <f t="shared" si="31"/>
        <v/>
      </c>
      <c r="H100" s="117" t="str">
        <f t="shared" si="29"/>
        <v/>
      </c>
      <c r="I100" s="5" t="str">
        <f t="shared" si="32"/>
        <v/>
      </c>
      <c r="J100" s="5" t="str">
        <f t="shared" si="33"/>
        <v/>
      </c>
      <c r="K100" s="5"/>
      <c r="L100" s="5"/>
      <c r="M100" s="75"/>
      <c r="N100" s="77"/>
      <c r="O100" s="26"/>
      <c r="P100" s="26"/>
      <c r="Q100" s="118" t="str">
        <f t="shared" si="34"/>
        <v/>
      </c>
      <c r="R100" s="153"/>
      <c r="S100" s="138" t="str">
        <f t="shared" si="25"/>
        <v/>
      </c>
      <c r="T100" s="148"/>
      <c r="U100" s="146"/>
      <c r="V100" s="146"/>
      <c r="W100" s="139"/>
      <c r="X100" s="139"/>
      <c r="Y100" s="148"/>
      <c r="Z100" s="138" t="str">
        <f t="shared" si="26"/>
        <v/>
      </c>
      <c r="AA100" s="138" t="str">
        <f t="shared" si="28"/>
        <v/>
      </c>
      <c r="AB100" s="239"/>
      <c r="AC100" s="325"/>
      <c r="AD100" s="325"/>
      <c r="AE100" s="325"/>
      <c r="AF100" s="325"/>
      <c r="AG100" s="325"/>
      <c r="AH100" s="325"/>
      <c r="AI100" s="325"/>
      <c r="AJ100" s="325"/>
      <c r="AK100" s="325"/>
      <c r="AL100" s="325"/>
      <c r="AM100" s="325"/>
      <c r="AN100" s="325"/>
      <c r="AO100" s="325"/>
      <c r="AP100" s="136"/>
      <c r="AQ100" s="136"/>
      <c r="AR100" s="136" t="str">
        <f t="shared" si="22"/>
        <v/>
      </c>
      <c r="AS100" s="136" t="str">
        <f t="shared" si="22"/>
        <v/>
      </c>
      <c r="AT100" s="5" t="str">
        <f t="shared" si="23"/>
        <v/>
      </c>
      <c r="AV100" s="27" t="str">
        <f>IF(G100="","",+"          ["&amp;TRIM(G100)&amp;"] ["&amp;TRIM(I100)&amp;"]"&amp;IF(H100="","","("&amp;H100&amp;")")&amp;" "&amp;TRIM(J100)&amp;IF(G101="","",","))</f>
        <v/>
      </c>
      <c r="AW100" s="27"/>
      <c r="AY100" s="122" t="str">
        <f t="shared" si="24"/>
        <v/>
      </c>
    </row>
    <row r="101" spans="2:51" ht="12.75">
      <c r="B101" s="20" t="str">
        <f t="shared" si="27"/>
        <v/>
      </c>
      <c r="C101" s="5"/>
      <c r="D101" s="5"/>
      <c r="E101" s="5"/>
      <c r="G101" s="5" t="str">
        <f t="shared" si="31"/>
        <v/>
      </c>
      <c r="H101" s="117" t="str">
        <f t="shared" si="29"/>
        <v/>
      </c>
      <c r="I101" s="5" t="str">
        <f t="shared" si="32"/>
        <v/>
      </c>
      <c r="J101" s="5" t="str">
        <f t="shared" si="33"/>
        <v/>
      </c>
      <c r="K101" s="5"/>
      <c r="L101" s="5"/>
      <c r="M101" s="75"/>
      <c r="N101" s="77"/>
      <c r="O101" s="26"/>
      <c r="P101" s="26"/>
      <c r="Q101" s="118" t="str">
        <f t="shared" si="34"/>
        <v/>
      </c>
      <c r="R101" s="153"/>
      <c r="S101" s="138" t="str">
        <f t="shared" si="25"/>
        <v/>
      </c>
      <c r="T101" s="148"/>
      <c r="U101" s="146"/>
      <c r="V101" s="146"/>
      <c r="W101" s="139"/>
      <c r="X101" s="139"/>
      <c r="Y101" s="148"/>
      <c r="Z101" s="138" t="str">
        <f t="shared" si="26"/>
        <v/>
      </c>
      <c r="AA101" s="138" t="str">
        <f t="shared" si="28"/>
        <v/>
      </c>
      <c r="AB101" s="239"/>
      <c r="AC101" s="325"/>
      <c r="AD101" s="325"/>
      <c r="AE101" s="325"/>
      <c r="AF101" s="325"/>
      <c r="AG101" s="325"/>
      <c r="AH101" s="325"/>
      <c r="AI101" s="325"/>
      <c r="AJ101" s="325"/>
      <c r="AK101" s="325"/>
      <c r="AL101" s="325"/>
      <c r="AM101" s="325"/>
      <c r="AN101" s="325"/>
      <c r="AO101" s="325"/>
      <c r="AP101" s="136"/>
      <c r="AQ101" s="136"/>
      <c r="AR101" s="136" t="str">
        <f t="shared" si="22"/>
        <v/>
      </c>
      <c r="AS101" s="136" t="str">
        <f t="shared" si="22"/>
        <v/>
      </c>
      <c r="AT101" s="5" t="str">
        <f t="shared" si="23"/>
        <v/>
      </c>
      <c r="AV101" s="27" t="str">
        <f>IF(G101="","",+"          ["&amp;TRIM(G101)&amp;"] ["&amp;TRIM(I101)&amp;"]"&amp;IF(H101="","","("&amp;H101&amp;")")&amp;" "&amp;TRIM(J101)&amp;IF(G102="","",","))</f>
        <v/>
      </c>
      <c r="AW101" s="27"/>
      <c r="AY101" s="122" t="str">
        <f t="shared" si="24"/>
        <v/>
      </c>
    </row>
    <row r="102" spans="2:51" ht="12.75">
      <c r="B102" s="20" t="str">
        <f t="shared" si="27"/>
        <v/>
      </c>
      <c r="C102" s="5"/>
      <c r="D102" s="5"/>
      <c r="E102" s="5"/>
      <c r="G102" s="5" t="str">
        <f t="shared" si="31"/>
        <v/>
      </c>
      <c r="H102" s="117" t="str">
        <f t="shared" si="29"/>
        <v/>
      </c>
      <c r="I102" s="5" t="str">
        <f t="shared" si="32"/>
        <v/>
      </c>
      <c r="J102" s="5" t="str">
        <f t="shared" si="33"/>
        <v/>
      </c>
      <c r="K102" s="5"/>
      <c r="L102" s="5"/>
      <c r="M102" s="75"/>
      <c r="N102" s="77"/>
      <c r="O102" s="26"/>
      <c r="P102" s="26"/>
      <c r="Q102" s="118" t="str">
        <f t="shared" si="34"/>
        <v/>
      </c>
      <c r="R102" s="153"/>
      <c r="S102" s="138" t="str">
        <f t="shared" si="25"/>
        <v/>
      </c>
      <c r="T102" s="148"/>
      <c r="U102" s="146"/>
      <c r="V102" s="146"/>
      <c r="W102" s="139"/>
      <c r="X102" s="139"/>
      <c r="Y102" s="148"/>
      <c r="Z102" s="138" t="str">
        <f t="shared" si="26"/>
        <v/>
      </c>
      <c r="AA102" s="138" t="str">
        <f t="shared" si="28"/>
        <v/>
      </c>
      <c r="AB102" s="239"/>
      <c r="AC102" s="325"/>
      <c r="AD102" s="325"/>
      <c r="AE102" s="325"/>
      <c r="AF102" s="325"/>
      <c r="AG102" s="325"/>
      <c r="AH102" s="325"/>
      <c r="AI102" s="325"/>
      <c r="AJ102" s="325"/>
      <c r="AK102" s="325"/>
      <c r="AL102" s="325"/>
      <c r="AM102" s="325"/>
      <c r="AN102" s="325"/>
      <c r="AO102" s="325"/>
      <c r="AP102" s="136"/>
      <c r="AQ102" s="136"/>
      <c r="AR102" s="136" t="str">
        <f t="shared" si="22"/>
        <v/>
      </c>
      <c r="AS102" s="136" t="str">
        <f t="shared" si="22"/>
        <v/>
      </c>
      <c r="AT102" s="5" t="str">
        <f t="shared" si="23"/>
        <v/>
      </c>
      <c r="AV102" s="27" t="str">
        <f>IF(G102="","",+"          ["&amp;TRIM(G102)&amp;"] ["&amp;TRIM(I102)&amp;"]"&amp;IF(H102="","","("&amp;H102&amp;")")&amp;" "&amp;TRIM(J102)&amp;IF(G103="","",","))</f>
        <v/>
      </c>
      <c r="AW102" s="27"/>
      <c r="AY102" s="122" t="str">
        <f t="shared" si="24"/>
        <v/>
      </c>
    </row>
    <row r="103" spans="2:51" ht="12.75">
      <c r="B103" s="20" t="str">
        <f t="shared" si="27"/>
        <v/>
      </c>
      <c r="C103" s="5"/>
      <c r="D103" s="5"/>
      <c r="E103" s="5"/>
      <c r="G103" s="5" t="str">
        <f t="shared" si="31"/>
        <v/>
      </c>
      <c r="H103" s="117" t="str">
        <f t="shared" si="29"/>
        <v/>
      </c>
      <c r="I103" s="5" t="str">
        <f t="shared" si="32"/>
        <v/>
      </c>
      <c r="J103" s="5" t="str">
        <f t="shared" si="33"/>
        <v/>
      </c>
      <c r="K103" s="5"/>
      <c r="L103" s="5"/>
      <c r="M103" s="75"/>
      <c r="N103" s="77"/>
      <c r="O103" s="26"/>
      <c r="P103" s="26"/>
      <c r="Q103" s="118" t="str">
        <f t="shared" si="34"/>
        <v/>
      </c>
      <c r="R103" s="153"/>
      <c r="S103" s="138" t="str">
        <f t="shared" si="25"/>
        <v/>
      </c>
      <c r="T103" s="148"/>
      <c r="U103" s="146"/>
      <c r="V103" s="146"/>
      <c r="W103" s="139"/>
      <c r="X103" s="139"/>
      <c r="Y103" s="148"/>
      <c r="Z103" s="138" t="str">
        <f t="shared" si="26"/>
        <v/>
      </c>
      <c r="AA103" s="138" t="str">
        <f t="shared" si="28"/>
        <v/>
      </c>
      <c r="AB103" s="239"/>
      <c r="AC103" s="325"/>
      <c r="AD103" s="325"/>
      <c r="AE103" s="325"/>
      <c r="AF103" s="325"/>
      <c r="AG103" s="325"/>
      <c r="AH103" s="325"/>
      <c r="AI103" s="325"/>
      <c r="AJ103" s="325"/>
      <c r="AK103" s="325"/>
      <c r="AL103" s="325"/>
      <c r="AM103" s="325"/>
      <c r="AN103" s="325"/>
      <c r="AO103" s="325"/>
      <c r="AP103" s="136"/>
      <c r="AQ103" s="136"/>
      <c r="AR103" s="136" t="str">
        <f t="shared" si="22"/>
        <v/>
      </c>
      <c r="AS103" s="136" t="str">
        <f t="shared" si="22"/>
        <v/>
      </c>
      <c r="AT103" s="5" t="str">
        <f t="shared" si="23"/>
        <v/>
      </c>
      <c r="AV103" s="27" t="str">
        <f>IF(G103="","",+"          ["&amp;TRIM(G103)&amp;"] ["&amp;TRIM(I103)&amp;"]"&amp;IF(H103="","","("&amp;H103&amp;")")&amp;" "&amp;TRIM(J103)&amp;IF(G106="","",","))</f>
        <v/>
      </c>
      <c r="AW103" s="27"/>
      <c r="AY103" s="122" t="str">
        <f t="shared" si="24"/>
        <v/>
      </c>
    </row>
    <row r="104" spans="2:51" ht="12.75">
      <c r="B104" s="20" t="str">
        <f t="shared" si="27"/>
        <v/>
      </c>
      <c r="C104" s="5"/>
      <c r="D104" s="5"/>
      <c r="E104" s="5"/>
      <c r="G104" s="5" t="str">
        <f t="shared" si="31"/>
        <v/>
      </c>
      <c r="H104" s="117" t="str">
        <f t="shared" si="29"/>
        <v/>
      </c>
      <c r="I104" s="5" t="str">
        <f t="shared" si="32"/>
        <v/>
      </c>
      <c r="J104" s="5" t="str">
        <f t="shared" si="33"/>
        <v/>
      </c>
      <c r="K104" s="5"/>
      <c r="L104" s="5"/>
      <c r="M104" s="75"/>
      <c r="N104" s="77"/>
      <c r="O104" s="26"/>
      <c r="P104" s="26"/>
      <c r="Q104" s="118" t="str">
        <f t="shared" si="34"/>
        <v/>
      </c>
      <c r="R104" s="153"/>
      <c r="S104" s="138" t="str">
        <f t="shared" si="25"/>
        <v/>
      </c>
      <c r="T104" s="148"/>
      <c r="U104" s="146"/>
      <c r="V104" s="146"/>
      <c r="W104" s="139"/>
      <c r="X104" s="139"/>
      <c r="Y104" s="148"/>
      <c r="Z104" s="138" t="str">
        <f t="shared" si="26"/>
        <v/>
      </c>
      <c r="AA104" s="138" t="str">
        <f t="shared" si="28"/>
        <v/>
      </c>
      <c r="AB104" s="239"/>
      <c r="AC104" s="325"/>
      <c r="AD104" s="325"/>
      <c r="AE104" s="325"/>
      <c r="AF104" s="325"/>
      <c r="AG104" s="325"/>
      <c r="AH104" s="325"/>
      <c r="AI104" s="325"/>
      <c r="AJ104" s="325"/>
      <c r="AK104" s="325"/>
      <c r="AL104" s="325"/>
      <c r="AM104" s="325"/>
      <c r="AN104" s="325"/>
      <c r="AO104" s="325"/>
      <c r="AP104" s="136"/>
      <c r="AQ104" s="136"/>
      <c r="AR104" s="136" t="str">
        <f t="shared" si="22"/>
        <v/>
      </c>
      <c r="AS104" s="136" t="str">
        <f t="shared" si="22"/>
        <v/>
      </c>
      <c r="AT104" s="5" t="str">
        <f t="shared" si="23"/>
        <v/>
      </c>
      <c r="AV104" s="27" t="str">
        <f t="shared" ref="AV104:AV115" si="35">IF(G104="","",+"          ["&amp;TRIM(G104)&amp;"] ["&amp;TRIM(I104)&amp;"]"&amp;IF(H104="","","("&amp;H104&amp;")")&amp;" "&amp;TRIM(J104)&amp;IF(G105="","",","))</f>
        <v/>
      </c>
      <c r="AW104" s="27"/>
      <c r="AY104" s="122" t="str">
        <f t="shared" si="24"/>
        <v/>
      </c>
    </row>
    <row r="105" spans="2:51" ht="12.75">
      <c r="B105" s="20" t="str">
        <f t="shared" si="27"/>
        <v/>
      </c>
      <c r="C105" s="5"/>
      <c r="D105" s="5"/>
      <c r="E105" s="5"/>
      <c r="G105" s="5" t="str">
        <f t="shared" si="31"/>
        <v/>
      </c>
      <c r="H105" s="117" t="str">
        <f t="shared" si="29"/>
        <v/>
      </c>
      <c r="I105" s="5" t="str">
        <f t="shared" si="32"/>
        <v/>
      </c>
      <c r="J105" s="5" t="str">
        <f t="shared" si="33"/>
        <v/>
      </c>
      <c r="K105" s="5"/>
      <c r="L105" s="5"/>
      <c r="M105" s="75"/>
      <c r="N105" s="77"/>
      <c r="O105" s="26"/>
      <c r="P105" s="26"/>
      <c r="Q105" s="118" t="str">
        <f t="shared" si="34"/>
        <v/>
      </c>
      <c r="R105" s="153"/>
      <c r="S105" s="138" t="str">
        <f t="shared" si="25"/>
        <v/>
      </c>
      <c r="T105" s="148"/>
      <c r="U105" s="146"/>
      <c r="V105" s="146"/>
      <c r="W105" s="139"/>
      <c r="X105" s="139"/>
      <c r="Y105" s="148"/>
      <c r="Z105" s="138" t="str">
        <f t="shared" si="26"/>
        <v/>
      </c>
      <c r="AA105" s="138" t="str">
        <f t="shared" si="28"/>
        <v/>
      </c>
      <c r="AB105" s="239"/>
      <c r="AC105" s="325"/>
      <c r="AD105" s="325"/>
      <c r="AE105" s="325"/>
      <c r="AF105" s="325"/>
      <c r="AG105" s="325"/>
      <c r="AH105" s="325"/>
      <c r="AI105" s="325"/>
      <c r="AJ105" s="325"/>
      <c r="AK105" s="325"/>
      <c r="AL105" s="325"/>
      <c r="AM105" s="325"/>
      <c r="AN105" s="325"/>
      <c r="AO105" s="325"/>
      <c r="AP105" s="136"/>
      <c r="AQ105" s="136"/>
      <c r="AR105" s="136" t="str">
        <f t="shared" si="22"/>
        <v/>
      </c>
      <c r="AS105" s="136" t="str">
        <f t="shared" si="22"/>
        <v/>
      </c>
      <c r="AT105" s="5" t="str">
        <f t="shared" si="23"/>
        <v/>
      </c>
      <c r="AV105" s="27" t="str">
        <f t="shared" si="35"/>
        <v/>
      </c>
      <c r="AW105" s="27"/>
      <c r="AY105" s="122" t="str">
        <f t="shared" si="24"/>
        <v/>
      </c>
    </row>
    <row r="106" spans="2:51" ht="12.75">
      <c r="B106" s="20" t="str">
        <f t="shared" si="27"/>
        <v/>
      </c>
      <c r="C106" s="5"/>
      <c r="D106" s="5"/>
      <c r="E106" s="5"/>
      <c r="G106" s="5" t="str">
        <f t="shared" si="31"/>
        <v/>
      </c>
      <c r="H106" s="117" t="str">
        <f t="shared" si="29"/>
        <v/>
      </c>
      <c r="I106" s="5" t="str">
        <f t="shared" si="32"/>
        <v/>
      </c>
      <c r="J106" s="5" t="str">
        <f t="shared" si="33"/>
        <v/>
      </c>
      <c r="K106" s="5"/>
      <c r="L106" s="5"/>
      <c r="M106" s="75"/>
      <c r="N106" s="77"/>
      <c r="O106" s="26"/>
      <c r="P106" s="26"/>
      <c r="Q106" s="118" t="str">
        <f t="shared" si="34"/>
        <v/>
      </c>
      <c r="R106" s="153"/>
      <c r="S106" s="138" t="str">
        <f t="shared" si="25"/>
        <v/>
      </c>
      <c r="T106" s="148"/>
      <c r="U106" s="146"/>
      <c r="V106" s="146"/>
      <c r="W106" s="139"/>
      <c r="X106" s="139"/>
      <c r="Y106" s="148"/>
      <c r="Z106" s="138" t="str">
        <f t="shared" si="26"/>
        <v/>
      </c>
      <c r="AA106" s="138" t="str">
        <f t="shared" si="28"/>
        <v/>
      </c>
      <c r="AB106" s="239"/>
      <c r="AC106" s="325"/>
      <c r="AD106" s="325"/>
      <c r="AE106" s="325"/>
      <c r="AF106" s="325"/>
      <c r="AG106" s="325"/>
      <c r="AH106" s="325"/>
      <c r="AI106" s="325"/>
      <c r="AJ106" s="325"/>
      <c r="AK106" s="325"/>
      <c r="AL106" s="325"/>
      <c r="AM106" s="325"/>
      <c r="AN106" s="325"/>
      <c r="AO106" s="325"/>
      <c r="AP106" s="136"/>
      <c r="AQ106" s="136"/>
      <c r="AR106" s="136" t="str">
        <f t="shared" si="22"/>
        <v/>
      </c>
      <c r="AS106" s="136" t="str">
        <f t="shared" si="22"/>
        <v/>
      </c>
      <c r="AT106" s="5" t="str">
        <f t="shared" si="23"/>
        <v/>
      </c>
      <c r="AV106" s="27" t="str">
        <f t="shared" si="35"/>
        <v/>
      </c>
      <c r="AW106" s="27"/>
      <c r="AY106" s="122" t="str">
        <f t="shared" si="24"/>
        <v/>
      </c>
    </row>
    <row r="107" spans="2:51" ht="12.75">
      <c r="B107" s="20" t="str">
        <f t="shared" si="27"/>
        <v/>
      </c>
      <c r="C107" s="5"/>
      <c r="D107" s="5"/>
      <c r="E107" s="5"/>
      <c r="G107" s="5" t="str">
        <f t="shared" si="31"/>
        <v/>
      </c>
      <c r="H107" s="117" t="str">
        <f t="shared" si="29"/>
        <v/>
      </c>
      <c r="I107" s="5" t="str">
        <f t="shared" si="32"/>
        <v/>
      </c>
      <c r="J107" s="5" t="str">
        <f t="shared" si="33"/>
        <v/>
      </c>
      <c r="K107" s="5"/>
      <c r="L107" s="5"/>
      <c r="M107" s="75"/>
      <c r="N107" s="77"/>
      <c r="O107" s="26"/>
      <c r="P107" s="26"/>
      <c r="Q107" s="118" t="str">
        <f t="shared" si="34"/>
        <v/>
      </c>
      <c r="R107" s="153"/>
      <c r="S107" s="138" t="str">
        <f t="shared" si="25"/>
        <v/>
      </c>
      <c r="T107" s="148"/>
      <c r="U107" s="146"/>
      <c r="V107" s="146"/>
      <c r="W107" s="139"/>
      <c r="X107" s="139"/>
      <c r="Y107" s="148"/>
      <c r="Z107" s="138" t="str">
        <f t="shared" si="26"/>
        <v/>
      </c>
      <c r="AA107" s="138" t="str">
        <f t="shared" si="28"/>
        <v/>
      </c>
      <c r="AB107" s="239"/>
      <c r="AC107" s="325"/>
      <c r="AD107" s="325"/>
      <c r="AE107" s="325"/>
      <c r="AF107" s="325"/>
      <c r="AG107" s="325"/>
      <c r="AH107" s="325"/>
      <c r="AI107" s="325"/>
      <c r="AJ107" s="325"/>
      <c r="AK107" s="325"/>
      <c r="AL107" s="325"/>
      <c r="AM107" s="325"/>
      <c r="AN107" s="325"/>
      <c r="AO107" s="325"/>
      <c r="AP107" s="136"/>
      <c r="AQ107" s="136"/>
      <c r="AR107" s="136" t="str">
        <f t="shared" si="22"/>
        <v/>
      </c>
      <c r="AS107" s="136" t="str">
        <f t="shared" si="22"/>
        <v/>
      </c>
      <c r="AT107" s="5" t="str">
        <f t="shared" si="23"/>
        <v/>
      </c>
      <c r="AV107" s="27" t="str">
        <f t="shared" si="35"/>
        <v/>
      </c>
      <c r="AW107" s="27"/>
      <c r="AY107" s="122" t="str">
        <f t="shared" si="24"/>
        <v/>
      </c>
    </row>
    <row r="108" spans="2:51" ht="12.75">
      <c r="B108" s="20" t="str">
        <f t="shared" si="27"/>
        <v/>
      </c>
      <c r="C108" s="5"/>
      <c r="D108" s="5"/>
      <c r="E108" s="5"/>
      <c r="G108" s="5" t="str">
        <f t="shared" si="31"/>
        <v/>
      </c>
      <c r="H108" s="117" t="str">
        <f t="shared" si="29"/>
        <v/>
      </c>
      <c r="I108" s="5" t="str">
        <f t="shared" si="32"/>
        <v/>
      </c>
      <c r="J108" s="5" t="str">
        <f t="shared" si="33"/>
        <v/>
      </c>
      <c r="K108" s="5"/>
      <c r="L108" s="5"/>
      <c r="M108" s="75"/>
      <c r="N108" s="77"/>
      <c r="O108" s="26"/>
      <c r="P108" s="26"/>
      <c r="Q108" s="118" t="str">
        <f t="shared" si="34"/>
        <v/>
      </c>
      <c r="R108" s="153"/>
      <c r="S108" s="138" t="str">
        <f t="shared" si="25"/>
        <v/>
      </c>
      <c r="T108" s="148"/>
      <c r="U108" s="146"/>
      <c r="V108" s="146"/>
      <c r="W108" s="139"/>
      <c r="X108" s="139"/>
      <c r="Y108" s="148"/>
      <c r="Z108" s="138" t="str">
        <f t="shared" si="26"/>
        <v/>
      </c>
      <c r="AA108" s="138" t="str">
        <f t="shared" si="28"/>
        <v/>
      </c>
      <c r="AB108" s="239"/>
      <c r="AC108" s="325"/>
      <c r="AD108" s="325"/>
      <c r="AE108" s="325"/>
      <c r="AF108" s="325"/>
      <c r="AG108" s="325"/>
      <c r="AH108" s="325"/>
      <c r="AI108" s="325"/>
      <c r="AJ108" s="325"/>
      <c r="AK108" s="325"/>
      <c r="AL108" s="325"/>
      <c r="AM108" s="325"/>
      <c r="AN108" s="325"/>
      <c r="AO108" s="325"/>
      <c r="AP108" s="136"/>
      <c r="AQ108" s="136"/>
      <c r="AR108" s="136" t="str">
        <f t="shared" si="22"/>
        <v/>
      </c>
      <c r="AS108" s="136" t="str">
        <f t="shared" si="22"/>
        <v/>
      </c>
      <c r="AT108" s="5" t="str">
        <f t="shared" si="23"/>
        <v/>
      </c>
      <c r="AV108" s="27" t="str">
        <f t="shared" si="35"/>
        <v/>
      </c>
      <c r="AW108" s="27"/>
      <c r="AY108" s="122" t="str">
        <f t="shared" si="24"/>
        <v/>
      </c>
    </row>
    <row r="109" spans="2:51" ht="12.75">
      <c r="B109" s="20" t="str">
        <f t="shared" si="27"/>
        <v/>
      </c>
      <c r="C109" s="5"/>
      <c r="D109" s="5"/>
      <c r="E109" s="5"/>
      <c r="G109" s="5" t="str">
        <f t="shared" si="31"/>
        <v/>
      </c>
      <c r="H109" s="117" t="str">
        <f t="shared" si="29"/>
        <v/>
      </c>
      <c r="I109" s="5" t="str">
        <f t="shared" si="32"/>
        <v/>
      </c>
      <c r="J109" s="5" t="str">
        <f t="shared" si="33"/>
        <v/>
      </c>
      <c r="K109" s="5"/>
      <c r="L109" s="5"/>
      <c r="M109" s="75"/>
      <c r="N109" s="77"/>
      <c r="O109" s="26"/>
      <c r="P109" s="26"/>
      <c r="Q109" s="118" t="str">
        <f t="shared" si="34"/>
        <v/>
      </c>
      <c r="R109" s="153"/>
      <c r="S109" s="138" t="str">
        <f t="shared" si="25"/>
        <v/>
      </c>
      <c r="T109" s="148"/>
      <c r="U109" s="146"/>
      <c r="V109" s="146"/>
      <c r="W109" s="139"/>
      <c r="X109" s="139"/>
      <c r="Y109" s="148"/>
      <c r="Z109" s="138" t="str">
        <f t="shared" si="26"/>
        <v/>
      </c>
      <c r="AA109" s="138" t="str">
        <f t="shared" si="28"/>
        <v/>
      </c>
      <c r="AB109" s="239"/>
      <c r="AC109" s="325"/>
      <c r="AD109" s="325"/>
      <c r="AE109" s="325"/>
      <c r="AF109" s="325"/>
      <c r="AG109" s="325"/>
      <c r="AH109" s="325"/>
      <c r="AI109" s="325"/>
      <c r="AJ109" s="325"/>
      <c r="AK109" s="325"/>
      <c r="AL109" s="325"/>
      <c r="AM109" s="325"/>
      <c r="AN109" s="325"/>
      <c r="AO109" s="325"/>
      <c r="AP109" s="136"/>
      <c r="AQ109" s="136"/>
      <c r="AR109" s="136" t="str">
        <f t="shared" si="22"/>
        <v/>
      </c>
      <c r="AS109" s="136" t="str">
        <f t="shared" si="22"/>
        <v/>
      </c>
      <c r="AT109" s="5" t="str">
        <f t="shared" si="23"/>
        <v/>
      </c>
      <c r="AV109" s="27" t="str">
        <f t="shared" si="35"/>
        <v/>
      </c>
      <c r="AW109" s="27"/>
      <c r="AY109" s="122" t="str">
        <f t="shared" si="24"/>
        <v/>
      </c>
    </row>
    <row r="110" spans="2:51" ht="12.75">
      <c r="B110" s="20" t="str">
        <f t="shared" si="27"/>
        <v/>
      </c>
      <c r="C110" s="5"/>
      <c r="D110" s="5"/>
      <c r="E110" s="5"/>
      <c r="G110" s="5" t="str">
        <f t="shared" si="31"/>
        <v/>
      </c>
      <c r="H110" s="117" t="str">
        <f t="shared" si="29"/>
        <v/>
      </c>
      <c r="I110" s="5" t="str">
        <f t="shared" si="32"/>
        <v/>
      </c>
      <c r="J110" s="5" t="str">
        <f t="shared" si="33"/>
        <v/>
      </c>
      <c r="K110" s="5"/>
      <c r="L110" s="5"/>
      <c r="M110" s="75"/>
      <c r="N110" s="77"/>
      <c r="O110" s="26"/>
      <c r="P110" s="26"/>
      <c r="Q110" s="118" t="str">
        <f t="shared" si="34"/>
        <v/>
      </c>
      <c r="R110" s="153"/>
      <c r="S110" s="138" t="str">
        <f t="shared" si="25"/>
        <v/>
      </c>
      <c r="T110" s="148"/>
      <c r="U110" s="146"/>
      <c r="V110" s="146"/>
      <c r="W110" s="139"/>
      <c r="X110" s="139"/>
      <c r="Y110" s="148"/>
      <c r="Z110" s="138" t="str">
        <f t="shared" si="26"/>
        <v/>
      </c>
      <c r="AA110" s="138" t="str">
        <f t="shared" si="28"/>
        <v/>
      </c>
      <c r="AB110" s="239"/>
      <c r="AC110" s="325"/>
      <c r="AD110" s="325"/>
      <c r="AE110" s="325"/>
      <c r="AF110" s="325"/>
      <c r="AG110" s="325"/>
      <c r="AH110" s="325"/>
      <c r="AI110" s="325"/>
      <c r="AJ110" s="325"/>
      <c r="AK110" s="325"/>
      <c r="AL110" s="325"/>
      <c r="AM110" s="325"/>
      <c r="AN110" s="325"/>
      <c r="AO110" s="325"/>
      <c r="AP110" s="136"/>
      <c r="AQ110" s="136"/>
      <c r="AR110" s="136" t="str">
        <f t="shared" si="22"/>
        <v/>
      </c>
      <c r="AS110" s="136" t="str">
        <f t="shared" si="22"/>
        <v/>
      </c>
      <c r="AT110" s="5" t="str">
        <f t="shared" si="23"/>
        <v/>
      </c>
      <c r="AV110" s="27" t="str">
        <f t="shared" si="35"/>
        <v/>
      </c>
      <c r="AW110" s="27"/>
      <c r="AY110" s="122" t="str">
        <f t="shared" si="24"/>
        <v/>
      </c>
    </row>
    <row r="111" spans="2:51" ht="12.75">
      <c r="B111" s="20" t="str">
        <f t="shared" si="27"/>
        <v/>
      </c>
      <c r="C111" s="5"/>
      <c r="D111" s="5"/>
      <c r="E111" s="5"/>
      <c r="G111" s="5" t="str">
        <f t="shared" si="31"/>
        <v/>
      </c>
      <c r="H111" s="117" t="str">
        <f t="shared" si="29"/>
        <v/>
      </c>
      <c r="I111" s="5" t="str">
        <f t="shared" si="32"/>
        <v/>
      </c>
      <c r="J111" s="5" t="str">
        <f t="shared" si="33"/>
        <v/>
      </c>
      <c r="K111" s="5"/>
      <c r="L111" s="5"/>
      <c r="M111" s="75"/>
      <c r="N111" s="77"/>
      <c r="O111" s="26"/>
      <c r="P111" s="26"/>
      <c r="Q111" s="118" t="str">
        <f t="shared" si="34"/>
        <v/>
      </c>
      <c r="R111" s="153"/>
      <c r="S111" s="138" t="str">
        <f t="shared" si="25"/>
        <v/>
      </c>
      <c r="T111" s="148"/>
      <c r="U111" s="146"/>
      <c r="V111" s="146"/>
      <c r="W111" s="139"/>
      <c r="X111" s="139"/>
      <c r="Y111" s="148"/>
      <c r="Z111" s="138" t="str">
        <f t="shared" si="26"/>
        <v/>
      </c>
      <c r="AA111" s="138" t="str">
        <f t="shared" si="28"/>
        <v/>
      </c>
      <c r="AB111" s="239"/>
      <c r="AC111" s="325"/>
      <c r="AD111" s="325"/>
      <c r="AE111" s="325"/>
      <c r="AF111" s="325"/>
      <c r="AG111" s="325"/>
      <c r="AH111" s="325"/>
      <c r="AI111" s="325"/>
      <c r="AJ111" s="325"/>
      <c r="AK111" s="325"/>
      <c r="AL111" s="325"/>
      <c r="AM111" s="325"/>
      <c r="AN111" s="325"/>
      <c r="AO111" s="325"/>
      <c r="AP111" s="136"/>
      <c r="AQ111" s="136"/>
      <c r="AR111" s="136" t="str">
        <f t="shared" si="22"/>
        <v/>
      </c>
      <c r="AS111" s="136" t="str">
        <f t="shared" si="22"/>
        <v/>
      </c>
      <c r="AT111" s="5" t="str">
        <f t="shared" si="23"/>
        <v/>
      </c>
      <c r="AV111" s="27" t="str">
        <f t="shared" si="35"/>
        <v/>
      </c>
      <c r="AW111" s="27"/>
      <c r="AY111" s="122" t="str">
        <f t="shared" si="24"/>
        <v/>
      </c>
    </row>
    <row r="112" spans="2:51" ht="12.75">
      <c r="B112" s="20" t="str">
        <f t="shared" si="27"/>
        <v/>
      </c>
      <c r="C112" s="5"/>
      <c r="D112" s="5"/>
      <c r="E112" s="5"/>
      <c r="G112" s="5" t="str">
        <f t="shared" si="31"/>
        <v/>
      </c>
      <c r="H112" s="117" t="str">
        <f t="shared" si="29"/>
        <v/>
      </c>
      <c r="I112" s="5" t="str">
        <f t="shared" si="32"/>
        <v/>
      </c>
      <c r="J112" s="5" t="str">
        <f t="shared" si="33"/>
        <v/>
      </c>
      <c r="K112" s="5"/>
      <c r="L112" s="5"/>
      <c r="M112" s="75"/>
      <c r="N112" s="77"/>
      <c r="O112" s="26"/>
      <c r="P112" s="26"/>
      <c r="Q112" s="118" t="str">
        <f t="shared" si="34"/>
        <v/>
      </c>
      <c r="R112" s="153"/>
      <c r="S112" s="138" t="str">
        <f t="shared" si="25"/>
        <v/>
      </c>
      <c r="T112" s="148"/>
      <c r="U112" s="146"/>
      <c r="V112" s="146"/>
      <c r="W112" s="139"/>
      <c r="X112" s="139"/>
      <c r="Y112" s="148"/>
      <c r="Z112" s="138" t="str">
        <f t="shared" si="26"/>
        <v/>
      </c>
      <c r="AA112" s="138" t="str">
        <f t="shared" si="28"/>
        <v/>
      </c>
      <c r="AB112" s="239"/>
      <c r="AC112" s="325"/>
      <c r="AD112" s="325"/>
      <c r="AE112" s="325"/>
      <c r="AF112" s="325"/>
      <c r="AG112" s="325"/>
      <c r="AH112" s="325"/>
      <c r="AI112" s="325"/>
      <c r="AJ112" s="325"/>
      <c r="AK112" s="325"/>
      <c r="AL112" s="325"/>
      <c r="AM112" s="325"/>
      <c r="AN112" s="325"/>
      <c r="AO112" s="325"/>
      <c r="AP112" s="136"/>
      <c r="AQ112" s="136"/>
      <c r="AR112" s="136" t="str">
        <f t="shared" si="22"/>
        <v/>
      </c>
      <c r="AS112" s="136" t="str">
        <f t="shared" si="22"/>
        <v/>
      </c>
      <c r="AT112" s="5" t="str">
        <f t="shared" si="23"/>
        <v/>
      </c>
      <c r="AV112" s="27" t="str">
        <f t="shared" si="35"/>
        <v/>
      </c>
      <c r="AW112" s="27"/>
      <c r="AY112" s="122" t="str">
        <f t="shared" si="24"/>
        <v/>
      </c>
    </row>
    <row r="113" spans="2:51" ht="12.75">
      <c r="B113" s="20" t="str">
        <f t="shared" si="27"/>
        <v/>
      </c>
      <c r="C113" s="5"/>
      <c r="D113" s="5"/>
      <c r="E113" s="5"/>
      <c r="G113" s="5" t="str">
        <f t="shared" si="31"/>
        <v/>
      </c>
      <c r="H113" s="117" t="str">
        <f t="shared" si="29"/>
        <v/>
      </c>
      <c r="I113" s="5" t="str">
        <f t="shared" si="32"/>
        <v/>
      </c>
      <c r="J113" s="5" t="str">
        <f t="shared" si="33"/>
        <v/>
      </c>
      <c r="K113" s="5"/>
      <c r="L113" s="5"/>
      <c r="M113" s="75"/>
      <c r="N113" s="77"/>
      <c r="O113" s="26"/>
      <c r="P113" s="26"/>
      <c r="Q113" s="118" t="str">
        <f t="shared" si="34"/>
        <v/>
      </c>
      <c r="R113" s="153"/>
      <c r="S113" s="138" t="str">
        <f t="shared" si="25"/>
        <v/>
      </c>
      <c r="T113" s="148"/>
      <c r="U113" s="146"/>
      <c r="V113" s="146"/>
      <c r="W113" s="139"/>
      <c r="X113" s="139"/>
      <c r="Y113" s="148"/>
      <c r="Z113" s="138" t="str">
        <f t="shared" si="26"/>
        <v/>
      </c>
      <c r="AA113" s="138" t="str">
        <f t="shared" si="28"/>
        <v/>
      </c>
      <c r="AB113" s="239"/>
      <c r="AC113" s="325"/>
      <c r="AD113" s="325"/>
      <c r="AE113" s="325"/>
      <c r="AF113" s="325"/>
      <c r="AG113" s="325"/>
      <c r="AH113" s="325"/>
      <c r="AI113" s="325"/>
      <c r="AJ113" s="325"/>
      <c r="AK113" s="325"/>
      <c r="AL113" s="325"/>
      <c r="AM113" s="325"/>
      <c r="AN113" s="325"/>
      <c r="AO113" s="325"/>
      <c r="AP113" s="136"/>
      <c r="AQ113" s="136"/>
      <c r="AR113" s="136" t="str">
        <f t="shared" si="22"/>
        <v/>
      </c>
      <c r="AS113" s="136" t="str">
        <f t="shared" si="22"/>
        <v/>
      </c>
      <c r="AT113" s="5" t="str">
        <f t="shared" si="23"/>
        <v/>
      </c>
      <c r="AV113" s="27" t="str">
        <f t="shared" si="35"/>
        <v/>
      </c>
      <c r="AW113" s="27"/>
      <c r="AY113" s="122" t="str">
        <f t="shared" si="24"/>
        <v/>
      </c>
    </row>
    <row r="114" spans="2:51" ht="12.75">
      <c r="B114" s="20" t="str">
        <f t="shared" si="27"/>
        <v/>
      </c>
      <c r="C114" s="5"/>
      <c r="D114" s="5"/>
      <c r="E114" s="5"/>
      <c r="G114" s="5" t="str">
        <f t="shared" si="31"/>
        <v/>
      </c>
      <c r="H114" s="117" t="str">
        <f t="shared" si="29"/>
        <v/>
      </c>
      <c r="I114" s="5" t="str">
        <f t="shared" si="32"/>
        <v/>
      </c>
      <c r="J114" s="5" t="str">
        <f t="shared" si="33"/>
        <v/>
      </c>
      <c r="K114" s="5"/>
      <c r="L114" s="5"/>
      <c r="M114" s="75"/>
      <c r="N114" s="77"/>
      <c r="O114" s="26"/>
      <c r="P114" s="26"/>
      <c r="Q114" s="118" t="str">
        <f t="shared" si="34"/>
        <v/>
      </c>
      <c r="R114" s="153"/>
      <c r="S114" s="138" t="str">
        <f t="shared" si="25"/>
        <v/>
      </c>
      <c r="T114" s="148"/>
      <c r="U114" s="146"/>
      <c r="V114" s="146"/>
      <c r="W114" s="139"/>
      <c r="X114" s="139"/>
      <c r="Y114" s="148"/>
      <c r="Z114" s="138" t="str">
        <f t="shared" si="26"/>
        <v/>
      </c>
      <c r="AA114" s="138" t="str">
        <f t="shared" si="28"/>
        <v/>
      </c>
      <c r="AB114" s="239"/>
      <c r="AC114" s="325"/>
      <c r="AD114" s="325"/>
      <c r="AE114" s="325"/>
      <c r="AF114" s="325"/>
      <c r="AG114" s="325"/>
      <c r="AH114" s="325"/>
      <c r="AI114" s="325"/>
      <c r="AJ114" s="325"/>
      <c r="AK114" s="325"/>
      <c r="AL114" s="325"/>
      <c r="AM114" s="325"/>
      <c r="AN114" s="325"/>
      <c r="AO114" s="325"/>
      <c r="AP114" s="136"/>
      <c r="AQ114" s="136"/>
      <c r="AR114" s="136" t="str">
        <f t="shared" si="22"/>
        <v/>
      </c>
      <c r="AS114" s="136" t="str">
        <f t="shared" si="22"/>
        <v/>
      </c>
      <c r="AT114" s="5" t="str">
        <f t="shared" si="23"/>
        <v/>
      </c>
      <c r="AV114" s="27" t="str">
        <f t="shared" si="35"/>
        <v/>
      </c>
      <c r="AW114" s="27"/>
      <c r="AY114" s="122" t="str">
        <f t="shared" si="24"/>
        <v/>
      </c>
    </row>
    <row r="115" spans="2:51" ht="12.75">
      <c r="B115" s="20" t="str">
        <f t="shared" si="27"/>
        <v/>
      </c>
      <c r="C115" s="5"/>
      <c r="D115" s="5"/>
      <c r="E115" s="5"/>
      <c r="G115" s="5" t="str">
        <f t="shared" si="31"/>
        <v/>
      </c>
      <c r="H115" s="117" t="str">
        <f t="shared" si="29"/>
        <v/>
      </c>
      <c r="I115" s="5" t="str">
        <f t="shared" si="32"/>
        <v/>
      </c>
      <c r="J115" s="5" t="str">
        <f t="shared" si="33"/>
        <v/>
      </c>
      <c r="K115" s="5"/>
      <c r="L115" s="5"/>
      <c r="M115" s="75"/>
      <c r="N115" s="77"/>
      <c r="O115" s="26"/>
      <c r="P115" s="26"/>
      <c r="Q115" s="118" t="str">
        <f t="shared" si="34"/>
        <v/>
      </c>
      <c r="R115" s="153"/>
      <c r="S115" s="138" t="str">
        <f t="shared" si="25"/>
        <v/>
      </c>
      <c r="T115" s="148"/>
      <c r="U115" s="146"/>
      <c r="V115" s="146"/>
      <c r="W115" s="139"/>
      <c r="X115" s="139"/>
      <c r="Y115" s="148"/>
      <c r="Z115" s="138" t="str">
        <f t="shared" si="26"/>
        <v/>
      </c>
      <c r="AA115" s="138" t="str">
        <f t="shared" si="28"/>
        <v/>
      </c>
      <c r="AB115" s="239"/>
      <c r="AC115" s="325"/>
      <c r="AD115" s="325"/>
      <c r="AE115" s="325"/>
      <c r="AF115" s="325"/>
      <c r="AG115" s="325"/>
      <c r="AH115" s="325"/>
      <c r="AI115" s="325"/>
      <c r="AJ115" s="325"/>
      <c r="AK115" s="325"/>
      <c r="AL115" s="325"/>
      <c r="AM115" s="325"/>
      <c r="AN115" s="325"/>
      <c r="AO115" s="325"/>
      <c r="AP115" s="136"/>
      <c r="AQ115" s="136"/>
      <c r="AR115" s="136" t="str">
        <f t="shared" si="22"/>
        <v/>
      </c>
      <c r="AS115" s="136" t="str">
        <f t="shared" si="22"/>
        <v/>
      </c>
      <c r="AT115" s="5" t="str">
        <f t="shared" si="23"/>
        <v/>
      </c>
      <c r="AV115" s="27" t="str">
        <f t="shared" si="35"/>
        <v/>
      </c>
      <c r="AW115" s="27"/>
      <c r="AY115" s="122" t="str">
        <f t="shared" si="24"/>
        <v/>
      </c>
    </row>
    <row r="116" spans="2:51">
      <c r="AT116" s="3" t="str">
        <f t="shared" si="23"/>
        <v/>
      </c>
      <c r="AV116" s="28"/>
      <c r="AW116" s="27"/>
      <c r="AY116" s="122" t="str">
        <f t="shared" si="24"/>
        <v/>
      </c>
    </row>
    <row r="117" spans="2:51">
      <c r="B117" s="11" t="s">
        <v>23</v>
      </c>
      <c r="AV117" s="28"/>
      <c r="AW117" s="27"/>
    </row>
    <row r="118" spans="2:51">
      <c r="B118" s="18" t="s">
        <v>17</v>
      </c>
      <c r="C118" s="22" t="str">
        <f>+"By"&amp;D120</f>
        <v>ByClient</v>
      </c>
      <c r="D118" s="23" t="str">
        <f>SUBSTITUTE(SUBSTITUTE(SUBSTITUTE(SUBSTITUTE(SUBSTITUTE(SUBSTITUTE(SUBSTITUTE(C118," ",""),".",""),"&amp;",""),"(",""),")",""),",",""),"/","")&amp;"_"&amp;TRIM(TEXT(C7,"###"))</f>
        <v>ByClient_9019</v>
      </c>
      <c r="E118" s="8"/>
      <c r="S118" s="283" t="s">
        <v>906</v>
      </c>
      <c r="AV118" s="27" t="str">
        <f>+" CONSTRAINT ["&amp;D118&amp;"] PRIMARY KEY NONCLUSTERED "</f>
        <v xml:space="preserve"> CONSTRAINT [ByClient_9019]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6">IFERROR(INDEX($G$16:$G$115,C120),"")</f>
        <v>Client</v>
      </c>
      <c r="E120" s="10" t="s">
        <v>5</v>
      </c>
      <c r="G120" s="5" t="str">
        <f>CHAR(34)&amp;D120&amp;" LIKE "&amp;H120&amp;"%{0}%"&amp;H120&amp;CHAR(34)&amp;","</f>
        <v>"Client LIKE '%{0}%'",</v>
      </c>
      <c r="H120" s="3" t="str">
        <f>IF(IFERROR(INDEX($I$16:$I$115,C120),"")="varchar","'","")</f>
        <v>'</v>
      </c>
      <c r="S120" s="282" t="str">
        <f>RIGHT(T2,1)&amp;V3&amp;MID(T2,2,1)&amp;V3&amp;MID(T2,5,1)&amp;LEFT(T2,1)&amp;C7</f>
        <v>SXLXNC9019</v>
      </c>
      <c r="T120" s="282" t="str">
        <f>+C8</f>
        <v>Clients</v>
      </c>
      <c r="U120" s="282" t="str">
        <f>+D120</f>
        <v>Client</v>
      </c>
      <c r="V120" s="239" t="str">
        <f>+C10</f>
        <v>7f47ed54-a6fc-4d92-99e8-ae7ee6340232</v>
      </c>
      <c r="W120" s="272"/>
      <c r="X120" s="272"/>
      <c r="AV120" s="27" t="str">
        <f t="shared" ref="AV120:AV126" si="37">+IF(D120="","","          ["&amp;D120&amp;"] "&amp;IF(TRIM(E120)="Ascending","ASC","DES")&amp;IF(D121="","",","))</f>
        <v xml:space="preserve">          [Client]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87" t="s">
        <v>574</v>
      </c>
      <c r="AV122" s="27" t="str">
        <f t="shared" si="37"/>
        <v/>
      </c>
      <c r="AW122" s="28"/>
    </row>
    <row r="123" spans="2:51">
      <c r="B123" s="20" t="str">
        <f t="shared" si="38"/>
        <v/>
      </c>
      <c r="C123" s="10"/>
      <c r="D123" s="21" t="str">
        <f t="shared" si="36"/>
        <v/>
      </c>
      <c r="E123" s="10"/>
      <c r="G123" s="5"/>
      <c r="S123" s="288" t="s">
        <v>312</v>
      </c>
      <c r="T123" s="288" t="s">
        <v>393</v>
      </c>
      <c r="U123" s="288" t="s">
        <v>394</v>
      </c>
      <c r="V123" s="288" t="s">
        <v>390</v>
      </c>
      <c r="W123" s="288" t="s">
        <v>391</v>
      </c>
      <c r="X123" s="288" t="s">
        <v>392</v>
      </c>
      <c r="Y123" s="288" t="s">
        <v>400</v>
      </c>
      <c r="Z123" s="288" t="s">
        <v>436</v>
      </c>
      <c r="AV123" s="27" t="str">
        <f t="shared" si="37"/>
        <v/>
      </c>
      <c r="AW123" s="28"/>
    </row>
    <row r="124" spans="2:51">
      <c r="B124" s="20" t="str">
        <f t="shared" si="38"/>
        <v/>
      </c>
      <c r="C124" s="10"/>
      <c r="D124" s="21" t="str">
        <f t="shared" si="36"/>
        <v/>
      </c>
      <c r="E124" s="10"/>
      <c r="G124" s="5"/>
      <c r="S124" s="239" t="s">
        <v>917</v>
      </c>
      <c r="T124" s="239" t="s">
        <v>908</v>
      </c>
      <c r="U124" s="239" t="str">
        <f>+E8</f>
        <v>Clients</v>
      </c>
      <c r="V124" s="239"/>
      <c r="W124" s="239"/>
      <c r="X124" s="239" t="str">
        <f>"./"&amp;V2</f>
        <v>./SXLXNC9019.html</v>
      </c>
      <c r="Y124" s="239"/>
      <c r="Z124" s="282" t="str">
        <f>+S120</f>
        <v>SXLXNC9019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"7f47ed54-a6fc-4d92-99e8-ae7ee6340232",</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"Clients",</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"Clients",</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["Client"],</v>
      </c>
      <c r="C137" s="122"/>
      <c r="D137" s="122"/>
      <c r="E137" s="122"/>
      <c r="F137" s="122"/>
      <c r="G137" s="122"/>
      <c r="H137" s="122"/>
      <c r="I137" s="122"/>
      <c r="J137" s="122"/>
      <c r="K137" s="122"/>
      <c r="L137" s="122"/>
      <c r="M137" s="122"/>
    </row>
    <row r="138" spans="2:49">
      <c r="B138" s="273" t="str">
        <f>REPT(" ",6)&amp;CHAR(34)&amp;"QueryStr"&amp;CHAR(34)&amp;": "&amp;G120</f>
        <v xml:space="preserve">      "QueryStr": "Client LIKE '%{0}%'",</v>
      </c>
      <c r="C138" s="122"/>
      <c r="D138" s="122"/>
      <c r="E138" s="122"/>
      <c r="F138" s="122"/>
      <c r="G138" s="122"/>
      <c r="H138" s="122"/>
      <c r="I138" s="122"/>
      <c r="J138" s="122"/>
      <c r="K138" s="122"/>
      <c r="L138" s="122"/>
      <c r="M138" s="122"/>
    </row>
    <row r="139" spans="2:49">
      <c r="B139" s="273" t="str">
        <f>REPT(" ",6)&amp;CHAR(34)&amp;"Limit"&amp;CHAR(34)&amp;": "&amp;E7&amp;","</f>
        <v xml:space="preserve">      "Limit": 9000,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c r="O150" s="14"/>
      <c r="P150" s="14"/>
    </row>
    <row r="151" spans="2:16">
      <c r="B151" s="274"/>
      <c r="C151" s="14"/>
      <c r="D151" s="232"/>
      <c r="E151" s="14"/>
      <c r="F151" s="14"/>
      <c r="G151" s="14"/>
      <c r="H151" s="14"/>
      <c r="I151" s="14"/>
      <c r="J151" s="14"/>
      <c r="K151" s="14"/>
      <c r="L151" s="14"/>
      <c r="M151" s="14"/>
      <c r="N151" s="14"/>
      <c r="O151" s="14"/>
      <c r="P151" s="14"/>
    </row>
    <row r="152" spans="2:16">
      <c r="B152" s="275"/>
      <c r="C152" s="275"/>
      <c r="D152" s="275"/>
      <c r="E152" s="275"/>
      <c r="F152" s="14"/>
      <c r="G152" s="276"/>
      <c r="H152" s="14"/>
      <c r="I152" s="14"/>
      <c r="J152" s="14"/>
      <c r="K152" s="14"/>
      <c r="L152" s="14"/>
      <c r="M152" s="14"/>
      <c r="N152" s="14"/>
      <c r="O152" s="14"/>
      <c r="P152" s="14"/>
    </row>
    <row r="153" spans="2:16">
      <c r="B153" s="277"/>
      <c r="C153" s="277"/>
      <c r="D153" s="278"/>
      <c r="E153" s="14"/>
      <c r="F153" s="14"/>
      <c r="G153" s="14"/>
      <c r="H153" s="14"/>
      <c r="I153" s="14"/>
      <c r="J153" s="14"/>
      <c r="K153" s="14"/>
      <c r="L153" s="14"/>
      <c r="M153" s="14"/>
      <c r="N153" s="14"/>
      <c r="O153" s="14"/>
      <c r="P153" s="14"/>
    </row>
    <row r="154" spans="2:16">
      <c r="B154" s="277"/>
      <c r="C154" s="277"/>
      <c r="D154" s="278"/>
      <c r="E154" s="14"/>
      <c r="F154" s="14"/>
      <c r="G154" s="14"/>
      <c r="H154" s="14"/>
      <c r="I154" s="14"/>
      <c r="J154" s="14"/>
      <c r="K154" s="14"/>
      <c r="L154" s="14"/>
      <c r="M154" s="14"/>
      <c r="N154" s="14"/>
      <c r="O154" s="14"/>
      <c r="P154" s="14"/>
    </row>
    <row r="155" spans="2:16">
      <c r="B155" s="14"/>
      <c r="C155" s="14"/>
      <c r="D155" s="14"/>
      <c r="E155" s="14"/>
      <c r="F155" s="14"/>
      <c r="G155" s="14"/>
      <c r="H155" s="14"/>
      <c r="I155" s="14"/>
      <c r="J155" s="14"/>
      <c r="K155" s="14"/>
      <c r="L155" s="14"/>
      <c r="M155" s="14"/>
      <c r="N155" s="14"/>
      <c r="O155" s="14"/>
      <c r="P155" s="14"/>
    </row>
    <row r="156" spans="2:16">
      <c r="B156" s="14"/>
      <c r="C156" s="14"/>
      <c r="D156" s="14"/>
      <c r="E156" s="14"/>
      <c r="F156" s="14"/>
      <c r="G156" s="14"/>
      <c r="H156" s="14"/>
      <c r="I156" s="14"/>
      <c r="J156" s="14"/>
      <c r="K156" s="14"/>
      <c r="L156" s="14"/>
      <c r="M156" s="14"/>
      <c r="N156" s="14"/>
      <c r="O156" s="14"/>
      <c r="P156" s="14"/>
    </row>
    <row r="157" spans="2:16">
      <c r="B157" s="14"/>
      <c r="C157" s="14"/>
      <c r="D157" s="14"/>
      <c r="E157" s="14"/>
      <c r="F157" s="14"/>
      <c r="G157" s="14"/>
      <c r="H157" s="14"/>
      <c r="I157" s="14"/>
      <c r="J157" s="14"/>
      <c r="K157" s="14"/>
      <c r="L157" s="14"/>
      <c r="M157" s="14"/>
      <c r="N157" s="14"/>
      <c r="O157" s="14"/>
      <c r="P157" s="14"/>
    </row>
    <row r="158" spans="2:16">
      <c r="B158" s="14"/>
      <c r="C158" s="14"/>
      <c r="D158" s="14"/>
      <c r="E158" s="14"/>
      <c r="F158" s="14"/>
      <c r="G158" s="14"/>
      <c r="H158" s="14"/>
      <c r="I158" s="14"/>
      <c r="J158" s="14"/>
      <c r="K158" s="14"/>
      <c r="L158" s="14"/>
      <c r="M158" s="14"/>
      <c r="N158" s="14"/>
      <c r="O158" s="14"/>
      <c r="P158" s="14"/>
    </row>
    <row r="159" spans="2:16">
      <c r="B159" s="14"/>
      <c r="C159" s="14"/>
      <c r="D159" s="14"/>
      <c r="E159" s="14"/>
      <c r="F159" s="14"/>
      <c r="G159" s="14"/>
      <c r="H159" s="14"/>
      <c r="I159" s="14"/>
      <c r="J159" s="14"/>
      <c r="K159" s="14"/>
      <c r="L159" s="14"/>
      <c r="M159" s="14"/>
      <c r="N159" s="14"/>
      <c r="O159" s="14"/>
      <c r="P159" s="14"/>
    </row>
    <row r="160" spans="2:16">
      <c r="B160" s="14"/>
      <c r="C160" s="14"/>
      <c r="D160" s="14"/>
      <c r="E160" s="14"/>
      <c r="F160" s="14"/>
      <c r="G160" s="14"/>
      <c r="H160" s="14"/>
      <c r="I160" s="14"/>
      <c r="J160" s="14"/>
      <c r="K160" s="14"/>
      <c r="L160" s="14"/>
      <c r="M160" s="14"/>
      <c r="N160" s="14"/>
      <c r="O160" s="14"/>
      <c r="P160" s="14"/>
    </row>
    <row r="161" spans="11:16">
      <c r="K161" s="107"/>
    </row>
    <row r="162" spans="11:16">
      <c r="K162" s="115"/>
    </row>
    <row r="163" spans="11:16">
      <c r="K163" s="107"/>
      <c r="L163" s="107"/>
    </row>
    <row r="164" spans="11:16">
      <c r="K164" s="107"/>
      <c r="L164" s="107"/>
      <c r="P164" s="107"/>
    </row>
    <row r="165" spans="11:16">
      <c r="K165" s="107"/>
      <c r="L165" s="107"/>
    </row>
    <row r="166" spans="11:16">
      <c r="K166" s="107"/>
      <c r="L166" s="107"/>
      <c r="O166" s="107"/>
    </row>
    <row r="167" spans="11:16">
      <c r="K167" s="107"/>
    </row>
    <row r="168" spans="11:16">
      <c r="K168" s="107"/>
    </row>
    <row r="169" spans="11:16">
      <c r="K169" s="107"/>
    </row>
    <row r="170" spans="11:16">
      <c r="K170" s="107"/>
      <c r="L170" s="107"/>
    </row>
    <row r="171" spans="11:16">
      <c r="K171" s="107"/>
      <c r="L171" s="107"/>
    </row>
    <row r="172" spans="11:16">
      <c r="K172" s="107"/>
      <c r="L172" s="107"/>
    </row>
    <row r="173" spans="11:16">
      <c r="K173" s="107"/>
      <c r="L173" s="107"/>
      <c r="O173" s="107"/>
    </row>
    <row r="174" spans="11:16">
      <c r="K174" s="107"/>
    </row>
  </sheetData>
  <mergeCells count="1">
    <mergeCell ref="N14:P14"/>
  </mergeCells>
  <dataValidations count="3">
    <dataValidation type="list" showInputMessage="1" showErrorMessage="1" sqref="W16:X115 X2 V6:V7 AL11:AL12 T7" xr:uid="{11DACA1D-0519-426D-8AA6-4B20A72C702F}">
      <formula1>aBoolean</formula1>
    </dataValidation>
    <dataValidation type="list" showInputMessage="1" showErrorMessage="1" sqref="U16:U115" xr:uid="{F1B94615-029B-4535-939B-CE65D860D6DE}">
      <formula1>aDataType</formula1>
    </dataValidation>
    <dataValidation type="list" showInputMessage="1" showErrorMessage="1" sqref="V16:V115" xr:uid="{35BDF3BA-2113-4A68-AD44-4C2C4A2F879B}">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492296F2-1D8C-454F-81D4-C96632F8F998}">
          <x14:formula1>
            <xm:f>Variables!$B$22:$B$25</xm:f>
          </x14:formula1>
          <xm:sqref>E6</xm:sqref>
        </x14:dataValidation>
        <x14:dataValidation type="list" allowBlank="1" showInputMessage="1" showErrorMessage="1" xr:uid="{507A7D3C-3D60-461F-8B03-1CC8DF2BD3C1}">
          <x14:formula1>
            <xm:f>Variables!$E$17:$E$22</xm:f>
          </x14:formula1>
          <xm:sqref>C6</xm:sqref>
        </x14:dataValidation>
        <x14:dataValidation type="list" allowBlank="1" showInputMessage="1" showErrorMessage="1" xr:uid="{57F13154-7E6D-4741-9D3F-4D7B4A636766}">
          <x14:formula1>
            <xm:f>Variables!$I$28:$I$35</xm:f>
          </x14:formula1>
          <xm:sqref>T6</xm:sqref>
        </x14:dataValidation>
        <x14:dataValidation type="list" allowBlank="1" showInputMessage="1" showErrorMessage="1" xr:uid="{E5820F42-6735-43EB-BA46-979B9614278D}">
          <x14:formula1>
            <xm:f>Variables!$G$6:$G$8</xm:f>
          </x14:formula1>
          <xm:sqref>T5</xm:sqref>
        </x14:dataValidation>
        <x14:dataValidation type="list" allowBlank="1" showInputMessage="1" showErrorMessage="1" xr:uid="{8577D062-8BB3-4794-846B-F0E43EB2CF9D}">
          <x14:formula1>
            <xm:f>Variables!$G$12:$G$14</xm:f>
          </x14:formula1>
          <xm:sqref>AA16:AA115</xm:sqref>
        </x14:dataValidation>
        <x14:dataValidation type="list" showInputMessage="1" showErrorMessage="1" xr:uid="{77998DE4-9542-4846-82E7-F91069267AF7}">
          <x14:formula1>
            <xm:f>Variables!$G$17:$G$22</xm:f>
          </x14:formula1>
          <xm:sqref>T8:T10</xm:sqref>
        </x14:dataValidation>
        <x14:dataValidation type="list" allowBlank="1" showInputMessage="1" showErrorMessage="1" xr:uid="{01C08BD1-23E7-497F-8331-A1FD13D7D50A}">
          <x14:formula1>
            <xm:f>Variables!E$28:E$34</xm:f>
          </x14:formula1>
          <xm:sqref>AJ16:AJ115</xm:sqref>
        </x14:dataValidation>
        <x14:dataValidation type="list" allowBlank="1" showInputMessage="1" showErrorMessage="1" xr:uid="{40CB9FD0-8CBA-45F6-9D8F-A8DC0CF31C31}">
          <x14:formula1>
            <xm:f>Variables!E$28:E$34</xm:f>
          </x14:formula1>
          <xm:sqref>AM16:AM115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BFA8-0D51-4189-8FD5-709373094019}">
  <sheetPr codeName="Sheet20">
    <tabColor theme="4" tint="0.79998168889431442"/>
  </sheetPr>
  <dimension ref="B1:AY174"/>
  <sheetViews>
    <sheetView showGridLines="0" workbookViewId="0">
      <pane xSplit="6" ySplit="15" topLeftCell="T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6.28515625" style="134" bestFit="1" customWidth="1"/>
    <col min="23" max="23" width="18.140625" style="134" bestFit="1" customWidth="1"/>
    <col min="24" max="24" width="16.140625" style="134" bestFit="1" customWidth="1"/>
    <col min="25" max="25" width="10.7109375" style="134" bestFit="1" customWidth="1"/>
    <col min="26" max="26" width="10.85546875" style="143" bestFit="1"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4"/>
      <c r="AV1" s="13" t="s">
        <v>430</v>
      </c>
    </row>
    <row r="2" spans="2:51">
      <c r="S2" s="255" t="s">
        <v>875</v>
      </c>
      <c r="T2" s="240" t="str" cm="1">
        <f t="array" ref="T2">MID(CELL("filename",A1),FIND("]",CELL("filename",A1))+1,50)</f>
        <v>AGENT</v>
      </c>
      <c r="U2" s="255" t="s">
        <v>874</v>
      </c>
      <c r="V2" s="253" t="str">
        <f>UPPER(RIGHT(T2,1)&amp;V3&amp;MID(T2,2,1)&amp;V3&amp;MID(T2,5,1)&amp;LEFT(T2,1)&amp;C7)&amp;".html"</f>
        <v>TXGXTA2309.html</v>
      </c>
      <c r="W2" s="255" t="s">
        <v>1071</v>
      </c>
      <c r="X2" s="245" t="s">
        <v>367</v>
      </c>
      <c r="AV2" s="27" t="str">
        <f>+"USE "&amp;TRIM(C5)</f>
        <v>USE SIBISDB</v>
      </c>
      <c r="AW2" s="27"/>
    </row>
    <row r="3" spans="2:51">
      <c r="B3" s="221" t="s">
        <v>577</v>
      </c>
      <c r="C3" s="102" t="str">
        <f>+DBTableList!G5</f>
        <v>http://wikran-w10:8081</v>
      </c>
      <c r="D3" s="222" t="s">
        <v>846</v>
      </c>
      <c r="E3" s="5" t="str">
        <f>+DBTableList!$G$4</f>
        <v>CBS</v>
      </c>
      <c r="I3" s="219"/>
      <c r="J3" s="219"/>
      <c r="K3" s="62"/>
      <c r="U3" s="254" t="s">
        <v>877</v>
      </c>
      <c r="V3" s="240" t="str">
        <f>IF(ISERROR(FIND("EntryBy",C11)),"","X")</f>
        <v>X</v>
      </c>
      <c r="AV3" s="27" t="s">
        <v>0</v>
      </c>
      <c r="AW3" s="27"/>
    </row>
    <row r="4" spans="2:51">
      <c r="B4" s="222" t="s">
        <v>854</v>
      </c>
      <c r="C4" s="218" t="str">
        <f>+DBTableList!G6</f>
        <v>pythonLT</v>
      </c>
      <c r="D4" s="105" t="s">
        <v>412</v>
      </c>
      <c r="E4" s="68" t="s">
        <v>407</v>
      </c>
      <c r="S4" s="256" t="s">
        <v>872</v>
      </c>
      <c r="AV4" s="28" t="s">
        <v>1</v>
      </c>
      <c r="AW4" s="27"/>
    </row>
    <row r="5" spans="2:51">
      <c r="B5" s="100" t="s">
        <v>19</v>
      </c>
      <c r="C5" s="101" t="s">
        <v>20</v>
      </c>
      <c r="D5" s="222" t="s">
        <v>408</v>
      </c>
      <c r="E5" s="5" t="str">
        <f>+DBTableList!$G$4</f>
        <v>CBS</v>
      </c>
      <c r="S5" s="241" t="s">
        <v>873</v>
      </c>
      <c r="T5" s="244" t="s">
        <v>569</v>
      </c>
      <c r="U5" s="243" t="s">
        <v>377</v>
      </c>
      <c r="V5" s="240" t="str">
        <f>CHAR(34)&amp;E8&amp;" Info"&amp;CHAR(34)</f>
        <v>"Agent Info"</v>
      </c>
      <c r="W5" s="242"/>
      <c r="X5" s="240"/>
      <c r="Y5" s="238"/>
      <c r="AV5" s="28" t="s">
        <v>1</v>
      </c>
      <c r="AW5" s="27"/>
    </row>
    <row r="6" spans="2:51">
      <c r="B6" s="250" t="s">
        <v>10</v>
      </c>
      <c r="C6" s="5" t="s">
        <v>852</v>
      </c>
      <c r="D6" s="249" t="s">
        <v>429</v>
      </c>
      <c r="E6" s="5" t="s">
        <v>424</v>
      </c>
      <c r="S6" s="242" t="s">
        <v>514</v>
      </c>
      <c r="T6" s="245" t="s">
        <v>506</v>
      </c>
      <c r="U6" s="242" t="s">
        <v>507</v>
      </c>
      <c r="V6" s="245" t="s">
        <v>367</v>
      </c>
      <c r="W6" s="242"/>
      <c r="X6" s="240"/>
      <c r="AV6" s="27" t="s">
        <v>2</v>
      </c>
      <c r="AW6" s="27"/>
    </row>
    <row r="7" spans="2:51">
      <c r="B7" s="100" t="s">
        <v>315</v>
      </c>
      <c r="C7" s="17">
        <v>2309</v>
      </c>
      <c r="D7" s="100" t="str">
        <f>"LIMIT "&amp;IF(E7=0,"(MAX)","")</f>
        <v>LIMIT (MAX)</v>
      </c>
      <c r="E7" s="17">
        <v>0</v>
      </c>
      <c r="S7" s="242" t="s">
        <v>508</v>
      </c>
      <c r="T7" s="245" t="s">
        <v>379</v>
      </c>
      <c r="U7" s="242" t="s">
        <v>385</v>
      </c>
      <c r="V7" s="245" t="s">
        <v>379</v>
      </c>
      <c r="W7" s="242"/>
      <c r="X7" s="240"/>
      <c r="AV7" s="27" t="s">
        <v>0</v>
      </c>
      <c r="AW7" s="27"/>
    </row>
    <row r="8" spans="2:51">
      <c r="B8" s="215" t="s">
        <v>16</v>
      </c>
      <c r="C8" s="17" t="s">
        <v>867</v>
      </c>
      <c r="D8" s="215" t="s">
        <v>847</v>
      </c>
      <c r="E8" s="17" t="s">
        <v>861</v>
      </c>
      <c r="G8" s="62"/>
      <c r="S8" s="242" t="s">
        <v>509</v>
      </c>
      <c r="T8" s="245" t="s">
        <v>379</v>
      </c>
      <c r="U8" s="242" t="s">
        <v>380</v>
      </c>
      <c r="V8" s="246">
        <v>1000</v>
      </c>
      <c r="W8" s="242"/>
      <c r="X8" s="240"/>
      <c r="AV8" s="28" t="s">
        <v>1</v>
      </c>
      <c r="AW8" s="27"/>
    </row>
    <row r="9" spans="2:51">
      <c r="B9" s="105" t="s">
        <v>409</v>
      </c>
      <c r="C9" s="102" t="str">
        <f>VLOOKUP(E6,Variables!$B$22:$C$25,2,FALSE)</f>
        <v>b18e9f22-2069-4f35-9739-4d7f976335eb</v>
      </c>
      <c r="D9" s="104"/>
      <c r="E9" s="103"/>
      <c r="S9" s="242" t="s">
        <v>510</v>
      </c>
      <c r="T9" s="245" t="s">
        <v>1244</v>
      </c>
      <c r="U9" s="242" t="s">
        <v>378</v>
      </c>
      <c r="V9" s="246">
        <v>525</v>
      </c>
      <c r="W9" s="242"/>
      <c r="X9" s="240"/>
      <c r="AV9" s="27" t="s">
        <v>3</v>
      </c>
      <c r="AW9" s="27"/>
    </row>
    <row r="10" spans="2:51">
      <c r="B10" s="217" t="str">
        <f>HYPERLINK("[http://wikran-w10:8080/Gentoken.html]","TBTOKEN")</f>
        <v>TBTOKEN</v>
      </c>
      <c r="C10" s="102" t="s">
        <v>862</v>
      </c>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Agent,Name,Address1,Address2,Address3,PostCode,City,PhoneBusiness,PhoneHome,ContactPerson,Addressee,Salutation,Occupation,EntryBy,EntryDate,IsSubAgent,InternetAddress</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http://wikran-w10:8081/pythonLT/A75FCC75-8FB6-4460-B3F6-7070B4437930/5c7b55fb-2e98-4c10-9378-13375425af93/all</v>
      </c>
      <c r="D12" s="104"/>
      <c r="E12" s="104"/>
      <c r="F12" s="104"/>
      <c r="G12" s="104"/>
      <c r="H12" s="104"/>
      <c r="I12" s="104"/>
      <c r="J12" s="104"/>
      <c r="K12" s="104"/>
      <c r="L12" s="103"/>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17</v>
      </c>
      <c r="D14" s="3" t="s">
        <v>496</v>
      </c>
      <c r="E14" s="3">
        <f>+C14+15</f>
        <v>32</v>
      </c>
      <c r="G14" s="16" t="s">
        <v>22</v>
      </c>
      <c r="H14" s="131">
        <f>IF(IFERROR(FIND("varchar",E22),0)&gt;0,IF(D22&gt;8000,"max",D22),"")</f>
        <v>30</v>
      </c>
      <c r="M14" s="107" t="s">
        <v>369</v>
      </c>
      <c r="N14" s="489" t="s">
        <v>305</v>
      </c>
      <c r="O14" s="490"/>
      <c r="P14" s="491"/>
      <c r="S14" s="257" t="s">
        <v>871</v>
      </c>
      <c r="T14" s="149" t="s">
        <v>893</v>
      </c>
      <c r="AJ14" s="347">
        <f>COUNTBLANK(AJ16:AJ115)</f>
        <v>99</v>
      </c>
      <c r="AK14" s="30" t="s">
        <v>1044</v>
      </c>
      <c r="AM14" s="347">
        <f>COUNTBLANK(AM16:AM115)</f>
        <v>99</v>
      </c>
      <c r="AN14" s="30" t="s">
        <v>1036</v>
      </c>
      <c r="AO14" s="347">
        <f>+AM14+AJ14</f>
        <v>198</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[dbo].[Agents](</v>
      </c>
      <c r="AW15" s="27"/>
      <c r="AY15" s="122" t="str">
        <f>+"CREATE TABLE "&amp;TRIM(C8)&amp;" ("</f>
        <v>CREATE TABLE Agents (</v>
      </c>
    </row>
    <row r="16" spans="2:51" ht="12.75">
      <c r="B16" s="20">
        <f>IF(C16=0,"",1)</f>
        <v>1</v>
      </c>
      <c r="C16" s="5" t="s">
        <v>861</v>
      </c>
      <c r="D16" s="5">
        <v>8</v>
      </c>
      <c r="E16" s="5" t="s">
        <v>11</v>
      </c>
      <c r="G16" s="5" t="str">
        <f t="shared" ref="G16:G32" si="0">SUBSTITUTE(SUBSTITUTE(SUBSTITUTE(SUBSTITUTE(SUBSTITUTE(SUBSTITUTE(SUBSTITUTE(SUBSTITUTE(SUBSTITUTE(C16," ",""),".",""),"#","No"),"%",""),"(",""),"*",""),"-",""),"/",""),")","")</f>
        <v>Agent</v>
      </c>
      <c r="H16" s="117">
        <f t="shared" ref="H16:H21" si="1">IF(IFERROR(FIND("varchar",E16),0)&gt;0,IF(D16&gt;8000,"max",D16),"")</f>
        <v>8</v>
      </c>
      <c r="I16" s="5" t="str">
        <f t="shared" ref="I16:I45" si="2">IF(E16=0,"",+E16)</f>
        <v>varchar</v>
      </c>
      <c r="J16" s="5" t="str">
        <f t="shared" ref="J16:J45" si="3">IF(C16=0,"",(IF(ISERROR(VLOOKUP(G16,$D$120:$D$127,1,FALSE)),""," NOT")&amp;" NULL"))</f>
        <v xml:space="preserve"> NOT NULL</v>
      </c>
      <c r="K16" s="5" t="s">
        <v>861</v>
      </c>
      <c r="L16" s="5" t="s">
        <v>861</v>
      </c>
      <c r="M16" s="75">
        <v>1</v>
      </c>
      <c r="N16" s="77"/>
      <c r="O16" s="26"/>
      <c r="P16" s="26"/>
      <c r="Q16" s="118">
        <f t="shared" ref="Q16:Q45" si="4">IF(M16=0,"",ROW())</f>
        <v>16</v>
      </c>
      <c r="R16" s="153"/>
      <c r="S16" s="138" t="str">
        <f>IF(K16=0,"",K16)</f>
        <v>Agent</v>
      </c>
      <c r="T16" s="148"/>
      <c r="U16" s="146"/>
      <c r="V16" s="146"/>
      <c r="W16" s="139" t="s">
        <v>379</v>
      </c>
      <c r="X16" s="139" t="s">
        <v>367</v>
      </c>
      <c r="Y16" s="148"/>
      <c r="Z16" s="138" t="str">
        <f t="shared" ref="Z16:Z32" si="5">IF(M16&lt;9000,"","false")</f>
        <v/>
      </c>
      <c r="AA16" s="138" t="str">
        <f>IF($C$120=B16,"asc","")</f>
        <v>asc</v>
      </c>
      <c r="AB16" s="239"/>
      <c r="AC16" s="325"/>
      <c r="AD16" s="325"/>
      <c r="AE16" s="325"/>
      <c r="AF16" s="325"/>
      <c r="AG16" s="325"/>
      <c r="AH16" s="325"/>
      <c r="AI16" s="325"/>
      <c r="AJ16" s="325" t="s">
        <v>1028</v>
      </c>
      <c r="AK16" s="325"/>
      <c r="AL16" s="325"/>
      <c r="AM16" s="325"/>
      <c r="AN16" s="325"/>
      <c r="AO16" s="325"/>
      <c r="AP16" s="136"/>
      <c r="AQ16" s="136"/>
      <c r="AR16" s="136" t="str">
        <f t="shared" ref="AR16:AS47" si="6">IF(O16=0,"",ROW())</f>
        <v/>
      </c>
      <c r="AS16" s="136" t="str">
        <f t="shared" si="6"/>
        <v/>
      </c>
      <c r="AT16" s="5" t="str">
        <f t="shared" ref="AT16:AT47" si="7">IF(C16="","",C16&amp;IF(B17="","",","))</f>
        <v>Agent,</v>
      </c>
      <c r="AV16" s="27" t="str">
        <f t="shared" ref="AV16:AV35" si="8">IF(G16="","",+"          ["&amp;TRIM(G16)&amp;"] ["&amp;TRIM(I16)&amp;"]"&amp;IF(H16="","","("&amp;H16&amp;")")&amp;" "&amp;TRIM(J16)&amp;IF(G17="","",","))</f>
        <v xml:space="preserve">          [Agent] [varchar](8) NOT NULL,</v>
      </c>
      <c r="AW16" s="27"/>
      <c r="AY16" s="122" t="str">
        <f t="shared" ref="AY16:AY79" si="9">IF(G16="",IF(OR(AY15=");",AY15=""),"",");"),+"          "&amp;TRIM(G16)&amp;" "&amp;UPPER(TRIM(I16))&amp;IF(H16="",""," ("&amp;H16&amp;")")&amp;" "&amp;IF(TRIM(J16)="NOT NULL","PRIMARY KEY UNIQUE NOT NULL",TRIM(J16))&amp;IF(G17="","",","))</f>
        <v xml:space="preserve">          Agent VARCHAR (8) PRIMARY KEY UNIQUE NOT NULL,</v>
      </c>
    </row>
    <row r="17" spans="2:51" ht="12.75">
      <c r="B17" s="20">
        <f>IF(C17=0,"",+B16+1)</f>
        <v>2</v>
      </c>
      <c r="C17" s="5" t="s">
        <v>443</v>
      </c>
      <c r="D17" s="5">
        <v>40</v>
      </c>
      <c r="E17" s="5" t="s">
        <v>11</v>
      </c>
      <c r="G17" s="5" t="str">
        <f t="shared" si="0"/>
        <v>Name</v>
      </c>
      <c r="H17" s="117">
        <f t="shared" si="1"/>
        <v>40</v>
      </c>
      <c r="I17" s="5" t="str">
        <f t="shared" si="2"/>
        <v>varchar</v>
      </c>
      <c r="J17" s="5" t="str">
        <f t="shared" si="3"/>
        <v xml:space="preserve"> NULL</v>
      </c>
      <c r="K17" s="5" t="s">
        <v>443</v>
      </c>
      <c r="L17" s="5" t="s">
        <v>443</v>
      </c>
      <c r="M17" s="75">
        <v>2</v>
      </c>
      <c r="N17" s="77"/>
      <c r="O17" s="26"/>
      <c r="P17" s="26"/>
      <c r="Q17" s="118">
        <f t="shared" si="4"/>
        <v>17</v>
      </c>
      <c r="R17" s="153"/>
      <c r="S17" s="138" t="str">
        <f t="shared" ref="S17:S80" si="10">IF(K17=0,"",K17)</f>
        <v>Name</v>
      </c>
      <c r="T17" s="148"/>
      <c r="U17" s="146"/>
      <c r="V17" s="146"/>
      <c r="W17" s="139"/>
      <c r="X17" s="139"/>
      <c r="Y17" s="148"/>
      <c r="Z17" s="138" t="str">
        <f t="shared" si="5"/>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6"/>
        <v/>
      </c>
      <c r="AS17" s="136" t="str">
        <f t="shared" si="6"/>
        <v/>
      </c>
      <c r="AT17" s="5" t="str">
        <f t="shared" si="7"/>
        <v>Name,</v>
      </c>
      <c r="AV17" s="27" t="str">
        <f t="shared" si="8"/>
        <v xml:space="preserve">          [Name] [varchar](40) NULL,</v>
      </c>
      <c r="AW17" s="27"/>
      <c r="AY17" s="122" t="str">
        <f t="shared" si="9"/>
        <v xml:space="preserve">          Name VARCHAR (40) NULL,</v>
      </c>
    </row>
    <row r="18" spans="2:51" ht="12.75">
      <c r="B18" s="20">
        <f t="shared" ref="B18:B81" si="11">IF(C18=0,"",+B17+1)</f>
        <v>3</v>
      </c>
      <c r="C18" s="5" t="s">
        <v>316</v>
      </c>
      <c r="D18" s="5">
        <v>35</v>
      </c>
      <c r="E18" s="5" t="s">
        <v>11</v>
      </c>
      <c r="G18" s="5" t="str">
        <f t="shared" si="0"/>
        <v>Address1</v>
      </c>
      <c r="H18" s="117">
        <f t="shared" si="1"/>
        <v>35</v>
      </c>
      <c r="I18" s="5" t="str">
        <f t="shared" si="2"/>
        <v>varchar</v>
      </c>
      <c r="J18" s="5" t="str">
        <f t="shared" si="3"/>
        <v xml:space="preserve"> NULL</v>
      </c>
      <c r="K18" s="5" t="s">
        <v>319</v>
      </c>
      <c r="L18" s="5" t="s">
        <v>319</v>
      </c>
      <c r="M18" s="75">
        <v>9001</v>
      </c>
      <c r="N18" s="77"/>
      <c r="O18" s="26"/>
      <c r="P18" s="26"/>
      <c r="Q18" s="118">
        <f t="shared" si="4"/>
        <v>18</v>
      </c>
      <c r="R18" s="153"/>
      <c r="S18" s="138" t="str">
        <f t="shared" si="10"/>
        <v>Address 1</v>
      </c>
      <c r="T18" s="148"/>
      <c r="U18" s="146"/>
      <c r="V18" s="146"/>
      <c r="W18" s="139"/>
      <c r="X18" s="139"/>
      <c r="Y18" s="148"/>
      <c r="Z18" s="138" t="str">
        <f t="shared" si="5"/>
        <v>false</v>
      </c>
      <c r="AA18" s="138" t="str">
        <f t="shared" ref="AA18:AA81" si="12">IF($C$120=B18,"asc","")</f>
        <v/>
      </c>
      <c r="AB18" s="239"/>
      <c r="AC18" s="325"/>
      <c r="AD18" s="325"/>
      <c r="AE18" s="325"/>
      <c r="AF18" s="325"/>
      <c r="AG18" s="325"/>
      <c r="AH18" s="325"/>
      <c r="AI18" s="325"/>
      <c r="AJ18" s="325"/>
      <c r="AK18" s="325"/>
      <c r="AL18" s="325"/>
      <c r="AM18" s="325"/>
      <c r="AN18" s="325"/>
      <c r="AO18" s="325"/>
      <c r="AP18" s="136"/>
      <c r="AQ18" s="136"/>
      <c r="AR18" s="136" t="str">
        <f t="shared" si="6"/>
        <v/>
      </c>
      <c r="AS18" s="136" t="str">
        <f t="shared" si="6"/>
        <v/>
      </c>
      <c r="AT18" s="5" t="str">
        <f t="shared" si="7"/>
        <v>Address1,</v>
      </c>
      <c r="AV18" s="27" t="str">
        <f t="shared" si="8"/>
        <v xml:space="preserve">          [Address1] [varchar](35) NULL,</v>
      </c>
      <c r="AW18" s="27"/>
      <c r="AY18" s="122" t="str">
        <f t="shared" si="9"/>
        <v xml:space="preserve">          Address1 VARCHAR (35) NULL,</v>
      </c>
    </row>
    <row r="19" spans="2:51" ht="12.75">
      <c r="B19" s="20">
        <f t="shared" si="11"/>
        <v>4</v>
      </c>
      <c r="C19" s="5" t="s">
        <v>317</v>
      </c>
      <c r="D19" s="5">
        <v>35</v>
      </c>
      <c r="E19" s="5" t="s">
        <v>11</v>
      </c>
      <c r="G19" s="5" t="str">
        <f t="shared" si="0"/>
        <v>Address2</v>
      </c>
      <c r="H19" s="117">
        <f t="shared" si="1"/>
        <v>35</v>
      </c>
      <c r="I19" s="5" t="str">
        <f t="shared" si="2"/>
        <v>varchar</v>
      </c>
      <c r="J19" s="5" t="str">
        <f t="shared" si="3"/>
        <v xml:space="preserve"> NULL</v>
      </c>
      <c r="K19" s="5" t="s">
        <v>320</v>
      </c>
      <c r="L19" s="5" t="s">
        <v>320</v>
      </c>
      <c r="M19" s="75">
        <v>9002</v>
      </c>
      <c r="N19" s="77"/>
      <c r="O19" s="26"/>
      <c r="P19" s="26"/>
      <c r="Q19" s="118">
        <f t="shared" si="4"/>
        <v>19</v>
      </c>
      <c r="R19" s="153"/>
      <c r="S19" s="138" t="str">
        <f t="shared" si="10"/>
        <v>Address 2</v>
      </c>
      <c r="T19" s="148"/>
      <c r="U19" s="146"/>
      <c r="V19" s="146"/>
      <c r="W19" s="139"/>
      <c r="X19" s="139"/>
      <c r="Y19" s="148"/>
      <c r="Z19" s="138" t="str">
        <f t="shared" si="5"/>
        <v>false</v>
      </c>
      <c r="AA19" s="138" t="str">
        <f t="shared" si="12"/>
        <v/>
      </c>
      <c r="AB19" s="239"/>
      <c r="AC19" s="325"/>
      <c r="AD19" s="325"/>
      <c r="AE19" s="325"/>
      <c r="AF19" s="325"/>
      <c r="AG19" s="325"/>
      <c r="AH19" s="325"/>
      <c r="AI19" s="325"/>
      <c r="AJ19" s="325"/>
      <c r="AK19" s="325"/>
      <c r="AL19" s="325"/>
      <c r="AM19" s="325"/>
      <c r="AN19" s="325"/>
      <c r="AO19" s="325"/>
      <c r="AP19" s="136"/>
      <c r="AQ19" s="136"/>
      <c r="AR19" s="136" t="str">
        <f t="shared" si="6"/>
        <v/>
      </c>
      <c r="AS19" s="136" t="str">
        <f t="shared" si="6"/>
        <v/>
      </c>
      <c r="AT19" s="5" t="str">
        <f t="shared" si="7"/>
        <v>Address2,</v>
      </c>
      <c r="AV19" s="27" t="str">
        <f t="shared" si="8"/>
        <v xml:space="preserve">          [Address2] [varchar](35) NULL,</v>
      </c>
      <c r="AW19" s="27"/>
      <c r="AY19" s="122" t="str">
        <f t="shared" si="9"/>
        <v xml:space="preserve">          Address2 VARCHAR (35) NULL,</v>
      </c>
    </row>
    <row r="20" spans="2:51" ht="12.75">
      <c r="B20" s="20">
        <f t="shared" si="11"/>
        <v>5</v>
      </c>
      <c r="C20" s="5" t="s">
        <v>444</v>
      </c>
      <c r="D20" s="5">
        <v>35</v>
      </c>
      <c r="E20" s="5" t="s">
        <v>11</v>
      </c>
      <c r="G20" s="5" t="str">
        <f t="shared" si="0"/>
        <v>Address3</v>
      </c>
      <c r="H20" s="117">
        <f t="shared" si="1"/>
        <v>35</v>
      </c>
      <c r="I20" s="5" t="str">
        <f t="shared" si="2"/>
        <v>varchar</v>
      </c>
      <c r="J20" s="5" t="str">
        <f t="shared" si="3"/>
        <v xml:space="preserve"> NULL</v>
      </c>
      <c r="K20" s="5" t="s">
        <v>445</v>
      </c>
      <c r="L20" s="5" t="s">
        <v>445</v>
      </c>
      <c r="M20" s="75">
        <v>9003</v>
      </c>
      <c r="N20" s="77"/>
      <c r="O20" s="26"/>
      <c r="P20" s="26"/>
      <c r="Q20" s="118">
        <f t="shared" si="4"/>
        <v>20</v>
      </c>
      <c r="R20" s="153"/>
      <c r="S20" s="138" t="str">
        <f t="shared" si="10"/>
        <v>Address 3</v>
      </c>
      <c r="T20" s="148"/>
      <c r="U20" s="146"/>
      <c r="V20" s="146"/>
      <c r="W20" s="139"/>
      <c r="X20" s="139"/>
      <c r="Y20" s="148"/>
      <c r="Z20" s="138" t="str">
        <f t="shared" si="5"/>
        <v>false</v>
      </c>
      <c r="AA20" s="138" t="str">
        <f t="shared" si="12"/>
        <v/>
      </c>
      <c r="AB20" s="239"/>
      <c r="AC20" s="325"/>
      <c r="AD20" s="325"/>
      <c r="AE20" s="325"/>
      <c r="AF20" s="325"/>
      <c r="AG20" s="325"/>
      <c r="AH20" s="325"/>
      <c r="AI20" s="325"/>
      <c r="AJ20" s="325"/>
      <c r="AK20" s="325"/>
      <c r="AL20" s="325"/>
      <c r="AM20" s="325"/>
      <c r="AN20" s="325"/>
      <c r="AO20" s="325"/>
      <c r="AP20" s="136"/>
      <c r="AQ20" s="136"/>
      <c r="AR20" s="136" t="str">
        <f t="shared" si="6"/>
        <v/>
      </c>
      <c r="AS20" s="136" t="str">
        <f t="shared" si="6"/>
        <v/>
      </c>
      <c r="AT20" s="5" t="str">
        <f t="shared" si="7"/>
        <v>Address3,</v>
      </c>
      <c r="AV20" s="27" t="str">
        <f t="shared" si="8"/>
        <v xml:space="preserve">          [Address3] [varchar](35) NULL,</v>
      </c>
      <c r="AW20" s="27"/>
      <c r="AY20" s="122" t="str">
        <f t="shared" si="9"/>
        <v xml:space="preserve">          Address3 VARCHAR (35) NULL,</v>
      </c>
    </row>
    <row r="21" spans="2:51" ht="12.75">
      <c r="B21" s="20">
        <f t="shared" si="11"/>
        <v>6</v>
      </c>
      <c r="C21" s="5" t="s">
        <v>456</v>
      </c>
      <c r="D21" s="5">
        <v>6</v>
      </c>
      <c r="E21" s="5" t="s">
        <v>11</v>
      </c>
      <c r="G21" s="5" t="str">
        <f t="shared" si="0"/>
        <v>PostCode</v>
      </c>
      <c r="H21" s="117">
        <f t="shared" si="1"/>
        <v>6</v>
      </c>
      <c r="I21" s="5" t="str">
        <f t="shared" si="2"/>
        <v>varchar</v>
      </c>
      <c r="J21" s="5" t="str">
        <f t="shared" si="3"/>
        <v xml:space="preserve"> NULL</v>
      </c>
      <c r="K21" s="5" t="s">
        <v>321</v>
      </c>
      <c r="L21" s="5" t="s">
        <v>321</v>
      </c>
      <c r="M21" s="75">
        <v>9013</v>
      </c>
      <c r="N21" s="77"/>
      <c r="O21" s="26"/>
      <c r="P21" s="26"/>
      <c r="Q21" s="118">
        <f t="shared" si="4"/>
        <v>21</v>
      </c>
      <c r="R21" s="153"/>
      <c r="S21" s="138" t="str">
        <f t="shared" si="10"/>
        <v>Zip Code</v>
      </c>
      <c r="T21" s="148"/>
      <c r="U21" s="146"/>
      <c r="V21" s="146"/>
      <c r="W21" s="139"/>
      <c r="X21" s="139"/>
      <c r="Y21" s="148"/>
      <c r="Z21" s="138" t="str">
        <f t="shared" si="5"/>
        <v>false</v>
      </c>
      <c r="AA21" s="138" t="str">
        <f t="shared" si="12"/>
        <v/>
      </c>
      <c r="AB21" s="239"/>
      <c r="AC21" s="325"/>
      <c r="AD21" s="325"/>
      <c r="AE21" s="325"/>
      <c r="AF21" s="325"/>
      <c r="AG21" s="325"/>
      <c r="AH21" s="325"/>
      <c r="AI21" s="325"/>
      <c r="AJ21" s="325"/>
      <c r="AK21" s="325"/>
      <c r="AL21" s="325"/>
      <c r="AM21" s="325"/>
      <c r="AN21" s="325"/>
      <c r="AO21" s="325"/>
      <c r="AP21" s="136"/>
      <c r="AQ21" s="136"/>
      <c r="AR21" s="136" t="str">
        <f t="shared" si="6"/>
        <v/>
      </c>
      <c r="AS21" s="136" t="str">
        <f t="shared" si="6"/>
        <v/>
      </c>
      <c r="AT21" s="5" t="str">
        <f t="shared" si="7"/>
        <v>PostCode,</v>
      </c>
      <c r="AV21" s="27" t="str">
        <f t="shared" si="8"/>
        <v xml:space="preserve">          [PostCode] [varchar](6) NULL,</v>
      </c>
      <c r="AW21" s="27"/>
      <c r="AY21" s="122" t="str">
        <f t="shared" si="9"/>
        <v xml:space="preserve">          PostCode VARCHAR (6) NULL,</v>
      </c>
    </row>
    <row r="22" spans="2:51" ht="12.75">
      <c r="B22" s="20">
        <f t="shared" si="11"/>
        <v>7</v>
      </c>
      <c r="C22" s="5" t="s">
        <v>318</v>
      </c>
      <c r="D22" s="5">
        <v>30</v>
      </c>
      <c r="E22" s="5" t="s">
        <v>11</v>
      </c>
      <c r="G22" s="5" t="str">
        <f t="shared" si="0"/>
        <v>City</v>
      </c>
      <c r="H22" s="117">
        <f>IF(IFERROR(FIND("varchar",E22),0)&gt;0,IF(D22&gt;8000,"max",D22),"")</f>
        <v>30</v>
      </c>
      <c r="I22" s="5" t="str">
        <f t="shared" si="2"/>
        <v>varchar</v>
      </c>
      <c r="J22" s="5" t="str">
        <f t="shared" si="3"/>
        <v xml:space="preserve"> NULL</v>
      </c>
      <c r="K22" s="5" t="s">
        <v>318</v>
      </c>
      <c r="L22" s="5" t="s">
        <v>318</v>
      </c>
      <c r="M22" s="75">
        <v>9003</v>
      </c>
      <c r="N22" s="77"/>
      <c r="O22" s="26"/>
      <c r="P22" s="26"/>
      <c r="Q22" s="118">
        <f t="shared" si="4"/>
        <v>22</v>
      </c>
      <c r="R22" s="153"/>
      <c r="S22" s="138" t="str">
        <f t="shared" si="10"/>
        <v>City</v>
      </c>
      <c r="T22" s="148"/>
      <c r="U22" s="146"/>
      <c r="V22" s="146"/>
      <c r="W22" s="139"/>
      <c r="X22" s="139"/>
      <c r="Y22" s="148"/>
      <c r="Z22" s="138" t="str">
        <f t="shared" si="5"/>
        <v>false</v>
      </c>
      <c r="AA22" s="138" t="str">
        <f t="shared" si="12"/>
        <v/>
      </c>
      <c r="AB22" s="239"/>
      <c r="AC22" s="325"/>
      <c r="AD22" s="325"/>
      <c r="AE22" s="325"/>
      <c r="AF22" s="325"/>
      <c r="AG22" s="325"/>
      <c r="AH22" s="325"/>
      <c r="AI22" s="325"/>
      <c r="AJ22" s="325"/>
      <c r="AK22" s="325"/>
      <c r="AL22" s="325"/>
      <c r="AM22" s="325"/>
      <c r="AN22" s="325"/>
      <c r="AO22" s="325"/>
      <c r="AP22" s="136"/>
      <c r="AQ22" s="136"/>
      <c r="AR22" s="136" t="str">
        <f t="shared" si="6"/>
        <v/>
      </c>
      <c r="AS22" s="136" t="str">
        <f t="shared" si="6"/>
        <v/>
      </c>
      <c r="AT22" s="5" t="str">
        <f t="shared" si="7"/>
        <v>City,</v>
      </c>
      <c r="AV22" s="27" t="str">
        <f t="shared" si="8"/>
        <v xml:space="preserve">          [City] [varchar](30) NULL,</v>
      </c>
      <c r="AW22" s="27"/>
      <c r="AY22" s="122" t="str">
        <f t="shared" si="9"/>
        <v xml:space="preserve">          City VARCHAR (30) NULL,</v>
      </c>
    </row>
    <row r="23" spans="2:51" ht="12.75">
      <c r="B23" s="20">
        <f t="shared" si="11"/>
        <v>8</v>
      </c>
      <c r="C23" s="5" t="s">
        <v>446</v>
      </c>
      <c r="D23" s="5">
        <v>15</v>
      </c>
      <c r="E23" s="5" t="s">
        <v>11</v>
      </c>
      <c r="G23" s="5" t="str">
        <f t="shared" si="0"/>
        <v>PhoneBusiness</v>
      </c>
      <c r="H23" s="117">
        <f t="shared" ref="H23:H86" si="13">IF(IFERROR(FIND("varchar",E23),0)&gt;0,IF(D23&gt;8000,"max",D23),"")</f>
        <v>15</v>
      </c>
      <c r="I23" s="5" t="str">
        <f t="shared" si="2"/>
        <v>varchar</v>
      </c>
      <c r="J23" s="5" t="str">
        <f t="shared" si="3"/>
        <v xml:space="preserve"> NULL</v>
      </c>
      <c r="K23" s="5" t="s">
        <v>476</v>
      </c>
      <c r="L23" s="5" t="s">
        <v>476</v>
      </c>
      <c r="M23" s="75">
        <v>9003</v>
      </c>
      <c r="N23" s="77"/>
      <c r="O23" s="26"/>
      <c r="P23" s="26"/>
      <c r="Q23" s="118">
        <f t="shared" si="4"/>
        <v>23</v>
      </c>
      <c r="R23" s="153"/>
      <c r="S23" s="138" t="str">
        <f t="shared" si="10"/>
        <v>Business Tel</v>
      </c>
      <c r="T23" s="148"/>
      <c r="U23" s="146"/>
      <c r="V23" s="146"/>
      <c r="W23" s="139"/>
      <c r="X23" s="139"/>
      <c r="Y23" s="148"/>
      <c r="Z23" s="138" t="str">
        <f t="shared" si="5"/>
        <v>false</v>
      </c>
      <c r="AA23" s="138" t="str">
        <f t="shared" si="12"/>
        <v/>
      </c>
      <c r="AB23" s="239"/>
      <c r="AC23" s="325"/>
      <c r="AD23" s="325"/>
      <c r="AE23" s="325"/>
      <c r="AF23" s="325"/>
      <c r="AG23" s="325"/>
      <c r="AH23" s="325"/>
      <c r="AI23" s="325"/>
      <c r="AJ23" s="325"/>
      <c r="AK23" s="325"/>
      <c r="AL23" s="325"/>
      <c r="AM23" s="325"/>
      <c r="AN23" s="325"/>
      <c r="AO23" s="325"/>
      <c r="AP23" s="136"/>
      <c r="AQ23" s="136"/>
      <c r="AR23" s="136" t="str">
        <f t="shared" si="6"/>
        <v/>
      </c>
      <c r="AS23" s="136" t="str">
        <f t="shared" si="6"/>
        <v/>
      </c>
      <c r="AT23" s="5" t="str">
        <f t="shared" si="7"/>
        <v>PhoneBusiness,</v>
      </c>
      <c r="AV23" s="27" t="str">
        <f t="shared" si="8"/>
        <v xml:space="preserve">          [PhoneBusiness] [varchar](15) NULL,</v>
      </c>
      <c r="AW23" s="27"/>
      <c r="AY23" s="122" t="str">
        <f t="shared" si="9"/>
        <v xml:space="preserve">          PhoneBusiness VARCHAR (15) NULL,</v>
      </c>
    </row>
    <row r="24" spans="2:51" ht="12.75">
      <c r="B24" s="20">
        <f t="shared" si="11"/>
        <v>9</v>
      </c>
      <c r="C24" s="5" t="s">
        <v>447</v>
      </c>
      <c r="D24" s="5">
        <v>15</v>
      </c>
      <c r="E24" s="5" t="s">
        <v>11</v>
      </c>
      <c r="G24" s="5" t="str">
        <f t="shared" si="0"/>
        <v>PhoneHome</v>
      </c>
      <c r="H24" s="117">
        <f t="shared" si="13"/>
        <v>15</v>
      </c>
      <c r="I24" s="5" t="str">
        <f t="shared" si="2"/>
        <v>varchar</v>
      </c>
      <c r="J24" s="5" t="str">
        <f t="shared" si="3"/>
        <v xml:space="preserve"> NULL</v>
      </c>
      <c r="K24" s="5" t="s">
        <v>475</v>
      </c>
      <c r="L24" s="5" t="s">
        <v>475</v>
      </c>
      <c r="M24" s="75">
        <v>9003</v>
      </c>
      <c r="N24" s="77"/>
      <c r="O24" s="26"/>
      <c r="P24" s="26"/>
      <c r="Q24" s="118">
        <f t="shared" si="4"/>
        <v>24</v>
      </c>
      <c r="R24" s="153"/>
      <c r="S24" s="138" t="str">
        <f t="shared" si="10"/>
        <v>Home Tel</v>
      </c>
      <c r="T24" s="148"/>
      <c r="U24" s="146"/>
      <c r="V24" s="146"/>
      <c r="W24" s="139"/>
      <c r="X24" s="139"/>
      <c r="Y24" s="148"/>
      <c r="Z24" s="138" t="str">
        <f t="shared" si="5"/>
        <v>false</v>
      </c>
      <c r="AA24" s="138" t="str">
        <f t="shared" si="12"/>
        <v/>
      </c>
      <c r="AB24" s="239"/>
      <c r="AC24" s="325"/>
      <c r="AD24" s="325"/>
      <c r="AE24" s="325"/>
      <c r="AF24" s="325"/>
      <c r="AG24" s="325"/>
      <c r="AH24" s="325"/>
      <c r="AI24" s="325"/>
      <c r="AJ24" s="325"/>
      <c r="AK24" s="325"/>
      <c r="AL24" s="325"/>
      <c r="AM24" s="325"/>
      <c r="AN24" s="325"/>
      <c r="AO24" s="325"/>
      <c r="AP24" s="136"/>
      <c r="AQ24" s="136"/>
      <c r="AR24" s="136" t="str">
        <f t="shared" si="6"/>
        <v/>
      </c>
      <c r="AS24" s="136" t="str">
        <f t="shared" si="6"/>
        <v/>
      </c>
      <c r="AT24" s="5" t="str">
        <f t="shared" si="7"/>
        <v>PhoneHome,</v>
      </c>
      <c r="AV24" s="27" t="str">
        <f t="shared" si="8"/>
        <v xml:space="preserve">          [PhoneHome] [varchar](15) NULL,</v>
      </c>
      <c r="AW24" s="27"/>
      <c r="AY24" s="122" t="str">
        <f t="shared" si="9"/>
        <v xml:space="preserve">          PhoneHome VARCHAR (15) NULL,</v>
      </c>
    </row>
    <row r="25" spans="2:51" ht="12.75">
      <c r="B25" s="20">
        <f t="shared" si="11"/>
        <v>10</v>
      </c>
      <c r="C25" s="5" t="s">
        <v>863</v>
      </c>
      <c r="D25" s="5">
        <v>30</v>
      </c>
      <c r="E25" s="5" t="s">
        <v>11</v>
      </c>
      <c r="G25" s="5" t="str">
        <f t="shared" si="0"/>
        <v>ContactPerson</v>
      </c>
      <c r="H25" s="117">
        <f t="shared" si="13"/>
        <v>30</v>
      </c>
      <c r="I25" s="5" t="str">
        <f t="shared" si="2"/>
        <v>varchar</v>
      </c>
      <c r="J25" s="5" t="str">
        <f t="shared" si="3"/>
        <v xml:space="preserve"> NULL</v>
      </c>
      <c r="K25" s="5" t="s">
        <v>865</v>
      </c>
      <c r="L25" s="5" t="s">
        <v>865</v>
      </c>
      <c r="M25" s="75">
        <v>7</v>
      </c>
      <c r="N25" s="77"/>
      <c r="O25" s="26"/>
      <c r="P25" s="26"/>
      <c r="Q25" s="118">
        <f t="shared" si="4"/>
        <v>25</v>
      </c>
      <c r="R25" s="153"/>
      <c r="S25" s="138" t="str">
        <f t="shared" si="10"/>
        <v>Contact Person</v>
      </c>
      <c r="T25" s="148"/>
      <c r="U25" s="146"/>
      <c r="V25" s="146"/>
      <c r="W25" s="139"/>
      <c r="X25" s="139"/>
      <c r="Y25" s="148"/>
      <c r="Z25" s="138" t="str">
        <f t="shared" si="5"/>
        <v/>
      </c>
      <c r="AA25" s="138" t="str">
        <f t="shared" si="12"/>
        <v/>
      </c>
      <c r="AB25" s="239"/>
      <c r="AC25" s="325"/>
      <c r="AD25" s="325"/>
      <c r="AE25" s="325"/>
      <c r="AF25" s="325"/>
      <c r="AG25" s="325"/>
      <c r="AH25" s="325"/>
      <c r="AI25" s="325"/>
      <c r="AJ25" s="325"/>
      <c r="AK25" s="325"/>
      <c r="AL25" s="325"/>
      <c r="AM25" s="325"/>
      <c r="AN25" s="325"/>
      <c r="AO25" s="325"/>
      <c r="AP25" s="136"/>
      <c r="AQ25" s="136"/>
      <c r="AR25" s="136" t="str">
        <f t="shared" si="6"/>
        <v/>
      </c>
      <c r="AS25" s="136" t="str">
        <f t="shared" si="6"/>
        <v/>
      </c>
      <c r="AT25" s="5" t="str">
        <f t="shared" si="7"/>
        <v>ContactPerson,</v>
      </c>
      <c r="AV25" s="27" t="str">
        <f t="shared" si="8"/>
        <v xml:space="preserve">          [ContactPerson] [varchar](30) NULL,</v>
      </c>
      <c r="AW25" s="27"/>
      <c r="AY25" s="122" t="str">
        <f t="shared" si="9"/>
        <v xml:space="preserve">          ContactPerson VARCHAR (30) NULL,</v>
      </c>
    </row>
    <row r="26" spans="2:51" ht="12.75">
      <c r="B26" s="20">
        <f t="shared" si="11"/>
        <v>11</v>
      </c>
      <c r="C26" s="5" t="s">
        <v>459</v>
      </c>
      <c r="D26" s="5">
        <v>30</v>
      </c>
      <c r="E26" s="5" t="s">
        <v>11</v>
      </c>
      <c r="G26" s="5" t="str">
        <f t="shared" si="0"/>
        <v>Addressee</v>
      </c>
      <c r="H26" s="117">
        <f t="shared" si="13"/>
        <v>30</v>
      </c>
      <c r="I26" s="5" t="str">
        <f t="shared" si="2"/>
        <v>varchar</v>
      </c>
      <c r="J26" s="5" t="str">
        <f t="shared" si="3"/>
        <v xml:space="preserve"> NULL</v>
      </c>
      <c r="K26" s="5" t="s">
        <v>459</v>
      </c>
      <c r="L26" s="5" t="s">
        <v>459</v>
      </c>
      <c r="M26" s="75">
        <v>9004</v>
      </c>
      <c r="N26" s="77"/>
      <c r="O26" s="26"/>
      <c r="P26" s="26"/>
      <c r="Q26" s="118">
        <f t="shared" si="4"/>
        <v>26</v>
      </c>
      <c r="R26" s="153"/>
      <c r="S26" s="138" t="str">
        <f t="shared" si="10"/>
        <v>Addressee</v>
      </c>
      <c r="T26" s="148"/>
      <c r="U26" s="146"/>
      <c r="V26" s="146"/>
      <c r="W26" s="139"/>
      <c r="X26" s="139"/>
      <c r="Y26" s="148"/>
      <c r="Z26" s="138" t="str">
        <f t="shared" si="5"/>
        <v>false</v>
      </c>
      <c r="AA26" s="138" t="str">
        <f t="shared" si="12"/>
        <v/>
      </c>
      <c r="AB26" s="239"/>
      <c r="AC26" s="325"/>
      <c r="AD26" s="325"/>
      <c r="AE26" s="325"/>
      <c r="AF26" s="325"/>
      <c r="AG26" s="325"/>
      <c r="AH26" s="325"/>
      <c r="AI26" s="325"/>
      <c r="AJ26" s="325"/>
      <c r="AK26" s="325"/>
      <c r="AL26" s="325"/>
      <c r="AM26" s="325"/>
      <c r="AN26" s="325"/>
      <c r="AO26" s="325"/>
      <c r="AP26" s="136"/>
      <c r="AQ26" s="136"/>
      <c r="AR26" s="136" t="str">
        <f t="shared" si="6"/>
        <v/>
      </c>
      <c r="AS26" s="136" t="str">
        <f t="shared" si="6"/>
        <v/>
      </c>
      <c r="AT26" s="5" t="str">
        <f t="shared" si="7"/>
        <v>Addressee,</v>
      </c>
      <c r="AV26" s="27" t="str">
        <f t="shared" si="8"/>
        <v xml:space="preserve">          [Addressee] [varchar](30) NULL,</v>
      </c>
      <c r="AW26" s="27"/>
      <c r="AY26" s="122" t="str">
        <f t="shared" si="9"/>
        <v xml:space="preserve">          Addressee VARCHAR (30) NULL,</v>
      </c>
    </row>
    <row r="27" spans="2:51" ht="12.75">
      <c r="B27" s="20">
        <f t="shared" si="11"/>
        <v>12</v>
      </c>
      <c r="C27" s="5" t="s">
        <v>460</v>
      </c>
      <c r="D27" s="5">
        <v>30</v>
      </c>
      <c r="E27" s="5" t="s">
        <v>11</v>
      </c>
      <c r="G27" s="5" t="str">
        <f t="shared" si="0"/>
        <v>Salutation</v>
      </c>
      <c r="H27" s="117">
        <f t="shared" si="13"/>
        <v>30</v>
      </c>
      <c r="I27" s="5" t="str">
        <f t="shared" si="2"/>
        <v>varchar</v>
      </c>
      <c r="J27" s="5" t="str">
        <f t="shared" si="3"/>
        <v xml:space="preserve"> NULL</v>
      </c>
      <c r="K27" s="5" t="s">
        <v>460</v>
      </c>
      <c r="L27" s="5" t="s">
        <v>460</v>
      </c>
      <c r="M27" s="75">
        <v>9005</v>
      </c>
      <c r="N27" s="77"/>
      <c r="O27" s="26"/>
      <c r="P27" s="26"/>
      <c r="Q27" s="118">
        <f t="shared" si="4"/>
        <v>27</v>
      </c>
      <c r="R27" s="153"/>
      <c r="S27" s="138" t="str">
        <f t="shared" si="10"/>
        <v>Salutation</v>
      </c>
      <c r="T27" s="148"/>
      <c r="U27" s="146"/>
      <c r="V27" s="146"/>
      <c r="W27" s="139"/>
      <c r="X27" s="139"/>
      <c r="Y27" s="148"/>
      <c r="Z27" s="138" t="str">
        <f t="shared" si="5"/>
        <v>false</v>
      </c>
      <c r="AA27" s="138" t="str">
        <f t="shared" si="12"/>
        <v/>
      </c>
      <c r="AB27" s="239"/>
      <c r="AC27" s="325"/>
      <c r="AD27" s="325"/>
      <c r="AE27" s="325"/>
      <c r="AF27" s="325"/>
      <c r="AG27" s="325"/>
      <c r="AH27" s="325"/>
      <c r="AI27" s="325"/>
      <c r="AJ27" s="325"/>
      <c r="AK27" s="325"/>
      <c r="AL27" s="325"/>
      <c r="AM27" s="325"/>
      <c r="AN27" s="325"/>
      <c r="AO27" s="325"/>
      <c r="AP27" s="136"/>
      <c r="AQ27" s="136"/>
      <c r="AR27" s="136" t="str">
        <f t="shared" si="6"/>
        <v/>
      </c>
      <c r="AS27" s="136" t="str">
        <f t="shared" si="6"/>
        <v/>
      </c>
      <c r="AT27" s="5" t="str">
        <f t="shared" si="7"/>
        <v>Salutation,</v>
      </c>
      <c r="AV27" s="27" t="str">
        <f t="shared" si="8"/>
        <v xml:space="preserve">          [Salutation] [varchar](30) NULL,</v>
      </c>
      <c r="AW27" s="27"/>
      <c r="AY27" s="122" t="str">
        <f t="shared" si="9"/>
        <v xml:space="preserve">          Salutation VARCHAR (30) NULL,</v>
      </c>
    </row>
    <row r="28" spans="2:51" ht="12.75">
      <c r="B28" s="20">
        <f t="shared" si="11"/>
        <v>13</v>
      </c>
      <c r="C28" s="5" t="s">
        <v>529</v>
      </c>
      <c r="D28" s="5">
        <v>30</v>
      </c>
      <c r="E28" s="5" t="s">
        <v>11</v>
      </c>
      <c r="G28" s="5" t="str">
        <f t="shared" si="0"/>
        <v>Occupation</v>
      </c>
      <c r="H28" s="117">
        <f t="shared" si="13"/>
        <v>30</v>
      </c>
      <c r="I28" s="5" t="str">
        <f t="shared" si="2"/>
        <v>varchar</v>
      </c>
      <c r="J28" s="5" t="str">
        <f t="shared" si="3"/>
        <v xml:space="preserve"> NULL</v>
      </c>
      <c r="K28" s="5" t="s">
        <v>1070</v>
      </c>
      <c r="L28" s="5" t="s">
        <v>1070</v>
      </c>
      <c r="M28" s="75">
        <v>9007</v>
      </c>
      <c r="N28" s="77"/>
      <c r="O28" s="26"/>
      <c r="P28" s="26"/>
      <c r="Q28" s="118">
        <f t="shared" si="4"/>
        <v>28</v>
      </c>
      <c r="R28" s="153"/>
      <c r="S28" s="138" t="str">
        <f t="shared" si="10"/>
        <v>Aexec</v>
      </c>
      <c r="T28" s="148">
        <v>1</v>
      </c>
      <c r="U28" s="146"/>
      <c r="V28" s="146"/>
      <c r="W28" s="139"/>
      <c r="X28" s="139"/>
      <c r="Y28" s="148"/>
      <c r="Z28" s="138" t="str">
        <f t="shared" si="5"/>
        <v>false</v>
      </c>
      <c r="AA28" s="138" t="str">
        <f t="shared" si="12"/>
        <v/>
      </c>
      <c r="AB28" s="239"/>
      <c r="AC28" s="325"/>
      <c r="AD28" s="325"/>
      <c r="AE28" s="325"/>
      <c r="AF28" s="325"/>
      <c r="AG28" s="325"/>
      <c r="AH28" s="325"/>
      <c r="AI28" s="325"/>
      <c r="AJ28" s="325"/>
      <c r="AK28" s="325"/>
      <c r="AL28" s="325"/>
      <c r="AM28" s="325" t="s">
        <v>1028</v>
      </c>
      <c r="AN28" s="325"/>
      <c r="AO28" s="325"/>
      <c r="AP28" s="136"/>
      <c r="AQ28" s="136"/>
      <c r="AR28" s="136" t="str">
        <f t="shared" si="6"/>
        <v/>
      </c>
      <c r="AS28" s="136" t="str">
        <f t="shared" si="6"/>
        <v/>
      </c>
      <c r="AT28" s="5" t="str">
        <f t="shared" si="7"/>
        <v>Occupation,</v>
      </c>
      <c r="AV28" s="27" t="str">
        <f t="shared" si="8"/>
        <v xml:space="preserve">          [Occupation] [varchar](30) NULL,</v>
      </c>
      <c r="AW28" s="27"/>
      <c r="AY28" s="122" t="str">
        <f t="shared" si="9"/>
        <v xml:space="preserve">          Occupation VARCHAR (30) NULL,</v>
      </c>
    </row>
    <row r="29" spans="2:51" ht="12.75">
      <c r="B29" s="20">
        <f t="shared" si="11"/>
        <v>14</v>
      </c>
      <c r="C29" s="5" t="s">
        <v>74</v>
      </c>
      <c r="D29" s="5">
        <v>10</v>
      </c>
      <c r="E29" s="5" t="s">
        <v>11</v>
      </c>
      <c r="G29" s="5" t="str">
        <f t="shared" si="0"/>
        <v>EntryBy</v>
      </c>
      <c r="H29" s="117">
        <f t="shared" si="13"/>
        <v>10</v>
      </c>
      <c r="I29" s="5" t="str">
        <f t="shared" si="2"/>
        <v>varchar</v>
      </c>
      <c r="J29" s="5" t="str">
        <f t="shared" si="3"/>
        <v xml:space="preserve"> NULL</v>
      </c>
      <c r="K29" s="5" t="s">
        <v>322</v>
      </c>
      <c r="L29" s="5" t="s">
        <v>322</v>
      </c>
      <c r="M29" s="75">
        <v>9</v>
      </c>
      <c r="N29" s="77"/>
      <c r="O29" s="26"/>
      <c r="P29" s="26"/>
      <c r="Q29" s="118">
        <f t="shared" si="4"/>
        <v>29</v>
      </c>
      <c r="R29" s="153"/>
      <c r="S29" s="138" t="str">
        <f t="shared" si="10"/>
        <v>Entry By</v>
      </c>
      <c r="T29" s="148"/>
      <c r="U29" s="146"/>
      <c r="V29" s="146"/>
      <c r="W29" s="139"/>
      <c r="X29" s="139"/>
      <c r="Y29" s="148"/>
      <c r="Z29" s="138" t="str">
        <f t="shared" si="5"/>
        <v/>
      </c>
      <c r="AA29" s="138" t="str">
        <f t="shared" si="12"/>
        <v/>
      </c>
      <c r="AB29" s="239"/>
      <c r="AC29" s="325"/>
      <c r="AD29" s="325"/>
      <c r="AE29" s="325"/>
      <c r="AF29" s="325"/>
      <c r="AG29" s="325"/>
      <c r="AH29" s="325"/>
      <c r="AI29" s="325"/>
      <c r="AJ29" s="325"/>
      <c r="AK29" s="325"/>
      <c r="AL29" s="325"/>
      <c r="AM29" s="325"/>
      <c r="AN29" s="325"/>
      <c r="AO29" s="325"/>
      <c r="AP29" s="136"/>
      <c r="AQ29" s="136"/>
      <c r="AR29" s="136" t="str">
        <f t="shared" si="6"/>
        <v/>
      </c>
      <c r="AS29" s="136" t="str">
        <f t="shared" si="6"/>
        <v/>
      </c>
      <c r="AT29" s="5" t="str">
        <f t="shared" si="7"/>
        <v>EntryBy,</v>
      </c>
      <c r="AV29" s="27" t="str">
        <f t="shared" si="8"/>
        <v xml:space="preserve">          [EntryBy] [varchar](10) NULL,</v>
      </c>
      <c r="AW29" s="27"/>
      <c r="AY29" s="122" t="str">
        <f t="shared" si="9"/>
        <v xml:space="preserve">          EntryBy VARCHAR (10) NULL,</v>
      </c>
    </row>
    <row r="30" spans="2:51" ht="12.75">
      <c r="B30" s="20">
        <f t="shared" si="11"/>
        <v>15</v>
      </c>
      <c r="C30" s="5" t="s">
        <v>75</v>
      </c>
      <c r="D30" s="5"/>
      <c r="E30" s="5" t="s">
        <v>12</v>
      </c>
      <c r="G30" s="5" t="str">
        <f t="shared" si="0"/>
        <v>EntryDate</v>
      </c>
      <c r="H30" s="117" t="str">
        <f t="shared" si="13"/>
        <v/>
      </c>
      <c r="I30" s="5" t="str">
        <f t="shared" si="2"/>
        <v>datetime</v>
      </c>
      <c r="J30" s="5" t="str">
        <f t="shared" si="3"/>
        <v xml:space="preserve"> NULL</v>
      </c>
      <c r="K30" s="5" t="s">
        <v>323</v>
      </c>
      <c r="L30" s="5" t="s">
        <v>323</v>
      </c>
      <c r="M30" s="75">
        <v>10</v>
      </c>
      <c r="N30" s="77"/>
      <c r="O30" s="26"/>
      <c r="P30" s="26"/>
      <c r="Q30" s="118">
        <f t="shared" si="4"/>
        <v>30</v>
      </c>
      <c r="R30" s="153"/>
      <c r="S30" s="138" t="str">
        <f t="shared" si="10"/>
        <v>Entry Date</v>
      </c>
      <c r="T30" s="148"/>
      <c r="U30" s="146" t="s">
        <v>373</v>
      </c>
      <c r="V30" s="146" t="s">
        <v>433</v>
      </c>
      <c r="W30" s="139"/>
      <c r="X30" s="139"/>
      <c r="Y30" s="148"/>
      <c r="Z30" s="138" t="str">
        <f t="shared" si="5"/>
        <v/>
      </c>
      <c r="AA30" s="138" t="str">
        <f t="shared" si="12"/>
        <v/>
      </c>
      <c r="AB30" s="239"/>
      <c r="AC30" s="325"/>
      <c r="AD30" s="325"/>
      <c r="AE30" s="325"/>
      <c r="AF30" s="325"/>
      <c r="AG30" s="325"/>
      <c r="AH30" s="325"/>
      <c r="AI30" s="325"/>
      <c r="AJ30" s="325"/>
      <c r="AK30" s="325"/>
      <c r="AL30" s="325"/>
      <c r="AM30" s="325"/>
      <c r="AN30" s="325"/>
      <c r="AO30" s="325"/>
      <c r="AP30" s="136"/>
      <c r="AQ30" s="136"/>
      <c r="AR30" s="136" t="str">
        <f t="shared" si="6"/>
        <v/>
      </c>
      <c r="AS30" s="136" t="str">
        <f t="shared" si="6"/>
        <v/>
      </c>
      <c r="AT30" s="5" t="str">
        <f t="shared" si="7"/>
        <v>EntryDate,</v>
      </c>
      <c r="AV30" s="27" t="str">
        <f t="shared" si="8"/>
        <v xml:space="preserve">          [EntryDate] [datetime] NULL,</v>
      </c>
      <c r="AW30" s="27"/>
      <c r="AY30" s="122" t="str">
        <f t="shared" si="9"/>
        <v xml:space="preserve">          EntryDate DATETIME NULL,</v>
      </c>
    </row>
    <row r="31" spans="2:51" ht="12.75">
      <c r="B31" s="20">
        <f t="shared" si="11"/>
        <v>16</v>
      </c>
      <c r="C31" s="5" t="s">
        <v>864</v>
      </c>
      <c r="D31" s="5"/>
      <c r="E31" s="5" t="s">
        <v>415</v>
      </c>
      <c r="G31" s="5" t="str">
        <f t="shared" si="0"/>
        <v>IsSubAgent</v>
      </c>
      <c r="H31" s="117" t="str">
        <f t="shared" si="13"/>
        <v/>
      </c>
      <c r="I31" s="5" t="str">
        <f t="shared" si="2"/>
        <v>bit</v>
      </c>
      <c r="J31" s="5" t="str">
        <f t="shared" si="3"/>
        <v xml:space="preserve"> NULL</v>
      </c>
      <c r="K31" s="5" t="s">
        <v>866</v>
      </c>
      <c r="L31" s="5" t="s">
        <v>866</v>
      </c>
      <c r="M31" s="75">
        <v>11</v>
      </c>
      <c r="N31" s="77"/>
      <c r="O31" s="26"/>
      <c r="P31" s="26"/>
      <c r="Q31" s="118">
        <f t="shared" si="4"/>
        <v>31</v>
      </c>
      <c r="R31" s="153"/>
      <c r="S31" s="138" t="str">
        <f t="shared" si="10"/>
        <v>Real Sub Agent</v>
      </c>
      <c r="T31" s="148"/>
      <c r="U31" s="146"/>
      <c r="V31" s="146"/>
      <c r="W31" s="139"/>
      <c r="X31" s="139"/>
      <c r="Y31" s="148"/>
      <c r="Z31" s="138" t="str">
        <f t="shared" si="5"/>
        <v/>
      </c>
      <c r="AA31" s="138" t="str">
        <f t="shared" si="12"/>
        <v/>
      </c>
      <c r="AB31" s="239"/>
      <c r="AC31" s="325"/>
      <c r="AD31" s="325"/>
      <c r="AE31" s="325"/>
      <c r="AF31" s="325"/>
      <c r="AG31" s="325"/>
      <c r="AH31" s="325"/>
      <c r="AI31" s="325"/>
      <c r="AJ31" s="325"/>
      <c r="AK31" s="325"/>
      <c r="AL31" s="325"/>
      <c r="AM31" s="325"/>
      <c r="AN31" s="325"/>
      <c r="AO31" s="325"/>
      <c r="AP31" s="136"/>
      <c r="AQ31" s="136"/>
      <c r="AR31" s="136" t="str">
        <f t="shared" si="6"/>
        <v/>
      </c>
      <c r="AS31" s="136" t="str">
        <f t="shared" si="6"/>
        <v/>
      </c>
      <c r="AT31" s="5" t="str">
        <f t="shared" si="7"/>
        <v>IsSubAgent,</v>
      </c>
      <c r="AV31" s="27" t="str">
        <f t="shared" si="8"/>
        <v xml:space="preserve">          [IsSubAgent] [bit] NULL,</v>
      </c>
      <c r="AW31" s="27"/>
      <c r="AY31" s="122" t="str">
        <f t="shared" si="9"/>
        <v xml:space="preserve">          IsSubAgent BIT NULL,</v>
      </c>
    </row>
    <row r="32" spans="2:51" ht="12.75">
      <c r="B32" s="20">
        <f t="shared" si="11"/>
        <v>17</v>
      </c>
      <c r="C32" s="5" t="s">
        <v>538</v>
      </c>
      <c r="D32" s="5">
        <v>40</v>
      </c>
      <c r="E32" s="5" t="s">
        <v>11</v>
      </c>
      <c r="G32" s="5" t="str">
        <f t="shared" si="0"/>
        <v>InternetAddress</v>
      </c>
      <c r="H32" s="117">
        <f t="shared" si="13"/>
        <v>40</v>
      </c>
      <c r="I32" s="5" t="str">
        <f t="shared" si="2"/>
        <v>varchar</v>
      </c>
      <c r="J32" s="5" t="str">
        <f t="shared" si="3"/>
        <v xml:space="preserve"> NULL</v>
      </c>
      <c r="K32" s="5" t="s">
        <v>558</v>
      </c>
      <c r="L32" s="5" t="s">
        <v>558</v>
      </c>
      <c r="M32" s="75">
        <v>12</v>
      </c>
      <c r="N32" s="77"/>
      <c r="O32" s="26"/>
      <c r="P32" s="26"/>
      <c r="Q32" s="118">
        <f t="shared" si="4"/>
        <v>32</v>
      </c>
      <c r="R32" s="153"/>
      <c r="S32" s="138" t="str">
        <f t="shared" si="10"/>
        <v>Internet Address</v>
      </c>
      <c r="T32" s="148"/>
      <c r="U32" s="146"/>
      <c r="V32" s="146"/>
      <c r="W32" s="139"/>
      <c r="X32" s="139"/>
      <c r="Y32" s="148"/>
      <c r="Z32" s="138" t="str">
        <f t="shared" si="5"/>
        <v/>
      </c>
      <c r="AA32" s="138" t="str">
        <f t="shared" si="12"/>
        <v/>
      </c>
      <c r="AB32" s="239"/>
      <c r="AC32" s="325"/>
      <c r="AD32" s="325"/>
      <c r="AE32" s="325"/>
      <c r="AF32" s="325"/>
      <c r="AG32" s="325"/>
      <c r="AH32" s="325"/>
      <c r="AI32" s="325"/>
      <c r="AJ32" s="325"/>
      <c r="AK32" s="325"/>
      <c r="AL32" s="325"/>
      <c r="AM32" s="325"/>
      <c r="AN32" s="325"/>
      <c r="AO32" s="325"/>
      <c r="AP32" s="136"/>
      <c r="AQ32" s="136"/>
      <c r="AR32" s="136" t="str">
        <f t="shared" si="6"/>
        <v/>
      </c>
      <c r="AS32" s="136" t="str">
        <f t="shared" si="6"/>
        <v/>
      </c>
      <c r="AT32" s="5" t="str">
        <f t="shared" si="7"/>
        <v>InternetAddress</v>
      </c>
      <c r="AV32" s="27" t="str">
        <f t="shared" si="8"/>
        <v xml:space="preserve">          [InternetAddress] [varchar](40) NULL</v>
      </c>
      <c r="AW32" s="27"/>
      <c r="AY32" s="122" t="str">
        <f t="shared" si="9"/>
        <v xml:space="preserve">          InternetAddress VARCHAR (40) NULL</v>
      </c>
    </row>
    <row r="33" spans="2:51" ht="12.75">
      <c r="B33" s="20" t="str">
        <f t="shared" si="11"/>
        <v/>
      </c>
      <c r="C33" s="5"/>
      <c r="D33" s="5"/>
      <c r="E33" s="5"/>
      <c r="G33" s="5" t="str">
        <f>SUBSTITUTE(SUBSTITUTE(SUBSTITUTE(SUBSTITUTE(SUBSTITUTE(SUBSTITUTE(SUBSTITUTE(SUBSTITUTE(SUBSTITUTE(C33," ",""),".",""),"#","No"),"%",""),"(",""),"*",""),"-",""),"/",""),")","")</f>
        <v/>
      </c>
      <c r="H33" s="117" t="str">
        <f t="shared" si="13"/>
        <v/>
      </c>
      <c r="I33" s="5" t="str">
        <f t="shared" si="2"/>
        <v/>
      </c>
      <c r="J33" s="5" t="str">
        <f t="shared" si="3"/>
        <v/>
      </c>
      <c r="K33" s="138"/>
      <c r="L33" s="5"/>
      <c r="M33" s="75"/>
      <c r="N33" s="77"/>
      <c r="O33" s="26"/>
      <c r="P33" s="26"/>
      <c r="Q33" s="118" t="str">
        <f t="shared" si="4"/>
        <v/>
      </c>
      <c r="R33" s="153"/>
      <c r="S33" s="138" t="str">
        <f t="shared" si="10"/>
        <v/>
      </c>
      <c r="T33" s="148"/>
      <c r="U33" s="146"/>
      <c r="V33" s="146"/>
      <c r="W33" s="139"/>
      <c r="X33" s="139"/>
      <c r="Y33" s="148"/>
      <c r="Z33" s="138"/>
      <c r="AA33" s="138" t="str">
        <f t="shared" si="12"/>
        <v/>
      </c>
      <c r="AB33" s="239"/>
      <c r="AC33" s="325"/>
      <c r="AD33" s="325"/>
      <c r="AE33" s="325"/>
      <c r="AF33" s="325"/>
      <c r="AG33" s="325"/>
      <c r="AH33" s="325"/>
      <c r="AI33" s="325"/>
      <c r="AJ33" s="325"/>
      <c r="AK33" s="325"/>
      <c r="AL33" s="325"/>
      <c r="AM33" s="325"/>
      <c r="AN33" s="325"/>
      <c r="AO33" s="325"/>
      <c r="AP33" s="136"/>
      <c r="AQ33" s="136"/>
      <c r="AR33" s="136" t="str">
        <f t="shared" si="6"/>
        <v/>
      </c>
      <c r="AS33" s="136" t="str">
        <f t="shared" si="6"/>
        <v/>
      </c>
      <c r="AT33" s="5" t="str">
        <f t="shared" si="7"/>
        <v/>
      </c>
      <c r="AV33" s="27" t="str">
        <f t="shared" si="8"/>
        <v/>
      </c>
      <c r="AW33" s="27"/>
      <c r="AY33" s="122" t="str">
        <f t="shared" si="9"/>
        <v>);</v>
      </c>
    </row>
    <row r="34" spans="2:51" ht="12.75">
      <c r="B34" s="20" t="str">
        <f t="shared" si="11"/>
        <v/>
      </c>
      <c r="C34" s="5"/>
      <c r="D34" s="5"/>
      <c r="E34" s="5"/>
      <c r="G34" s="5" t="str">
        <f>SUBSTITUTE(SUBSTITUTE(SUBSTITUTE(SUBSTITUTE(SUBSTITUTE(SUBSTITUTE(SUBSTITUTE(SUBSTITUTE(SUBSTITUTE(C34," ",""),".",""),"#","No"),"%",""),"(",""),"*",""),"-",""),"/",""),")","")</f>
        <v/>
      </c>
      <c r="H34" s="117" t="str">
        <f t="shared" si="13"/>
        <v/>
      </c>
      <c r="I34" s="5" t="str">
        <f t="shared" si="2"/>
        <v/>
      </c>
      <c r="J34" s="5" t="str">
        <f t="shared" si="3"/>
        <v/>
      </c>
      <c r="K34" s="138"/>
      <c r="L34" s="5"/>
      <c r="M34" s="75"/>
      <c r="N34" s="77"/>
      <c r="O34" s="26"/>
      <c r="P34" s="26"/>
      <c r="Q34" s="118" t="str">
        <f t="shared" si="4"/>
        <v/>
      </c>
      <c r="R34" s="153"/>
      <c r="S34" s="138" t="str">
        <f t="shared" si="10"/>
        <v/>
      </c>
      <c r="T34" s="148"/>
      <c r="U34" s="146"/>
      <c r="V34" s="146"/>
      <c r="W34" s="139"/>
      <c r="X34" s="139"/>
      <c r="Y34" s="148"/>
      <c r="Z34" s="138"/>
      <c r="AA34" s="138" t="str">
        <f t="shared" si="12"/>
        <v/>
      </c>
      <c r="AB34" s="239"/>
      <c r="AC34" s="325"/>
      <c r="AD34" s="325"/>
      <c r="AE34" s="325"/>
      <c r="AF34" s="325"/>
      <c r="AG34" s="325"/>
      <c r="AH34" s="325"/>
      <c r="AI34" s="325"/>
      <c r="AJ34" s="325"/>
      <c r="AK34" s="325"/>
      <c r="AL34" s="325"/>
      <c r="AM34" s="325"/>
      <c r="AN34" s="325"/>
      <c r="AO34" s="325"/>
      <c r="AP34" s="136"/>
      <c r="AQ34" s="136"/>
      <c r="AR34" s="136" t="str">
        <f t="shared" si="6"/>
        <v/>
      </c>
      <c r="AS34" s="136" t="str">
        <f t="shared" si="6"/>
        <v/>
      </c>
      <c r="AT34" s="5" t="str">
        <f t="shared" si="7"/>
        <v/>
      </c>
      <c r="AV34" s="27" t="str">
        <f t="shared" si="8"/>
        <v/>
      </c>
      <c r="AW34" s="27"/>
      <c r="AY34" s="122" t="str">
        <f t="shared" si="9"/>
        <v/>
      </c>
    </row>
    <row r="35" spans="2:51" ht="12.75">
      <c r="B35" s="20" t="str">
        <f t="shared" si="11"/>
        <v/>
      </c>
      <c r="C35" s="5"/>
      <c r="D35" s="5"/>
      <c r="E35" s="5"/>
      <c r="G35" s="5" t="str">
        <f>SUBSTITUTE(SUBSTITUTE(SUBSTITUTE(SUBSTITUTE(SUBSTITUTE(SUBSTITUTE(SUBSTITUTE(SUBSTITUTE(SUBSTITUTE(C35," ",""),".",""),"#","No"),"%",""),"(",""),"*",""),"-",""),"/",""),")","")</f>
        <v/>
      </c>
      <c r="H35" s="117" t="str">
        <f t="shared" si="13"/>
        <v/>
      </c>
      <c r="I35" s="5" t="str">
        <f t="shared" si="2"/>
        <v/>
      </c>
      <c r="J35" s="5" t="str">
        <f t="shared" si="3"/>
        <v/>
      </c>
      <c r="K35" s="138"/>
      <c r="L35" s="5"/>
      <c r="M35" s="75"/>
      <c r="N35" s="77"/>
      <c r="O35" s="26"/>
      <c r="P35" s="26"/>
      <c r="Q35" s="118" t="str">
        <f t="shared" si="4"/>
        <v/>
      </c>
      <c r="R35" s="153"/>
      <c r="S35" s="138" t="str">
        <f t="shared" si="10"/>
        <v/>
      </c>
      <c r="T35" s="148"/>
      <c r="U35" s="146"/>
      <c r="V35" s="146"/>
      <c r="W35" s="139"/>
      <c r="X35" s="139"/>
      <c r="Y35" s="148"/>
      <c r="Z35" s="138"/>
      <c r="AA35" s="138" t="str">
        <f t="shared" si="12"/>
        <v/>
      </c>
      <c r="AB35" s="239"/>
      <c r="AC35" s="325"/>
      <c r="AD35" s="325"/>
      <c r="AE35" s="325"/>
      <c r="AF35" s="325"/>
      <c r="AG35" s="325"/>
      <c r="AH35" s="325"/>
      <c r="AI35" s="325"/>
      <c r="AJ35" s="325"/>
      <c r="AK35" s="325"/>
      <c r="AL35" s="325"/>
      <c r="AM35" s="325"/>
      <c r="AN35" s="325"/>
      <c r="AO35" s="325"/>
      <c r="AP35" s="136"/>
      <c r="AQ35" s="136"/>
      <c r="AR35" s="136" t="str">
        <f t="shared" si="6"/>
        <v/>
      </c>
      <c r="AS35" s="136" t="str">
        <f t="shared" si="6"/>
        <v/>
      </c>
      <c r="AT35" s="5" t="str">
        <f t="shared" si="7"/>
        <v/>
      </c>
      <c r="AV35" s="27" t="str">
        <f t="shared" si="8"/>
        <v/>
      </c>
      <c r="AW35" s="27"/>
      <c r="AY35" s="122" t="str">
        <f t="shared" si="9"/>
        <v/>
      </c>
    </row>
    <row r="36" spans="2:51" ht="12.75">
      <c r="B36" s="20" t="str">
        <f t="shared" si="11"/>
        <v/>
      </c>
      <c r="C36" s="5"/>
      <c r="D36" s="5"/>
      <c r="E36" s="5"/>
      <c r="G36" s="5" t="str">
        <f>SUBSTITUTE(SUBSTITUTE(SUBSTITUTE(SUBSTITUTE(SUBSTITUTE(SUBSTITUTE(SUBSTITUTE(SUBSTITUTE(SUBSTITUTE(C36," ",""),".",""),"#","No"),"%",""),"(",""),"*",""),"-",""),"/",""),")","")</f>
        <v/>
      </c>
      <c r="H36" s="117" t="str">
        <f t="shared" si="13"/>
        <v/>
      </c>
      <c r="I36" s="5" t="str">
        <f t="shared" si="2"/>
        <v/>
      </c>
      <c r="J36" s="5" t="str">
        <f t="shared" si="3"/>
        <v/>
      </c>
      <c r="K36" s="138"/>
      <c r="L36" s="5"/>
      <c r="M36" s="75"/>
      <c r="N36" s="77"/>
      <c r="O36" s="26"/>
      <c r="P36" s="26"/>
      <c r="Q36" s="118" t="str">
        <f t="shared" si="4"/>
        <v/>
      </c>
      <c r="R36" s="153"/>
      <c r="S36" s="138" t="str">
        <f t="shared" si="10"/>
        <v/>
      </c>
      <c r="T36" s="148"/>
      <c r="U36" s="146"/>
      <c r="V36" s="146"/>
      <c r="W36" s="139"/>
      <c r="X36" s="139"/>
      <c r="Y36" s="148"/>
      <c r="Z36" s="138"/>
      <c r="AA36" s="138" t="str">
        <f t="shared" si="12"/>
        <v/>
      </c>
      <c r="AB36" s="239"/>
      <c r="AC36" s="325"/>
      <c r="AD36" s="325"/>
      <c r="AE36" s="325"/>
      <c r="AF36" s="325"/>
      <c r="AG36" s="325"/>
      <c r="AH36" s="325"/>
      <c r="AI36" s="325"/>
      <c r="AJ36" s="325"/>
      <c r="AK36" s="325"/>
      <c r="AL36" s="325"/>
      <c r="AM36" s="325"/>
      <c r="AN36" s="325"/>
      <c r="AO36" s="325"/>
      <c r="AP36" s="136"/>
      <c r="AQ36" s="136"/>
      <c r="AR36" s="136" t="str">
        <f t="shared" si="6"/>
        <v/>
      </c>
      <c r="AS36" s="136" t="str">
        <f t="shared" si="6"/>
        <v/>
      </c>
      <c r="AT36" s="5" t="str">
        <f t="shared" si="7"/>
        <v/>
      </c>
      <c r="AV36" s="27" t="str">
        <f>IF(G36="","",+"          ["&amp;TRIM(G36)&amp;"] ["&amp;TRIM(I36)&amp;"]"&amp;IF(H36="","","("&amp;H36&amp;")")&amp;" "&amp;TRIM(J36)&amp;IF(G46="","",","))</f>
        <v/>
      </c>
      <c r="AW36" s="27"/>
      <c r="AY36" s="122" t="str">
        <f t="shared" si="9"/>
        <v/>
      </c>
    </row>
    <row r="37" spans="2:51" ht="12.75">
      <c r="B37" s="20" t="str">
        <f t="shared" si="11"/>
        <v/>
      </c>
      <c r="C37" s="5"/>
      <c r="D37" s="5"/>
      <c r="E37" s="5"/>
      <c r="G37" s="5" t="str">
        <f t="shared" ref="G37:G45" si="14">SUBSTITUTE(SUBSTITUTE(SUBSTITUTE(SUBSTITUTE(SUBSTITUTE(SUBSTITUTE(SUBSTITUTE(SUBSTITUTE(SUBSTITUTE(C37," ",""),".",""),"#","No"),"%",""),"(",""),"*",""),"-",""),"/",""),")","")</f>
        <v/>
      </c>
      <c r="H37" s="117" t="str">
        <f t="shared" si="13"/>
        <v/>
      </c>
      <c r="I37" s="5" t="str">
        <f t="shared" si="2"/>
        <v/>
      </c>
      <c r="J37" s="5" t="str">
        <f t="shared" si="3"/>
        <v/>
      </c>
      <c r="K37" s="138"/>
      <c r="L37" s="5"/>
      <c r="M37" s="75"/>
      <c r="N37" s="77"/>
      <c r="O37" s="26"/>
      <c r="P37" s="26"/>
      <c r="Q37" s="118" t="str">
        <f t="shared" si="4"/>
        <v/>
      </c>
      <c r="R37" s="153"/>
      <c r="S37" s="138" t="str">
        <f t="shared" si="10"/>
        <v/>
      </c>
      <c r="T37" s="148"/>
      <c r="U37" s="146"/>
      <c r="V37" s="146"/>
      <c r="W37" s="139"/>
      <c r="X37" s="139"/>
      <c r="Y37" s="148"/>
      <c r="Z37" s="138"/>
      <c r="AA37" s="138" t="str">
        <f t="shared" si="12"/>
        <v/>
      </c>
      <c r="AB37" s="239"/>
      <c r="AC37" s="325"/>
      <c r="AD37" s="325"/>
      <c r="AE37" s="325"/>
      <c r="AF37" s="325"/>
      <c r="AG37" s="325"/>
      <c r="AH37" s="325"/>
      <c r="AI37" s="325"/>
      <c r="AJ37" s="325"/>
      <c r="AK37" s="325"/>
      <c r="AL37" s="325"/>
      <c r="AM37" s="325"/>
      <c r="AN37" s="325"/>
      <c r="AO37" s="325"/>
      <c r="AP37" s="136"/>
      <c r="AQ37" s="136"/>
      <c r="AR37" s="136" t="str">
        <f t="shared" si="6"/>
        <v/>
      </c>
      <c r="AS37" s="136" t="str">
        <f t="shared" si="6"/>
        <v/>
      </c>
      <c r="AT37" s="5" t="str">
        <f t="shared" si="7"/>
        <v/>
      </c>
      <c r="AV37" s="27" t="str">
        <f>IF(G37="","",+"          ["&amp;TRIM(G37)&amp;"] ["&amp;TRIM(I37)&amp;"]"&amp;IF(H37="","","("&amp;H37&amp;")")&amp;" "&amp;TRIM(J37)&amp;IF(G38="","",","))</f>
        <v/>
      </c>
      <c r="AW37" s="27"/>
      <c r="AY37" s="122" t="str">
        <f t="shared" si="9"/>
        <v/>
      </c>
    </row>
    <row r="38" spans="2:51" ht="12.75">
      <c r="B38" s="20" t="str">
        <f t="shared" si="11"/>
        <v/>
      </c>
      <c r="C38" s="5"/>
      <c r="D38" s="5"/>
      <c r="E38" s="5"/>
      <c r="G38" s="5" t="str">
        <f t="shared" si="14"/>
        <v/>
      </c>
      <c r="H38" s="117" t="str">
        <f t="shared" si="13"/>
        <v/>
      </c>
      <c r="I38" s="5" t="str">
        <f t="shared" si="2"/>
        <v/>
      </c>
      <c r="J38" s="5" t="str">
        <f t="shared" si="3"/>
        <v/>
      </c>
      <c r="K38" s="138"/>
      <c r="L38" s="5"/>
      <c r="M38" s="75"/>
      <c r="N38" s="77"/>
      <c r="O38" s="26"/>
      <c r="P38" s="26"/>
      <c r="Q38" s="118" t="str">
        <f t="shared" si="4"/>
        <v/>
      </c>
      <c r="R38" s="153"/>
      <c r="S38" s="138" t="str">
        <f t="shared" si="10"/>
        <v/>
      </c>
      <c r="T38" s="148"/>
      <c r="U38" s="146"/>
      <c r="V38" s="146"/>
      <c r="W38" s="139"/>
      <c r="X38" s="139"/>
      <c r="Y38" s="148"/>
      <c r="Z38" s="138"/>
      <c r="AA38" s="138" t="str">
        <f t="shared" si="12"/>
        <v/>
      </c>
      <c r="AB38" s="239"/>
      <c r="AC38" s="325"/>
      <c r="AD38" s="325"/>
      <c r="AE38" s="325"/>
      <c r="AF38" s="325"/>
      <c r="AG38" s="325"/>
      <c r="AH38" s="325"/>
      <c r="AI38" s="325"/>
      <c r="AJ38" s="325"/>
      <c r="AK38" s="325"/>
      <c r="AL38" s="325"/>
      <c r="AM38" s="325"/>
      <c r="AN38" s="325"/>
      <c r="AO38" s="325"/>
      <c r="AP38" s="136"/>
      <c r="AQ38" s="136"/>
      <c r="AR38" s="136" t="str">
        <f t="shared" si="6"/>
        <v/>
      </c>
      <c r="AS38" s="136" t="str">
        <f t="shared" si="6"/>
        <v/>
      </c>
      <c r="AT38" s="5" t="str">
        <f t="shared" si="7"/>
        <v/>
      </c>
      <c r="AV38" s="27" t="str">
        <f>IF(G38="","",+"          ["&amp;TRIM(G38)&amp;"] ["&amp;TRIM(I38)&amp;"]"&amp;IF(H38="","","("&amp;H38&amp;")")&amp;" "&amp;TRIM(J38)&amp;IF(G39="","",","))</f>
        <v/>
      </c>
      <c r="AW38" s="27"/>
      <c r="AY38" s="122" t="str">
        <f t="shared" si="9"/>
        <v/>
      </c>
    </row>
    <row r="39" spans="2:51" ht="12.75">
      <c r="B39" s="20" t="str">
        <f t="shared" si="11"/>
        <v/>
      </c>
      <c r="C39" s="5"/>
      <c r="D39" s="5"/>
      <c r="E39" s="5"/>
      <c r="G39" s="5" t="str">
        <f t="shared" si="14"/>
        <v/>
      </c>
      <c r="H39" s="117" t="str">
        <f t="shared" si="13"/>
        <v/>
      </c>
      <c r="I39" s="5" t="str">
        <f t="shared" si="2"/>
        <v/>
      </c>
      <c r="J39" s="5" t="str">
        <f t="shared" si="3"/>
        <v/>
      </c>
      <c r="K39" s="138"/>
      <c r="L39" s="5"/>
      <c r="M39" s="75"/>
      <c r="N39" s="77"/>
      <c r="O39" s="26"/>
      <c r="P39" s="26"/>
      <c r="Q39" s="118" t="str">
        <f t="shared" si="4"/>
        <v/>
      </c>
      <c r="R39" s="153"/>
      <c r="S39" s="138" t="str">
        <f t="shared" si="10"/>
        <v/>
      </c>
      <c r="T39" s="148"/>
      <c r="U39" s="146"/>
      <c r="V39" s="146"/>
      <c r="W39" s="139"/>
      <c r="X39" s="139"/>
      <c r="Y39" s="148"/>
      <c r="Z39" s="138"/>
      <c r="AA39" s="138" t="str">
        <f t="shared" si="12"/>
        <v/>
      </c>
      <c r="AB39" s="239"/>
      <c r="AC39" s="325"/>
      <c r="AD39" s="325"/>
      <c r="AE39" s="325"/>
      <c r="AF39" s="325"/>
      <c r="AG39" s="325"/>
      <c r="AH39" s="325"/>
      <c r="AI39" s="325"/>
      <c r="AJ39" s="325"/>
      <c r="AK39" s="325"/>
      <c r="AL39" s="325"/>
      <c r="AM39" s="325"/>
      <c r="AN39" s="325"/>
      <c r="AO39" s="325"/>
      <c r="AP39" s="136"/>
      <c r="AQ39" s="136"/>
      <c r="AR39" s="136" t="str">
        <f t="shared" si="6"/>
        <v/>
      </c>
      <c r="AS39" s="136" t="str">
        <f t="shared" si="6"/>
        <v/>
      </c>
      <c r="AT39" s="5" t="str">
        <f t="shared" si="7"/>
        <v/>
      </c>
      <c r="AV39" s="27" t="str">
        <f>IF(G39="","",+"          ["&amp;TRIM(G39)&amp;"] ["&amp;TRIM(I39)&amp;"]"&amp;IF(H39="","","("&amp;H39&amp;")")&amp;" "&amp;TRIM(J39)&amp;IF(G69="","",","))</f>
        <v/>
      </c>
      <c r="AW39" s="27"/>
      <c r="AY39" s="122" t="str">
        <f t="shared" si="9"/>
        <v/>
      </c>
    </row>
    <row r="40" spans="2:51" ht="12.75">
      <c r="B40" s="20" t="str">
        <f t="shared" si="11"/>
        <v/>
      </c>
      <c r="C40" s="5"/>
      <c r="D40" s="5"/>
      <c r="E40" s="5"/>
      <c r="G40" s="5" t="str">
        <f t="shared" si="14"/>
        <v/>
      </c>
      <c r="H40" s="117" t="str">
        <f t="shared" si="13"/>
        <v/>
      </c>
      <c r="I40" s="5" t="str">
        <f t="shared" si="2"/>
        <v/>
      </c>
      <c r="J40" s="5" t="str">
        <f t="shared" si="3"/>
        <v/>
      </c>
      <c r="K40" s="138"/>
      <c r="L40" s="5"/>
      <c r="M40" s="75"/>
      <c r="N40" s="77"/>
      <c r="O40" s="26"/>
      <c r="P40" s="26"/>
      <c r="Q40" s="118" t="str">
        <f t="shared" si="4"/>
        <v/>
      </c>
      <c r="R40" s="153"/>
      <c r="S40" s="138" t="str">
        <f t="shared" si="10"/>
        <v/>
      </c>
      <c r="T40" s="148"/>
      <c r="U40" s="146"/>
      <c r="V40" s="146"/>
      <c r="W40" s="139"/>
      <c r="X40" s="139"/>
      <c r="Y40" s="148"/>
      <c r="Z40" s="138"/>
      <c r="AA40" s="138" t="str">
        <f t="shared" si="12"/>
        <v/>
      </c>
      <c r="AB40" s="239"/>
      <c r="AC40" s="325"/>
      <c r="AD40" s="325"/>
      <c r="AE40" s="325"/>
      <c r="AF40" s="325"/>
      <c r="AG40" s="325"/>
      <c r="AH40" s="325"/>
      <c r="AI40" s="325"/>
      <c r="AJ40" s="325"/>
      <c r="AK40" s="325"/>
      <c r="AL40" s="325"/>
      <c r="AM40" s="325"/>
      <c r="AN40" s="325"/>
      <c r="AO40" s="325"/>
      <c r="AP40" s="136"/>
      <c r="AQ40" s="136"/>
      <c r="AR40" s="136" t="str">
        <f t="shared" si="6"/>
        <v/>
      </c>
      <c r="AS40" s="136" t="str">
        <f t="shared" si="6"/>
        <v/>
      </c>
      <c r="AT40" s="5" t="str">
        <f t="shared" si="7"/>
        <v/>
      </c>
      <c r="AV40" s="27" t="str">
        <f>IF(G40="","",+"          ["&amp;TRIM(G40)&amp;"] ["&amp;TRIM(I40)&amp;"]"&amp;IF(H40="","","("&amp;H40&amp;")")&amp;" "&amp;TRIM(J40)&amp;IF(G68="","",","))</f>
        <v/>
      </c>
      <c r="AW40" s="27"/>
      <c r="AY40" s="122" t="str">
        <f t="shared" si="9"/>
        <v/>
      </c>
    </row>
    <row r="41" spans="2:51" ht="12.75">
      <c r="B41" s="20" t="str">
        <f t="shared" si="11"/>
        <v/>
      </c>
      <c r="C41" s="5"/>
      <c r="D41" s="5"/>
      <c r="E41" s="5"/>
      <c r="G41" s="5" t="str">
        <f t="shared" si="14"/>
        <v/>
      </c>
      <c r="H41" s="117" t="str">
        <f t="shared" si="13"/>
        <v/>
      </c>
      <c r="I41" s="5" t="str">
        <f t="shared" si="2"/>
        <v/>
      </c>
      <c r="J41" s="5" t="str">
        <f t="shared" si="3"/>
        <v/>
      </c>
      <c r="K41" s="138"/>
      <c r="L41" s="5"/>
      <c r="M41" s="75"/>
      <c r="N41" s="77"/>
      <c r="O41" s="26"/>
      <c r="P41" s="26"/>
      <c r="Q41" s="118" t="str">
        <f t="shared" si="4"/>
        <v/>
      </c>
      <c r="R41" s="153"/>
      <c r="S41" s="138" t="str">
        <f t="shared" si="10"/>
        <v/>
      </c>
      <c r="T41" s="148"/>
      <c r="U41" s="146"/>
      <c r="V41" s="146"/>
      <c r="W41" s="139"/>
      <c r="X41" s="139"/>
      <c r="Y41" s="148"/>
      <c r="Z41" s="138"/>
      <c r="AA41" s="138" t="str">
        <f t="shared" si="12"/>
        <v/>
      </c>
      <c r="AB41" s="239"/>
      <c r="AC41" s="325"/>
      <c r="AD41" s="325"/>
      <c r="AE41" s="325"/>
      <c r="AF41" s="325"/>
      <c r="AG41" s="325"/>
      <c r="AH41" s="325"/>
      <c r="AI41" s="325"/>
      <c r="AJ41" s="325"/>
      <c r="AK41" s="325"/>
      <c r="AL41" s="325"/>
      <c r="AM41" s="325"/>
      <c r="AN41" s="325"/>
      <c r="AO41" s="325"/>
      <c r="AP41" s="136"/>
      <c r="AQ41" s="136"/>
      <c r="AR41" s="136" t="str">
        <f t="shared" si="6"/>
        <v/>
      </c>
      <c r="AS41" s="136" t="str">
        <f t="shared" si="6"/>
        <v/>
      </c>
      <c r="AT41" s="5" t="str">
        <f t="shared" si="7"/>
        <v/>
      </c>
      <c r="AV41" s="27" t="str">
        <f>IF(G41="","",+"          ["&amp;TRIM(G41)&amp;"] ["&amp;TRIM(I41)&amp;"]"&amp;IF(H41="","","("&amp;H41&amp;")")&amp;" "&amp;TRIM(J41)&amp;IF(G42="","",","))</f>
        <v/>
      </c>
      <c r="AW41" s="27"/>
      <c r="AY41" s="122" t="str">
        <f t="shared" si="9"/>
        <v/>
      </c>
    </row>
    <row r="42" spans="2:51" ht="12.75">
      <c r="B42" s="20" t="str">
        <f t="shared" si="11"/>
        <v/>
      </c>
      <c r="C42" s="5"/>
      <c r="D42" s="5"/>
      <c r="E42" s="5"/>
      <c r="G42" s="5" t="str">
        <f t="shared" si="14"/>
        <v/>
      </c>
      <c r="H42" s="117" t="str">
        <f t="shared" si="13"/>
        <v/>
      </c>
      <c r="I42" s="5" t="str">
        <f t="shared" si="2"/>
        <v/>
      </c>
      <c r="J42" s="5" t="str">
        <f>IF(C42=0,"",(IF(ISERROR(VLOOKUP(G42,$D$120:$D$127,1,FALSE)),""," NOT")&amp;" NULL"))</f>
        <v/>
      </c>
      <c r="K42" s="138"/>
      <c r="L42" s="5"/>
      <c r="M42" s="75"/>
      <c r="N42" s="77"/>
      <c r="O42" s="26"/>
      <c r="P42" s="26"/>
      <c r="Q42" s="118" t="str">
        <f t="shared" si="4"/>
        <v/>
      </c>
      <c r="R42" s="153"/>
      <c r="S42" s="138" t="str">
        <f t="shared" si="10"/>
        <v/>
      </c>
      <c r="T42" s="148"/>
      <c r="U42" s="146"/>
      <c r="V42" s="146"/>
      <c r="W42" s="139"/>
      <c r="X42" s="139"/>
      <c r="Y42" s="148"/>
      <c r="Z42" s="138"/>
      <c r="AA42" s="138" t="str">
        <f t="shared" si="12"/>
        <v/>
      </c>
      <c r="AB42" s="239"/>
      <c r="AC42" s="325"/>
      <c r="AD42" s="325"/>
      <c r="AE42" s="325"/>
      <c r="AF42" s="325"/>
      <c r="AG42" s="325"/>
      <c r="AH42" s="325"/>
      <c r="AI42" s="325"/>
      <c r="AJ42" s="325"/>
      <c r="AK42" s="325"/>
      <c r="AL42" s="325"/>
      <c r="AM42" s="325"/>
      <c r="AN42" s="325"/>
      <c r="AO42" s="325"/>
      <c r="AP42" s="136"/>
      <c r="AQ42" s="136"/>
      <c r="AR42" s="136" t="str">
        <f t="shared" si="6"/>
        <v/>
      </c>
      <c r="AS42" s="136" t="str">
        <f t="shared" si="6"/>
        <v/>
      </c>
      <c r="AT42" s="5" t="str">
        <f t="shared" si="7"/>
        <v/>
      </c>
      <c r="AV42" s="27" t="str">
        <f>IF(G42="","",+"          ["&amp;TRIM(G42)&amp;"] ["&amp;TRIM(I42)&amp;"]"&amp;IF(H42="","","("&amp;H42&amp;")")&amp;" "&amp;TRIM(J42)&amp;IF(G45="","",","))</f>
        <v/>
      </c>
      <c r="AW42" s="27"/>
      <c r="AY42" s="122" t="str">
        <f t="shared" si="9"/>
        <v/>
      </c>
    </row>
    <row r="43" spans="2:51" ht="12.75">
      <c r="B43" s="20" t="str">
        <f t="shared" si="11"/>
        <v/>
      </c>
      <c r="C43" s="5"/>
      <c r="D43" s="5"/>
      <c r="E43" s="5"/>
      <c r="G43" s="5" t="str">
        <f t="shared" si="14"/>
        <v/>
      </c>
      <c r="H43" s="117" t="str">
        <f t="shared" si="13"/>
        <v/>
      </c>
      <c r="I43" s="5" t="str">
        <f t="shared" si="2"/>
        <v/>
      </c>
      <c r="J43" s="5" t="str">
        <f t="shared" si="3"/>
        <v/>
      </c>
      <c r="K43" s="138"/>
      <c r="L43" s="5"/>
      <c r="M43" s="75"/>
      <c r="N43" s="77"/>
      <c r="O43" s="26"/>
      <c r="P43" s="26"/>
      <c r="Q43" s="118" t="str">
        <f t="shared" si="4"/>
        <v/>
      </c>
      <c r="R43" s="153"/>
      <c r="S43" s="138" t="str">
        <f t="shared" si="10"/>
        <v/>
      </c>
      <c r="T43" s="148"/>
      <c r="U43" s="146"/>
      <c r="V43" s="146"/>
      <c r="W43" s="139"/>
      <c r="X43" s="139"/>
      <c r="Y43" s="148"/>
      <c r="Z43" s="138"/>
      <c r="AA43" s="138" t="str">
        <f t="shared" si="12"/>
        <v/>
      </c>
      <c r="AB43" s="239"/>
      <c r="AC43" s="325"/>
      <c r="AD43" s="325"/>
      <c r="AE43" s="325"/>
      <c r="AF43" s="325"/>
      <c r="AG43" s="325"/>
      <c r="AH43" s="325"/>
      <c r="AI43" s="325"/>
      <c r="AJ43" s="325"/>
      <c r="AK43" s="325"/>
      <c r="AL43" s="325"/>
      <c r="AM43" s="325"/>
      <c r="AN43" s="325"/>
      <c r="AO43" s="325"/>
      <c r="AP43" s="136"/>
      <c r="AQ43" s="136"/>
      <c r="AR43" s="136" t="str">
        <f t="shared" si="6"/>
        <v/>
      </c>
      <c r="AS43" s="136" t="str">
        <f t="shared" si="6"/>
        <v/>
      </c>
      <c r="AT43" s="5" t="str">
        <f t="shared" si="7"/>
        <v/>
      </c>
      <c r="AV43" s="27" t="str">
        <f>IF(G43="","",+"          ["&amp;TRIM(G43)&amp;"] ["&amp;TRIM(I43)&amp;"]"&amp;IF(H43="","","("&amp;H43&amp;")")&amp;" "&amp;TRIM(J43)&amp;IF(G44="","",","))</f>
        <v/>
      </c>
      <c r="AW43" s="27"/>
      <c r="AY43" s="122" t="str">
        <f t="shared" si="9"/>
        <v/>
      </c>
    </row>
    <row r="44" spans="2:51" ht="12.75">
      <c r="B44" s="20" t="str">
        <f t="shared" si="11"/>
        <v/>
      </c>
      <c r="C44" s="5"/>
      <c r="D44" s="5"/>
      <c r="E44" s="5"/>
      <c r="G44" s="5" t="str">
        <f t="shared" si="14"/>
        <v/>
      </c>
      <c r="H44" s="117" t="str">
        <f t="shared" si="13"/>
        <v/>
      </c>
      <c r="I44" s="5" t="str">
        <f t="shared" si="2"/>
        <v/>
      </c>
      <c r="J44" s="5" t="str">
        <f t="shared" si="3"/>
        <v/>
      </c>
      <c r="K44" s="138"/>
      <c r="L44" s="5"/>
      <c r="M44" s="75"/>
      <c r="N44" s="77"/>
      <c r="O44" s="26"/>
      <c r="P44" s="26"/>
      <c r="Q44" s="118" t="str">
        <f t="shared" si="4"/>
        <v/>
      </c>
      <c r="R44" s="153"/>
      <c r="S44" s="138" t="str">
        <f t="shared" si="10"/>
        <v/>
      </c>
      <c r="T44" s="148"/>
      <c r="U44" s="146"/>
      <c r="V44" s="146"/>
      <c r="W44" s="139"/>
      <c r="X44" s="139"/>
      <c r="Y44" s="148"/>
      <c r="Z44" s="138"/>
      <c r="AA44" s="138" t="str">
        <f t="shared" si="12"/>
        <v/>
      </c>
      <c r="AB44" s="239"/>
      <c r="AC44" s="325"/>
      <c r="AD44" s="325"/>
      <c r="AE44" s="325"/>
      <c r="AF44" s="325"/>
      <c r="AG44" s="325"/>
      <c r="AH44" s="325"/>
      <c r="AI44" s="325"/>
      <c r="AJ44" s="325"/>
      <c r="AK44" s="325"/>
      <c r="AL44" s="325"/>
      <c r="AM44" s="325"/>
      <c r="AN44" s="325"/>
      <c r="AO44" s="325"/>
      <c r="AP44" s="136"/>
      <c r="AQ44" s="136"/>
      <c r="AR44" s="136" t="str">
        <f t="shared" si="6"/>
        <v/>
      </c>
      <c r="AS44" s="136" t="str">
        <f t="shared" si="6"/>
        <v/>
      </c>
      <c r="AT44" s="5" t="str">
        <f t="shared" si="7"/>
        <v/>
      </c>
      <c r="AV44" s="27" t="str">
        <f>IF(G44="","",+"          ["&amp;TRIM(G44)&amp;"] ["&amp;TRIM(I44)&amp;"]"&amp;IF(H44="","","("&amp;H44&amp;")")&amp;" "&amp;TRIM(J44)&amp;IF(G45="","",","))</f>
        <v/>
      </c>
      <c r="AW44" s="27"/>
      <c r="AY44" s="122" t="str">
        <f t="shared" si="9"/>
        <v/>
      </c>
    </row>
    <row r="45" spans="2:51" ht="12.75">
      <c r="B45" s="20" t="str">
        <f t="shared" si="11"/>
        <v/>
      </c>
      <c r="C45" s="5"/>
      <c r="D45" s="5"/>
      <c r="E45" s="5"/>
      <c r="G45" s="5" t="str">
        <f t="shared" si="14"/>
        <v/>
      </c>
      <c r="H45" s="117" t="str">
        <f t="shared" si="13"/>
        <v/>
      </c>
      <c r="I45" s="5" t="str">
        <f t="shared" si="2"/>
        <v/>
      </c>
      <c r="J45" s="5" t="str">
        <f t="shared" si="3"/>
        <v/>
      </c>
      <c r="K45" s="138"/>
      <c r="L45" s="5"/>
      <c r="M45" s="75"/>
      <c r="N45" s="77"/>
      <c r="O45" s="26"/>
      <c r="P45" s="26"/>
      <c r="Q45" s="118" t="str">
        <f t="shared" si="4"/>
        <v/>
      </c>
      <c r="R45" s="153"/>
      <c r="S45" s="138" t="str">
        <f t="shared" si="10"/>
        <v/>
      </c>
      <c r="T45" s="148"/>
      <c r="U45" s="146"/>
      <c r="V45" s="146"/>
      <c r="W45" s="139"/>
      <c r="X45" s="139"/>
      <c r="Y45" s="148"/>
      <c r="Z45" s="138"/>
      <c r="AA45" s="138" t="str">
        <f t="shared" si="12"/>
        <v/>
      </c>
      <c r="AB45" s="239"/>
      <c r="AC45" s="325"/>
      <c r="AD45" s="325"/>
      <c r="AE45" s="325"/>
      <c r="AF45" s="325"/>
      <c r="AG45" s="325"/>
      <c r="AH45" s="325"/>
      <c r="AI45" s="325"/>
      <c r="AJ45" s="325"/>
      <c r="AK45" s="325"/>
      <c r="AL45" s="325"/>
      <c r="AM45" s="325"/>
      <c r="AN45" s="325"/>
      <c r="AO45" s="325"/>
      <c r="AP45" s="136"/>
      <c r="AQ45" s="136"/>
      <c r="AR45" s="136" t="str">
        <f t="shared" si="6"/>
        <v/>
      </c>
      <c r="AS45" s="136" t="str">
        <f t="shared" si="6"/>
        <v/>
      </c>
      <c r="AT45" s="5" t="str">
        <f t="shared" si="7"/>
        <v/>
      </c>
      <c r="AV45" s="27" t="str">
        <f>IF(G45="","",+"          ["&amp;TRIM(G45)&amp;"] ["&amp;TRIM(I45)&amp;"]"&amp;IF(H45="","","("&amp;H45&amp;")")&amp;" "&amp;TRIM(J45)&amp;IF(G54="","",","))</f>
        <v/>
      </c>
      <c r="AW45" s="27"/>
      <c r="AY45" s="122" t="str">
        <f t="shared" si="9"/>
        <v/>
      </c>
    </row>
    <row r="46" spans="2:51" ht="12.75">
      <c r="B46" s="20" t="str">
        <f t="shared" si="11"/>
        <v/>
      </c>
      <c r="C46" s="5"/>
      <c r="D46" s="5"/>
      <c r="E46" s="5"/>
      <c r="G46" s="5" t="str">
        <f>SUBSTITUTE(SUBSTITUTE(SUBSTITUTE(SUBSTITUTE(SUBSTITUTE(SUBSTITUTE(SUBSTITUTE(SUBSTITUTE(SUBSTITUTE(C46," ",""),".",""),"#","No"),"%",""),"(",""),"*",""),"-",""),"/",""),")","")</f>
        <v/>
      </c>
      <c r="H46" s="117" t="str">
        <f t="shared" si="13"/>
        <v/>
      </c>
      <c r="I46" s="5" t="str">
        <f>IF(E46=0,"",+E46)</f>
        <v/>
      </c>
      <c r="J46" s="5" t="str">
        <f>IF(C46=0,"",(IF(ISERROR(VLOOKUP(G46,$D$120:$D$127,1,FALSE)),""," NOT")&amp;" NULL"))</f>
        <v/>
      </c>
      <c r="K46" s="138"/>
      <c r="L46" s="5"/>
      <c r="M46" s="75"/>
      <c r="N46" s="77"/>
      <c r="O46" s="26"/>
      <c r="P46" s="26"/>
      <c r="Q46" s="118" t="str">
        <f>IF(M46=0,"",ROW())</f>
        <v/>
      </c>
      <c r="R46" s="153"/>
      <c r="S46" s="138" t="str">
        <f t="shared" si="10"/>
        <v/>
      </c>
      <c r="T46" s="148"/>
      <c r="U46" s="146"/>
      <c r="V46" s="146"/>
      <c r="W46" s="139"/>
      <c r="X46" s="139"/>
      <c r="Y46" s="148"/>
      <c r="Z46" s="138"/>
      <c r="AA46" s="138" t="str">
        <f t="shared" si="12"/>
        <v/>
      </c>
      <c r="AB46" s="239"/>
      <c r="AC46" s="325"/>
      <c r="AD46" s="325"/>
      <c r="AE46" s="325"/>
      <c r="AF46" s="325"/>
      <c r="AG46" s="325"/>
      <c r="AH46" s="325"/>
      <c r="AI46" s="325"/>
      <c r="AJ46" s="325"/>
      <c r="AK46" s="325"/>
      <c r="AL46" s="325"/>
      <c r="AM46" s="325"/>
      <c r="AN46" s="325"/>
      <c r="AO46" s="325"/>
      <c r="AP46" s="136"/>
      <c r="AQ46" s="136"/>
      <c r="AR46" s="136" t="str">
        <f t="shared" si="6"/>
        <v/>
      </c>
      <c r="AS46" s="136" t="str">
        <f t="shared" si="6"/>
        <v/>
      </c>
      <c r="AT46" s="5" t="str">
        <f t="shared" si="7"/>
        <v/>
      </c>
      <c r="AV46" s="27" t="str">
        <f>IF(G46="","",+"          ["&amp;TRIM(G46)&amp;"] ["&amp;TRIM(I46)&amp;"]"&amp;IF(H46="","","("&amp;H46&amp;")")&amp;" "&amp;TRIM(J46)&amp;IF(G47="","",","))</f>
        <v/>
      </c>
      <c r="AW46" s="27"/>
      <c r="AY46" s="122" t="str">
        <f t="shared" si="9"/>
        <v/>
      </c>
    </row>
    <row r="47" spans="2:51" ht="12.75">
      <c r="B47" s="20" t="str">
        <f t="shared" si="11"/>
        <v/>
      </c>
      <c r="C47" s="5"/>
      <c r="D47" s="5"/>
      <c r="E47" s="5"/>
      <c r="G47" s="5" t="str">
        <f>SUBSTITUTE(SUBSTITUTE(SUBSTITUTE(SUBSTITUTE(SUBSTITUTE(SUBSTITUTE(SUBSTITUTE(SUBSTITUTE(SUBSTITUTE(C47," ",""),".",""),"#","No"),"%",""),"(",""),"*",""),"-",""),"/",""),")","")</f>
        <v/>
      </c>
      <c r="H47" s="117" t="str">
        <f t="shared" si="13"/>
        <v/>
      </c>
      <c r="I47" s="5" t="str">
        <f>IF(E47=0,"",+E47)</f>
        <v/>
      </c>
      <c r="J47" s="5" t="str">
        <f>IF(C47=0,"",(IF(ISERROR(VLOOKUP(G47,$D$120:$D$127,1,FALSE)),""," NOT")&amp;" NULL"))</f>
        <v/>
      </c>
      <c r="K47" s="138"/>
      <c r="L47" s="5"/>
      <c r="M47" s="75"/>
      <c r="N47" s="77"/>
      <c r="O47" s="26"/>
      <c r="P47" s="26"/>
      <c r="Q47" s="118" t="str">
        <f>IF(M47=0,"",ROW())</f>
        <v/>
      </c>
      <c r="R47" s="153"/>
      <c r="S47" s="138" t="str">
        <f t="shared" si="10"/>
        <v/>
      </c>
      <c r="T47" s="148"/>
      <c r="U47" s="146"/>
      <c r="V47" s="146"/>
      <c r="W47" s="139"/>
      <c r="X47" s="139"/>
      <c r="Y47" s="148"/>
      <c r="Z47" s="138"/>
      <c r="AA47" s="138" t="str">
        <f t="shared" si="12"/>
        <v/>
      </c>
      <c r="AB47" s="239"/>
      <c r="AC47" s="325"/>
      <c r="AD47" s="325"/>
      <c r="AE47" s="325"/>
      <c r="AF47" s="325"/>
      <c r="AG47" s="325"/>
      <c r="AH47" s="325"/>
      <c r="AI47" s="325"/>
      <c r="AJ47" s="325"/>
      <c r="AK47" s="325"/>
      <c r="AL47" s="325"/>
      <c r="AM47" s="325"/>
      <c r="AN47" s="325"/>
      <c r="AO47" s="325"/>
      <c r="AP47" s="136"/>
      <c r="AQ47" s="136"/>
      <c r="AR47" s="136" t="str">
        <f t="shared" si="6"/>
        <v/>
      </c>
      <c r="AS47" s="136" t="str">
        <f t="shared" si="6"/>
        <v/>
      </c>
      <c r="AT47" s="5" t="str">
        <f t="shared" si="7"/>
        <v/>
      </c>
      <c r="AV47" s="27" t="str">
        <f>IF(G47="","",+"          ["&amp;TRIM(G47)&amp;"] ["&amp;TRIM(I47)&amp;"]"&amp;IF(H47="","","("&amp;H47&amp;")")&amp;" "&amp;TRIM(J47)&amp;IF(G48="","",","))</f>
        <v/>
      </c>
      <c r="AW47" s="27"/>
      <c r="AY47" s="122" t="str">
        <f t="shared" si="9"/>
        <v/>
      </c>
    </row>
    <row r="48" spans="2:51" ht="12.75">
      <c r="B48" s="20" t="str">
        <f t="shared" si="11"/>
        <v/>
      </c>
      <c r="C48" s="5"/>
      <c r="D48" s="5"/>
      <c r="E48" s="5"/>
      <c r="G48" s="5" t="str">
        <f>SUBSTITUTE(SUBSTITUTE(SUBSTITUTE(SUBSTITUTE(SUBSTITUTE(SUBSTITUTE(SUBSTITUTE(SUBSTITUTE(SUBSTITUTE(C48," ",""),".",""),"#","No"),"%",""),"(",""),"*",""),"-",""),"/",""),")","")</f>
        <v/>
      </c>
      <c r="H48" s="117" t="str">
        <f t="shared" si="13"/>
        <v/>
      </c>
      <c r="I48" s="5" t="str">
        <f>IF(E48=0,"",+E48)</f>
        <v/>
      </c>
      <c r="J48" s="5" t="str">
        <f>IF(C48=0,"",(IF(ISERROR(VLOOKUP(G48,$D$120:$D$127,1,FALSE)),""," NOT")&amp;" NULL"))</f>
        <v/>
      </c>
      <c r="K48" s="138"/>
      <c r="L48" s="5"/>
      <c r="M48" s="75"/>
      <c r="N48" s="77"/>
      <c r="O48" s="26"/>
      <c r="P48" s="26"/>
      <c r="Q48" s="118" t="str">
        <f>IF(M48=0,"",ROW())</f>
        <v/>
      </c>
      <c r="R48" s="153"/>
      <c r="S48" s="138" t="str">
        <f t="shared" si="10"/>
        <v/>
      </c>
      <c r="T48" s="148"/>
      <c r="U48" s="146"/>
      <c r="V48" s="146"/>
      <c r="W48" s="139"/>
      <c r="X48" s="139"/>
      <c r="Y48" s="148"/>
      <c r="Z48" s="138"/>
      <c r="AA48" s="138" t="str">
        <f t="shared" si="12"/>
        <v/>
      </c>
      <c r="AB48" s="239"/>
      <c r="AC48" s="325"/>
      <c r="AD48" s="325"/>
      <c r="AE48" s="325"/>
      <c r="AF48" s="325"/>
      <c r="AG48" s="325"/>
      <c r="AH48" s="325"/>
      <c r="AI48" s="325"/>
      <c r="AJ48" s="325"/>
      <c r="AK48" s="325"/>
      <c r="AL48" s="325"/>
      <c r="AM48" s="325"/>
      <c r="AN48" s="325"/>
      <c r="AO48" s="325"/>
      <c r="AP48" s="136"/>
      <c r="AQ48" s="136"/>
      <c r="AR48" s="136" t="str">
        <f t="shared" ref="AR48:AS79" si="15">IF(O48=0,"",ROW())</f>
        <v/>
      </c>
      <c r="AS48" s="136" t="str">
        <f t="shared" si="15"/>
        <v/>
      </c>
      <c r="AT48" s="5" t="str">
        <f t="shared" ref="AT48:AT79" si="16">IF(C48="","",C48&amp;IF(B49="","",","))</f>
        <v/>
      </c>
      <c r="AV48" s="27" t="str">
        <f>IF(G48="","",+"          ["&amp;TRIM(G48)&amp;"] ["&amp;TRIM(I48)&amp;"]"&amp;IF(H48="","","("&amp;H48&amp;")")&amp;" "&amp;TRIM(J48)&amp;IF(G96="","",","))</f>
        <v/>
      </c>
      <c r="AW48" s="27"/>
      <c r="AY48" s="122" t="str">
        <f t="shared" si="9"/>
        <v/>
      </c>
    </row>
    <row r="49" spans="2:51" ht="12.75">
      <c r="B49" s="20" t="str">
        <f t="shared" si="11"/>
        <v/>
      </c>
      <c r="C49" s="5"/>
      <c r="D49" s="5"/>
      <c r="E49" s="5"/>
      <c r="G49" s="5" t="str">
        <f>SUBSTITUTE(SUBSTITUTE(SUBSTITUTE(SUBSTITUTE(SUBSTITUTE(SUBSTITUTE(SUBSTITUTE(SUBSTITUTE(SUBSTITUTE(C49," ",""),".",""),"#","No"),"%",""),"(",""),"*",""),"-",""),"/",""),")","")</f>
        <v/>
      </c>
      <c r="H49" s="117" t="str">
        <f t="shared" si="13"/>
        <v/>
      </c>
      <c r="I49" s="5" t="str">
        <f>IF(E49=0,"",+E49)</f>
        <v/>
      </c>
      <c r="J49" s="5" t="str">
        <f>IF(C49=0,"",(IF(ISERROR(VLOOKUP(G49,$D$120:$D$127,1,FALSE)),""," NOT")&amp;" NULL"))</f>
        <v/>
      </c>
      <c r="K49" s="138"/>
      <c r="L49" s="5"/>
      <c r="M49" s="75"/>
      <c r="N49" s="77"/>
      <c r="O49" s="26"/>
      <c r="P49" s="26"/>
      <c r="Q49" s="118" t="str">
        <f>IF(M49=0,"",ROW())</f>
        <v/>
      </c>
      <c r="R49" s="153"/>
      <c r="S49" s="138" t="str">
        <f t="shared" si="10"/>
        <v/>
      </c>
      <c r="T49" s="148"/>
      <c r="U49" s="146"/>
      <c r="V49" s="146"/>
      <c r="W49" s="139"/>
      <c r="X49" s="139"/>
      <c r="Y49" s="148"/>
      <c r="Z49" s="138"/>
      <c r="AA49" s="138" t="str">
        <f t="shared" si="12"/>
        <v/>
      </c>
      <c r="AB49" s="239"/>
      <c r="AC49" s="325"/>
      <c r="AD49" s="325"/>
      <c r="AE49" s="325"/>
      <c r="AF49" s="325"/>
      <c r="AG49" s="325"/>
      <c r="AH49" s="325"/>
      <c r="AI49" s="325"/>
      <c r="AJ49" s="325"/>
      <c r="AK49" s="325"/>
      <c r="AL49" s="325"/>
      <c r="AM49" s="325"/>
      <c r="AN49" s="325"/>
      <c r="AO49" s="325"/>
      <c r="AP49" s="136"/>
      <c r="AQ49" s="136"/>
      <c r="AR49" s="136" t="str">
        <f t="shared" si="15"/>
        <v/>
      </c>
      <c r="AS49" s="136" t="str">
        <f t="shared" si="15"/>
        <v/>
      </c>
      <c r="AT49" s="5" t="str">
        <f t="shared" si="16"/>
        <v/>
      </c>
      <c r="AV49" s="27" t="str">
        <f>IF(G49="","",+"          ["&amp;TRIM(G49)&amp;"] ["&amp;TRIM(I49)&amp;"]"&amp;IF(H49="","","("&amp;H49&amp;")")&amp;" "&amp;TRIM(J49)&amp;IF(G95="","",","))</f>
        <v/>
      </c>
      <c r="AW49" s="27"/>
      <c r="AY49" s="122" t="str">
        <f t="shared" si="9"/>
        <v/>
      </c>
    </row>
    <row r="50" spans="2:51" ht="12.75">
      <c r="B50" s="20" t="str">
        <f t="shared" si="11"/>
        <v/>
      </c>
      <c r="C50" s="5"/>
      <c r="D50" s="5"/>
      <c r="E50" s="5"/>
      <c r="G50" s="5" t="str">
        <f t="shared" ref="G50:G93" si="17">SUBSTITUTE(SUBSTITUTE(SUBSTITUTE(SUBSTITUTE(SUBSTITUTE(SUBSTITUTE(SUBSTITUTE(SUBSTITUTE(SUBSTITUTE(C50," ",""),".",""),"#","No"),"%",""),"(",""),"*",""),"-",""),"/",""),")","")</f>
        <v/>
      </c>
      <c r="H50" s="117" t="str">
        <f t="shared" si="13"/>
        <v/>
      </c>
      <c r="I50" s="5" t="str">
        <f t="shared" ref="I50:I93" si="18">IF(E50=0,"",+E50)</f>
        <v/>
      </c>
      <c r="J50" s="5" t="str">
        <f t="shared" ref="J50:J93" si="19">IF(C50=0,"",(IF(ISERROR(VLOOKUP(G50,$D$120:$D$127,1,FALSE)),""," NOT")&amp;" NULL"))</f>
        <v/>
      </c>
      <c r="K50" s="138"/>
      <c r="L50" s="5"/>
      <c r="M50" s="75"/>
      <c r="N50" s="77"/>
      <c r="O50" s="26"/>
      <c r="P50" s="26"/>
      <c r="Q50" s="118" t="str">
        <f t="shared" ref="Q50:Q93" si="20">IF(M50=0,"",ROW())</f>
        <v/>
      </c>
      <c r="R50" s="153"/>
      <c r="S50" s="138" t="str">
        <f t="shared" si="10"/>
        <v/>
      </c>
      <c r="T50" s="148"/>
      <c r="U50" s="146"/>
      <c r="V50" s="146"/>
      <c r="W50" s="139"/>
      <c r="X50" s="139"/>
      <c r="Y50" s="148"/>
      <c r="Z50" s="138"/>
      <c r="AA50" s="138" t="str">
        <f t="shared" si="12"/>
        <v/>
      </c>
      <c r="AB50" s="239"/>
      <c r="AC50" s="325"/>
      <c r="AD50" s="325"/>
      <c r="AE50" s="325"/>
      <c r="AF50" s="325"/>
      <c r="AG50" s="325"/>
      <c r="AH50" s="325"/>
      <c r="AI50" s="325"/>
      <c r="AJ50" s="325"/>
      <c r="AK50" s="325"/>
      <c r="AL50" s="325"/>
      <c r="AM50" s="325"/>
      <c r="AN50" s="325"/>
      <c r="AO50" s="325"/>
      <c r="AP50" s="136"/>
      <c r="AQ50" s="136"/>
      <c r="AR50" s="136" t="str">
        <f t="shared" si="15"/>
        <v/>
      </c>
      <c r="AS50" s="136" t="str">
        <f t="shared" si="15"/>
        <v/>
      </c>
      <c r="AT50" s="5" t="str">
        <f t="shared" si="16"/>
        <v/>
      </c>
      <c r="AV50" s="27" t="str">
        <f>IF(G50="","",+"          ["&amp;TRIM(G50)&amp;"] ["&amp;TRIM(I50)&amp;"]"&amp;IF(H50="","","("&amp;H50&amp;")")&amp;" "&amp;TRIM(J50)&amp;IF(G51="","",","))</f>
        <v/>
      </c>
      <c r="AW50" s="27"/>
      <c r="AY50" s="122" t="str">
        <f t="shared" si="9"/>
        <v/>
      </c>
    </row>
    <row r="51" spans="2:51" ht="12.75">
      <c r="B51" s="20" t="str">
        <f t="shared" si="11"/>
        <v/>
      </c>
      <c r="C51" s="5"/>
      <c r="D51" s="5"/>
      <c r="E51" s="5"/>
      <c r="G51" s="5" t="str">
        <f t="shared" si="17"/>
        <v/>
      </c>
      <c r="H51" s="117" t="str">
        <f t="shared" si="13"/>
        <v/>
      </c>
      <c r="I51" s="5" t="str">
        <f t="shared" si="18"/>
        <v/>
      </c>
      <c r="J51" s="5" t="str">
        <f t="shared" si="19"/>
        <v/>
      </c>
      <c r="K51" s="138"/>
      <c r="L51" s="5"/>
      <c r="M51" s="75"/>
      <c r="N51" s="77"/>
      <c r="O51" s="26"/>
      <c r="P51" s="26"/>
      <c r="Q51" s="118" t="str">
        <f t="shared" si="20"/>
        <v/>
      </c>
      <c r="R51" s="153"/>
      <c r="S51" s="138" t="str">
        <f t="shared" si="10"/>
        <v/>
      </c>
      <c r="T51" s="148"/>
      <c r="U51" s="146"/>
      <c r="V51" s="146"/>
      <c r="W51" s="139"/>
      <c r="X51" s="139"/>
      <c r="Y51" s="148"/>
      <c r="Z51" s="138"/>
      <c r="AA51" s="138" t="str">
        <f t="shared" si="12"/>
        <v/>
      </c>
      <c r="AB51" s="239"/>
      <c r="AC51" s="325"/>
      <c r="AD51" s="325"/>
      <c r="AE51" s="325"/>
      <c r="AF51" s="325"/>
      <c r="AG51" s="325"/>
      <c r="AH51" s="325"/>
      <c r="AI51" s="325"/>
      <c r="AJ51" s="325"/>
      <c r="AK51" s="325"/>
      <c r="AL51" s="325"/>
      <c r="AM51" s="325"/>
      <c r="AN51" s="325"/>
      <c r="AO51" s="325"/>
      <c r="AP51" s="136"/>
      <c r="AQ51" s="136"/>
      <c r="AR51" s="136" t="str">
        <f t="shared" si="15"/>
        <v/>
      </c>
      <c r="AS51" s="136" t="str">
        <f t="shared" si="15"/>
        <v/>
      </c>
      <c r="AT51" s="5" t="str">
        <f t="shared" si="16"/>
        <v/>
      </c>
      <c r="AV51" s="27" t="str">
        <f>IF(G51="","",+"          ["&amp;TRIM(G51)&amp;"] ["&amp;TRIM(I51)&amp;"]"&amp;IF(H51="","","("&amp;H51&amp;")")&amp;" "&amp;TRIM(J51)&amp;IF(G54="","",","))</f>
        <v/>
      </c>
      <c r="AW51" s="27"/>
      <c r="AY51" s="122" t="str">
        <f t="shared" si="9"/>
        <v/>
      </c>
    </row>
    <row r="52" spans="2:51" ht="12.75">
      <c r="B52" s="20" t="str">
        <f t="shared" si="11"/>
        <v/>
      </c>
      <c r="C52" s="5"/>
      <c r="D52" s="5"/>
      <c r="E52" s="5"/>
      <c r="G52" s="5" t="str">
        <f t="shared" si="17"/>
        <v/>
      </c>
      <c r="H52" s="117" t="str">
        <f t="shared" si="13"/>
        <v/>
      </c>
      <c r="I52" s="5" t="str">
        <f t="shared" si="18"/>
        <v/>
      </c>
      <c r="J52" s="5" t="str">
        <f t="shared" si="19"/>
        <v/>
      </c>
      <c r="K52" s="138"/>
      <c r="L52" s="5"/>
      <c r="M52" s="75"/>
      <c r="N52" s="77"/>
      <c r="O52" s="26"/>
      <c r="P52" s="26"/>
      <c r="Q52" s="118" t="str">
        <f t="shared" si="20"/>
        <v/>
      </c>
      <c r="R52" s="153"/>
      <c r="S52" s="138" t="str">
        <f t="shared" si="10"/>
        <v/>
      </c>
      <c r="T52" s="148"/>
      <c r="U52" s="146"/>
      <c r="V52" s="146"/>
      <c r="W52" s="139"/>
      <c r="X52" s="139"/>
      <c r="Y52" s="148"/>
      <c r="Z52" s="138"/>
      <c r="AA52" s="138" t="str">
        <f t="shared" si="12"/>
        <v/>
      </c>
      <c r="AB52" s="239"/>
      <c r="AC52" s="325"/>
      <c r="AD52" s="325"/>
      <c r="AE52" s="325"/>
      <c r="AF52" s="325"/>
      <c r="AG52" s="325"/>
      <c r="AH52" s="325"/>
      <c r="AI52" s="325"/>
      <c r="AJ52" s="325"/>
      <c r="AK52" s="325"/>
      <c r="AL52" s="325"/>
      <c r="AM52" s="325"/>
      <c r="AN52" s="325"/>
      <c r="AO52" s="325"/>
      <c r="AP52" s="136"/>
      <c r="AQ52" s="136"/>
      <c r="AR52" s="136" t="str">
        <f t="shared" si="15"/>
        <v/>
      </c>
      <c r="AS52" s="136" t="str">
        <f t="shared" si="15"/>
        <v/>
      </c>
      <c r="AT52" s="5" t="str">
        <f t="shared" si="16"/>
        <v/>
      </c>
      <c r="AV52" s="27" t="str">
        <f>IF(G52="","",+"          ["&amp;TRIM(G52)&amp;"] ["&amp;TRIM(I52)&amp;"]"&amp;IF(H52="","","("&amp;H52&amp;")")&amp;" "&amp;TRIM(J52)&amp;IF(G53="","",","))</f>
        <v/>
      </c>
      <c r="AW52" s="27"/>
      <c r="AY52" s="122" t="str">
        <f t="shared" si="9"/>
        <v/>
      </c>
    </row>
    <row r="53" spans="2:51" ht="12.75">
      <c r="B53" s="20" t="str">
        <f t="shared" si="11"/>
        <v/>
      </c>
      <c r="C53" s="5"/>
      <c r="D53" s="5"/>
      <c r="E53" s="5"/>
      <c r="G53" s="5" t="str">
        <f t="shared" si="17"/>
        <v/>
      </c>
      <c r="H53" s="117" t="str">
        <f t="shared" si="13"/>
        <v/>
      </c>
      <c r="I53" s="5" t="str">
        <f t="shared" si="18"/>
        <v/>
      </c>
      <c r="J53" s="5" t="str">
        <f t="shared" si="19"/>
        <v/>
      </c>
      <c r="K53" s="138"/>
      <c r="L53" s="5"/>
      <c r="M53" s="75"/>
      <c r="N53" s="77"/>
      <c r="O53" s="26"/>
      <c r="P53" s="26"/>
      <c r="Q53" s="118" t="str">
        <f t="shared" si="20"/>
        <v/>
      </c>
      <c r="R53" s="153"/>
      <c r="S53" s="138" t="str">
        <f t="shared" si="10"/>
        <v/>
      </c>
      <c r="T53" s="148"/>
      <c r="U53" s="146"/>
      <c r="V53" s="146"/>
      <c r="W53" s="139"/>
      <c r="X53" s="139"/>
      <c r="Y53" s="148"/>
      <c r="Z53" s="138"/>
      <c r="AA53" s="138" t="str">
        <f t="shared" si="12"/>
        <v/>
      </c>
      <c r="AB53" s="239"/>
      <c r="AC53" s="325"/>
      <c r="AD53" s="325"/>
      <c r="AE53" s="325"/>
      <c r="AF53" s="325"/>
      <c r="AG53" s="325"/>
      <c r="AH53" s="325"/>
      <c r="AI53" s="325"/>
      <c r="AJ53" s="325"/>
      <c r="AK53" s="325"/>
      <c r="AL53" s="325"/>
      <c r="AM53" s="325"/>
      <c r="AN53" s="325"/>
      <c r="AO53" s="325"/>
      <c r="AP53" s="136"/>
      <c r="AQ53" s="136"/>
      <c r="AR53" s="136" t="str">
        <f t="shared" si="15"/>
        <v/>
      </c>
      <c r="AS53" s="136" t="str">
        <f t="shared" si="15"/>
        <v/>
      </c>
      <c r="AT53" s="5" t="str">
        <f t="shared" si="16"/>
        <v/>
      </c>
      <c r="AV53" s="27" t="str">
        <f>IF(G53="","",+"          ["&amp;TRIM(G53)&amp;"] ["&amp;TRIM(I53)&amp;"]"&amp;IF(H53="","","("&amp;H53&amp;")")&amp;" "&amp;TRIM(J53)&amp;IF(G54="","",","))</f>
        <v/>
      </c>
      <c r="AW53" s="27"/>
      <c r="AY53" s="122" t="str">
        <f t="shared" si="9"/>
        <v/>
      </c>
    </row>
    <row r="54" spans="2:51" ht="12.75">
      <c r="B54" s="20" t="str">
        <f t="shared" si="11"/>
        <v/>
      </c>
      <c r="C54" s="5"/>
      <c r="D54" s="5"/>
      <c r="E54" s="5"/>
      <c r="G54" s="5" t="str">
        <f t="shared" si="17"/>
        <v/>
      </c>
      <c r="H54" s="117" t="str">
        <f t="shared" si="13"/>
        <v/>
      </c>
      <c r="I54" s="5" t="str">
        <f t="shared" si="18"/>
        <v/>
      </c>
      <c r="J54" s="5" t="str">
        <f t="shared" si="19"/>
        <v/>
      </c>
      <c r="K54" s="138"/>
      <c r="L54" s="5"/>
      <c r="M54" s="75"/>
      <c r="N54" s="77"/>
      <c r="O54" s="26"/>
      <c r="P54" s="26"/>
      <c r="Q54" s="118" t="str">
        <f t="shared" si="20"/>
        <v/>
      </c>
      <c r="R54" s="153"/>
      <c r="S54" s="138" t="str">
        <f t="shared" si="10"/>
        <v/>
      </c>
      <c r="T54" s="148"/>
      <c r="U54" s="146"/>
      <c r="V54" s="146"/>
      <c r="W54" s="139"/>
      <c r="X54" s="139"/>
      <c r="Y54" s="148"/>
      <c r="Z54" s="138"/>
      <c r="AA54" s="138" t="str">
        <f t="shared" si="12"/>
        <v/>
      </c>
      <c r="AB54" s="239"/>
      <c r="AC54" s="325"/>
      <c r="AD54" s="325"/>
      <c r="AE54" s="325"/>
      <c r="AF54" s="325"/>
      <c r="AG54" s="325"/>
      <c r="AH54" s="325"/>
      <c r="AI54" s="325"/>
      <c r="AJ54" s="325"/>
      <c r="AK54" s="325"/>
      <c r="AL54" s="325"/>
      <c r="AM54" s="325"/>
      <c r="AN54" s="325"/>
      <c r="AO54" s="325"/>
      <c r="AP54" s="136"/>
      <c r="AQ54" s="136"/>
      <c r="AR54" s="136" t="str">
        <f t="shared" si="15"/>
        <v/>
      </c>
      <c r="AS54" s="136" t="str">
        <f t="shared" si="15"/>
        <v/>
      </c>
      <c r="AT54" s="5" t="str">
        <f t="shared" si="16"/>
        <v/>
      </c>
      <c r="AV54" s="27" t="str">
        <f>IF(G54="","",+"          ["&amp;TRIM(G54)&amp;"] ["&amp;TRIM(I54)&amp;"]"&amp;IF(H54="","","("&amp;H54&amp;")")&amp;" "&amp;TRIM(J54)&amp;IF(G63="","",","))</f>
        <v/>
      </c>
      <c r="AW54" s="27"/>
      <c r="AY54" s="122" t="str">
        <f t="shared" si="9"/>
        <v/>
      </c>
    </row>
    <row r="55" spans="2:51" ht="12.75">
      <c r="B55" s="20" t="str">
        <f t="shared" si="11"/>
        <v/>
      </c>
      <c r="C55" s="5"/>
      <c r="D55" s="5"/>
      <c r="E55" s="5"/>
      <c r="G55" s="5" t="str">
        <f t="shared" si="17"/>
        <v/>
      </c>
      <c r="H55" s="117" t="str">
        <f t="shared" si="13"/>
        <v/>
      </c>
      <c r="I55" s="5" t="str">
        <f t="shared" si="18"/>
        <v/>
      </c>
      <c r="J55" s="5" t="str">
        <f t="shared" si="19"/>
        <v/>
      </c>
      <c r="K55" s="138"/>
      <c r="L55" s="5"/>
      <c r="M55" s="75"/>
      <c r="N55" s="77"/>
      <c r="O55" s="26"/>
      <c r="P55" s="26"/>
      <c r="Q55" s="118" t="str">
        <f t="shared" si="20"/>
        <v/>
      </c>
      <c r="R55" s="153"/>
      <c r="S55" s="138" t="str">
        <f t="shared" si="10"/>
        <v/>
      </c>
      <c r="T55" s="148"/>
      <c r="U55" s="146"/>
      <c r="V55" s="146"/>
      <c r="W55" s="139"/>
      <c r="X55" s="139"/>
      <c r="Y55" s="148"/>
      <c r="Z55" s="138"/>
      <c r="AA55" s="138" t="str">
        <f t="shared" si="12"/>
        <v/>
      </c>
      <c r="AB55" s="239"/>
      <c r="AC55" s="325"/>
      <c r="AD55" s="325"/>
      <c r="AE55" s="325"/>
      <c r="AF55" s="325"/>
      <c r="AG55" s="325"/>
      <c r="AH55" s="325"/>
      <c r="AI55" s="325"/>
      <c r="AJ55" s="325"/>
      <c r="AK55" s="325"/>
      <c r="AL55" s="325"/>
      <c r="AM55" s="325"/>
      <c r="AN55" s="325"/>
      <c r="AO55" s="325"/>
      <c r="AP55" s="136"/>
      <c r="AQ55" s="136"/>
      <c r="AR55" s="136" t="str">
        <f t="shared" si="15"/>
        <v/>
      </c>
      <c r="AS55" s="136" t="str">
        <f t="shared" si="15"/>
        <v/>
      </c>
      <c r="AT55" s="5" t="str">
        <f t="shared" si="16"/>
        <v/>
      </c>
      <c r="AV55" s="27" t="str">
        <f>IF(G55="","",+"          ["&amp;TRIM(G55)&amp;"] ["&amp;TRIM(I55)&amp;"]"&amp;IF(H55="","","("&amp;H55&amp;")")&amp;" "&amp;TRIM(J55)&amp;IF(G56="","",","))</f>
        <v/>
      </c>
      <c r="AW55" s="27"/>
      <c r="AY55" s="122" t="str">
        <f t="shared" si="9"/>
        <v/>
      </c>
    </row>
    <row r="56" spans="2:51" ht="12.75">
      <c r="B56" s="20" t="str">
        <f t="shared" si="11"/>
        <v/>
      </c>
      <c r="C56" s="5"/>
      <c r="D56" s="5"/>
      <c r="E56" s="5"/>
      <c r="G56" s="5" t="str">
        <f t="shared" si="17"/>
        <v/>
      </c>
      <c r="H56" s="117" t="str">
        <f t="shared" si="13"/>
        <v/>
      </c>
      <c r="I56" s="5" t="str">
        <f t="shared" si="18"/>
        <v/>
      </c>
      <c r="J56" s="5" t="str">
        <f t="shared" si="19"/>
        <v/>
      </c>
      <c r="K56" s="138"/>
      <c r="L56" s="5"/>
      <c r="M56" s="75"/>
      <c r="N56" s="77"/>
      <c r="O56" s="26"/>
      <c r="P56" s="26"/>
      <c r="Q56" s="118" t="str">
        <f t="shared" si="20"/>
        <v/>
      </c>
      <c r="R56" s="153"/>
      <c r="S56" s="138" t="str">
        <f t="shared" si="10"/>
        <v/>
      </c>
      <c r="T56" s="148"/>
      <c r="U56" s="146"/>
      <c r="V56" s="146"/>
      <c r="W56" s="139"/>
      <c r="X56" s="139"/>
      <c r="Y56" s="148"/>
      <c r="Z56" s="138"/>
      <c r="AA56" s="138" t="str">
        <f t="shared" si="12"/>
        <v/>
      </c>
      <c r="AB56" s="239"/>
      <c r="AC56" s="325"/>
      <c r="AD56" s="325"/>
      <c r="AE56" s="325"/>
      <c r="AF56" s="325"/>
      <c r="AG56" s="325"/>
      <c r="AH56" s="325"/>
      <c r="AI56" s="325"/>
      <c r="AJ56" s="325"/>
      <c r="AK56" s="325"/>
      <c r="AL56" s="325"/>
      <c r="AM56" s="325"/>
      <c r="AN56" s="325"/>
      <c r="AO56" s="325"/>
      <c r="AP56" s="136"/>
      <c r="AQ56" s="136"/>
      <c r="AR56" s="136" t="str">
        <f t="shared" si="15"/>
        <v/>
      </c>
      <c r="AS56" s="136" t="str">
        <f t="shared" si="15"/>
        <v/>
      </c>
      <c r="AT56" s="5" t="str">
        <f t="shared" si="16"/>
        <v/>
      </c>
      <c r="AV56" s="27" t="str">
        <f>IF(G56="","",+"          ["&amp;TRIM(G56)&amp;"] ["&amp;TRIM(I56)&amp;"]"&amp;IF(H56="","","("&amp;H56&amp;")")&amp;" "&amp;TRIM(J56)&amp;IF(G62="","",","))</f>
        <v/>
      </c>
      <c r="AW56" s="27"/>
      <c r="AY56" s="122" t="str">
        <f t="shared" si="9"/>
        <v/>
      </c>
    </row>
    <row r="57" spans="2:51" ht="12.75">
      <c r="B57" s="20" t="str">
        <f t="shared" si="11"/>
        <v/>
      </c>
      <c r="C57" s="5"/>
      <c r="D57" s="5"/>
      <c r="E57" s="5"/>
      <c r="G57" s="5" t="str">
        <f t="shared" si="17"/>
        <v/>
      </c>
      <c r="H57" s="117" t="str">
        <f t="shared" si="13"/>
        <v/>
      </c>
      <c r="I57" s="5" t="str">
        <f t="shared" si="18"/>
        <v/>
      </c>
      <c r="J57" s="5" t="str">
        <f t="shared" si="19"/>
        <v/>
      </c>
      <c r="K57" s="138"/>
      <c r="L57" s="5"/>
      <c r="M57" s="75"/>
      <c r="N57" s="77"/>
      <c r="O57" s="26"/>
      <c r="P57" s="26"/>
      <c r="Q57" s="118" t="str">
        <f t="shared" si="20"/>
        <v/>
      </c>
      <c r="R57" s="153"/>
      <c r="S57" s="138" t="str">
        <f t="shared" si="10"/>
        <v/>
      </c>
      <c r="T57" s="148"/>
      <c r="U57" s="146"/>
      <c r="V57" s="146"/>
      <c r="W57" s="139"/>
      <c r="X57" s="139"/>
      <c r="Y57" s="148"/>
      <c r="Z57" s="138"/>
      <c r="AA57" s="138" t="str">
        <f t="shared" si="12"/>
        <v/>
      </c>
      <c r="AB57" s="239"/>
      <c r="AC57" s="325"/>
      <c r="AD57" s="325"/>
      <c r="AE57" s="325"/>
      <c r="AF57" s="325"/>
      <c r="AG57" s="325"/>
      <c r="AH57" s="325"/>
      <c r="AI57" s="325"/>
      <c r="AJ57" s="325"/>
      <c r="AK57" s="325"/>
      <c r="AL57" s="325"/>
      <c r="AM57" s="325"/>
      <c r="AN57" s="325"/>
      <c r="AO57" s="325"/>
      <c r="AP57" s="136"/>
      <c r="AQ57" s="136"/>
      <c r="AR57" s="136" t="str">
        <f t="shared" si="15"/>
        <v/>
      </c>
      <c r="AS57" s="136" t="str">
        <f t="shared" si="15"/>
        <v/>
      </c>
      <c r="AT57" s="5" t="str">
        <f t="shared" si="16"/>
        <v/>
      </c>
      <c r="AV57" s="27" t="str">
        <f>IF(G57="","",+"          ["&amp;TRIM(G57)&amp;"] ["&amp;TRIM(I57)&amp;"]"&amp;IF(H57="","","("&amp;H57&amp;")")&amp;" "&amp;TRIM(J57)&amp;IF(G58="","",","))</f>
        <v/>
      </c>
      <c r="AW57" s="27"/>
      <c r="AY57" s="122" t="str">
        <f t="shared" si="9"/>
        <v/>
      </c>
    </row>
    <row r="58" spans="2:51" ht="12.75">
      <c r="B58" s="20" t="str">
        <f t="shared" si="11"/>
        <v/>
      </c>
      <c r="C58" s="5"/>
      <c r="D58" s="5"/>
      <c r="E58" s="5"/>
      <c r="G58" s="5" t="str">
        <f t="shared" si="17"/>
        <v/>
      </c>
      <c r="H58" s="117" t="str">
        <f t="shared" si="13"/>
        <v/>
      </c>
      <c r="I58" s="5" t="str">
        <f t="shared" si="18"/>
        <v/>
      </c>
      <c r="J58" s="5" t="str">
        <f t="shared" si="19"/>
        <v/>
      </c>
      <c r="K58" s="138"/>
      <c r="L58" s="5"/>
      <c r="M58" s="75"/>
      <c r="N58" s="77"/>
      <c r="O58" s="26"/>
      <c r="P58" s="26"/>
      <c r="Q58" s="118" t="str">
        <f t="shared" si="20"/>
        <v/>
      </c>
      <c r="R58" s="153"/>
      <c r="S58" s="138" t="str">
        <f t="shared" si="10"/>
        <v/>
      </c>
      <c r="T58" s="148"/>
      <c r="U58" s="146"/>
      <c r="V58" s="146"/>
      <c r="W58" s="139"/>
      <c r="X58" s="139"/>
      <c r="Y58" s="148"/>
      <c r="Z58" s="138"/>
      <c r="AA58" s="138" t="str">
        <f t="shared" si="12"/>
        <v/>
      </c>
      <c r="AB58" s="239"/>
      <c r="AC58" s="325"/>
      <c r="AD58" s="325"/>
      <c r="AE58" s="325"/>
      <c r="AF58" s="325"/>
      <c r="AG58" s="325"/>
      <c r="AH58" s="325"/>
      <c r="AI58" s="325"/>
      <c r="AJ58" s="325"/>
      <c r="AK58" s="325"/>
      <c r="AL58" s="325"/>
      <c r="AM58" s="325"/>
      <c r="AN58" s="325"/>
      <c r="AO58" s="325"/>
      <c r="AP58" s="136"/>
      <c r="AQ58" s="136"/>
      <c r="AR58" s="136" t="str">
        <f t="shared" si="15"/>
        <v/>
      </c>
      <c r="AS58" s="136" t="str">
        <f t="shared" si="15"/>
        <v/>
      </c>
      <c r="AT58" s="5" t="str">
        <f t="shared" si="16"/>
        <v/>
      </c>
      <c r="AV58" s="27" t="str">
        <f>IF(G58="","",+"          ["&amp;TRIM(G58)&amp;"] ["&amp;TRIM(I58)&amp;"]"&amp;IF(H58="","","("&amp;H58&amp;")")&amp;" "&amp;TRIM(J58)&amp;IF(G61="","",","))</f>
        <v/>
      </c>
      <c r="AW58" s="27"/>
      <c r="AY58" s="122" t="str">
        <f t="shared" si="9"/>
        <v/>
      </c>
    </row>
    <row r="59" spans="2:51" ht="12.75">
      <c r="B59" s="20" t="str">
        <f t="shared" si="11"/>
        <v/>
      </c>
      <c r="C59" s="5"/>
      <c r="D59" s="5"/>
      <c r="E59" s="5"/>
      <c r="G59" s="5" t="str">
        <f t="shared" si="17"/>
        <v/>
      </c>
      <c r="H59" s="117" t="str">
        <f t="shared" si="13"/>
        <v/>
      </c>
      <c r="I59" s="5" t="str">
        <f t="shared" si="18"/>
        <v/>
      </c>
      <c r="J59" s="5" t="str">
        <f t="shared" si="19"/>
        <v/>
      </c>
      <c r="K59" s="5"/>
      <c r="L59" s="5"/>
      <c r="M59" s="75"/>
      <c r="N59" s="77"/>
      <c r="O59" s="26"/>
      <c r="P59" s="26"/>
      <c r="Q59" s="118" t="str">
        <f t="shared" si="20"/>
        <v/>
      </c>
      <c r="R59" s="153"/>
      <c r="S59" s="138" t="str">
        <f t="shared" si="10"/>
        <v/>
      </c>
      <c r="T59" s="148"/>
      <c r="U59" s="146"/>
      <c r="V59" s="146"/>
      <c r="W59" s="139"/>
      <c r="X59" s="139"/>
      <c r="Y59" s="148"/>
      <c r="Z59" s="138"/>
      <c r="AA59" s="138" t="str">
        <f t="shared" si="12"/>
        <v/>
      </c>
      <c r="AB59" s="239"/>
      <c r="AC59" s="325"/>
      <c r="AD59" s="325"/>
      <c r="AE59" s="325"/>
      <c r="AF59" s="325"/>
      <c r="AG59" s="325"/>
      <c r="AH59" s="325"/>
      <c r="AI59" s="325"/>
      <c r="AJ59" s="325"/>
      <c r="AK59" s="325"/>
      <c r="AL59" s="325"/>
      <c r="AM59" s="325"/>
      <c r="AN59" s="325"/>
      <c r="AO59" s="325"/>
      <c r="AP59" s="136"/>
      <c r="AQ59" s="136"/>
      <c r="AR59" s="136" t="str">
        <f t="shared" si="15"/>
        <v/>
      </c>
      <c r="AS59" s="136" t="str">
        <f t="shared" si="15"/>
        <v/>
      </c>
      <c r="AT59" s="5" t="str">
        <f t="shared" si="16"/>
        <v/>
      </c>
      <c r="AV59" s="27" t="str">
        <f t="shared" ref="AV59:AV64" si="21">IF(G59="","",+"          ["&amp;TRIM(G59)&amp;"] ["&amp;TRIM(I59)&amp;"]"&amp;IF(H59="","","("&amp;H59&amp;")")&amp;" "&amp;TRIM(J59)&amp;IF(G60="","",","))</f>
        <v/>
      </c>
      <c r="AW59" s="27"/>
      <c r="AY59" s="122" t="str">
        <f t="shared" si="9"/>
        <v/>
      </c>
    </row>
    <row r="60" spans="2:51" ht="12.75">
      <c r="B60" s="20" t="str">
        <f t="shared" si="11"/>
        <v/>
      </c>
      <c r="C60" s="5"/>
      <c r="D60" s="5"/>
      <c r="E60" s="5"/>
      <c r="G60" s="5" t="str">
        <f t="shared" si="17"/>
        <v/>
      </c>
      <c r="H60" s="117" t="str">
        <f t="shared" si="13"/>
        <v/>
      </c>
      <c r="I60" s="5" t="str">
        <f t="shared" si="18"/>
        <v/>
      </c>
      <c r="J60" s="5" t="str">
        <f t="shared" si="19"/>
        <v/>
      </c>
      <c r="K60" s="5"/>
      <c r="L60" s="5"/>
      <c r="M60" s="75"/>
      <c r="N60" s="77"/>
      <c r="O60" s="26"/>
      <c r="P60" s="26"/>
      <c r="Q60" s="118" t="str">
        <f t="shared" si="20"/>
        <v/>
      </c>
      <c r="R60" s="153"/>
      <c r="S60" s="138" t="str">
        <f t="shared" si="10"/>
        <v/>
      </c>
      <c r="T60" s="148"/>
      <c r="U60" s="146"/>
      <c r="V60" s="146"/>
      <c r="W60" s="139"/>
      <c r="X60" s="139"/>
      <c r="Y60" s="148"/>
      <c r="Z60" s="138" t="str">
        <f t="shared" ref="Z60:Z115" si="22">IF(M60&lt;9000,"","false")</f>
        <v/>
      </c>
      <c r="AA60" s="138" t="str">
        <f t="shared" si="12"/>
        <v/>
      </c>
      <c r="AB60" s="239"/>
      <c r="AC60" s="325"/>
      <c r="AD60" s="325"/>
      <c r="AE60" s="325"/>
      <c r="AF60" s="325"/>
      <c r="AG60" s="325"/>
      <c r="AH60" s="325"/>
      <c r="AI60" s="325"/>
      <c r="AJ60" s="325"/>
      <c r="AK60" s="325"/>
      <c r="AL60" s="325"/>
      <c r="AM60" s="325"/>
      <c r="AN60" s="325"/>
      <c r="AO60" s="325"/>
      <c r="AP60" s="136"/>
      <c r="AQ60" s="136"/>
      <c r="AR60" s="136" t="str">
        <f t="shared" si="15"/>
        <v/>
      </c>
      <c r="AS60" s="136" t="str">
        <f t="shared" si="15"/>
        <v/>
      </c>
      <c r="AT60" s="5" t="str">
        <f t="shared" si="16"/>
        <v/>
      </c>
      <c r="AV60" s="27" t="str">
        <f t="shared" si="21"/>
        <v/>
      </c>
      <c r="AW60" s="27"/>
      <c r="AY60" s="122" t="str">
        <f t="shared" si="9"/>
        <v/>
      </c>
    </row>
    <row r="61" spans="2:51" ht="12.75">
      <c r="B61" s="20" t="str">
        <f t="shared" si="11"/>
        <v/>
      </c>
      <c r="C61" s="5"/>
      <c r="D61" s="5"/>
      <c r="E61" s="5"/>
      <c r="G61" s="5" t="str">
        <f t="shared" si="17"/>
        <v/>
      </c>
      <c r="H61" s="117" t="str">
        <f t="shared" si="13"/>
        <v/>
      </c>
      <c r="I61" s="5" t="str">
        <f t="shared" si="18"/>
        <v/>
      </c>
      <c r="J61" s="5" t="str">
        <f t="shared" si="19"/>
        <v/>
      </c>
      <c r="K61" s="5"/>
      <c r="L61" s="5"/>
      <c r="M61" s="75"/>
      <c r="N61" s="77"/>
      <c r="O61" s="26"/>
      <c r="P61" s="26"/>
      <c r="Q61" s="118" t="str">
        <f t="shared" si="20"/>
        <v/>
      </c>
      <c r="R61" s="153"/>
      <c r="S61" s="138" t="str">
        <f t="shared" si="10"/>
        <v/>
      </c>
      <c r="T61" s="148"/>
      <c r="U61" s="146"/>
      <c r="V61" s="146"/>
      <c r="W61" s="139"/>
      <c r="X61" s="139"/>
      <c r="Y61" s="148"/>
      <c r="Z61" s="138" t="str">
        <f t="shared" si="22"/>
        <v/>
      </c>
      <c r="AA61" s="138" t="str">
        <f t="shared" si="12"/>
        <v/>
      </c>
      <c r="AB61" s="239"/>
      <c r="AC61" s="325"/>
      <c r="AD61" s="325"/>
      <c r="AE61" s="325"/>
      <c r="AF61" s="325"/>
      <c r="AG61" s="325"/>
      <c r="AH61" s="325"/>
      <c r="AI61" s="325"/>
      <c r="AJ61" s="325"/>
      <c r="AK61" s="325"/>
      <c r="AL61" s="325"/>
      <c r="AM61" s="325"/>
      <c r="AN61" s="325"/>
      <c r="AO61" s="325"/>
      <c r="AP61" s="136"/>
      <c r="AQ61" s="136"/>
      <c r="AR61" s="136" t="str">
        <f t="shared" si="15"/>
        <v/>
      </c>
      <c r="AS61" s="136" t="str">
        <f t="shared" si="15"/>
        <v/>
      </c>
      <c r="AT61" s="5" t="str">
        <f t="shared" si="16"/>
        <v/>
      </c>
      <c r="AV61" s="27" t="str">
        <f t="shared" si="21"/>
        <v/>
      </c>
      <c r="AW61" s="27"/>
      <c r="AY61" s="122" t="str">
        <f t="shared" si="9"/>
        <v/>
      </c>
    </row>
    <row r="62" spans="2:51" ht="12.75">
      <c r="B62" s="20" t="str">
        <f t="shared" si="11"/>
        <v/>
      </c>
      <c r="C62" s="5"/>
      <c r="D62" s="5"/>
      <c r="E62" s="5"/>
      <c r="G62" s="5" t="str">
        <f t="shared" si="17"/>
        <v/>
      </c>
      <c r="H62" s="117" t="str">
        <f t="shared" si="13"/>
        <v/>
      </c>
      <c r="I62" s="5" t="str">
        <f t="shared" si="18"/>
        <v/>
      </c>
      <c r="J62" s="5" t="str">
        <f t="shared" si="19"/>
        <v/>
      </c>
      <c r="K62" s="5"/>
      <c r="L62" s="5"/>
      <c r="M62" s="75"/>
      <c r="N62" s="77"/>
      <c r="O62" s="26"/>
      <c r="P62" s="26"/>
      <c r="Q62" s="118" t="str">
        <f t="shared" si="20"/>
        <v/>
      </c>
      <c r="R62" s="153"/>
      <c r="S62" s="138" t="str">
        <f t="shared" si="10"/>
        <v/>
      </c>
      <c r="T62" s="148"/>
      <c r="U62" s="146"/>
      <c r="V62" s="146"/>
      <c r="W62" s="139"/>
      <c r="X62" s="139"/>
      <c r="Y62" s="148"/>
      <c r="Z62" s="138" t="str">
        <f t="shared" si="22"/>
        <v/>
      </c>
      <c r="AA62" s="138" t="str">
        <f t="shared" si="12"/>
        <v/>
      </c>
      <c r="AB62" s="239"/>
      <c r="AC62" s="325"/>
      <c r="AD62" s="325"/>
      <c r="AE62" s="325"/>
      <c r="AF62" s="325"/>
      <c r="AG62" s="325"/>
      <c r="AH62" s="325"/>
      <c r="AI62" s="325"/>
      <c r="AJ62" s="325"/>
      <c r="AK62" s="325"/>
      <c r="AL62" s="325"/>
      <c r="AM62" s="325"/>
      <c r="AN62" s="325"/>
      <c r="AO62" s="325"/>
      <c r="AP62" s="136"/>
      <c r="AQ62" s="136"/>
      <c r="AR62" s="136" t="str">
        <f t="shared" si="15"/>
        <v/>
      </c>
      <c r="AS62" s="136" t="str">
        <f t="shared" si="15"/>
        <v/>
      </c>
      <c r="AT62" s="5" t="str">
        <f t="shared" si="16"/>
        <v/>
      </c>
      <c r="AV62" s="27" t="str">
        <f t="shared" si="21"/>
        <v/>
      </c>
      <c r="AW62" s="27"/>
      <c r="AY62" s="122" t="str">
        <f t="shared" si="9"/>
        <v/>
      </c>
    </row>
    <row r="63" spans="2:51" ht="12.75">
      <c r="B63" s="20" t="str">
        <f t="shared" si="11"/>
        <v/>
      </c>
      <c r="C63" s="5"/>
      <c r="D63" s="5"/>
      <c r="E63" s="5"/>
      <c r="G63" s="5" t="str">
        <f t="shared" si="17"/>
        <v/>
      </c>
      <c r="H63" s="117" t="str">
        <f t="shared" si="13"/>
        <v/>
      </c>
      <c r="I63" s="5" t="str">
        <f t="shared" si="18"/>
        <v/>
      </c>
      <c r="J63" s="5" t="str">
        <f t="shared" si="19"/>
        <v/>
      </c>
      <c r="K63" s="5"/>
      <c r="L63" s="5"/>
      <c r="M63" s="75"/>
      <c r="N63" s="77"/>
      <c r="O63" s="26"/>
      <c r="P63" s="26"/>
      <c r="Q63" s="118" t="str">
        <f t="shared" si="20"/>
        <v/>
      </c>
      <c r="R63" s="153"/>
      <c r="S63" s="138" t="str">
        <f t="shared" si="10"/>
        <v/>
      </c>
      <c r="T63" s="148"/>
      <c r="U63" s="146"/>
      <c r="V63" s="146"/>
      <c r="W63" s="139"/>
      <c r="X63" s="139"/>
      <c r="Y63" s="148"/>
      <c r="Z63" s="138" t="str">
        <f t="shared" si="22"/>
        <v/>
      </c>
      <c r="AA63" s="138" t="str">
        <f t="shared" si="12"/>
        <v/>
      </c>
      <c r="AB63" s="239"/>
      <c r="AC63" s="325"/>
      <c r="AD63" s="325"/>
      <c r="AE63" s="325"/>
      <c r="AF63" s="325"/>
      <c r="AG63" s="325"/>
      <c r="AH63" s="325"/>
      <c r="AI63" s="325"/>
      <c r="AJ63" s="325"/>
      <c r="AK63" s="325"/>
      <c r="AL63" s="325"/>
      <c r="AM63" s="325"/>
      <c r="AN63" s="325"/>
      <c r="AO63" s="325"/>
      <c r="AP63" s="136"/>
      <c r="AQ63" s="136"/>
      <c r="AR63" s="136" t="str">
        <f t="shared" si="15"/>
        <v/>
      </c>
      <c r="AS63" s="136" t="str">
        <f t="shared" si="15"/>
        <v/>
      </c>
      <c r="AT63" s="5" t="str">
        <f t="shared" si="16"/>
        <v/>
      </c>
      <c r="AV63" s="27" t="str">
        <f t="shared" si="21"/>
        <v/>
      </c>
      <c r="AW63" s="27"/>
      <c r="AY63" s="122" t="str">
        <f t="shared" si="9"/>
        <v/>
      </c>
    </row>
    <row r="64" spans="2:51" ht="12.75">
      <c r="B64" s="20" t="str">
        <f t="shared" si="11"/>
        <v/>
      </c>
      <c r="C64" s="5"/>
      <c r="D64" s="5"/>
      <c r="E64" s="5"/>
      <c r="G64" s="5" t="str">
        <f t="shared" si="17"/>
        <v/>
      </c>
      <c r="H64" s="117" t="str">
        <f t="shared" si="13"/>
        <v/>
      </c>
      <c r="I64" s="5" t="str">
        <f t="shared" si="18"/>
        <v/>
      </c>
      <c r="J64" s="5" t="str">
        <f t="shared" si="19"/>
        <v/>
      </c>
      <c r="K64" s="5"/>
      <c r="L64" s="5"/>
      <c r="M64" s="75"/>
      <c r="N64" s="77"/>
      <c r="O64" s="26"/>
      <c r="P64" s="26"/>
      <c r="Q64" s="118" t="str">
        <f t="shared" si="20"/>
        <v/>
      </c>
      <c r="R64" s="153"/>
      <c r="S64" s="138" t="str">
        <f t="shared" si="10"/>
        <v/>
      </c>
      <c r="T64" s="148"/>
      <c r="U64" s="146"/>
      <c r="V64" s="146"/>
      <c r="W64" s="139"/>
      <c r="X64" s="139"/>
      <c r="Y64" s="148"/>
      <c r="Z64" s="138" t="str">
        <f t="shared" si="22"/>
        <v/>
      </c>
      <c r="AA64" s="138" t="str">
        <f t="shared" si="12"/>
        <v/>
      </c>
      <c r="AB64" s="239"/>
      <c r="AC64" s="325"/>
      <c r="AD64" s="325"/>
      <c r="AE64" s="325"/>
      <c r="AF64" s="325"/>
      <c r="AG64" s="325"/>
      <c r="AH64" s="325"/>
      <c r="AI64" s="325"/>
      <c r="AJ64" s="325"/>
      <c r="AK64" s="325"/>
      <c r="AL64" s="325"/>
      <c r="AM64" s="325"/>
      <c r="AN64" s="325"/>
      <c r="AO64" s="325"/>
      <c r="AP64" s="136"/>
      <c r="AQ64" s="136"/>
      <c r="AR64" s="136" t="str">
        <f t="shared" si="15"/>
        <v/>
      </c>
      <c r="AS64" s="136" t="str">
        <f t="shared" si="15"/>
        <v/>
      </c>
      <c r="AT64" s="5" t="str">
        <f t="shared" si="16"/>
        <v/>
      </c>
      <c r="AV64" s="27" t="str">
        <f t="shared" si="21"/>
        <v/>
      </c>
      <c r="AW64" s="27"/>
      <c r="AY64" s="122" t="str">
        <f t="shared" si="9"/>
        <v/>
      </c>
    </row>
    <row r="65" spans="2:51" ht="12.75">
      <c r="B65" s="20" t="str">
        <f t="shared" si="11"/>
        <v/>
      </c>
      <c r="C65" s="5"/>
      <c r="D65" s="5"/>
      <c r="E65" s="5"/>
      <c r="G65" s="5" t="str">
        <f t="shared" si="17"/>
        <v/>
      </c>
      <c r="H65" s="117" t="str">
        <f t="shared" si="13"/>
        <v/>
      </c>
      <c r="I65" s="5" t="str">
        <f t="shared" si="18"/>
        <v/>
      </c>
      <c r="J65" s="5" t="str">
        <f t="shared" si="19"/>
        <v/>
      </c>
      <c r="K65" s="5"/>
      <c r="L65" s="5"/>
      <c r="M65" s="75"/>
      <c r="N65" s="77"/>
      <c r="O65" s="26"/>
      <c r="P65" s="26"/>
      <c r="Q65" s="118" t="str">
        <f t="shared" si="20"/>
        <v/>
      </c>
      <c r="R65" s="153"/>
      <c r="S65" s="138" t="str">
        <f t="shared" si="10"/>
        <v/>
      </c>
      <c r="T65" s="148"/>
      <c r="U65" s="146"/>
      <c r="V65" s="146"/>
      <c r="W65" s="139"/>
      <c r="X65" s="139"/>
      <c r="Y65" s="148"/>
      <c r="Z65" s="138" t="str">
        <f t="shared" si="22"/>
        <v/>
      </c>
      <c r="AA65" s="138" t="str">
        <f t="shared" si="12"/>
        <v/>
      </c>
      <c r="AB65" s="239"/>
      <c r="AC65" s="325"/>
      <c r="AD65" s="325"/>
      <c r="AE65" s="325"/>
      <c r="AF65" s="325"/>
      <c r="AG65" s="325"/>
      <c r="AH65" s="325"/>
      <c r="AI65" s="325"/>
      <c r="AJ65" s="325"/>
      <c r="AK65" s="325"/>
      <c r="AL65" s="325"/>
      <c r="AM65" s="325"/>
      <c r="AN65" s="325"/>
      <c r="AO65" s="325"/>
      <c r="AP65" s="136"/>
      <c r="AQ65" s="136"/>
      <c r="AR65" s="136" t="str">
        <f t="shared" si="15"/>
        <v/>
      </c>
      <c r="AS65" s="136" t="str">
        <f t="shared" si="15"/>
        <v/>
      </c>
      <c r="AT65" s="5" t="str">
        <f t="shared" si="16"/>
        <v/>
      </c>
      <c r="AV65" s="27" t="str">
        <f>IF(G65="","",+"          ["&amp;TRIM(G65)&amp;"] ["&amp;TRIM(I65)&amp;"]"&amp;IF(H65="","","("&amp;H65&amp;")")&amp;" "&amp;TRIM(J65)&amp;IF(G68="","",","))</f>
        <v/>
      </c>
      <c r="AW65" s="27"/>
      <c r="AY65" s="122" t="str">
        <f t="shared" si="9"/>
        <v/>
      </c>
    </row>
    <row r="66" spans="2:51" ht="12.75">
      <c r="B66" s="20" t="str">
        <f t="shared" si="11"/>
        <v/>
      </c>
      <c r="C66" s="5"/>
      <c r="D66" s="5"/>
      <c r="E66" s="5"/>
      <c r="G66" s="5" t="str">
        <f t="shared" si="17"/>
        <v/>
      </c>
      <c r="H66" s="117" t="str">
        <f t="shared" si="13"/>
        <v/>
      </c>
      <c r="I66" s="5" t="str">
        <f t="shared" si="18"/>
        <v/>
      </c>
      <c r="J66" s="5" t="str">
        <f t="shared" si="19"/>
        <v/>
      </c>
      <c r="K66" s="5"/>
      <c r="L66" s="5"/>
      <c r="M66" s="75"/>
      <c r="N66" s="77"/>
      <c r="O66" s="26"/>
      <c r="P66" s="26"/>
      <c r="Q66" s="118" t="str">
        <f t="shared" si="20"/>
        <v/>
      </c>
      <c r="R66" s="153"/>
      <c r="S66" s="138" t="str">
        <f t="shared" si="10"/>
        <v/>
      </c>
      <c r="T66" s="148"/>
      <c r="U66" s="146"/>
      <c r="V66" s="146"/>
      <c r="W66" s="139"/>
      <c r="X66" s="139"/>
      <c r="Y66" s="148"/>
      <c r="Z66" s="138" t="str">
        <f t="shared" si="22"/>
        <v/>
      </c>
      <c r="AA66" s="138" t="str">
        <f t="shared" si="12"/>
        <v/>
      </c>
      <c r="AB66" s="239"/>
      <c r="AC66" s="325"/>
      <c r="AD66" s="325"/>
      <c r="AE66" s="325"/>
      <c r="AF66" s="325"/>
      <c r="AG66" s="325"/>
      <c r="AH66" s="325"/>
      <c r="AI66" s="325"/>
      <c r="AJ66" s="325"/>
      <c r="AK66" s="325"/>
      <c r="AL66" s="325"/>
      <c r="AM66" s="325"/>
      <c r="AN66" s="325"/>
      <c r="AO66" s="325"/>
      <c r="AP66" s="136"/>
      <c r="AQ66" s="136"/>
      <c r="AR66" s="136" t="str">
        <f t="shared" si="15"/>
        <v/>
      </c>
      <c r="AS66" s="136" t="str">
        <f t="shared" si="15"/>
        <v/>
      </c>
      <c r="AT66" s="5" t="str">
        <f t="shared" si="16"/>
        <v/>
      </c>
      <c r="AV66" s="27" t="str">
        <f>IF(G66="","",+"          ["&amp;TRIM(G66)&amp;"] ["&amp;TRIM(I66)&amp;"]"&amp;IF(H66="","","("&amp;H66&amp;")")&amp;" "&amp;TRIM(J66)&amp;IF(G67="","",","))</f>
        <v/>
      </c>
      <c r="AW66" s="27"/>
      <c r="AY66" s="122" t="str">
        <f t="shared" si="9"/>
        <v/>
      </c>
    </row>
    <row r="67" spans="2:51" ht="12.75">
      <c r="B67" s="20" t="str">
        <f t="shared" si="11"/>
        <v/>
      </c>
      <c r="C67" s="5"/>
      <c r="D67" s="5"/>
      <c r="E67" s="5"/>
      <c r="G67" s="5" t="str">
        <f t="shared" si="17"/>
        <v/>
      </c>
      <c r="H67" s="117" t="str">
        <f t="shared" si="13"/>
        <v/>
      </c>
      <c r="I67" s="5" t="str">
        <f t="shared" si="18"/>
        <v/>
      </c>
      <c r="J67" s="5" t="str">
        <f t="shared" si="19"/>
        <v/>
      </c>
      <c r="K67" s="5"/>
      <c r="L67" s="5"/>
      <c r="M67" s="75"/>
      <c r="N67" s="77"/>
      <c r="O67" s="26"/>
      <c r="P67" s="26"/>
      <c r="Q67" s="118" t="str">
        <f t="shared" si="20"/>
        <v/>
      </c>
      <c r="R67" s="153"/>
      <c r="S67" s="138" t="str">
        <f t="shared" si="10"/>
        <v/>
      </c>
      <c r="T67" s="148"/>
      <c r="U67" s="146"/>
      <c r="V67" s="146"/>
      <c r="W67" s="139"/>
      <c r="X67" s="139"/>
      <c r="Y67" s="148"/>
      <c r="Z67" s="138" t="str">
        <f t="shared" si="22"/>
        <v/>
      </c>
      <c r="AA67" s="138" t="str">
        <f t="shared" si="12"/>
        <v/>
      </c>
      <c r="AB67" s="239"/>
      <c r="AC67" s="325"/>
      <c r="AD67" s="325"/>
      <c r="AE67" s="325"/>
      <c r="AF67" s="325"/>
      <c r="AG67" s="325"/>
      <c r="AH67" s="325"/>
      <c r="AI67" s="325"/>
      <c r="AJ67" s="325"/>
      <c r="AK67" s="325"/>
      <c r="AL67" s="325"/>
      <c r="AM67" s="325"/>
      <c r="AN67" s="325"/>
      <c r="AO67" s="325"/>
      <c r="AP67" s="136"/>
      <c r="AQ67" s="136"/>
      <c r="AR67" s="136" t="str">
        <f t="shared" si="15"/>
        <v/>
      </c>
      <c r="AS67" s="136" t="str">
        <f t="shared" si="15"/>
        <v/>
      </c>
      <c r="AT67" s="5" t="str">
        <f t="shared" si="16"/>
        <v/>
      </c>
      <c r="AV67" s="27" t="str">
        <f>IF(G67="","",+"          ["&amp;TRIM(G67)&amp;"] ["&amp;TRIM(I67)&amp;"]"&amp;IF(H67="","","("&amp;H67&amp;")")&amp;" "&amp;TRIM(J67)&amp;IF(G68="","",","))</f>
        <v/>
      </c>
      <c r="AW67" s="27"/>
      <c r="AY67" s="122" t="str">
        <f t="shared" si="9"/>
        <v/>
      </c>
    </row>
    <row r="68" spans="2:51" ht="12.75">
      <c r="B68" s="20" t="str">
        <f t="shared" si="11"/>
        <v/>
      </c>
      <c r="C68" s="5"/>
      <c r="D68" s="5"/>
      <c r="E68" s="5"/>
      <c r="G68" s="5" t="str">
        <f t="shared" si="17"/>
        <v/>
      </c>
      <c r="H68" s="117" t="str">
        <f t="shared" si="13"/>
        <v/>
      </c>
      <c r="I68" s="5" t="str">
        <f t="shared" si="18"/>
        <v/>
      </c>
      <c r="J68" s="5" t="str">
        <f t="shared" si="19"/>
        <v/>
      </c>
      <c r="K68" s="5"/>
      <c r="L68" s="5"/>
      <c r="M68" s="75"/>
      <c r="N68" s="77"/>
      <c r="O68" s="26"/>
      <c r="P68" s="26"/>
      <c r="Q68" s="118" t="str">
        <f t="shared" si="20"/>
        <v/>
      </c>
      <c r="R68" s="153"/>
      <c r="S68" s="138" t="str">
        <f t="shared" si="10"/>
        <v/>
      </c>
      <c r="T68" s="148"/>
      <c r="U68" s="146"/>
      <c r="V68" s="146"/>
      <c r="W68" s="139"/>
      <c r="X68" s="139"/>
      <c r="Y68" s="148"/>
      <c r="Z68" s="138" t="str">
        <f t="shared" si="22"/>
        <v/>
      </c>
      <c r="AA68" s="138" t="str">
        <f t="shared" si="12"/>
        <v/>
      </c>
      <c r="AB68" s="239"/>
      <c r="AC68" s="325"/>
      <c r="AD68" s="325"/>
      <c r="AE68" s="325"/>
      <c r="AF68" s="325"/>
      <c r="AG68" s="325"/>
      <c r="AH68" s="325"/>
      <c r="AI68" s="325"/>
      <c r="AJ68" s="325"/>
      <c r="AK68" s="325"/>
      <c r="AL68" s="325"/>
      <c r="AM68" s="325"/>
      <c r="AN68" s="325"/>
      <c r="AO68" s="325"/>
      <c r="AP68" s="136"/>
      <c r="AQ68" s="136"/>
      <c r="AR68" s="136" t="str">
        <f t="shared" si="15"/>
        <v/>
      </c>
      <c r="AS68" s="136" t="str">
        <f t="shared" si="15"/>
        <v/>
      </c>
      <c r="AT68" s="5" t="str">
        <f t="shared" si="16"/>
        <v/>
      </c>
      <c r="AV68" s="27" t="str">
        <f>IF(G68="","",+"          ["&amp;TRIM(G68)&amp;"] ["&amp;TRIM(I68)&amp;"]"&amp;IF(H68="","","("&amp;H68&amp;")")&amp;" "&amp;TRIM(J68)&amp;IF(G95="","",","))</f>
        <v/>
      </c>
      <c r="AW68" s="27"/>
      <c r="AY68" s="122" t="str">
        <f t="shared" si="9"/>
        <v/>
      </c>
    </row>
    <row r="69" spans="2:51" ht="12.75">
      <c r="B69" s="20" t="str">
        <f t="shared" si="11"/>
        <v/>
      </c>
      <c r="C69" s="5"/>
      <c r="D69" s="5"/>
      <c r="E69" s="5"/>
      <c r="G69" s="5" t="str">
        <f t="shared" si="17"/>
        <v/>
      </c>
      <c r="H69" s="117" t="str">
        <f t="shared" si="13"/>
        <v/>
      </c>
      <c r="I69" s="5" t="str">
        <f t="shared" si="18"/>
        <v/>
      </c>
      <c r="J69" s="5" t="str">
        <f t="shared" si="19"/>
        <v/>
      </c>
      <c r="K69" s="5"/>
      <c r="L69" s="5"/>
      <c r="M69" s="75"/>
      <c r="N69" s="77"/>
      <c r="O69" s="26"/>
      <c r="P69" s="26"/>
      <c r="Q69" s="118" t="str">
        <f t="shared" si="20"/>
        <v/>
      </c>
      <c r="R69" s="153"/>
      <c r="S69" s="138" t="str">
        <f t="shared" si="10"/>
        <v/>
      </c>
      <c r="T69" s="148"/>
      <c r="U69" s="146"/>
      <c r="V69" s="146"/>
      <c r="W69" s="139"/>
      <c r="X69" s="139"/>
      <c r="Y69" s="148"/>
      <c r="Z69" s="138" t="str">
        <f t="shared" si="22"/>
        <v/>
      </c>
      <c r="AA69" s="138" t="str">
        <f t="shared" si="12"/>
        <v/>
      </c>
      <c r="AB69" s="239"/>
      <c r="AC69" s="325"/>
      <c r="AD69" s="325"/>
      <c r="AE69" s="325"/>
      <c r="AF69" s="325"/>
      <c r="AG69" s="325"/>
      <c r="AH69" s="325"/>
      <c r="AI69" s="325"/>
      <c r="AJ69" s="325"/>
      <c r="AK69" s="325"/>
      <c r="AL69" s="325"/>
      <c r="AM69" s="325"/>
      <c r="AN69" s="325"/>
      <c r="AO69" s="325"/>
      <c r="AP69" s="136"/>
      <c r="AQ69" s="136"/>
      <c r="AR69" s="136" t="str">
        <f t="shared" si="15"/>
        <v/>
      </c>
      <c r="AS69" s="136" t="str">
        <f t="shared" si="15"/>
        <v/>
      </c>
      <c r="AT69" s="5" t="str">
        <f t="shared" si="16"/>
        <v/>
      </c>
      <c r="AV69" s="27" t="str">
        <f>IF(G69="","",+"          ["&amp;TRIM(G69)&amp;"] ["&amp;TRIM(I69)&amp;"]"&amp;IF(H69="","","("&amp;H69&amp;")")&amp;" "&amp;TRIM(J69)&amp;IF(G70="","",","))</f>
        <v/>
      </c>
      <c r="AW69" s="27"/>
      <c r="AY69" s="122" t="str">
        <f t="shared" si="9"/>
        <v/>
      </c>
    </row>
    <row r="70" spans="2:51" ht="12.75">
      <c r="B70" s="20" t="str">
        <f t="shared" si="11"/>
        <v/>
      </c>
      <c r="C70" s="5"/>
      <c r="D70" s="5"/>
      <c r="E70" s="5"/>
      <c r="G70" s="5" t="str">
        <f t="shared" si="17"/>
        <v/>
      </c>
      <c r="H70" s="117" t="str">
        <f t="shared" si="13"/>
        <v/>
      </c>
      <c r="I70" s="5" t="str">
        <f t="shared" si="18"/>
        <v/>
      </c>
      <c r="J70" s="5" t="str">
        <f t="shared" si="19"/>
        <v/>
      </c>
      <c r="K70" s="5"/>
      <c r="L70" s="5"/>
      <c r="M70" s="75"/>
      <c r="N70" s="77"/>
      <c r="O70" s="26"/>
      <c r="P70" s="26"/>
      <c r="Q70" s="118" t="str">
        <f t="shared" si="20"/>
        <v/>
      </c>
      <c r="R70" s="153"/>
      <c r="S70" s="138" t="str">
        <f t="shared" si="10"/>
        <v/>
      </c>
      <c r="T70" s="148"/>
      <c r="U70" s="146"/>
      <c r="V70" s="146"/>
      <c r="W70" s="139"/>
      <c r="X70" s="139"/>
      <c r="Y70" s="148"/>
      <c r="Z70" s="138" t="str">
        <f t="shared" si="22"/>
        <v/>
      </c>
      <c r="AA70" s="138" t="str">
        <f t="shared" si="12"/>
        <v/>
      </c>
      <c r="AB70" s="239"/>
      <c r="AC70" s="325"/>
      <c r="AD70" s="325"/>
      <c r="AE70" s="325"/>
      <c r="AF70" s="325"/>
      <c r="AG70" s="325"/>
      <c r="AH70" s="325"/>
      <c r="AI70" s="325"/>
      <c r="AJ70" s="325"/>
      <c r="AK70" s="325"/>
      <c r="AL70" s="325"/>
      <c r="AM70" s="325"/>
      <c r="AN70" s="325"/>
      <c r="AO70" s="325"/>
      <c r="AP70" s="136"/>
      <c r="AQ70" s="136"/>
      <c r="AR70" s="136" t="str">
        <f t="shared" si="15"/>
        <v/>
      </c>
      <c r="AS70" s="136" t="str">
        <f t="shared" si="15"/>
        <v/>
      </c>
      <c r="AT70" s="5" t="str">
        <f t="shared" si="16"/>
        <v/>
      </c>
      <c r="AV70" s="27" t="str">
        <f>IF(G70="","",+"          ["&amp;TRIM(G70)&amp;"] ["&amp;TRIM(I70)&amp;"]"&amp;IF(H70="","","("&amp;H70&amp;")")&amp;" "&amp;TRIM(J70)&amp;IF(G94="","",","))</f>
        <v/>
      </c>
      <c r="AW70" s="27"/>
      <c r="AY70" s="122" t="str">
        <f t="shared" si="9"/>
        <v/>
      </c>
    </row>
    <row r="71" spans="2:51" ht="12.75">
      <c r="B71" s="20" t="str">
        <f t="shared" si="11"/>
        <v/>
      </c>
      <c r="C71" s="5"/>
      <c r="D71" s="5"/>
      <c r="E71" s="5"/>
      <c r="G71" s="5" t="str">
        <f t="shared" si="17"/>
        <v/>
      </c>
      <c r="H71" s="117" t="str">
        <f t="shared" si="13"/>
        <v/>
      </c>
      <c r="I71" s="5" t="str">
        <f t="shared" si="18"/>
        <v/>
      </c>
      <c r="J71" s="5" t="str">
        <f t="shared" si="19"/>
        <v/>
      </c>
      <c r="K71" s="5"/>
      <c r="L71" s="5"/>
      <c r="M71" s="75"/>
      <c r="N71" s="77"/>
      <c r="O71" s="26"/>
      <c r="P71" s="26"/>
      <c r="Q71" s="118" t="str">
        <f t="shared" si="20"/>
        <v/>
      </c>
      <c r="R71" s="153"/>
      <c r="S71" s="138" t="str">
        <f t="shared" si="10"/>
        <v/>
      </c>
      <c r="T71" s="148"/>
      <c r="U71" s="146"/>
      <c r="V71" s="146"/>
      <c r="W71" s="139"/>
      <c r="X71" s="139"/>
      <c r="Y71" s="148"/>
      <c r="Z71" s="138" t="str">
        <f t="shared" si="22"/>
        <v/>
      </c>
      <c r="AA71" s="138" t="str">
        <f t="shared" si="12"/>
        <v/>
      </c>
      <c r="AB71" s="239"/>
      <c r="AC71" s="325"/>
      <c r="AD71" s="325"/>
      <c r="AE71" s="325"/>
      <c r="AF71" s="325"/>
      <c r="AG71" s="325"/>
      <c r="AH71" s="325"/>
      <c r="AI71" s="325"/>
      <c r="AJ71" s="325"/>
      <c r="AK71" s="325"/>
      <c r="AL71" s="325"/>
      <c r="AM71" s="325"/>
      <c r="AN71" s="325"/>
      <c r="AO71" s="325"/>
      <c r="AP71" s="136"/>
      <c r="AQ71" s="136"/>
      <c r="AR71" s="136" t="str">
        <f t="shared" si="15"/>
        <v/>
      </c>
      <c r="AS71" s="136" t="str">
        <f t="shared" si="15"/>
        <v/>
      </c>
      <c r="AT71" s="5" t="str">
        <f t="shared" si="16"/>
        <v/>
      </c>
      <c r="AV71" s="27" t="str">
        <f>IF(G71="","",+"          ["&amp;TRIM(G71)&amp;"] ["&amp;TRIM(I71)&amp;"]"&amp;IF(H71="","","("&amp;H71&amp;")")&amp;" "&amp;TRIM(J71)&amp;IF(G72="","",","))</f>
        <v/>
      </c>
      <c r="AW71" s="27"/>
      <c r="AY71" s="122" t="str">
        <f t="shared" si="9"/>
        <v/>
      </c>
    </row>
    <row r="72" spans="2:51" ht="12.75">
      <c r="B72" s="20" t="str">
        <f t="shared" si="11"/>
        <v/>
      </c>
      <c r="C72" s="5"/>
      <c r="D72" s="5"/>
      <c r="E72" s="5"/>
      <c r="G72" s="5" t="str">
        <f t="shared" si="17"/>
        <v/>
      </c>
      <c r="H72" s="117" t="str">
        <f t="shared" si="13"/>
        <v/>
      </c>
      <c r="I72" s="5" t="str">
        <f t="shared" si="18"/>
        <v/>
      </c>
      <c r="J72" s="5" t="str">
        <f t="shared" si="19"/>
        <v/>
      </c>
      <c r="K72" s="5"/>
      <c r="L72" s="5"/>
      <c r="M72" s="75"/>
      <c r="N72" s="77"/>
      <c r="O72" s="26"/>
      <c r="P72" s="26"/>
      <c r="Q72" s="118" t="str">
        <f t="shared" si="20"/>
        <v/>
      </c>
      <c r="R72" s="153"/>
      <c r="S72" s="138" t="str">
        <f t="shared" si="10"/>
        <v/>
      </c>
      <c r="T72" s="148"/>
      <c r="U72" s="146"/>
      <c r="V72" s="146"/>
      <c r="W72" s="139"/>
      <c r="X72" s="139"/>
      <c r="Y72" s="148"/>
      <c r="Z72" s="138" t="str">
        <f t="shared" si="22"/>
        <v/>
      </c>
      <c r="AA72" s="138" t="str">
        <f t="shared" si="12"/>
        <v/>
      </c>
      <c r="AB72" s="239"/>
      <c r="AC72" s="325"/>
      <c r="AD72" s="325"/>
      <c r="AE72" s="325"/>
      <c r="AF72" s="325"/>
      <c r="AG72" s="325"/>
      <c r="AH72" s="325"/>
      <c r="AI72" s="325"/>
      <c r="AJ72" s="325"/>
      <c r="AK72" s="325"/>
      <c r="AL72" s="325"/>
      <c r="AM72" s="325"/>
      <c r="AN72" s="325"/>
      <c r="AO72" s="325"/>
      <c r="AP72" s="136"/>
      <c r="AQ72" s="136"/>
      <c r="AR72" s="136" t="str">
        <f t="shared" si="15"/>
        <v/>
      </c>
      <c r="AS72" s="136" t="str">
        <f t="shared" si="15"/>
        <v/>
      </c>
      <c r="AT72" s="5" t="str">
        <f t="shared" si="16"/>
        <v/>
      </c>
      <c r="AV72" s="27" t="str">
        <f>IF(G72="","",+"          ["&amp;TRIM(G72)&amp;"] ["&amp;TRIM(I72)&amp;"]"&amp;IF(H72="","","("&amp;H72&amp;")")&amp;" "&amp;TRIM(J72)&amp;IF(G75="","",","))</f>
        <v/>
      </c>
      <c r="AW72" s="27"/>
      <c r="AY72" s="122" t="str">
        <f t="shared" si="9"/>
        <v/>
      </c>
    </row>
    <row r="73" spans="2:51" ht="12.75">
      <c r="B73" s="20" t="str">
        <f t="shared" si="11"/>
        <v/>
      </c>
      <c r="C73" s="5"/>
      <c r="D73" s="5"/>
      <c r="E73" s="5"/>
      <c r="G73" s="5" t="str">
        <f t="shared" si="17"/>
        <v/>
      </c>
      <c r="H73" s="117" t="str">
        <f t="shared" si="13"/>
        <v/>
      </c>
      <c r="I73" s="5" t="str">
        <f t="shared" si="18"/>
        <v/>
      </c>
      <c r="J73" s="5" t="str">
        <f t="shared" si="19"/>
        <v/>
      </c>
      <c r="K73" s="5"/>
      <c r="L73" s="5"/>
      <c r="M73" s="75"/>
      <c r="N73" s="77"/>
      <c r="O73" s="26"/>
      <c r="P73" s="26"/>
      <c r="Q73" s="118" t="str">
        <f t="shared" si="20"/>
        <v/>
      </c>
      <c r="R73" s="153"/>
      <c r="S73" s="138" t="str">
        <f t="shared" si="10"/>
        <v/>
      </c>
      <c r="T73" s="148"/>
      <c r="U73" s="146"/>
      <c r="V73" s="146"/>
      <c r="W73" s="139"/>
      <c r="X73" s="139"/>
      <c r="Y73" s="148"/>
      <c r="Z73" s="138" t="str">
        <f t="shared" si="22"/>
        <v/>
      </c>
      <c r="AA73" s="138" t="str">
        <f t="shared" si="12"/>
        <v/>
      </c>
      <c r="AB73" s="239"/>
      <c r="AC73" s="325"/>
      <c r="AD73" s="325"/>
      <c r="AE73" s="325"/>
      <c r="AF73" s="325"/>
      <c r="AG73" s="325"/>
      <c r="AH73" s="325"/>
      <c r="AI73" s="325"/>
      <c r="AJ73" s="325"/>
      <c r="AK73" s="325"/>
      <c r="AL73" s="325"/>
      <c r="AM73" s="325"/>
      <c r="AN73" s="325"/>
      <c r="AO73" s="325"/>
      <c r="AP73" s="136"/>
      <c r="AQ73" s="136"/>
      <c r="AR73" s="136" t="str">
        <f t="shared" si="15"/>
        <v/>
      </c>
      <c r="AS73" s="136" t="str">
        <f t="shared" si="15"/>
        <v/>
      </c>
      <c r="AT73" s="5" t="str">
        <f t="shared" si="16"/>
        <v/>
      </c>
      <c r="AV73" s="27" t="str">
        <f>IF(G73="","",+"          ["&amp;TRIM(G73)&amp;"] ["&amp;TRIM(I73)&amp;"]"&amp;IF(H73="","","("&amp;H73&amp;")")&amp;" "&amp;TRIM(J73)&amp;IF(G74="","",","))</f>
        <v/>
      </c>
      <c r="AW73" s="27"/>
      <c r="AY73" s="122" t="str">
        <f t="shared" si="9"/>
        <v/>
      </c>
    </row>
    <row r="74" spans="2:51" ht="12.75">
      <c r="B74" s="20" t="str">
        <f t="shared" si="11"/>
        <v/>
      </c>
      <c r="C74" s="5"/>
      <c r="D74" s="5"/>
      <c r="E74" s="5"/>
      <c r="G74" s="5" t="str">
        <f t="shared" si="17"/>
        <v/>
      </c>
      <c r="H74" s="117" t="str">
        <f t="shared" si="13"/>
        <v/>
      </c>
      <c r="I74" s="5" t="str">
        <f t="shared" si="18"/>
        <v/>
      </c>
      <c r="J74" s="5" t="str">
        <f t="shared" si="19"/>
        <v/>
      </c>
      <c r="K74" s="5"/>
      <c r="L74" s="5"/>
      <c r="M74" s="75"/>
      <c r="N74" s="77"/>
      <c r="O74" s="26"/>
      <c r="P74" s="26"/>
      <c r="Q74" s="118" t="str">
        <f t="shared" si="20"/>
        <v/>
      </c>
      <c r="R74" s="153"/>
      <c r="S74" s="138" t="str">
        <f t="shared" si="10"/>
        <v/>
      </c>
      <c r="T74" s="148"/>
      <c r="U74" s="146"/>
      <c r="V74" s="146"/>
      <c r="W74" s="139"/>
      <c r="X74" s="139"/>
      <c r="Y74" s="148"/>
      <c r="Z74" s="138" t="str">
        <f t="shared" si="22"/>
        <v/>
      </c>
      <c r="AA74" s="138" t="str">
        <f t="shared" si="12"/>
        <v/>
      </c>
      <c r="AB74" s="239"/>
      <c r="AC74" s="325"/>
      <c r="AD74" s="325"/>
      <c r="AE74" s="325"/>
      <c r="AF74" s="325"/>
      <c r="AG74" s="325"/>
      <c r="AH74" s="325"/>
      <c r="AI74" s="325"/>
      <c r="AJ74" s="325"/>
      <c r="AK74" s="325"/>
      <c r="AL74" s="325"/>
      <c r="AM74" s="325"/>
      <c r="AN74" s="325"/>
      <c r="AO74" s="325"/>
      <c r="AP74" s="136"/>
      <c r="AQ74" s="136"/>
      <c r="AR74" s="136" t="str">
        <f t="shared" si="15"/>
        <v/>
      </c>
      <c r="AS74" s="136" t="str">
        <f t="shared" si="15"/>
        <v/>
      </c>
      <c r="AT74" s="5" t="str">
        <f t="shared" si="16"/>
        <v/>
      </c>
      <c r="AV74" s="27" t="str">
        <f>IF(G74="","",+"          ["&amp;TRIM(G74)&amp;"] ["&amp;TRIM(I74)&amp;"]"&amp;IF(H74="","","("&amp;H74&amp;")")&amp;" "&amp;TRIM(J74)&amp;IF(G75="","",","))</f>
        <v/>
      </c>
      <c r="AW74" s="27"/>
      <c r="AY74" s="122" t="str">
        <f t="shared" si="9"/>
        <v/>
      </c>
    </row>
    <row r="75" spans="2:51" ht="12.75">
      <c r="B75" s="20" t="str">
        <f t="shared" si="11"/>
        <v/>
      </c>
      <c r="C75" s="5"/>
      <c r="D75" s="5"/>
      <c r="E75" s="5"/>
      <c r="G75" s="5" t="str">
        <f t="shared" si="17"/>
        <v/>
      </c>
      <c r="H75" s="117" t="str">
        <f t="shared" si="13"/>
        <v/>
      </c>
      <c r="I75" s="5" t="str">
        <f t="shared" si="18"/>
        <v/>
      </c>
      <c r="J75" s="5" t="str">
        <f t="shared" si="19"/>
        <v/>
      </c>
      <c r="K75" s="5"/>
      <c r="L75" s="5"/>
      <c r="M75" s="75"/>
      <c r="N75" s="77"/>
      <c r="O75" s="26"/>
      <c r="P75" s="26"/>
      <c r="Q75" s="118" t="str">
        <f t="shared" si="20"/>
        <v/>
      </c>
      <c r="R75" s="153"/>
      <c r="S75" s="138" t="str">
        <f t="shared" si="10"/>
        <v/>
      </c>
      <c r="T75" s="148"/>
      <c r="U75" s="146"/>
      <c r="V75" s="146"/>
      <c r="W75" s="139"/>
      <c r="X75" s="139"/>
      <c r="Y75" s="148"/>
      <c r="Z75" s="138" t="str">
        <f t="shared" si="22"/>
        <v/>
      </c>
      <c r="AA75" s="138" t="str">
        <f t="shared" si="12"/>
        <v/>
      </c>
      <c r="AB75" s="239"/>
      <c r="AC75" s="325"/>
      <c r="AD75" s="325"/>
      <c r="AE75" s="325"/>
      <c r="AF75" s="325"/>
      <c r="AG75" s="325"/>
      <c r="AH75" s="325"/>
      <c r="AI75" s="325"/>
      <c r="AJ75" s="325"/>
      <c r="AK75" s="325"/>
      <c r="AL75" s="325"/>
      <c r="AM75" s="325"/>
      <c r="AN75" s="325"/>
      <c r="AO75" s="325"/>
      <c r="AP75" s="136"/>
      <c r="AQ75" s="136"/>
      <c r="AR75" s="136" t="str">
        <f t="shared" si="15"/>
        <v/>
      </c>
      <c r="AS75" s="136" t="str">
        <f t="shared" si="15"/>
        <v/>
      </c>
      <c r="AT75" s="5" t="str">
        <f t="shared" si="16"/>
        <v/>
      </c>
      <c r="AV75" s="27" t="str">
        <f>IF(G75="","",+"          ["&amp;TRIM(G75)&amp;"] ["&amp;TRIM(I75)&amp;"]"&amp;IF(H75="","","("&amp;H75&amp;")")&amp;" "&amp;TRIM(J75)&amp;IF(G94="","",","))</f>
        <v/>
      </c>
      <c r="AW75" s="27"/>
      <c r="AY75" s="122" t="str">
        <f t="shared" si="9"/>
        <v/>
      </c>
    </row>
    <row r="76" spans="2:51" ht="12.75">
      <c r="B76" s="20" t="str">
        <f t="shared" si="11"/>
        <v/>
      </c>
      <c r="C76" s="5"/>
      <c r="D76" s="5"/>
      <c r="E76" s="5"/>
      <c r="G76" s="5" t="str">
        <f t="shared" si="17"/>
        <v/>
      </c>
      <c r="H76" s="117" t="str">
        <f t="shared" si="13"/>
        <v/>
      </c>
      <c r="I76" s="5" t="str">
        <f t="shared" si="18"/>
        <v/>
      </c>
      <c r="J76" s="5" t="str">
        <f t="shared" si="19"/>
        <v/>
      </c>
      <c r="K76" s="5"/>
      <c r="L76" s="5"/>
      <c r="M76" s="75"/>
      <c r="N76" s="77"/>
      <c r="O76" s="26"/>
      <c r="P76" s="26"/>
      <c r="Q76" s="118" t="str">
        <f t="shared" si="20"/>
        <v/>
      </c>
      <c r="R76" s="153"/>
      <c r="S76" s="138" t="str">
        <f t="shared" si="10"/>
        <v/>
      </c>
      <c r="T76" s="148"/>
      <c r="U76" s="146"/>
      <c r="V76" s="146"/>
      <c r="W76" s="139"/>
      <c r="X76" s="139"/>
      <c r="Y76" s="148"/>
      <c r="Z76" s="138" t="str">
        <f t="shared" si="22"/>
        <v/>
      </c>
      <c r="AA76" s="138" t="str">
        <f t="shared" si="12"/>
        <v/>
      </c>
      <c r="AB76" s="239"/>
      <c r="AC76" s="325"/>
      <c r="AD76" s="325"/>
      <c r="AE76" s="325"/>
      <c r="AF76" s="325"/>
      <c r="AG76" s="325"/>
      <c r="AH76" s="325"/>
      <c r="AI76" s="325"/>
      <c r="AJ76" s="325"/>
      <c r="AK76" s="325"/>
      <c r="AL76" s="325"/>
      <c r="AM76" s="325"/>
      <c r="AN76" s="325"/>
      <c r="AO76" s="325"/>
      <c r="AP76" s="136"/>
      <c r="AQ76" s="136"/>
      <c r="AR76" s="136" t="str">
        <f t="shared" si="15"/>
        <v/>
      </c>
      <c r="AS76" s="136" t="str">
        <f t="shared" si="15"/>
        <v/>
      </c>
      <c r="AT76" s="5" t="str">
        <f t="shared" si="16"/>
        <v/>
      </c>
      <c r="AV76" s="27" t="str">
        <f>IF(G76="","",+"          ["&amp;TRIM(G76)&amp;"] ["&amp;TRIM(I76)&amp;"]"&amp;IF(H76="","","("&amp;H76&amp;")")&amp;" "&amp;TRIM(J76)&amp;IF(G77="","",","))</f>
        <v/>
      </c>
      <c r="AW76" s="27"/>
      <c r="AY76" s="122" t="str">
        <f t="shared" si="9"/>
        <v/>
      </c>
    </row>
    <row r="77" spans="2:51" ht="12.75">
      <c r="B77" s="20" t="str">
        <f t="shared" si="11"/>
        <v/>
      </c>
      <c r="C77" s="5"/>
      <c r="D77" s="5"/>
      <c r="E77" s="5"/>
      <c r="G77" s="5" t="str">
        <f t="shared" si="17"/>
        <v/>
      </c>
      <c r="H77" s="117" t="str">
        <f t="shared" si="13"/>
        <v/>
      </c>
      <c r="I77" s="5" t="str">
        <f t="shared" si="18"/>
        <v/>
      </c>
      <c r="J77" s="5" t="str">
        <f t="shared" si="19"/>
        <v/>
      </c>
      <c r="K77" s="5"/>
      <c r="L77" s="5"/>
      <c r="M77" s="75"/>
      <c r="N77" s="77"/>
      <c r="O77" s="26"/>
      <c r="P77" s="26"/>
      <c r="Q77" s="118" t="str">
        <f t="shared" si="20"/>
        <v/>
      </c>
      <c r="R77" s="153"/>
      <c r="S77" s="138" t="str">
        <f t="shared" si="10"/>
        <v/>
      </c>
      <c r="T77" s="148"/>
      <c r="U77" s="146"/>
      <c r="V77" s="146"/>
      <c r="W77" s="139"/>
      <c r="X77" s="139"/>
      <c r="Y77" s="148"/>
      <c r="Z77" s="138" t="str">
        <f t="shared" si="22"/>
        <v/>
      </c>
      <c r="AA77" s="138" t="str">
        <f t="shared" si="12"/>
        <v/>
      </c>
      <c r="AB77" s="239"/>
      <c r="AC77" s="325"/>
      <c r="AD77" s="325"/>
      <c r="AE77" s="325"/>
      <c r="AF77" s="325"/>
      <c r="AG77" s="325"/>
      <c r="AH77" s="325"/>
      <c r="AI77" s="325"/>
      <c r="AJ77" s="325"/>
      <c r="AK77" s="325"/>
      <c r="AL77" s="325"/>
      <c r="AM77" s="325"/>
      <c r="AN77" s="325"/>
      <c r="AO77" s="325"/>
      <c r="AP77" s="136"/>
      <c r="AQ77" s="136"/>
      <c r="AR77" s="136" t="str">
        <f t="shared" si="15"/>
        <v/>
      </c>
      <c r="AS77" s="136" t="str">
        <f t="shared" si="15"/>
        <v/>
      </c>
      <c r="AT77" s="5" t="str">
        <f t="shared" si="16"/>
        <v/>
      </c>
      <c r="AV77" s="27" t="str">
        <f>IF(G77="","",+"          ["&amp;TRIM(G77)&amp;"] ["&amp;TRIM(I77)&amp;"]"&amp;IF(H77="","","("&amp;H77&amp;")")&amp;" "&amp;TRIM(J77)&amp;IF(G78="","",","))</f>
        <v/>
      </c>
      <c r="AW77" s="27"/>
      <c r="AY77" s="122" t="str">
        <f t="shared" si="9"/>
        <v/>
      </c>
    </row>
    <row r="78" spans="2:51" ht="12.75">
      <c r="B78" s="20" t="str">
        <f t="shared" si="11"/>
        <v/>
      </c>
      <c r="C78" s="5"/>
      <c r="D78" s="5"/>
      <c r="E78" s="5"/>
      <c r="G78" s="5" t="str">
        <f t="shared" si="17"/>
        <v/>
      </c>
      <c r="H78" s="117" t="str">
        <f t="shared" si="13"/>
        <v/>
      </c>
      <c r="I78" s="5" t="str">
        <f t="shared" si="18"/>
        <v/>
      </c>
      <c r="J78" s="5" t="str">
        <f t="shared" si="19"/>
        <v/>
      </c>
      <c r="K78" s="5"/>
      <c r="L78" s="5"/>
      <c r="M78" s="75"/>
      <c r="N78" s="77"/>
      <c r="O78" s="26"/>
      <c r="P78" s="26"/>
      <c r="Q78" s="118" t="str">
        <f t="shared" si="20"/>
        <v/>
      </c>
      <c r="R78" s="153"/>
      <c r="S78" s="138" t="str">
        <f t="shared" si="10"/>
        <v/>
      </c>
      <c r="T78" s="148"/>
      <c r="U78" s="146"/>
      <c r="V78" s="146"/>
      <c r="W78" s="139"/>
      <c r="X78" s="139"/>
      <c r="Y78" s="148"/>
      <c r="Z78" s="138" t="str">
        <f t="shared" si="22"/>
        <v/>
      </c>
      <c r="AA78" s="138" t="str">
        <f t="shared" si="12"/>
        <v/>
      </c>
      <c r="AB78" s="239"/>
      <c r="AC78" s="325"/>
      <c r="AD78" s="325"/>
      <c r="AE78" s="325"/>
      <c r="AF78" s="325"/>
      <c r="AG78" s="325"/>
      <c r="AH78" s="325"/>
      <c r="AI78" s="325"/>
      <c r="AJ78" s="325"/>
      <c r="AK78" s="325"/>
      <c r="AL78" s="325"/>
      <c r="AM78" s="325"/>
      <c r="AN78" s="325"/>
      <c r="AO78" s="325"/>
      <c r="AP78" s="136"/>
      <c r="AQ78" s="136"/>
      <c r="AR78" s="136" t="str">
        <f t="shared" si="15"/>
        <v/>
      </c>
      <c r="AS78" s="136" t="str">
        <f t="shared" si="15"/>
        <v/>
      </c>
      <c r="AT78" s="5" t="str">
        <f t="shared" si="16"/>
        <v/>
      </c>
      <c r="AV78" s="27" t="str">
        <f>IF(G78="","",+"          ["&amp;TRIM(G78)&amp;"] ["&amp;TRIM(I78)&amp;"]"&amp;IF(H78="","","("&amp;H78&amp;")")&amp;" "&amp;TRIM(J78)&amp;IF(G93="","",","))</f>
        <v/>
      </c>
      <c r="AW78" s="27"/>
      <c r="AY78" s="122" t="str">
        <f t="shared" si="9"/>
        <v/>
      </c>
    </row>
    <row r="79" spans="2:51" ht="12.75">
      <c r="B79" s="20" t="str">
        <f t="shared" si="11"/>
        <v/>
      </c>
      <c r="C79" s="5"/>
      <c r="D79" s="5"/>
      <c r="E79" s="5"/>
      <c r="G79" s="5" t="str">
        <f t="shared" si="17"/>
        <v/>
      </c>
      <c r="H79" s="117" t="str">
        <f t="shared" si="13"/>
        <v/>
      </c>
      <c r="I79" s="5" t="str">
        <f t="shared" si="18"/>
        <v/>
      </c>
      <c r="J79" s="5" t="str">
        <f t="shared" si="19"/>
        <v/>
      </c>
      <c r="K79" s="5"/>
      <c r="L79" s="5"/>
      <c r="M79" s="75"/>
      <c r="N79" s="77"/>
      <c r="O79" s="26"/>
      <c r="P79" s="26"/>
      <c r="Q79" s="118" t="str">
        <f t="shared" si="20"/>
        <v/>
      </c>
      <c r="R79" s="153"/>
      <c r="S79" s="138" t="str">
        <f t="shared" si="10"/>
        <v/>
      </c>
      <c r="T79" s="148"/>
      <c r="U79" s="146"/>
      <c r="V79" s="146"/>
      <c r="W79" s="139"/>
      <c r="X79" s="139"/>
      <c r="Y79" s="148"/>
      <c r="Z79" s="138" t="str">
        <f t="shared" si="22"/>
        <v/>
      </c>
      <c r="AA79" s="138" t="str">
        <f t="shared" si="12"/>
        <v/>
      </c>
      <c r="AB79" s="239"/>
      <c r="AC79" s="325"/>
      <c r="AD79" s="325"/>
      <c r="AE79" s="325"/>
      <c r="AF79" s="325"/>
      <c r="AG79" s="325"/>
      <c r="AH79" s="325"/>
      <c r="AI79" s="325"/>
      <c r="AJ79" s="325"/>
      <c r="AK79" s="325"/>
      <c r="AL79" s="325"/>
      <c r="AM79" s="325"/>
      <c r="AN79" s="325"/>
      <c r="AO79" s="325"/>
      <c r="AP79" s="136"/>
      <c r="AQ79" s="136"/>
      <c r="AR79" s="136" t="str">
        <f t="shared" si="15"/>
        <v/>
      </c>
      <c r="AS79" s="136" t="str">
        <f t="shared" si="15"/>
        <v/>
      </c>
      <c r="AT79" s="5" t="str">
        <f t="shared" si="16"/>
        <v/>
      </c>
      <c r="AV79" s="27" t="str">
        <f>IF(G79="","",+"          ["&amp;TRIM(G79)&amp;"] ["&amp;TRIM(I79)&amp;"]"&amp;IF(H79="","","("&amp;H79&amp;")")&amp;" "&amp;TRIM(J79)&amp;IF(G80="","",","))</f>
        <v/>
      </c>
      <c r="AW79" s="27"/>
      <c r="AY79" s="122" t="str">
        <f t="shared" si="9"/>
        <v/>
      </c>
    </row>
    <row r="80" spans="2:51" ht="12.75">
      <c r="B80" s="20" t="str">
        <f t="shared" si="11"/>
        <v/>
      </c>
      <c r="C80" s="5"/>
      <c r="D80" s="5"/>
      <c r="E80" s="5"/>
      <c r="G80" s="5" t="str">
        <f t="shared" si="17"/>
        <v/>
      </c>
      <c r="H80" s="117" t="str">
        <f t="shared" si="13"/>
        <v/>
      </c>
      <c r="I80" s="5" t="str">
        <f t="shared" si="18"/>
        <v/>
      </c>
      <c r="J80" s="5" t="str">
        <f t="shared" si="19"/>
        <v/>
      </c>
      <c r="K80" s="5"/>
      <c r="L80" s="5"/>
      <c r="M80" s="75"/>
      <c r="N80" s="77"/>
      <c r="O80" s="26"/>
      <c r="P80" s="26"/>
      <c r="Q80" s="118" t="str">
        <f t="shared" si="20"/>
        <v/>
      </c>
      <c r="R80" s="153"/>
      <c r="S80" s="138" t="str">
        <f t="shared" si="10"/>
        <v/>
      </c>
      <c r="T80" s="148"/>
      <c r="U80" s="146"/>
      <c r="V80" s="146"/>
      <c r="W80" s="139"/>
      <c r="X80" s="139"/>
      <c r="Y80" s="148"/>
      <c r="Z80" s="138" t="str">
        <f t="shared" si="22"/>
        <v/>
      </c>
      <c r="AA80" s="138" t="str">
        <f t="shared" si="12"/>
        <v/>
      </c>
      <c r="AB80" s="239"/>
      <c r="AC80" s="325"/>
      <c r="AD80" s="325"/>
      <c r="AE80" s="325"/>
      <c r="AF80" s="325"/>
      <c r="AG80" s="325"/>
      <c r="AH80" s="325"/>
      <c r="AI80" s="325"/>
      <c r="AJ80" s="325"/>
      <c r="AK80" s="325"/>
      <c r="AL80" s="325"/>
      <c r="AM80" s="325"/>
      <c r="AN80" s="325"/>
      <c r="AO80" s="325"/>
      <c r="AP80" s="136"/>
      <c r="AQ80" s="136"/>
      <c r="AR80" s="136" t="str">
        <f t="shared" ref="AR80:AS115" si="23">IF(O80=0,"",ROW())</f>
        <v/>
      </c>
      <c r="AS80" s="136" t="str">
        <f t="shared" si="23"/>
        <v/>
      </c>
      <c r="AT80" s="5" t="str">
        <f t="shared" ref="AT80:AT116" si="24">IF(C80="","",C80&amp;IF(B81="","",","))</f>
        <v/>
      </c>
      <c r="AV80" s="27" t="str">
        <f>IF(G80="","",+"          ["&amp;TRIM(G80)&amp;"] ["&amp;TRIM(I80)&amp;"]"&amp;IF(H80="","","("&amp;H80&amp;")")&amp;" "&amp;TRIM(J80)&amp;IF(G83="","",","))</f>
        <v/>
      </c>
      <c r="AW80" s="27"/>
      <c r="AY80" s="122"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7" t="str">
        <f t="shared" si="13"/>
        <v/>
      </c>
      <c r="I81" s="5" t="str">
        <f t="shared" si="18"/>
        <v/>
      </c>
      <c r="J81" s="5" t="str">
        <f t="shared" si="19"/>
        <v/>
      </c>
      <c r="K81" s="5"/>
      <c r="L81" s="5"/>
      <c r="M81" s="75"/>
      <c r="N81" s="77"/>
      <c r="O81" s="26"/>
      <c r="P81" s="26"/>
      <c r="Q81" s="118" t="str">
        <f t="shared" si="20"/>
        <v/>
      </c>
      <c r="R81" s="153"/>
      <c r="S81" s="138" t="str">
        <f t="shared" ref="S81:S115" si="26">IF(K81=0,"",K81)</f>
        <v/>
      </c>
      <c r="T81" s="148"/>
      <c r="U81" s="146"/>
      <c r="V81" s="146"/>
      <c r="W81" s="139"/>
      <c r="X81" s="139"/>
      <c r="Y81" s="148"/>
      <c r="Z81" s="138" t="str">
        <f t="shared" si="22"/>
        <v/>
      </c>
      <c r="AA81" s="138" t="str">
        <f t="shared" si="12"/>
        <v/>
      </c>
      <c r="AB81" s="239"/>
      <c r="AC81" s="325"/>
      <c r="AD81" s="325"/>
      <c r="AE81" s="325"/>
      <c r="AF81" s="325"/>
      <c r="AG81" s="325"/>
      <c r="AH81" s="325"/>
      <c r="AI81" s="325"/>
      <c r="AJ81" s="325"/>
      <c r="AK81" s="325"/>
      <c r="AL81" s="325"/>
      <c r="AM81" s="325"/>
      <c r="AN81" s="325"/>
      <c r="AO81" s="325"/>
      <c r="AP81" s="136"/>
      <c r="AQ81" s="136"/>
      <c r="AR81" s="136" t="str">
        <f t="shared" si="23"/>
        <v/>
      </c>
      <c r="AS81" s="136" t="str">
        <f t="shared" si="23"/>
        <v/>
      </c>
      <c r="AT81" s="5" t="str">
        <f t="shared" si="24"/>
        <v/>
      </c>
      <c r="AV81" s="27" t="str">
        <f>IF(G81="","",+"          ["&amp;TRIM(G81)&amp;"] ["&amp;TRIM(I81)&amp;"]"&amp;IF(H81="","","("&amp;H81&amp;")")&amp;" "&amp;TRIM(J81)&amp;IF(G82="","",","))</f>
        <v/>
      </c>
      <c r="AW81" s="27"/>
      <c r="AY81" s="122" t="str">
        <f t="shared" si="25"/>
        <v/>
      </c>
    </row>
    <row r="82" spans="2:51" ht="12.75">
      <c r="B82" s="20" t="str">
        <f t="shared" ref="B82:B115" si="27">IF(C82=0,"",+B81+1)</f>
        <v/>
      </c>
      <c r="C82" s="5"/>
      <c r="D82" s="5"/>
      <c r="E82" s="5"/>
      <c r="G82" s="5" t="str">
        <f t="shared" si="17"/>
        <v/>
      </c>
      <c r="H82" s="117" t="str">
        <f t="shared" si="13"/>
        <v/>
      </c>
      <c r="I82" s="5" t="str">
        <f t="shared" si="18"/>
        <v/>
      </c>
      <c r="J82" s="5" t="str">
        <f t="shared" si="19"/>
        <v/>
      </c>
      <c r="K82" s="5"/>
      <c r="L82" s="5"/>
      <c r="M82" s="75"/>
      <c r="N82" s="77"/>
      <c r="O82" s="26"/>
      <c r="P82" s="26"/>
      <c r="Q82" s="118" t="str">
        <f t="shared" si="20"/>
        <v/>
      </c>
      <c r="R82" s="153"/>
      <c r="S82" s="138" t="str">
        <f t="shared" si="26"/>
        <v/>
      </c>
      <c r="T82" s="148"/>
      <c r="U82" s="146"/>
      <c r="V82" s="146"/>
      <c r="W82" s="139"/>
      <c r="X82" s="139"/>
      <c r="Y82" s="148"/>
      <c r="Z82" s="138" t="str">
        <f t="shared" si="22"/>
        <v/>
      </c>
      <c r="AA82" s="138" t="str">
        <f t="shared" ref="AA82:AA115" si="28">IF($C$120=B82,"asc","")</f>
        <v/>
      </c>
      <c r="AB82" s="239"/>
      <c r="AC82" s="325"/>
      <c r="AD82" s="325"/>
      <c r="AE82" s="325"/>
      <c r="AF82" s="325"/>
      <c r="AG82" s="325"/>
      <c r="AH82" s="325"/>
      <c r="AI82" s="325"/>
      <c r="AJ82" s="325"/>
      <c r="AK82" s="325"/>
      <c r="AL82" s="325"/>
      <c r="AM82" s="325"/>
      <c r="AN82" s="325"/>
      <c r="AO82" s="325"/>
      <c r="AP82" s="136"/>
      <c r="AQ82" s="136"/>
      <c r="AR82" s="136" t="str">
        <f t="shared" si="23"/>
        <v/>
      </c>
      <c r="AS82" s="136" t="str">
        <f t="shared" si="23"/>
        <v/>
      </c>
      <c r="AT82" s="5" t="str">
        <f t="shared" si="24"/>
        <v/>
      </c>
      <c r="AV82" s="27" t="str">
        <f>IF(G82="","",+"          ["&amp;TRIM(G82)&amp;"] ["&amp;TRIM(I82)&amp;"]"&amp;IF(H82="","","("&amp;H82&amp;")")&amp;" "&amp;TRIM(J82)&amp;IF(G83="","",","))</f>
        <v/>
      </c>
      <c r="AW82" s="27"/>
      <c r="AY82" s="122" t="str">
        <f t="shared" si="25"/>
        <v/>
      </c>
    </row>
    <row r="83" spans="2:51" ht="12.75">
      <c r="B83" s="20" t="str">
        <f t="shared" si="27"/>
        <v/>
      </c>
      <c r="C83" s="5"/>
      <c r="D83" s="5"/>
      <c r="E83" s="5"/>
      <c r="G83" s="5" t="str">
        <f t="shared" si="17"/>
        <v/>
      </c>
      <c r="H83" s="117" t="str">
        <f t="shared" si="13"/>
        <v/>
      </c>
      <c r="I83" s="5" t="str">
        <f t="shared" si="18"/>
        <v/>
      </c>
      <c r="J83" s="5" t="str">
        <f t="shared" si="19"/>
        <v/>
      </c>
      <c r="K83" s="5"/>
      <c r="L83" s="5"/>
      <c r="M83" s="75"/>
      <c r="N83" s="77"/>
      <c r="O83" s="26"/>
      <c r="P83" s="26"/>
      <c r="Q83" s="118" t="str">
        <f t="shared" si="20"/>
        <v/>
      </c>
      <c r="R83" s="153"/>
      <c r="S83" s="138" t="str">
        <f t="shared" si="26"/>
        <v/>
      </c>
      <c r="T83" s="148"/>
      <c r="U83" s="146"/>
      <c r="V83" s="146"/>
      <c r="W83" s="139"/>
      <c r="X83" s="139"/>
      <c r="Y83" s="148"/>
      <c r="Z83" s="138" t="str">
        <f t="shared" si="22"/>
        <v/>
      </c>
      <c r="AA83" s="138" t="str">
        <f t="shared" si="28"/>
        <v/>
      </c>
      <c r="AB83" s="239"/>
      <c r="AC83" s="325"/>
      <c r="AD83" s="325"/>
      <c r="AE83" s="325"/>
      <c r="AF83" s="325"/>
      <c r="AG83" s="325"/>
      <c r="AH83" s="325"/>
      <c r="AI83" s="325"/>
      <c r="AJ83" s="325"/>
      <c r="AK83" s="325"/>
      <c r="AL83" s="325"/>
      <c r="AM83" s="325"/>
      <c r="AN83" s="325"/>
      <c r="AO83" s="325"/>
      <c r="AP83" s="136"/>
      <c r="AQ83" s="136"/>
      <c r="AR83" s="136" t="str">
        <f t="shared" si="23"/>
        <v/>
      </c>
      <c r="AS83" s="136" t="str">
        <f t="shared" si="23"/>
        <v/>
      </c>
      <c r="AT83" s="5" t="str">
        <f t="shared" si="24"/>
        <v/>
      </c>
      <c r="AV83" s="27" t="str">
        <f>IF(G83="","",+"          ["&amp;TRIM(G83)&amp;"] ["&amp;TRIM(I83)&amp;"]"&amp;IF(H83="","","("&amp;H83&amp;")")&amp;" "&amp;TRIM(J83)&amp;IF(G93="","",","))</f>
        <v/>
      </c>
      <c r="AW83" s="27"/>
      <c r="AY83" s="122" t="str">
        <f t="shared" si="25"/>
        <v/>
      </c>
    </row>
    <row r="84" spans="2:51" ht="12.75">
      <c r="B84" s="20" t="str">
        <f t="shared" si="27"/>
        <v/>
      </c>
      <c r="C84" s="5"/>
      <c r="D84" s="5"/>
      <c r="E84" s="5"/>
      <c r="G84" s="5" t="str">
        <f t="shared" si="17"/>
        <v/>
      </c>
      <c r="H84" s="117" t="str">
        <f t="shared" si="13"/>
        <v/>
      </c>
      <c r="I84" s="5" t="str">
        <f t="shared" si="18"/>
        <v/>
      </c>
      <c r="J84" s="5" t="str">
        <f t="shared" si="19"/>
        <v/>
      </c>
      <c r="K84" s="5"/>
      <c r="L84" s="5"/>
      <c r="M84" s="75"/>
      <c r="N84" s="77"/>
      <c r="O84" s="26"/>
      <c r="P84" s="26"/>
      <c r="Q84" s="118" t="str">
        <f t="shared" si="20"/>
        <v/>
      </c>
      <c r="R84" s="153"/>
      <c r="S84" s="138" t="str">
        <f t="shared" si="26"/>
        <v/>
      </c>
      <c r="T84" s="148"/>
      <c r="U84" s="146"/>
      <c r="V84" s="146"/>
      <c r="W84" s="139"/>
      <c r="X84" s="139"/>
      <c r="Y84" s="148"/>
      <c r="Z84" s="138" t="str">
        <f t="shared" si="22"/>
        <v/>
      </c>
      <c r="AA84" s="138" t="str">
        <f t="shared" si="28"/>
        <v/>
      </c>
      <c r="AB84" s="239"/>
      <c r="AC84" s="325"/>
      <c r="AD84" s="325"/>
      <c r="AE84" s="325"/>
      <c r="AF84" s="325"/>
      <c r="AG84" s="325"/>
      <c r="AH84" s="325"/>
      <c r="AI84" s="325"/>
      <c r="AJ84" s="325"/>
      <c r="AK84" s="325"/>
      <c r="AL84" s="325"/>
      <c r="AM84" s="325"/>
      <c r="AN84" s="325"/>
      <c r="AO84" s="325"/>
      <c r="AP84" s="136"/>
      <c r="AQ84" s="136"/>
      <c r="AR84" s="136" t="str">
        <f t="shared" si="23"/>
        <v/>
      </c>
      <c r="AS84" s="136" t="str">
        <f t="shared" si="23"/>
        <v/>
      </c>
      <c r="AT84" s="5" t="str">
        <f t="shared" si="24"/>
        <v/>
      </c>
      <c r="AV84" s="27" t="str">
        <f>IF(G84="","",+"          ["&amp;TRIM(G84)&amp;"] ["&amp;TRIM(I84)&amp;"]"&amp;IF(H84="","","("&amp;H84&amp;")")&amp;" "&amp;TRIM(J84)&amp;IF(G85="","",","))</f>
        <v/>
      </c>
      <c r="AW84" s="27"/>
      <c r="AY84" s="122" t="str">
        <f t="shared" si="25"/>
        <v/>
      </c>
    </row>
    <row r="85" spans="2:51" ht="12.75">
      <c r="B85" s="20" t="str">
        <f t="shared" si="27"/>
        <v/>
      </c>
      <c r="C85" s="5"/>
      <c r="D85" s="5"/>
      <c r="E85" s="5"/>
      <c r="G85" s="5" t="str">
        <f t="shared" si="17"/>
        <v/>
      </c>
      <c r="H85" s="117" t="str">
        <f t="shared" si="13"/>
        <v/>
      </c>
      <c r="I85" s="5" t="str">
        <f t="shared" si="18"/>
        <v/>
      </c>
      <c r="J85" s="5" t="str">
        <f t="shared" si="19"/>
        <v/>
      </c>
      <c r="K85" s="5"/>
      <c r="L85" s="5"/>
      <c r="M85" s="75"/>
      <c r="N85" s="77"/>
      <c r="O85" s="26"/>
      <c r="P85" s="26"/>
      <c r="Q85" s="118" t="str">
        <f t="shared" si="20"/>
        <v/>
      </c>
      <c r="R85" s="153"/>
      <c r="S85" s="138" t="str">
        <f t="shared" si="26"/>
        <v/>
      </c>
      <c r="T85" s="148"/>
      <c r="U85" s="146"/>
      <c r="V85" s="146"/>
      <c r="W85" s="139"/>
      <c r="X85" s="139"/>
      <c r="Y85" s="148"/>
      <c r="Z85" s="138" t="str">
        <f t="shared" si="22"/>
        <v/>
      </c>
      <c r="AA85" s="138" t="str">
        <f t="shared" si="28"/>
        <v/>
      </c>
      <c r="AB85" s="239"/>
      <c r="AC85" s="325"/>
      <c r="AD85" s="325"/>
      <c r="AE85" s="325"/>
      <c r="AF85" s="325"/>
      <c r="AG85" s="325"/>
      <c r="AH85" s="325"/>
      <c r="AI85" s="325"/>
      <c r="AJ85" s="325"/>
      <c r="AK85" s="325"/>
      <c r="AL85" s="325"/>
      <c r="AM85" s="325"/>
      <c r="AN85" s="325"/>
      <c r="AO85" s="325"/>
      <c r="AP85" s="136"/>
      <c r="AQ85" s="136"/>
      <c r="AR85" s="136" t="str">
        <f t="shared" si="23"/>
        <v/>
      </c>
      <c r="AS85" s="136" t="str">
        <f t="shared" si="23"/>
        <v/>
      </c>
      <c r="AT85" s="5" t="str">
        <f t="shared" si="24"/>
        <v/>
      </c>
      <c r="AV85" s="27" t="str">
        <f>IF(G85="","",+"          ["&amp;TRIM(G85)&amp;"] ["&amp;TRIM(I85)&amp;"]"&amp;IF(H85="","","("&amp;H85&amp;")")&amp;" "&amp;TRIM(J85)&amp;IF(G86="","",","))</f>
        <v/>
      </c>
      <c r="AW85" s="27"/>
      <c r="AY85" s="122" t="str">
        <f t="shared" si="25"/>
        <v/>
      </c>
    </row>
    <row r="86" spans="2:51" ht="12.75">
      <c r="B86" s="20" t="str">
        <f t="shared" si="27"/>
        <v/>
      </c>
      <c r="C86" s="5"/>
      <c r="D86" s="5"/>
      <c r="E86" s="5"/>
      <c r="G86" s="5" t="str">
        <f t="shared" si="17"/>
        <v/>
      </c>
      <c r="H86" s="117" t="str">
        <f t="shared" si="13"/>
        <v/>
      </c>
      <c r="I86" s="5" t="str">
        <f t="shared" si="18"/>
        <v/>
      </c>
      <c r="J86" s="5" t="str">
        <f t="shared" si="19"/>
        <v/>
      </c>
      <c r="K86" s="5"/>
      <c r="L86" s="5"/>
      <c r="M86" s="75"/>
      <c r="N86" s="77"/>
      <c r="O86" s="26"/>
      <c r="P86" s="26"/>
      <c r="Q86" s="118" t="str">
        <f t="shared" si="20"/>
        <v/>
      </c>
      <c r="R86" s="153"/>
      <c r="S86" s="138" t="str">
        <f t="shared" si="26"/>
        <v/>
      </c>
      <c r="T86" s="148"/>
      <c r="U86" s="146"/>
      <c r="V86" s="146"/>
      <c r="W86" s="139"/>
      <c r="X86" s="139"/>
      <c r="Y86" s="148"/>
      <c r="Z86" s="138" t="str">
        <f t="shared" si="22"/>
        <v/>
      </c>
      <c r="AA86" s="138" t="str">
        <f t="shared" si="28"/>
        <v/>
      </c>
      <c r="AB86" s="239"/>
      <c r="AC86" s="325"/>
      <c r="AD86" s="325"/>
      <c r="AE86" s="325"/>
      <c r="AF86" s="325"/>
      <c r="AG86" s="325"/>
      <c r="AH86" s="325"/>
      <c r="AI86" s="325"/>
      <c r="AJ86" s="325"/>
      <c r="AK86" s="325"/>
      <c r="AL86" s="325"/>
      <c r="AM86" s="325"/>
      <c r="AN86" s="325"/>
      <c r="AO86" s="325"/>
      <c r="AP86" s="136"/>
      <c r="AQ86" s="136"/>
      <c r="AR86" s="136" t="str">
        <f t="shared" si="23"/>
        <v/>
      </c>
      <c r="AS86" s="136" t="str">
        <f t="shared" si="23"/>
        <v/>
      </c>
      <c r="AT86" s="5" t="str">
        <f t="shared" si="24"/>
        <v/>
      </c>
      <c r="AV86" s="27" t="str">
        <f>IF(G86="","",+"          ["&amp;TRIM(G86)&amp;"] ["&amp;TRIM(I86)&amp;"]"&amp;IF(H86="","","("&amp;H86&amp;")")&amp;" "&amp;TRIM(J86)&amp;IF(G87="","",","))</f>
        <v/>
      </c>
      <c r="AW86" s="27"/>
      <c r="AY86" s="122" t="str">
        <f t="shared" si="25"/>
        <v/>
      </c>
    </row>
    <row r="87" spans="2:51" ht="12.75">
      <c r="B87" s="20" t="str">
        <f t="shared" si="27"/>
        <v/>
      </c>
      <c r="C87" s="5"/>
      <c r="D87" s="5"/>
      <c r="E87" s="5"/>
      <c r="G87" s="5" t="str">
        <f t="shared" si="17"/>
        <v/>
      </c>
      <c r="H87" s="117" t="str">
        <f t="shared" ref="H87:H115" si="29">IF(IFERROR(FIND("varchar",E87),0)&gt;0,IF(D87&gt;8000,"max",D87),"")</f>
        <v/>
      </c>
      <c r="I87" s="5" t="str">
        <f t="shared" si="18"/>
        <v/>
      </c>
      <c r="J87" s="5" t="str">
        <f t="shared" si="19"/>
        <v/>
      </c>
      <c r="K87" s="5"/>
      <c r="L87" s="5"/>
      <c r="M87" s="75"/>
      <c r="N87" s="77"/>
      <c r="O87" s="26"/>
      <c r="P87" s="26"/>
      <c r="Q87" s="118" t="str">
        <f t="shared" si="20"/>
        <v/>
      </c>
      <c r="R87" s="153"/>
      <c r="S87" s="138" t="str">
        <f t="shared" si="26"/>
        <v/>
      </c>
      <c r="T87" s="148"/>
      <c r="U87" s="146"/>
      <c r="V87" s="146"/>
      <c r="W87" s="139"/>
      <c r="X87" s="139"/>
      <c r="Y87" s="148"/>
      <c r="Z87" s="138" t="str">
        <f t="shared" si="22"/>
        <v/>
      </c>
      <c r="AA87" s="138" t="str">
        <f t="shared" si="28"/>
        <v/>
      </c>
      <c r="AB87" s="239"/>
      <c r="AC87" s="325"/>
      <c r="AD87" s="325"/>
      <c r="AE87" s="325"/>
      <c r="AF87" s="325"/>
      <c r="AG87" s="325"/>
      <c r="AH87" s="325"/>
      <c r="AI87" s="325"/>
      <c r="AJ87" s="325"/>
      <c r="AK87" s="325"/>
      <c r="AL87" s="325"/>
      <c r="AM87" s="325"/>
      <c r="AN87" s="325"/>
      <c r="AO87" s="325"/>
      <c r="AP87" s="136"/>
      <c r="AQ87" s="136"/>
      <c r="AR87" s="136" t="str">
        <f t="shared" si="23"/>
        <v/>
      </c>
      <c r="AS87" s="136" t="str">
        <f t="shared" si="23"/>
        <v/>
      </c>
      <c r="AT87" s="5" t="str">
        <f t="shared" si="24"/>
        <v/>
      </c>
      <c r="AV87" s="27" t="str">
        <f>IF(G87="","",+"          ["&amp;TRIM(G87)&amp;"] ["&amp;TRIM(I87)&amp;"]"&amp;IF(H87="","","("&amp;H87&amp;")")&amp;" "&amp;TRIM(J87)&amp;IF(G93="","",","))</f>
        <v/>
      </c>
      <c r="AW87" s="27"/>
      <c r="AY87" s="122" t="str">
        <f t="shared" si="25"/>
        <v/>
      </c>
    </row>
    <row r="88" spans="2:51" ht="12.75">
      <c r="B88" s="20" t="str">
        <f t="shared" si="27"/>
        <v/>
      </c>
      <c r="C88" s="5"/>
      <c r="D88" s="5"/>
      <c r="E88" s="5"/>
      <c r="G88" s="5" t="str">
        <f t="shared" si="17"/>
        <v/>
      </c>
      <c r="H88" s="117" t="str">
        <f t="shared" si="29"/>
        <v/>
      </c>
      <c r="I88" s="5" t="str">
        <f t="shared" si="18"/>
        <v/>
      </c>
      <c r="J88" s="5" t="str">
        <f t="shared" si="19"/>
        <v/>
      </c>
      <c r="K88" s="5"/>
      <c r="L88" s="5"/>
      <c r="M88" s="75"/>
      <c r="N88" s="77"/>
      <c r="O88" s="26"/>
      <c r="P88" s="26"/>
      <c r="Q88" s="118" t="str">
        <f t="shared" si="20"/>
        <v/>
      </c>
      <c r="R88" s="153"/>
      <c r="S88" s="138" t="str">
        <f t="shared" si="26"/>
        <v/>
      </c>
      <c r="T88" s="148"/>
      <c r="U88" s="146"/>
      <c r="V88" s="146"/>
      <c r="W88" s="139"/>
      <c r="X88" s="139"/>
      <c r="Y88" s="148"/>
      <c r="Z88" s="138" t="str">
        <f t="shared" si="22"/>
        <v/>
      </c>
      <c r="AA88" s="138" t="str">
        <f t="shared" si="28"/>
        <v/>
      </c>
      <c r="AB88" s="239"/>
      <c r="AC88" s="325"/>
      <c r="AD88" s="325"/>
      <c r="AE88" s="325"/>
      <c r="AF88" s="325"/>
      <c r="AG88" s="325"/>
      <c r="AH88" s="325"/>
      <c r="AI88" s="325"/>
      <c r="AJ88" s="325"/>
      <c r="AK88" s="325"/>
      <c r="AL88" s="325"/>
      <c r="AM88" s="325"/>
      <c r="AN88" s="325"/>
      <c r="AO88" s="325"/>
      <c r="AP88" s="136"/>
      <c r="AQ88" s="136"/>
      <c r="AR88" s="136" t="str">
        <f t="shared" si="23"/>
        <v/>
      </c>
      <c r="AS88" s="136" t="str">
        <f t="shared" si="23"/>
        <v/>
      </c>
      <c r="AT88" s="5" t="str">
        <f t="shared" si="24"/>
        <v/>
      </c>
      <c r="AV88" s="27" t="str">
        <f>IF(G88="","",+"          ["&amp;TRIM(G88)&amp;"] ["&amp;TRIM(I88)&amp;"]"&amp;IF(H88="","","("&amp;H88&amp;")")&amp;" "&amp;TRIM(J88)&amp;IF(G89="","",","))</f>
        <v/>
      </c>
      <c r="AW88" s="27"/>
      <c r="AY88" s="122" t="str">
        <f t="shared" si="25"/>
        <v/>
      </c>
    </row>
    <row r="89" spans="2:51" ht="12.75">
      <c r="B89" s="20" t="str">
        <f t="shared" si="27"/>
        <v/>
      </c>
      <c r="C89" s="5"/>
      <c r="D89" s="5"/>
      <c r="E89" s="5"/>
      <c r="G89" s="5" t="str">
        <f t="shared" si="17"/>
        <v/>
      </c>
      <c r="H89" s="117" t="str">
        <f t="shared" si="29"/>
        <v/>
      </c>
      <c r="I89" s="5" t="str">
        <f t="shared" si="18"/>
        <v/>
      </c>
      <c r="J89" s="5" t="str">
        <f t="shared" si="19"/>
        <v/>
      </c>
      <c r="K89" s="5"/>
      <c r="L89" s="5"/>
      <c r="M89" s="75"/>
      <c r="N89" s="77"/>
      <c r="O89" s="26"/>
      <c r="P89" s="26"/>
      <c r="Q89" s="118" t="str">
        <f t="shared" si="20"/>
        <v/>
      </c>
      <c r="R89" s="153"/>
      <c r="S89" s="138" t="str">
        <f t="shared" si="26"/>
        <v/>
      </c>
      <c r="T89" s="148"/>
      <c r="U89" s="146"/>
      <c r="V89" s="146"/>
      <c r="W89" s="139"/>
      <c r="X89" s="139"/>
      <c r="Y89" s="148"/>
      <c r="Z89" s="138" t="str">
        <f t="shared" si="22"/>
        <v/>
      </c>
      <c r="AA89" s="138" t="str">
        <f t="shared" si="28"/>
        <v/>
      </c>
      <c r="AB89" s="239"/>
      <c r="AC89" s="325"/>
      <c r="AD89" s="325"/>
      <c r="AE89" s="325"/>
      <c r="AF89" s="325"/>
      <c r="AG89" s="325"/>
      <c r="AH89" s="325"/>
      <c r="AI89" s="325"/>
      <c r="AJ89" s="325"/>
      <c r="AK89" s="325"/>
      <c r="AL89" s="325"/>
      <c r="AM89" s="325"/>
      <c r="AN89" s="325"/>
      <c r="AO89" s="325"/>
      <c r="AP89" s="136"/>
      <c r="AQ89" s="136"/>
      <c r="AR89" s="136" t="str">
        <f t="shared" si="23"/>
        <v/>
      </c>
      <c r="AS89" s="136" t="str">
        <f t="shared" si="23"/>
        <v/>
      </c>
      <c r="AT89" s="5" t="str">
        <f t="shared" si="24"/>
        <v/>
      </c>
      <c r="AV89" s="27" t="str">
        <f>IF(G89="","",+"          ["&amp;TRIM(G89)&amp;"] ["&amp;TRIM(I89)&amp;"]"&amp;IF(H89="","","("&amp;H89&amp;")")&amp;" "&amp;TRIM(J89)&amp;IF(G92="","",","))</f>
        <v/>
      </c>
      <c r="AW89" s="27"/>
      <c r="AY89" s="122" t="str">
        <f t="shared" si="25"/>
        <v/>
      </c>
    </row>
    <row r="90" spans="2:51" ht="12.75">
      <c r="B90" s="20" t="str">
        <f t="shared" si="27"/>
        <v/>
      </c>
      <c r="C90" s="5"/>
      <c r="D90" s="5"/>
      <c r="E90" s="5"/>
      <c r="G90" s="5" t="str">
        <f t="shared" si="17"/>
        <v/>
      </c>
      <c r="H90" s="117" t="str">
        <f t="shared" si="29"/>
        <v/>
      </c>
      <c r="I90" s="5" t="str">
        <f t="shared" si="18"/>
        <v/>
      </c>
      <c r="J90" s="5" t="str">
        <f t="shared" si="19"/>
        <v/>
      </c>
      <c r="K90" s="5"/>
      <c r="L90" s="5"/>
      <c r="M90" s="75"/>
      <c r="N90" s="77"/>
      <c r="O90" s="26"/>
      <c r="P90" s="26"/>
      <c r="Q90" s="118" t="str">
        <f t="shared" si="20"/>
        <v/>
      </c>
      <c r="R90" s="153"/>
      <c r="S90" s="138" t="str">
        <f t="shared" si="26"/>
        <v/>
      </c>
      <c r="T90" s="148"/>
      <c r="U90" s="146"/>
      <c r="V90" s="146"/>
      <c r="W90" s="139"/>
      <c r="X90" s="139"/>
      <c r="Y90" s="148"/>
      <c r="Z90" s="138" t="str">
        <f t="shared" si="22"/>
        <v/>
      </c>
      <c r="AA90" s="138" t="str">
        <f t="shared" si="28"/>
        <v/>
      </c>
      <c r="AB90" s="239"/>
      <c r="AC90" s="325"/>
      <c r="AD90" s="325"/>
      <c r="AE90" s="325"/>
      <c r="AF90" s="325"/>
      <c r="AG90" s="325"/>
      <c r="AH90" s="325"/>
      <c r="AI90" s="325"/>
      <c r="AJ90" s="325"/>
      <c r="AK90" s="325"/>
      <c r="AL90" s="325"/>
      <c r="AM90" s="325"/>
      <c r="AN90" s="325"/>
      <c r="AO90" s="325"/>
      <c r="AP90" s="136"/>
      <c r="AQ90" s="136"/>
      <c r="AR90" s="136" t="str">
        <f t="shared" si="23"/>
        <v/>
      </c>
      <c r="AS90" s="136" t="str">
        <f t="shared" si="23"/>
        <v/>
      </c>
      <c r="AT90" s="5" t="str">
        <f t="shared" si="24"/>
        <v/>
      </c>
      <c r="AV90" s="27" t="str">
        <f t="shared" ref="AV90:AV95" si="30">IF(G90="","",+"          ["&amp;TRIM(G90)&amp;"] ["&amp;TRIM(I90)&amp;"]"&amp;IF(H90="","","("&amp;H90&amp;")")&amp;" "&amp;TRIM(J90)&amp;IF(G91="","",","))</f>
        <v/>
      </c>
      <c r="AW90" s="27"/>
      <c r="AY90" s="122" t="str">
        <f t="shared" si="25"/>
        <v/>
      </c>
    </row>
    <row r="91" spans="2:51" ht="12.75">
      <c r="B91" s="20" t="str">
        <f t="shared" si="27"/>
        <v/>
      </c>
      <c r="C91" s="5"/>
      <c r="D91" s="5"/>
      <c r="E91" s="5"/>
      <c r="G91" s="5" t="str">
        <f t="shared" si="17"/>
        <v/>
      </c>
      <c r="H91" s="117" t="str">
        <f t="shared" si="29"/>
        <v/>
      </c>
      <c r="I91" s="5" t="str">
        <f t="shared" si="18"/>
        <v/>
      </c>
      <c r="J91" s="5" t="str">
        <f t="shared" si="19"/>
        <v/>
      </c>
      <c r="K91" s="5"/>
      <c r="L91" s="5"/>
      <c r="M91" s="75"/>
      <c r="N91" s="77"/>
      <c r="O91" s="26"/>
      <c r="P91" s="26"/>
      <c r="Q91" s="118" t="str">
        <f t="shared" si="20"/>
        <v/>
      </c>
      <c r="R91" s="153"/>
      <c r="S91" s="138" t="str">
        <f t="shared" si="26"/>
        <v/>
      </c>
      <c r="T91" s="148"/>
      <c r="U91" s="146"/>
      <c r="V91" s="146"/>
      <c r="W91" s="139"/>
      <c r="X91" s="139"/>
      <c r="Y91" s="148"/>
      <c r="Z91" s="138" t="str">
        <f t="shared" si="22"/>
        <v/>
      </c>
      <c r="AA91" s="138" t="str">
        <f t="shared" si="28"/>
        <v/>
      </c>
      <c r="AB91" s="239"/>
      <c r="AC91" s="325"/>
      <c r="AD91" s="325"/>
      <c r="AE91" s="325"/>
      <c r="AF91" s="325"/>
      <c r="AG91" s="325"/>
      <c r="AH91" s="325"/>
      <c r="AI91" s="325"/>
      <c r="AJ91" s="325"/>
      <c r="AK91" s="325"/>
      <c r="AL91" s="325"/>
      <c r="AM91" s="325"/>
      <c r="AN91" s="325"/>
      <c r="AO91" s="325"/>
      <c r="AP91" s="136"/>
      <c r="AQ91" s="136"/>
      <c r="AR91" s="136" t="str">
        <f t="shared" si="23"/>
        <v/>
      </c>
      <c r="AS91" s="136" t="str">
        <f t="shared" si="23"/>
        <v/>
      </c>
      <c r="AT91" s="5" t="str">
        <f t="shared" si="24"/>
        <v/>
      </c>
      <c r="AV91" s="27" t="str">
        <f t="shared" si="30"/>
        <v/>
      </c>
      <c r="AW91" s="27"/>
      <c r="AY91" s="122" t="str">
        <f t="shared" si="25"/>
        <v/>
      </c>
    </row>
    <row r="92" spans="2:51" ht="12.75">
      <c r="B92" s="20" t="str">
        <f t="shared" si="27"/>
        <v/>
      </c>
      <c r="C92" s="5"/>
      <c r="D92" s="5"/>
      <c r="E92" s="5"/>
      <c r="G92" s="5" t="str">
        <f t="shared" si="17"/>
        <v/>
      </c>
      <c r="H92" s="117" t="str">
        <f t="shared" si="29"/>
        <v/>
      </c>
      <c r="I92" s="5" t="str">
        <f t="shared" si="18"/>
        <v/>
      </c>
      <c r="J92" s="5" t="str">
        <f t="shared" si="19"/>
        <v/>
      </c>
      <c r="K92" s="5"/>
      <c r="L92" s="5"/>
      <c r="M92" s="75"/>
      <c r="N92" s="77"/>
      <c r="O92" s="26"/>
      <c r="P92" s="26"/>
      <c r="Q92" s="118" t="str">
        <f t="shared" si="20"/>
        <v/>
      </c>
      <c r="R92" s="153"/>
      <c r="S92" s="138" t="str">
        <f t="shared" si="26"/>
        <v/>
      </c>
      <c r="T92" s="148"/>
      <c r="U92" s="146"/>
      <c r="V92" s="146"/>
      <c r="W92" s="139"/>
      <c r="X92" s="139"/>
      <c r="Y92" s="148"/>
      <c r="Z92" s="138" t="str">
        <f t="shared" si="22"/>
        <v/>
      </c>
      <c r="AA92" s="138" t="str">
        <f t="shared" si="28"/>
        <v/>
      </c>
      <c r="AB92" s="239"/>
      <c r="AC92" s="325"/>
      <c r="AD92" s="325"/>
      <c r="AE92" s="325"/>
      <c r="AF92" s="325"/>
      <c r="AG92" s="325"/>
      <c r="AH92" s="325"/>
      <c r="AI92" s="325"/>
      <c r="AJ92" s="325"/>
      <c r="AK92" s="325"/>
      <c r="AL92" s="325"/>
      <c r="AM92" s="325"/>
      <c r="AN92" s="325"/>
      <c r="AO92" s="325"/>
      <c r="AP92" s="136"/>
      <c r="AQ92" s="136"/>
      <c r="AR92" s="136" t="str">
        <f t="shared" si="23"/>
        <v/>
      </c>
      <c r="AS92" s="136" t="str">
        <f t="shared" si="23"/>
        <v/>
      </c>
      <c r="AT92" s="5" t="str">
        <f t="shared" si="24"/>
        <v/>
      </c>
      <c r="AV92" s="27" t="str">
        <f t="shared" si="30"/>
        <v/>
      </c>
      <c r="AW92" s="27"/>
      <c r="AY92" s="122" t="str">
        <f t="shared" si="25"/>
        <v/>
      </c>
    </row>
    <row r="93" spans="2:51" ht="12.75">
      <c r="B93" s="20" t="str">
        <f t="shared" si="27"/>
        <v/>
      </c>
      <c r="C93" s="5"/>
      <c r="D93" s="5"/>
      <c r="E93" s="5"/>
      <c r="G93" s="5" t="str">
        <f t="shared" si="17"/>
        <v/>
      </c>
      <c r="H93" s="117" t="str">
        <f t="shared" si="29"/>
        <v/>
      </c>
      <c r="I93" s="5" t="str">
        <f t="shared" si="18"/>
        <v/>
      </c>
      <c r="J93" s="5" t="str">
        <f t="shared" si="19"/>
        <v/>
      </c>
      <c r="K93" s="5"/>
      <c r="L93" s="5"/>
      <c r="M93" s="75"/>
      <c r="N93" s="77"/>
      <c r="O93" s="26"/>
      <c r="P93" s="26"/>
      <c r="Q93" s="118" t="str">
        <f t="shared" si="20"/>
        <v/>
      </c>
      <c r="R93" s="153"/>
      <c r="S93" s="138" t="str">
        <f t="shared" si="26"/>
        <v/>
      </c>
      <c r="T93" s="148"/>
      <c r="U93" s="146"/>
      <c r="V93" s="146"/>
      <c r="W93" s="139"/>
      <c r="X93" s="139"/>
      <c r="Y93" s="148"/>
      <c r="Z93" s="138" t="str">
        <f t="shared" si="22"/>
        <v/>
      </c>
      <c r="AA93" s="138" t="str">
        <f t="shared" si="28"/>
        <v/>
      </c>
      <c r="AB93" s="239"/>
      <c r="AC93" s="325"/>
      <c r="AD93" s="325"/>
      <c r="AE93" s="325"/>
      <c r="AF93" s="325"/>
      <c r="AG93" s="325"/>
      <c r="AH93" s="325"/>
      <c r="AI93" s="325"/>
      <c r="AJ93" s="325"/>
      <c r="AK93" s="325"/>
      <c r="AL93" s="325"/>
      <c r="AM93" s="325"/>
      <c r="AN93" s="325"/>
      <c r="AO93" s="325"/>
      <c r="AP93" s="136"/>
      <c r="AQ93" s="136"/>
      <c r="AR93" s="136" t="str">
        <f t="shared" si="23"/>
        <v/>
      </c>
      <c r="AS93" s="136" t="str">
        <f t="shared" si="23"/>
        <v/>
      </c>
      <c r="AT93" s="5" t="str">
        <f t="shared" si="24"/>
        <v/>
      </c>
      <c r="AV93" s="27" t="str">
        <f t="shared" si="30"/>
        <v/>
      </c>
      <c r="AW93" s="27"/>
      <c r="AY93" s="122" t="str">
        <f t="shared" si="25"/>
        <v/>
      </c>
    </row>
    <row r="94" spans="2:51" ht="12.75">
      <c r="B94" s="20" t="str">
        <f t="shared" si="27"/>
        <v/>
      </c>
      <c r="C94" s="5"/>
      <c r="D94" s="5"/>
      <c r="E94" s="5"/>
      <c r="G94" s="5" t="str">
        <f>SUBSTITUTE(SUBSTITUTE(SUBSTITUTE(SUBSTITUTE(SUBSTITUTE(SUBSTITUTE(SUBSTITUTE(SUBSTITUTE(SUBSTITUTE(C94," ",""),".",""),"#","No"),"%",""),"(",""),"*",""),"-",""),"/",""),")","")</f>
        <v/>
      </c>
      <c r="H94" s="117" t="str">
        <f t="shared" si="29"/>
        <v/>
      </c>
      <c r="I94" s="5" t="str">
        <f>IF(E94=0,"",+E94)</f>
        <v/>
      </c>
      <c r="J94" s="5" t="str">
        <f>IF(C94=0,"",(IF(ISERROR(VLOOKUP(G94,$D$120:$D$127,1,FALSE)),""," NOT")&amp;" NULL"))</f>
        <v/>
      </c>
      <c r="K94" s="5"/>
      <c r="L94" s="5"/>
      <c r="M94" s="75"/>
      <c r="N94" s="77"/>
      <c r="O94" s="26"/>
      <c r="P94" s="26"/>
      <c r="Q94" s="118" t="str">
        <f>IF(M94=0,"",ROW())</f>
        <v/>
      </c>
      <c r="R94" s="153"/>
      <c r="S94" s="138" t="str">
        <f t="shared" si="26"/>
        <v/>
      </c>
      <c r="T94" s="148"/>
      <c r="U94" s="146"/>
      <c r="V94" s="146"/>
      <c r="W94" s="139"/>
      <c r="X94" s="139"/>
      <c r="Y94" s="148"/>
      <c r="Z94" s="138" t="str">
        <f t="shared" si="22"/>
        <v/>
      </c>
      <c r="AA94" s="138" t="str">
        <f t="shared" si="28"/>
        <v/>
      </c>
      <c r="AB94" s="239"/>
      <c r="AC94" s="325"/>
      <c r="AD94" s="325"/>
      <c r="AE94" s="325"/>
      <c r="AF94" s="325"/>
      <c r="AG94" s="325"/>
      <c r="AH94" s="325"/>
      <c r="AI94" s="325"/>
      <c r="AJ94" s="325"/>
      <c r="AK94" s="325"/>
      <c r="AL94" s="325"/>
      <c r="AM94" s="325"/>
      <c r="AN94" s="325"/>
      <c r="AO94" s="325"/>
      <c r="AP94" s="136"/>
      <c r="AQ94" s="136"/>
      <c r="AR94" s="136" t="str">
        <f t="shared" si="23"/>
        <v/>
      </c>
      <c r="AS94" s="136" t="str">
        <f t="shared" si="23"/>
        <v/>
      </c>
      <c r="AT94" s="5" t="str">
        <f t="shared" si="24"/>
        <v/>
      </c>
      <c r="AV94" s="27" t="str">
        <f t="shared" si="30"/>
        <v/>
      </c>
      <c r="AW94" s="27"/>
      <c r="AY94" s="122" t="str">
        <f t="shared" si="25"/>
        <v/>
      </c>
    </row>
    <row r="95" spans="2:51" ht="12.75">
      <c r="B95" s="20" t="str">
        <f t="shared" si="27"/>
        <v/>
      </c>
      <c r="C95" s="5"/>
      <c r="D95" s="5"/>
      <c r="E95" s="5"/>
      <c r="G95" s="5" t="str">
        <f>SUBSTITUTE(SUBSTITUTE(SUBSTITUTE(SUBSTITUTE(SUBSTITUTE(SUBSTITUTE(SUBSTITUTE(SUBSTITUTE(SUBSTITUTE(C95," ",""),".",""),"#","No"),"%",""),"(",""),"*",""),"-",""),"/",""),")","")</f>
        <v/>
      </c>
      <c r="H95" s="117" t="str">
        <f t="shared" si="29"/>
        <v/>
      </c>
      <c r="I95" s="5" t="str">
        <f>IF(E95=0,"",+E95)</f>
        <v/>
      </c>
      <c r="J95" s="5" t="str">
        <f>IF(C95=0,"",(IF(ISERROR(VLOOKUP(G95,$D$120:$D$127,1,FALSE)),""," NOT")&amp;" NULL"))</f>
        <v/>
      </c>
      <c r="K95" s="5"/>
      <c r="L95" s="5"/>
      <c r="M95" s="75"/>
      <c r="N95" s="77"/>
      <c r="O95" s="26"/>
      <c r="P95" s="26"/>
      <c r="Q95" s="118" t="str">
        <f>IF(M95=0,"",ROW())</f>
        <v/>
      </c>
      <c r="R95" s="153"/>
      <c r="S95" s="138" t="str">
        <f t="shared" si="26"/>
        <v/>
      </c>
      <c r="T95" s="148"/>
      <c r="U95" s="146"/>
      <c r="V95" s="146"/>
      <c r="W95" s="139"/>
      <c r="X95" s="139"/>
      <c r="Y95" s="148"/>
      <c r="Z95" s="138" t="str">
        <f t="shared" si="22"/>
        <v/>
      </c>
      <c r="AA95" s="138" t="str">
        <f t="shared" si="28"/>
        <v/>
      </c>
      <c r="AB95" s="239"/>
      <c r="AC95" s="325"/>
      <c r="AD95" s="325"/>
      <c r="AE95" s="325"/>
      <c r="AF95" s="325"/>
      <c r="AG95" s="325"/>
      <c r="AH95" s="325"/>
      <c r="AI95" s="325"/>
      <c r="AJ95" s="325"/>
      <c r="AK95" s="325"/>
      <c r="AL95" s="325"/>
      <c r="AM95" s="325"/>
      <c r="AN95" s="325"/>
      <c r="AO95" s="325"/>
      <c r="AP95" s="136"/>
      <c r="AQ95" s="136"/>
      <c r="AR95" s="136" t="str">
        <f t="shared" si="23"/>
        <v/>
      </c>
      <c r="AS95" s="136" t="str">
        <f t="shared" si="23"/>
        <v/>
      </c>
      <c r="AT95" s="5" t="str">
        <f t="shared" si="24"/>
        <v/>
      </c>
      <c r="AV95" s="27" t="str">
        <f t="shared" si="30"/>
        <v/>
      </c>
      <c r="AW95" s="27"/>
      <c r="AY95" s="122" t="str">
        <f t="shared" si="25"/>
        <v/>
      </c>
    </row>
    <row r="96" spans="2:51" ht="12.75">
      <c r="B96" s="20" t="str">
        <f t="shared" si="27"/>
        <v/>
      </c>
      <c r="C96" s="5"/>
      <c r="D96" s="5"/>
      <c r="E96" s="5"/>
      <c r="G96" s="5" t="str">
        <f>SUBSTITUTE(SUBSTITUTE(SUBSTITUTE(SUBSTITUTE(SUBSTITUTE(SUBSTITUTE(SUBSTITUTE(SUBSTITUTE(SUBSTITUTE(C96," ",""),".",""),"#","No"),"%",""),"(",""),"*",""),"-",""),"/",""),")","")</f>
        <v/>
      </c>
      <c r="H96" s="117" t="str">
        <f t="shared" si="29"/>
        <v/>
      </c>
      <c r="I96" s="5" t="str">
        <f>IF(E96=0,"",+E96)</f>
        <v/>
      </c>
      <c r="J96" s="5" t="str">
        <f>IF(C96=0,"",(IF(ISERROR(VLOOKUP(G96,$D$120:$D$127,1,FALSE)),""," NOT")&amp;" NULL"))</f>
        <v/>
      </c>
      <c r="K96" s="5"/>
      <c r="L96" s="5"/>
      <c r="M96" s="75"/>
      <c r="N96" s="77"/>
      <c r="O96" s="26"/>
      <c r="P96" s="26"/>
      <c r="Q96" s="118" t="str">
        <f>IF(M96=0,"",ROW())</f>
        <v/>
      </c>
      <c r="R96" s="153"/>
      <c r="S96" s="138" t="str">
        <f t="shared" si="26"/>
        <v/>
      </c>
      <c r="T96" s="148"/>
      <c r="U96" s="146"/>
      <c r="V96" s="146"/>
      <c r="W96" s="139"/>
      <c r="X96" s="139"/>
      <c r="Y96" s="148"/>
      <c r="Z96" s="138" t="str">
        <f t="shared" si="22"/>
        <v/>
      </c>
      <c r="AA96" s="138" t="str">
        <f t="shared" si="28"/>
        <v/>
      </c>
      <c r="AB96" s="239"/>
      <c r="AC96" s="325"/>
      <c r="AD96" s="325"/>
      <c r="AE96" s="325"/>
      <c r="AF96" s="325"/>
      <c r="AG96" s="325"/>
      <c r="AH96" s="325"/>
      <c r="AI96" s="325"/>
      <c r="AJ96" s="325"/>
      <c r="AK96" s="325"/>
      <c r="AL96" s="325"/>
      <c r="AM96" s="325"/>
      <c r="AN96" s="325"/>
      <c r="AO96" s="325"/>
      <c r="AP96" s="136"/>
      <c r="AQ96" s="136"/>
      <c r="AR96" s="136" t="str">
        <f t="shared" si="23"/>
        <v/>
      </c>
      <c r="AS96" s="136" t="str">
        <f t="shared" si="23"/>
        <v/>
      </c>
      <c r="AT96" s="5" t="str">
        <f t="shared" si="24"/>
        <v/>
      </c>
      <c r="AV96" s="27" t="str">
        <f>IF(G96="","",+"          ["&amp;TRIM(G96)&amp;"] ["&amp;TRIM(I96)&amp;"]"&amp;IF(H96="","","("&amp;H96&amp;")")&amp;" "&amp;TRIM(J96)&amp;IF(G108="","",","))</f>
        <v/>
      </c>
      <c r="AW96" s="27"/>
      <c r="AY96" s="122" t="str">
        <f t="shared" si="25"/>
        <v/>
      </c>
    </row>
    <row r="97" spans="2:51" ht="12.75">
      <c r="B97" s="20" t="str">
        <f t="shared" si="27"/>
        <v/>
      </c>
      <c r="C97" s="5"/>
      <c r="D97" s="5"/>
      <c r="E97" s="5"/>
      <c r="G97" s="5" t="str">
        <f t="shared" ref="G97:G115" si="31">SUBSTITUTE(SUBSTITUTE(SUBSTITUTE(SUBSTITUTE(SUBSTITUTE(SUBSTITUTE(SUBSTITUTE(SUBSTITUTE(SUBSTITUTE(C97," ",""),".",""),"#","No"),"%",""),"(",""),"*",""),"-",""),"/",""),")","")</f>
        <v/>
      </c>
      <c r="H97" s="117" t="str">
        <f t="shared" si="29"/>
        <v/>
      </c>
      <c r="I97" s="5" t="str">
        <f t="shared" ref="I97:I115" si="32">IF(E97=0,"",+E97)</f>
        <v/>
      </c>
      <c r="J97" s="5" t="str">
        <f t="shared" ref="J97:J115" si="33">IF(C97=0,"",(IF(ISERROR(VLOOKUP(G97,$D$120:$D$127,1,FALSE)),""," NOT")&amp;" NULL"))</f>
        <v/>
      </c>
      <c r="K97" s="5"/>
      <c r="L97" s="5"/>
      <c r="M97" s="75"/>
      <c r="N97" s="77"/>
      <c r="O97" s="26"/>
      <c r="P97" s="26"/>
      <c r="Q97" s="118" t="str">
        <f t="shared" ref="Q97:Q115" si="34">IF(M97=0,"",ROW())</f>
        <v/>
      </c>
      <c r="R97" s="153"/>
      <c r="S97" s="138" t="str">
        <f t="shared" si="26"/>
        <v/>
      </c>
      <c r="T97" s="148"/>
      <c r="U97" s="146"/>
      <c r="V97" s="146"/>
      <c r="W97" s="139"/>
      <c r="X97" s="139"/>
      <c r="Y97" s="148"/>
      <c r="Z97" s="138" t="str">
        <f t="shared" si="22"/>
        <v/>
      </c>
      <c r="AA97" s="138" t="str">
        <f t="shared" si="28"/>
        <v/>
      </c>
      <c r="AB97" s="239"/>
      <c r="AC97" s="325"/>
      <c r="AD97" s="325"/>
      <c r="AE97" s="325"/>
      <c r="AF97" s="325"/>
      <c r="AG97" s="325"/>
      <c r="AH97" s="325"/>
      <c r="AI97" s="325"/>
      <c r="AJ97" s="325"/>
      <c r="AK97" s="325"/>
      <c r="AL97" s="325"/>
      <c r="AM97" s="325"/>
      <c r="AN97" s="325"/>
      <c r="AO97" s="325"/>
      <c r="AP97" s="136"/>
      <c r="AQ97" s="136"/>
      <c r="AR97" s="136" t="str">
        <f t="shared" si="23"/>
        <v/>
      </c>
      <c r="AS97" s="136" t="str">
        <f t="shared" si="23"/>
        <v/>
      </c>
      <c r="AT97" s="5" t="str">
        <f t="shared" si="24"/>
        <v/>
      </c>
      <c r="AV97" s="27" t="str">
        <f>IF(G97="","",+"          ["&amp;TRIM(G97)&amp;"] ["&amp;TRIM(I97)&amp;"]"&amp;IF(H97="","","("&amp;H97&amp;")")&amp;" "&amp;TRIM(J97)&amp;IF(G98="","",","))</f>
        <v/>
      </c>
      <c r="AW97" s="27"/>
      <c r="AY97" s="122" t="str">
        <f t="shared" si="25"/>
        <v/>
      </c>
    </row>
    <row r="98" spans="2:51" ht="12.75">
      <c r="B98" s="20" t="str">
        <f t="shared" si="27"/>
        <v/>
      </c>
      <c r="C98" s="5"/>
      <c r="D98" s="5"/>
      <c r="E98" s="5"/>
      <c r="G98" s="5" t="str">
        <f t="shared" si="31"/>
        <v/>
      </c>
      <c r="H98" s="117" t="str">
        <f t="shared" si="29"/>
        <v/>
      </c>
      <c r="I98" s="5" t="str">
        <f t="shared" si="32"/>
        <v/>
      </c>
      <c r="J98" s="5" t="str">
        <f t="shared" si="33"/>
        <v/>
      </c>
      <c r="K98" s="5"/>
      <c r="L98" s="5"/>
      <c r="M98" s="75"/>
      <c r="N98" s="77"/>
      <c r="O98" s="26"/>
      <c r="P98" s="26"/>
      <c r="Q98" s="118" t="str">
        <f t="shared" si="34"/>
        <v/>
      </c>
      <c r="R98" s="153"/>
      <c r="S98" s="138" t="str">
        <f t="shared" si="26"/>
        <v/>
      </c>
      <c r="T98" s="148"/>
      <c r="U98" s="146"/>
      <c r="V98" s="146"/>
      <c r="W98" s="139"/>
      <c r="X98" s="139"/>
      <c r="Y98" s="148"/>
      <c r="Z98" s="138" t="str">
        <f t="shared" si="22"/>
        <v/>
      </c>
      <c r="AA98" s="138" t="str">
        <f t="shared" si="28"/>
        <v/>
      </c>
      <c r="AB98" s="239"/>
      <c r="AC98" s="325"/>
      <c r="AD98" s="325"/>
      <c r="AE98" s="325"/>
      <c r="AF98" s="325"/>
      <c r="AG98" s="325"/>
      <c r="AH98" s="325"/>
      <c r="AI98" s="325"/>
      <c r="AJ98" s="325"/>
      <c r="AK98" s="325"/>
      <c r="AL98" s="325"/>
      <c r="AM98" s="325"/>
      <c r="AN98" s="325"/>
      <c r="AO98" s="325"/>
      <c r="AP98" s="136"/>
      <c r="AQ98" s="136"/>
      <c r="AR98" s="136" t="str">
        <f t="shared" si="23"/>
        <v/>
      </c>
      <c r="AS98" s="136" t="str">
        <f t="shared" si="23"/>
        <v/>
      </c>
      <c r="AT98" s="5" t="str">
        <f t="shared" si="24"/>
        <v/>
      </c>
      <c r="AV98" s="27" t="str">
        <f>IF(G98="","",+"          ["&amp;TRIM(G98)&amp;"] ["&amp;TRIM(I98)&amp;"]"&amp;IF(H98="","","("&amp;H98&amp;")")&amp;" "&amp;TRIM(J98)&amp;IF(G107="","",","))</f>
        <v/>
      </c>
      <c r="AW98" s="27"/>
      <c r="AY98" s="122" t="str">
        <f t="shared" si="25"/>
        <v/>
      </c>
    </row>
    <row r="99" spans="2:51" ht="12.75">
      <c r="B99" s="20" t="str">
        <f t="shared" si="27"/>
        <v/>
      </c>
      <c r="C99" s="5"/>
      <c r="D99" s="5"/>
      <c r="E99" s="5"/>
      <c r="G99" s="5" t="str">
        <f t="shared" si="31"/>
        <v/>
      </c>
      <c r="H99" s="117" t="str">
        <f t="shared" si="29"/>
        <v/>
      </c>
      <c r="I99" s="5" t="str">
        <f t="shared" si="32"/>
        <v/>
      </c>
      <c r="J99" s="5" t="str">
        <f t="shared" si="33"/>
        <v/>
      </c>
      <c r="K99" s="5"/>
      <c r="L99" s="5"/>
      <c r="M99" s="75"/>
      <c r="N99" s="77"/>
      <c r="O99" s="26"/>
      <c r="P99" s="26"/>
      <c r="Q99" s="118" t="str">
        <f t="shared" si="34"/>
        <v/>
      </c>
      <c r="R99" s="153"/>
      <c r="S99" s="138" t="str">
        <f t="shared" si="26"/>
        <v/>
      </c>
      <c r="T99" s="148"/>
      <c r="U99" s="146"/>
      <c r="V99" s="146"/>
      <c r="W99" s="139"/>
      <c r="X99" s="139"/>
      <c r="Y99" s="148"/>
      <c r="Z99" s="138" t="str">
        <f t="shared" si="22"/>
        <v/>
      </c>
      <c r="AA99" s="138" t="str">
        <f t="shared" si="28"/>
        <v/>
      </c>
      <c r="AB99" s="239"/>
      <c r="AC99" s="325"/>
      <c r="AD99" s="325"/>
      <c r="AE99" s="325"/>
      <c r="AF99" s="325"/>
      <c r="AG99" s="325"/>
      <c r="AH99" s="325"/>
      <c r="AI99" s="325"/>
      <c r="AJ99" s="325"/>
      <c r="AK99" s="325"/>
      <c r="AL99" s="325"/>
      <c r="AM99" s="325"/>
      <c r="AN99" s="325"/>
      <c r="AO99" s="325"/>
      <c r="AP99" s="136"/>
      <c r="AQ99" s="136"/>
      <c r="AR99" s="136" t="str">
        <f t="shared" si="23"/>
        <v/>
      </c>
      <c r="AS99" s="136" t="str">
        <f t="shared" si="23"/>
        <v/>
      </c>
      <c r="AT99" s="5" t="str">
        <f t="shared" si="24"/>
        <v/>
      </c>
      <c r="AV99" s="27" t="str">
        <f>IF(G99="","",+"          ["&amp;TRIM(G99)&amp;"] ["&amp;TRIM(I99)&amp;"]"&amp;IF(H99="","","("&amp;H99&amp;")")&amp;" "&amp;TRIM(J99)&amp;IF(G106="","",","))</f>
        <v/>
      </c>
      <c r="AW99" s="27"/>
      <c r="AY99" s="122" t="str">
        <f t="shared" si="25"/>
        <v/>
      </c>
    </row>
    <row r="100" spans="2:51" ht="12.75">
      <c r="B100" s="20" t="str">
        <f t="shared" si="27"/>
        <v/>
      </c>
      <c r="C100" s="5"/>
      <c r="D100" s="5"/>
      <c r="E100" s="5"/>
      <c r="G100" s="5" t="str">
        <f t="shared" si="31"/>
        <v/>
      </c>
      <c r="H100" s="117" t="str">
        <f t="shared" si="29"/>
        <v/>
      </c>
      <c r="I100" s="5" t="str">
        <f t="shared" si="32"/>
        <v/>
      </c>
      <c r="J100" s="5" t="str">
        <f t="shared" si="33"/>
        <v/>
      </c>
      <c r="K100" s="5"/>
      <c r="L100" s="5"/>
      <c r="M100" s="75"/>
      <c r="N100" s="77"/>
      <c r="O100" s="26"/>
      <c r="P100" s="26"/>
      <c r="Q100" s="118" t="str">
        <f t="shared" si="34"/>
        <v/>
      </c>
      <c r="R100" s="153"/>
      <c r="S100" s="138" t="str">
        <f t="shared" si="26"/>
        <v/>
      </c>
      <c r="T100" s="148"/>
      <c r="U100" s="146"/>
      <c r="V100" s="146"/>
      <c r="W100" s="139"/>
      <c r="X100" s="139"/>
      <c r="Y100" s="148"/>
      <c r="Z100" s="138" t="str">
        <f t="shared" si="22"/>
        <v/>
      </c>
      <c r="AA100" s="138" t="str">
        <f t="shared" si="28"/>
        <v/>
      </c>
      <c r="AB100" s="239"/>
      <c r="AC100" s="325"/>
      <c r="AD100" s="325"/>
      <c r="AE100" s="325"/>
      <c r="AF100" s="325"/>
      <c r="AG100" s="325"/>
      <c r="AH100" s="325"/>
      <c r="AI100" s="325"/>
      <c r="AJ100" s="325"/>
      <c r="AK100" s="325"/>
      <c r="AL100" s="325"/>
      <c r="AM100" s="325"/>
      <c r="AN100" s="325"/>
      <c r="AO100" s="325"/>
      <c r="AP100" s="136"/>
      <c r="AQ100" s="136"/>
      <c r="AR100" s="136" t="str">
        <f t="shared" si="23"/>
        <v/>
      </c>
      <c r="AS100" s="136" t="str">
        <f t="shared" si="23"/>
        <v/>
      </c>
      <c r="AT100" s="5" t="str">
        <f t="shared" si="24"/>
        <v/>
      </c>
      <c r="AV100" s="27" t="str">
        <f>IF(G100="","",+"          ["&amp;TRIM(G100)&amp;"] ["&amp;TRIM(I100)&amp;"]"&amp;IF(H100="","","("&amp;H100&amp;")")&amp;" "&amp;TRIM(J100)&amp;IF(G101="","",","))</f>
        <v/>
      </c>
      <c r="AW100" s="27"/>
      <c r="AY100" s="122" t="str">
        <f t="shared" si="25"/>
        <v/>
      </c>
    </row>
    <row r="101" spans="2:51" ht="12.75">
      <c r="B101" s="20" t="str">
        <f t="shared" si="27"/>
        <v/>
      </c>
      <c r="C101" s="5"/>
      <c r="D101" s="5"/>
      <c r="E101" s="5"/>
      <c r="G101" s="5" t="str">
        <f t="shared" si="31"/>
        <v/>
      </c>
      <c r="H101" s="117" t="str">
        <f t="shared" si="29"/>
        <v/>
      </c>
      <c r="I101" s="5" t="str">
        <f t="shared" si="32"/>
        <v/>
      </c>
      <c r="J101" s="5" t="str">
        <f t="shared" si="33"/>
        <v/>
      </c>
      <c r="K101" s="5"/>
      <c r="L101" s="5"/>
      <c r="M101" s="75"/>
      <c r="N101" s="77"/>
      <c r="O101" s="26"/>
      <c r="P101" s="26"/>
      <c r="Q101" s="118" t="str">
        <f t="shared" si="34"/>
        <v/>
      </c>
      <c r="R101" s="153"/>
      <c r="S101" s="138" t="str">
        <f t="shared" si="26"/>
        <v/>
      </c>
      <c r="T101" s="148"/>
      <c r="U101" s="146"/>
      <c r="V101" s="146"/>
      <c r="W101" s="139"/>
      <c r="X101" s="139"/>
      <c r="Y101" s="148"/>
      <c r="Z101" s="138" t="str">
        <f t="shared" si="22"/>
        <v/>
      </c>
      <c r="AA101" s="138" t="str">
        <f t="shared" si="28"/>
        <v/>
      </c>
      <c r="AB101" s="239"/>
      <c r="AC101" s="325"/>
      <c r="AD101" s="325"/>
      <c r="AE101" s="325"/>
      <c r="AF101" s="325"/>
      <c r="AG101" s="325"/>
      <c r="AH101" s="325"/>
      <c r="AI101" s="325"/>
      <c r="AJ101" s="325"/>
      <c r="AK101" s="325"/>
      <c r="AL101" s="325"/>
      <c r="AM101" s="325"/>
      <c r="AN101" s="325"/>
      <c r="AO101" s="325"/>
      <c r="AP101" s="136"/>
      <c r="AQ101" s="136"/>
      <c r="AR101" s="136" t="str">
        <f t="shared" si="23"/>
        <v/>
      </c>
      <c r="AS101" s="136" t="str">
        <f t="shared" si="23"/>
        <v/>
      </c>
      <c r="AT101" s="5" t="str">
        <f t="shared" si="24"/>
        <v/>
      </c>
      <c r="AV101" s="27" t="str">
        <f>IF(G101="","",+"          ["&amp;TRIM(G101)&amp;"] ["&amp;TRIM(I101)&amp;"]"&amp;IF(H101="","","("&amp;H101&amp;")")&amp;" "&amp;TRIM(J101)&amp;IF(G102="","",","))</f>
        <v/>
      </c>
      <c r="AW101" s="27"/>
      <c r="AY101" s="122" t="str">
        <f t="shared" si="25"/>
        <v/>
      </c>
    </row>
    <row r="102" spans="2:51" ht="12.75">
      <c r="B102" s="20" t="str">
        <f t="shared" si="27"/>
        <v/>
      </c>
      <c r="C102" s="5"/>
      <c r="D102" s="5"/>
      <c r="E102" s="5"/>
      <c r="G102" s="5" t="str">
        <f t="shared" si="31"/>
        <v/>
      </c>
      <c r="H102" s="117" t="str">
        <f t="shared" si="29"/>
        <v/>
      </c>
      <c r="I102" s="5" t="str">
        <f t="shared" si="32"/>
        <v/>
      </c>
      <c r="J102" s="5" t="str">
        <f t="shared" si="33"/>
        <v/>
      </c>
      <c r="K102" s="5"/>
      <c r="L102" s="5"/>
      <c r="M102" s="75"/>
      <c r="N102" s="77"/>
      <c r="O102" s="26"/>
      <c r="P102" s="26"/>
      <c r="Q102" s="118" t="str">
        <f t="shared" si="34"/>
        <v/>
      </c>
      <c r="R102" s="153"/>
      <c r="S102" s="138" t="str">
        <f t="shared" si="26"/>
        <v/>
      </c>
      <c r="T102" s="148"/>
      <c r="U102" s="146"/>
      <c r="V102" s="146"/>
      <c r="W102" s="139"/>
      <c r="X102" s="139"/>
      <c r="Y102" s="148"/>
      <c r="Z102" s="138" t="str">
        <f t="shared" si="22"/>
        <v/>
      </c>
      <c r="AA102" s="138" t="str">
        <f t="shared" si="28"/>
        <v/>
      </c>
      <c r="AB102" s="239"/>
      <c r="AC102" s="325"/>
      <c r="AD102" s="325"/>
      <c r="AE102" s="325"/>
      <c r="AF102" s="325"/>
      <c r="AG102" s="325"/>
      <c r="AH102" s="325"/>
      <c r="AI102" s="325"/>
      <c r="AJ102" s="325"/>
      <c r="AK102" s="325"/>
      <c r="AL102" s="325"/>
      <c r="AM102" s="325"/>
      <c r="AN102" s="325"/>
      <c r="AO102" s="325"/>
      <c r="AP102" s="136"/>
      <c r="AQ102" s="136"/>
      <c r="AR102" s="136" t="str">
        <f t="shared" si="23"/>
        <v/>
      </c>
      <c r="AS102" s="136" t="str">
        <f t="shared" si="23"/>
        <v/>
      </c>
      <c r="AT102" s="5" t="str">
        <f t="shared" si="24"/>
        <v/>
      </c>
      <c r="AV102" s="27" t="str">
        <f>IF(G102="","",+"          ["&amp;TRIM(G102)&amp;"] ["&amp;TRIM(I102)&amp;"]"&amp;IF(H102="","","("&amp;H102&amp;")")&amp;" "&amp;TRIM(J102)&amp;IF(G103="","",","))</f>
        <v/>
      </c>
      <c r="AW102" s="27"/>
      <c r="AY102" s="122" t="str">
        <f t="shared" si="25"/>
        <v/>
      </c>
    </row>
    <row r="103" spans="2:51" ht="12.75">
      <c r="B103" s="20" t="str">
        <f t="shared" si="27"/>
        <v/>
      </c>
      <c r="C103" s="5"/>
      <c r="D103" s="5"/>
      <c r="E103" s="5"/>
      <c r="G103" s="5" t="str">
        <f t="shared" si="31"/>
        <v/>
      </c>
      <c r="H103" s="117" t="str">
        <f t="shared" si="29"/>
        <v/>
      </c>
      <c r="I103" s="5" t="str">
        <f t="shared" si="32"/>
        <v/>
      </c>
      <c r="J103" s="5" t="str">
        <f t="shared" si="33"/>
        <v/>
      </c>
      <c r="K103" s="5"/>
      <c r="L103" s="5"/>
      <c r="M103" s="75"/>
      <c r="N103" s="77"/>
      <c r="O103" s="26"/>
      <c r="P103" s="26"/>
      <c r="Q103" s="118" t="str">
        <f t="shared" si="34"/>
        <v/>
      </c>
      <c r="R103" s="153"/>
      <c r="S103" s="138" t="str">
        <f t="shared" si="26"/>
        <v/>
      </c>
      <c r="T103" s="148"/>
      <c r="U103" s="146"/>
      <c r="V103" s="146"/>
      <c r="W103" s="139"/>
      <c r="X103" s="139"/>
      <c r="Y103" s="148"/>
      <c r="Z103" s="138" t="str">
        <f t="shared" si="22"/>
        <v/>
      </c>
      <c r="AA103" s="138" t="str">
        <f t="shared" si="28"/>
        <v/>
      </c>
      <c r="AB103" s="239"/>
      <c r="AC103" s="325"/>
      <c r="AD103" s="325"/>
      <c r="AE103" s="325"/>
      <c r="AF103" s="325"/>
      <c r="AG103" s="325"/>
      <c r="AH103" s="325"/>
      <c r="AI103" s="325"/>
      <c r="AJ103" s="325"/>
      <c r="AK103" s="325"/>
      <c r="AL103" s="325"/>
      <c r="AM103" s="325"/>
      <c r="AN103" s="325"/>
      <c r="AO103" s="325"/>
      <c r="AP103" s="136"/>
      <c r="AQ103" s="136"/>
      <c r="AR103" s="136" t="str">
        <f t="shared" si="23"/>
        <v/>
      </c>
      <c r="AS103" s="136" t="str">
        <f t="shared" si="23"/>
        <v/>
      </c>
      <c r="AT103" s="5" t="str">
        <f t="shared" si="24"/>
        <v/>
      </c>
      <c r="AV103" s="27" t="str">
        <f>IF(G103="","",+"          ["&amp;TRIM(G103)&amp;"] ["&amp;TRIM(I103)&amp;"]"&amp;IF(H103="","","("&amp;H103&amp;")")&amp;" "&amp;TRIM(J103)&amp;IF(G106="","",","))</f>
        <v/>
      </c>
      <c r="AW103" s="27"/>
      <c r="AY103" s="122" t="str">
        <f t="shared" si="25"/>
        <v/>
      </c>
    </row>
    <row r="104" spans="2:51" ht="12.75">
      <c r="B104" s="20" t="str">
        <f t="shared" si="27"/>
        <v/>
      </c>
      <c r="C104" s="5"/>
      <c r="D104" s="5"/>
      <c r="E104" s="5"/>
      <c r="G104" s="5" t="str">
        <f t="shared" si="31"/>
        <v/>
      </c>
      <c r="H104" s="117" t="str">
        <f t="shared" si="29"/>
        <v/>
      </c>
      <c r="I104" s="5" t="str">
        <f t="shared" si="32"/>
        <v/>
      </c>
      <c r="J104" s="5" t="str">
        <f t="shared" si="33"/>
        <v/>
      </c>
      <c r="K104" s="5"/>
      <c r="L104" s="5"/>
      <c r="M104" s="75"/>
      <c r="N104" s="77"/>
      <c r="O104" s="26"/>
      <c r="P104" s="26"/>
      <c r="Q104" s="118" t="str">
        <f t="shared" si="34"/>
        <v/>
      </c>
      <c r="R104" s="153"/>
      <c r="S104" s="138" t="str">
        <f t="shared" si="26"/>
        <v/>
      </c>
      <c r="T104" s="148"/>
      <c r="U104" s="146"/>
      <c r="V104" s="146"/>
      <c r="W104" s="139"/>
      <c r="X104" s="139"/>
      <c r="Y104" s="148"/>
      <c r="Z104" s="138" t="str">
        <f t="shared" si="22"/>
        <v/>
      </c>
      <c r="AA104" s="138" t="str">
        <f t="shared" si="28"/>
        <v/>
      </c>
      <c r="AB104" s="239"/>
      <c r="AC104" s="325"/>
      <c r="AD104" s="325"/>
      <c r="AE104" s="325"/>
      <c r="AF104" s="325"/>
      <c r="AG104" s="325"/>
      <c r="AH104" s="325"/>
      <c r="AI104" s="325"/>
      <c r="AJ104" s="325"/>
      <c r="AK104" s="325"/>
      <c r="AL104" s="325"/>
      <c r="AM104" s="325"/>
      <c r="AN104" s="325"/>
      <c r="AO104" s="325"/>
      <c r="AP104" s="136"/>
      <c r="AQ104" s="136"/>
      <c r="AR104" s="136" t="str">
        <f t="shared" si="23"/>
        <v/>
      </c>
      <c r="AS104" s="136" t="str">
        <f t="shared" si="23"/>
        <v/>
      </c>
      <c r="AT104" s="5" t="str">
        <f t="shared" si="24"/>
        <v/>
      </c>
      <c r="AV104" s="27" t="str">
        <f t="shared" ref="AV104:AV115" si="35">IF(G104="","",+"          ["&amp;TRIM(G104)&amp;"] ["&amp;TRIM(I104)&amp;"]"&amp;IF(H104="","","("&amp;H104&amp;")")&amp;" "&amp;TRIM(J104)&amp;IF(G105="","",","))</f>
        <v/>
      </c>
      <c r="AW104" s="27"/>
      <c r="AY104" s="122" t="str">
        <f t="shared" si="25"/>
        <v/>
      </c>
    </row>
    <row r="105" spans="2:51" ht="12.75">
      <c r="B105" s="20" t="str">
        <f t="shared" si="27"/>
        <v/>
      </c>
      <c r="C105" s="5"/>
      <c r="D105" s="5"/>
      <c r="E105" s="5"/>
      <c r="G105" s="5" t="str">
        <f t="shared" si="31"/>
        <v/>
      </c>
      <c r="H105" s="117" t="str">
        <f t="shared" si="29"/>
        <v/>
      </c>
      <c r="I105" s="5" t="str">
        <f t="shared" si="32"/>
        <v/>
      </c>
      <c r="J105" s="5" t="str">
        <f t="shared" si="33"/>
        <v/>
      </c>
      <c r="K105" s="5"/>
      <c r="L105" s="5"/>
      <c r="M105" s="75"/>
      <c r="N105" s="77"/>
      <c r="O105" s="26"/>
      <c r="P105" s="26"/>
      <c r="Q105" s="118" t="str">
        <f t="shared" si="34"/>
        <v/>
      </c>
      <c r="R105" s="153"/>
      <c r="S105" s="138" t="str">
        <f t="shared" si="26"/>
        <v/>
      </c>
      <c r="T105" s="148"/>
      <c r="U105" s="146"/>
      <c r="V105" s="146"/>
      <c r="W105" s="139"/>
      <c r="X105" s="139"/>
      <c r="Y105" s="148"/>
      <c r="Z105" s="138" t="str">
        <f t="shared" si="22"/>
        <v/>
      </c>
      <c r="AA105" s="138" t="str">
        <f t="shared" si="28"/>
        <v/>
      </c>
      <c r="AB105" s="239"/>
      <c r="AC105" s="325"/>
      <c r="AD105" s="325"/>
      <c r="AE105" s="325"/>
      <c r="AF105" s="325"/>
      <c r="AG105" s="325"/>
      <c r="AH105" s="325"/>
      <c r="AI105" s="325"/>
      <c r="AJ105" s="325"/>
      <c r="AK105" s="325"/>
      <c r="AL105" s="325"/>
      <c r="AM105" s="325"/>
      <c r="AN105" s="325"/>
      <c r="AO105" s="325"/>
      <c r="AP105" s="136"/>
      <c r="AQ105" s="136"/>
      <c r="AR105" s="136" t="str">
        <f t="shared" si="23"/>
        <v/>
      </c>
      <c r="AS105" s="136" t="str">
        <f t="shared" si="23"/>
        <v/>
      </c>
      <c r="AT105" s="5" t="str">
        <f t="shared" si="24"/>
        <v/>
      </c>
      <c r="AV105" s="27" t="str">
        <f t="shared" si="35"/>
        <v/>
      </c>
      <c r="AW105" s="27"/>
      <c r="AY105" s="122" t="str">
        <f t="shared" si="25"/>
        <v/>
      </c>
    </row>
    <row r="106" spans="2:51" ht="12.75">
      <c r="B106" s="20" t="str">
        <f t="shared" si="27"/>
        <v/>
      </c>
      <c r="C106" s="5"/>
      <c r="D106" s="5"/>
      <c r="E106" s="5"/>
      <c r="G106" s="5" t="str">
        <f t="shared" si="31"/>
        <v/>
      </c>
      <c r="H106" s="117" t="str">
        <f t="shared" si="29"/>
        <v/>
      </c>
      <c r="I106" s="5" t="str">
        <f t="shared" si="32"/>
        <v/>
      </c>
      <c r="J106" s="5" t="str">
        <f t="shared" si="33"/>
        <v/>
      </c>
      <c r="K106" s="5"/>
      <c r="L106" s="5"/>
      <c r="M106" s="75"/>
      <c r="N106" s="77"/>
      <c r="O106" s="26"/>
      <c r="P106" s="26"/>
      <c r="Q106" s="118" t="str">
        <f t="shared" si="34"/>
        <v/>
      </c>
      <c r="R106" s="153"/>
      <c r="S106" s="138" t="str">
        <f t="shared" si="26"/>
        <v/>
      </c>
      <c r="T106" s="148"/>
      <c r="U106" s="146"/>
      <c r="V106" s="146"/>
      <c r="W106" s="139"/>
      <c r="X106" s="139"/>
      <c r="Y106" s="148"/>
      <c r="Z106" s="138" t="str">
        <f t="shared" si="22"/>
        <v/>
      </c>
      <c r="AA106" s="138" t="str">
        <f t="shared" si="28"/>
        <v/>
      </c>
      <c r="AB106" s="239"/>
      <c r="AC106" s="325"/>
      <c r="AD106" s="325"/>
      <c r="AE106" s="325"/>
      <c r="AF106" s="325"/>
      <c r="AG106" s="325"/>
      <c r="AH106" s="325"/>
      <c r="AI106" s="325"/>
      <c r="AJ106" s="325"/>
      <c r="AK106" s="325"/>
      <c r="AL106" s="325"/>
      <c r="AM106" s="325"/>
      <c r="AN106" s="325"/>
      <c r="AO106" s="325"/>
      <c r="AP106" s="136"/>
      <c r="AQ106" s="136"/>
      <c r="AR106" s="136" t="str">
        <f t="shared" si="23"/>
        <v/>
      </c>
      <c r="AS106" s="136" t="str">
        <f t="shared" si="23"/>
        <v/>
      </c>
      <c r="AT106" s="5" t="str">
        <f t="shared" si="24"/>
        <v/>
      </c>
      <c r="AV106" s="27" t="str">
        <f t="shared" si="35"/>
        <v/>
      </c>
      <c r="AW106" s="27"/>
      <c r="AY106" s="122" t="str">
        <f t="shared" si="25"/>
        <v/>
      </c>
    </row>
    <row r="107" spans="2:51" ht="12.75">
      <c r="B107" s="20" t="str">
        <f t="shared" si="27"/>
        <v/>
      </c>
      <c r="C107" s="5"/>
      <c r="D107" s="5"/>
      <c r="E107" s="5"/>
      <c r="G107" s="5" t="str">
        <f t="shared" si="31"/>
        <v/>
      </c>
      <c r="H107" s="117" t="str">
        <f t="shared" si="29"/>
        <v/>
      </c>
      <c r="I107" s="5" t="str">
        <f t="shared" si="32"/>
        <v/>
      </c>
      <c r="J107" s="5" t="str">
        <f t="shared" si="33"/>
        <v/>
      </c>
      <c r="K107" s="5"/>
      <c r="L107" s="5"/>
      <c r="M107" s="75"/>
      <c r="N107" s="77"/>
      <c r="O107" s="26"/>
      <c r="P107" s="26"/>
      <c r="Q107" s="118" t="str">
        <f t="shared" si="34"/>
        <v/>
      </c>
      <c r="R107" s="153"/>
      <c r="S107" s="138" t="str">
        <f t="shared" si="26"/>
        <v/>
      </c>
      <c r="T107" s="148"/>
      <c r="U107" s="146"/>
      <c r="V107" s="146"/>
      <c r="W107" s="139"/>
      <c r="X107" s="139"/>
      <c r="Y107" s="148"/>
      <c r="Z107" s="138" t="str">
        <f t="shared" si="22"/>
        <v/>
      </c>
      <c r="AA107" s="138" t="str">
        <f t="shared" si="28"/>
        <v/>
      </c>
      <c r="AB107" s="239"/>
      <c r="AC107" s="325"/>
      <c r="AD107" s="325"/>
      <c r="AE107" s="325"/>
      <c r="AF107" s="325"/>
      <c r="AG107" s="325"/>
      <c r="AH107" s="325"/>
      <c r="AI107" s="325"/>
      <c r="AJ107" s="325"/>
      <c r="AK107" s="325"/>
      <c r="AL107" s="325"/>
      <c r="AM107" s="325"/>
      <c r="AN107" s="325"/>
      <c r="AO107" s="325"/>
      <c r="AP107" s="136"/>
      <c r="AQ107" s="136"/>
      <c r="AR107" s="136" t="str">
        <f t="shared" si="23"/>
        <v/>
      </c>
      <c r="AS107" s="136" t="str">
        <f t="shared" si="23"/>
        <v/>
      </c>
      <c r="AT107" s="5" t="str">
        <f t="shared" si="24"/>
        <v/>
      </c>
      <c r="AV107" s="27" t="str">
        <f t="shared" si="35"/>
        <v/>
      </c>
      <c r="AW107" s="27"/>
      <c r="AY107" s="122" t="str">
        <f t="shared" si="25"/>
        <v/>
      </c>
    </row>
    <row r="108" spans="2:51" ht="12.75">
      <c r="B108" s="20" t="str">
        <f t="shared" si="27"/>
        <v/>
      </c>
      <c r="C108" s="5"/>
      <c r="D108" s="5"/>
      <c r="E108" s="5"/>
      <c r="G108" s="5" t="str">
        <f t="shared" si="31"/>
        <v/>
      </c>
      <c r="H108" s="117" t="str">
        <f t="shared" si="29"/>
        <v/>
      </c>
      <c r="I108" s="5" t="str">
        <f t="shared" si="32"/>
        <v/>
      </c>
      <c r="J108" s="5" t="str">
        <f t="shared" si="33"/>
        <v/>
      </c>
      <c r="K108" s="5"/>
      <c r="L108" s="5"/>
      <c r="M108" s="75"/>
      <c r="N108" s="77"/>
      <c r="O108" s="26"/>
      <c r="P108" s="26"/>
      <c r="Q108" s="118" t="str">
        <f t="shared" si="34"/>
        <v/>
      </c>
      <c r="R108" s="153"/>
      <c r="S108" s="138" t="str">
        <f t="shared" si="26"/>
        <v/>
      </c>
      <c r="T108" s="148"/>
      <c r="U108" s="146"/>
      <c r="V108" s="146"/>
      <c r="W108" s="139"/>
      <c r="X108" s="139"/>
      <c r="Y108" s="148"/>
      <c r="Z108" s="138" t="str">
        <f t="shared" si="22"/>
        <v/>
      </c>
      <c r="AA108" s="138" t="str">
        <f t="shared" si="28"/>
        <v/>
      </c>
      <c r="AB108" s="239"/>
      <c r="AC108" s="325"/>
      <c r="AD108" s="325"/>
      <c r="AE108" s="325"/>
      <c r="AF108" s="325"/>
      <c r="AG108" s="325"/>
      <c r="AH108" s="325"/>
      <c r="AI108" s="325"/>
      <c r="AJ108" s="325"/>
      <c r="AK108" s="325"/>
      <c r="AL108" s="325"/>
      <c r="AM108" s="325"/>
      <c r="AN108" s="325"/>
      <c r="AO108" s="325"/>
      <c r="AP108" s="136"/>
      <c r="AQ108" s="136"/>
      <c r="AR108" s="136" t="str">
        <f t="shared" si="23"/>
        <v/>
      </c>
      <c r="AS108" s="136" t="str">
        <f t="shared" si="23"/>
        <v/>
      </c>
      <c r="AT108" s="5" t="str">
        <f t="shared" si="24"/>
        <v/>
      </c>
      <c r="AV108" s="27" t="str">
        <f t="shared" si="35"/>
        <v/>
      </c>
      <c r="AW108" s="27"/>
      <c r="AY108" s="122" t="str">
        <f t="shared" si="25"/>
        <v/>
      </c>
    </row>
    <row r="109" spans="2:51" ht="12.75">
      <c r="B109" s="20" t="str">
        <f t="shared" si="27"/>
        <v/>
      </c>
      <c r="C109" s="5"/>
      <c r="D109" s="5"/>
      <c r="E109" s="5"/>
      <c r="G109" s="5" t="str">
        <f t="shared" si="31"/>
        <v/>
      </c>
      <c r="H109" s="117" t="str">
        <f t="shared" si="29"/>
        <v/>
      </c>
      <c r="I109" s="5" t="str">
        <f t="shared" si="32"/>
        <v/>
      </c>
      <c r="J109" s="5" t="str">
        <f t="shared" si="33"/>
        <v/>
      </c>
      <c r="K109" s="5"/>
      <c r="L109" s="5"/>
      <c r="M109" s="75"/>
      <c r="N109" s="77"/>
      <c r="O109" s="26"/>
      <c r="P109" s="26"/>
      <c r="Q109" s="118" t="str">
        <f t="shared" si="34"/>
        <v/>
      </c>
      <c r="R109" s="153"/>
      <c r="S109" s="138" t="str">
        <f t="shared" si="26"/>
        <v/>
      </c>
      <c r="T109" s="148"/>
      <c r="U109" s="146"/>
      <c r="V109" s="146"/>
      <c r="W109" s="139"/>
      <c r="X109" s="139"/>
      <c r="Y109" s="148"/>
      <c r="Z109" s="138" t="str">
        <f t="shared" si="22"/>
        <v/>
      </c>
      <c r="AA109" s="138" t="str">
        <f t="shared" si="28"/>
        <v/>
      </c>
      <c r="AB109" s="239"/>
      <c r="AC109" s="325"/>
      <c r="AD109" s="325"/>
      <c r="AE109" s="325"/>
      <c r="AF109" s="325"/>
      <c r="AG109" s="325"/>
      <c r="AH109" s="325"/>
      <c r="AI109" s="325"/>
      <c r="AJ109" s="325"/>
      <c r="AK109" s="325"/>
      <c r="AL109" s="325"/>
      <c r="AM109" s="325"/>
      <c r="AN109" s="325"/>
      <c r="AO109" s="325"/>
      <c r="AP109" s="136"/>
      <c r="AQ109" s="136"/>
      <c r="AR109" s="136" t="str">
        <f t="shared" si="23"/>
        <v/>
      </c>
      <c r="AS109" s="136" t="str">
        <f t="shared" si="23"/>
        <v/>
      </c>
      <c r="AT109" s="5" t="str">
        <f t="shared" si="24"/>
        <v/>
      </c>
      <c r="AV109" s="27" t="str">
        <f t="shared" si="35"/>
        <v/>
      </c>
      <c r="AW109" s="27"/>
      <c r="AY109" s="122" t="str">
        <f t="shared" si="25"/>
        <v/>
      </c>
    </row>
    <row r="110" spans="2:51" ht="12.75">
      <c r="B110" s="20" t="str">
        <f t="shared" si="27"/>
        <v/>
      </c>
      <c r="C110" s="5"/>
      <c r="D110" s="5"/>
      <c r="E110" s="5"/>
      <c r="G110" s="5" t="str">
        <f t="shared" si="31"/>
        <v/>
      </c>
      <c r="H110" s="117" t="str">
        <f t="shared" si="29"/>
        <v/>
      </c>
      <c r="I110" s="5" t="str">
        <f t="shared" si="32"/>
        <v/>
      </c>
      <c r="J110" s="5" t="str">
        <f t="shared" si="33"/>
        <v/>
      </c>
      <c r="K110" s="5"/>
      <c r="L110" s="5"/>
      <c r="M110" s="75"/>
      <c r="N110" s="77"/>
      <c r="O110" s="26"/>
      <c r="P110" s="26"/>
      <c r="Q110" s="118" t="str">
        <f t="shared" si="34"/>
        <v/>
      </c>
      <c r="R110" s="153"/>
      <c r="S110" s="138" t="str">
        <f t="shared" si="26"/>
        <v/>
      </c>
      <c r="T110" s="148"/>
      <c r="U110" s="146"/>
      <c r="V110" s="146"/>
      <c r="W110" s="139"/>
      <c r="X110" s="139"/>
      <c r="Y110" s="148"/>
      <c r="Z110" s="138" t="str">
        <f t="shared" si="22"/>
        <v/>
      </c>
      <c r="AA110" s="138" t="str">
        <f t="shared" si="28"/>
        <v/>
      </c>
      <c r="AB110" s="239"/>
      <c r="AC110" s="325"/>
      <c r="AD110" s="325"/>
      <c r="AE110" s="325"/>
      <c r="AF110" s="325"/>
      <c r="AG110" s="325"/>
      <c r="AH110" s="325"/>
      <c r="AI110" s="325"/>
      <c r="AJ110" s="325"/>
      <c r="AK110" s="325"/>
      <c r="AL110" s="325"/>
      <c r="AM110" s="325"/>
      <c r="AN110" s="325"/>
      <c r="AO110" s="325"/>
      <c r="AP110" s="136"/>
      <c r="AQ110" s="136"/>
      <c r="AR110" s="136" t="str">
        <f t="shared" si="23"/>
        <v/>
      </c>
      <c r="AS110" s="136" t="str">
        <f t="shared" si="23"/>
        <v/>
      </c>
      <c r="AT110" s="5" t="str">
        <f t="shared" si="24"/>
        <v/>
      </c>
      <c r="AV110" s="27" t="str">
        <f t="shared" si="35"/>
        <v/>
      </c>
      <c r="AW110" s="27"/>
      <c r="AY110" s="122" t="str">
        <f t="shared" si="25"/>
        <v/>
      </c>
    </row>
    <row r="111" spans="2:51" ht="12.75">
      <c r="B111" s="20" t="str">
        <f t="shared" si="27"/>
        <v/>
      </c>
      <c r="C111" s="5"/>
      <c r="D111" s="5"/>
      <c r="E111" s="5"/>
      <c r="G111" s="5" t="str">
        <f t="shared" si="31"/>
        <v/>
      </c>
      <c r="H111" s="117" t="str">
        <f t="shared" si="29"/>
        <v/>
      </c>
      <c r="I111" s="5" t="str">
        <f t="shared" si="32"/>
        <v/>
      </c>
      <c r="J111" s="5" t="str">
        <f t="shared" si="33"/>
        <v/>
      </c>
      <c r="K111" s="5"/>
      <c r="L111" s="5"/>
      <c r="M111" s="75"/>
      <c r="N111" s="77"/>
      <c r="O111" s="26"/>
      <c r="P111" s="26"/>
      <c r="Q111" s="118" t="str">
        <f t="shared" si="34"/>
        <v/>
      </c>
      <c r="R111" s="153"/>
      <c r="S111" s="138" t="str">
        <f t="shared" si="26"/>
        <v/>
      </c>
      <c r="T111" s="148"/>
      <c r="U111" s="146"/>
      <c r="V111" s="146"/>
      <c r="W111" s="139"/>
      <c r="X111" s="139"/>
      <c r="Y111" s="148"/>
      <c r="Z111" s="138" t="str">
        <f t="shared" si="22"/>
        <v/>
      </c>
      <c r="AA111" s="138" t="str">
        <f t="shared" si="28"/>
        <v/>
      </c>
      <c r="AB111" s="239"/>
      <c r="AC111" s="325"/>
      <c r="AD111" s="325"/>
      <c r="AE111" s="325"/>
      <c r="AF111" s="325"/>
      <c r="AG111" s="325"/>
      <c r="AH111" s="325"/>
      <c r="AI111" s="325"/>
      <c r="AJ111" s="325"/>
      <c r="AK111" s="325"/>
      <c r="AL111" s="325"/>
      <c r="AM111" s="325"/>
      <c r="AN111" s="325"/>
      <c r="AO111" s="325"/>
      <c r="AP111" s="136"/>
      <c r="AQ111" s="136"/>
      <c r="AR111" s="136" t="str">
        <f t="shared" si="23"/>
        <v/>
      </c>
      <c r="AS111" s="136" t="str">
        <f t="shared" si="23"/>
        <v/>
      </c>
      <c r="AT111" s="5" t="str">
        <f t="shared" si="24"/>
        <v/>
      </c>
      <c r="AV111" s="27" t="str">
        <f t="shared" si="35"/>
        <v/>
      </c>
      <c r="AW111" s="27"/>
      <c r="AY111" s="122" t="str">
        <f t="shared" si="25"/>
        <v/>
      </c>
    </row>
    <row r="112" spans="2:51" ht="12.75">
      <c r="B112" s="20" t="str">
        <f t="shared" si="27"/>
        <v/>
      </c>
      <c r="C112" s="5"/>
      <c r="D112" s="5"/>
      <c r="E112" s="5"/>
      <c r="G112" s="5" t="str">
        <f t="shared" si="31"/>
        <v/>
      </c>
      <c r="H112" s="117" t="str">
        <f t="shared" si="29"/>
        <v/>
      </c>
      <c r="I112" s="5" t="str">
        <f t="shared" si="32"/>
        <v/>
      </c>
      <c r="J112" s="5" t="str">
        <f t="shared" si="33"/>
        <v/>
      </c>
      <c r="K112" s="5"/>
      <c r="L112" s="5"/>
      <c r="M112" s="75"/>
      <c r="N112" s="77"/>
      <c r="O112" s="26"/>
      <c r="P112" s="26"/>
      <c r="Q112" s="118" t="str">
        <f t="shared" si="34"/>
        <v/>
      </c>
      <c r="R112" s="153"/>
      <c r="S112" s="138" t="str">
        <f t="shared" si="26"/>
        <v/>
      </c>
      <c r="T112" s="148"/>
      <c r="U112" s="146"/>
      <c r="V112" s="146"/>
      <c r="W112" s="139"/>
      <c r="X112" s="139"/>
      <c r="Y112" s="148"/>
      <c r="Z112" s="138" t="str">
        <f t="shared" si="22"/>
        <v/>
      </c>
      <c r="AA112" s="138" t="str">
        <f t="shared" si="28"/>
        <v/>
      </c>
      <c r="AB112" s="239"/>
      <c r="AC112" s="325"/>
      <c r="AD112" s="325"/>
      <c r="AE112" s="325"/>
      <c r="AF112" s="325"/>
      <c r="AG112" s="325"/>
      <c r="AH112" s="325"/>
      <c r="AI112" s="325"/>
      <c r="AJ112" s="325"/>
      <c r="AK112" s="325"/>
      <c r="AL112" s="325"/>
      <c r="AM112" s="325"/>
      <c r="AN112" s="325"/>
      <c r="AO112" s="325"/>
      <c r="AP112" s="136"/>
      <c r="AQ112" s="136"/>
      <c r="AR112" s="136" t="str">
        <f t="shared" si="23"/>
        <v/>
      </c>
      <c r="AS112" s="136" t="str">
        <f t="shared" si="23"/>
        <v/>
      </c>
      <c r="AT112" s="5" t="str">
        <f t="shared" si="24"/>
        <v/>
      </c>
      <c r="AV112" s="27" t="str">
        <f t="shared" si="35"/>
        <v/>
      </c>
      <c r="AW112" s="27"/>
      <c r="AY112" s="122" t="str">
        <f t="shared" si="25"/>
        <v/>
      </c>
    </row>
    <row r="113" spans="2:51" ht="12.75">
      <c r="B113" s="20" t="str">
        <f t="shared" si="27"/>
        <v/>
      </c>
      <c r="C113" s="5"/>
      <c r="D113" s="5"/>
      <c r="E113" s="5"/>
      <c r="G113" s="5" t="str">
        <f t="shared" si="31"/>
        <v/>
      </c>
      <c r="H113" s="117" t="str">
        <f t="shared" si="29"/>
        <v/>
      </c>
      <c r="I113" s="5" t="str">
        <f t="shared" si="32"/>
        <v/>
      </c>
      <c r="J113" s="5" t="str">
        <f t="shared" si="33"/>
        <v/>
      </c>
      <c r="K113" s="5"/>
      <c r="L113" s="5"/>
      <c r="M113" s="75"/>
      <c r="N113" s="77"/>
      <c r="O113" s="26"/>
      <c r="P113" s="26"/>
      <c r="Q113" s="118" t="str">
        <f t="shared" si="34"/>
        <v/>
      </c>
      <c r="R113" s="153"/>
      <c r="S113" s="138" t="str">
        <f t="shared" si="26"/>
        <v/>
      </c>
      <c r="T113" s="148"/>
      <c r="U113" s="146"/>
      <c r="V113" s="146"/>
      <c r="W113" s="139"/>
      <c r="X113" s="139"/>
      <c r="Y113" s="148"/>
      <c r="Z113" s="138" t="str">
        <f t="shared" si="22"/>
        <v/>
      </c>
      <c r="AA113" s="138" t="str">
        <f t="shared" si="28"/>
        <v/>
      </c>
      <c r="AB113" s="239"/>
      <c r="AC113" s="325"/>
      <c r="AD113" s="325"/>
      <c r="AE113" s="325"/>
      <c r="AF113" s="325"/>
      <c r="AG113" s="325"/>
      <c r="AH113" s="325"/>
      <c r="AI113" s="325"/>
      <c r="AJ113" s="325"/>
      <c r="AK113" s="325"/>
      <c r="AL113" s="325"/>
      <c r="AM113" s="325"/>
      <c r="AN113" s="325"/>
      <c r="AO113" s="325"/>
      <c r="AP113" s="136"/>
      <c r="AQ113" s="136"/>
      <c r="AR113" s="136" t="str">
        <f t="shared" si="23"/>
        <v/>
      </c>
      <c r="AS113" s="136" t="str">
        <f t="shared" si="23"/>
        <v/>
      </c>
      <c r="AT113" s="5" t="str">
        <f t="shared" si="24"/>
        <v/>
      </c>
      <c r="AV113" s="27" t="str">
        <f t="shared" si="35"/>
        <v/>
      </c>
      <c r="AW113" s="27"/>
      <c r="AY113" s="122" t="str">
        <f t="shared" si="25"/>
        <v/>
      </c>
    </row>
    <row r="114" spans="2:51" ht="12.75">
      <c r="B114" s="20" t="str">
        <f t="shared" si="27"/>
        <v/>
      </c>
      <c r="C114" s="5"/>
      <c r="D114" s="5"/>
      <c r="E114" s="5"/>
      <c r="G114" s="5" t="str">
        <f t="shared" si="31"/>
        <v/>
      </c>
      <c r="H114" s="117" t="str">
        <f t="shared" si="29"/>
        <v/>
      </c>
      <c r="I114" s="5" t="str">
        <f t="shared" si="32"/>
        <v/>
      </c>
      <c r="J114" s="5" t="str">
        <f t="shared" si="33"/>
        <v/>
      </c>
      <c r="K114" s="5"/>
      <c r="L114" s="5"/>
      <c r="M114" s="75"/>
      <c r="N114" s="77"/>
      <c r="O114" s="26"/>
      <c r="P114" s="26"/>
      <c r="Q114" s="118" t="str">
        <f t="shared" si="34"/>
        <v/>
      </c>
      <c r="R114" s="153"/>
      <c r="S114" s="138" t="str">
        <f t="shared" si="26"/>
        <v/>
      </c>
      <c r="T114" s="148"/>
      <c r="U114" s="146"/>
      <c r="V114" s="146"/>
      <c r="W114" s="139"/>
      <c r="X114" s="139"/>
      <c r="Y114" s="148"/>
      <c r="Z114" s="138" t="str">
        <f t="shared" si="22"/>
        <v/>
      </c>
      <c r="AA114" s="138" t="str">
        <f t="shared" si="28"/>
        <v/>
      </c>
      <c r="AB114" s="239"/>
      <c r="AC114" s="325"/>
      <c r="AD114" s="325"/>
      <c r="AE114" s="325"/>
      <c r="AF114" s="325"/>
      <c r="AG114" s="325"/>
      <c r="AH114" s="325"/>
      <c r="AI114" s="325"/>
      <c r="AJ114" s="325"/>
      <c r="AK114" s="325"/>
      <c r="AL114" s="325"/>
      <c r="AM114" s="325"/>
      <c r="AN114" s="325"/>
      <c r="AO114" s="325"/>
      <c r="AP114" s="136"/>
      <c r="AQ114" s="136"/>
      <c r="AR114" s="136" t="str">
        <f t="shared" si="23"/>
        <v/>
      </c>
      <c r="AS114" s="136" t="str">
        <f t="shared" si="23"/>
        <v/>
      </c>
      <c r="AT114" s="5" t="str">
        <f t="shared" si="24"/>
        <v/>
      </c>
      <c r="AV114" s="27" t="str">
        <f t="shared" si="35"/>
        <v/>
      </c>
      <c r="AW114" s="27"/>
      <c r="AY114" s="122" t="str">
        <f t="shared" si="25"/>
        <v/>
      </c>
    </row>
    <row r="115" spans="2:51" ht="12.75">
      <c r="B115" s="20" t="str">
        <f t="shared" si="27"/>
        <v/>
      </c>
      <c r="C115" s="5"/>
      <c r="D115" s="5"/>
      <c r="E115" s="5"/>
      <c r="G115" s="5" t="str">
        <f t="shared" si="31"/>
        <v/>
      </c>
      <c r="H115" s="117" t="str">
        <f t="shared" si="29"/>
        <v/>
      </c>
      <c r="I115" s="5" t="str">
        <f t="shared" si="32"/>
        <v/>
      </c>
      <c r="J115" s="5" t="str">
        <f t="shared" si="33"/>
        <v/>
      </c>
      <c r="K115" s="5"/>
      <c r="L115" s="5"/>
      <c r="M115" s="75"/>
      <c r="N115" s="77"/>
      <c r="O115" s="26"/>
      <c r="P115" s="26"/>
      <c r="Q115" s="118" t="str">
        <f t="shared" si="34"/>
        <v/>
      </c>
      <c r="R115" s="153"/>
      <c r="S115" s="138" t="str">
        <f t="shared" si="26"/>
        <v/>
      </c>
      <c r="T115" s="148"/>
      <c r="U115" s="146"/>
      <c r="V115" s="146"/>
      <c r="W115" s="139"/>
      <c r="X115" s="139"/>
      <c r="Y115" s="148"/>
      <c r="Z115" s="138" t="str">
        <f t="shared" si="22"/>
        <v/>
      </c>
      <c r="AA115" s="138" t="str">
        <f t="shared" si="28"/>
        <v/>
      </c>
      <c r="AB115" s="239"/>
      <c r="AC115" s="325"/>
      <c r="AD115" s="325"/>
      <c r="AE115" s="325"/>
      <c r="AF115" s="325"/>
      <c r="AG115" s="325"/>
      <c r="AH115" s="325"/>
      <c r="AI115" s="325"/>
      <c r="AJ115" s="325"/>
      <c r="AK115" s="325"/>
      <c r="AL115" s="325"/>
      <c r="AM115" s="325"/>
      <c r="AN115" s="325"/>
      <c r="AO115" s="325"/>
      <c r="AP115" s="136"/>
      <c r="AQ115" s="136"/>
      <c r="AR115" s="136" t="str">
        <f t="shared" si="23"/>
        <v/>
      </c>
      <c r="AS115" s="136" t="str">
        <f t="shared" si="23"/>
        <v/>
      </c>
      <c r="AT115" s="5" t="str">
        <f t="shared" si="24"/>
        <v/>
      </c>
      <c r="AV115" s="27" t="str">
        <f t="shared" si="35"/>
        <v/>
      </c>
      <c r="AW115" s="27"/>
      <c r="AY115" s="122" t="str">
        <f t="shared" si="25"/>
        <v/>
      </c>
    </row>
    <row r="116" spans="2:51">
      <c r="AT116" s="3" t="str">
        <f t="shared" si="24"/>
        <v/>
      </c>
      <c r="AV116" s="28"/>
      <c r="AW116" s="27"/>
      <c r="AY116" s="122" t="str">
        <f t="shared" si="25"/>
        <v/>
      </c>
    </row>
    <row r="117" spans="2:51">
      <c r="B117" s="11" t="s">
        <v>23</v>
      </c>
      <c r="AV117" s="28"/>
      <c r="AW117" s="27"/>
    </row>
    <row r="118" spans="2:51">
      <c r="B118" s="18" t="s">
        <v>17</v>
      </c>
      <c r="C118" s="22" t="str">
        <f>+"By"&amp;D120</f>
        <v>ByAgent</v>
      </c>
      <c r="D118" s="23" t="str">
        <f>SUBSTITUTE(SUBSTITUTE(SUBSTITUTE(SUBSTITUTE(SUBSTITUTE(SUBSTITUTE(SUBSTITUTE(C118," ",""),".",""),"&amp;",""),"(",""),")",""),",",""),"/","")&amp;"_"&amp;TRIM(TEXT(C7,"###"))</f>
        <v>ByAgent_2309</v>
      </c>
      <c r="E118" s="8"/>
      <c r="S118" s="283" t="s">
        <v>906</v>
      </c>
      <c r="AV118" s="27" t="str">
        <f>+" CONSTRAINT ["&amp;D118&amp;"] PRIMARY KEY NONCLUSTERED "</f>
        <v xml:space="preserve"> CONSTRAINT [ByAgent_2309]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6">IFERROR(INDEX($G$16:$G$115,C120),"")</f>
        <v>Agent</v>
      </c>
      <c r="E120" s="10" t="s">
        <v>5</v>
      </c>
      <c r="G120" s="5" t="str">
        <f>CHAR(34)&amp;D120&amp;" LIKE "&amp;H120&amp;"%{0}%"&amp;H120&amp;CHAR(34)&amp;","</f>
        <v>"Agent LIKE '%{0}%'",</v>
      </c>
      <c r="H120" s="3" t="str">
        <f>IF(IFERROR(INDEX($I$16:$I$115,C120),"")="varchar","'","")</f>
        <v>'</v>
      </c>
      <c r="S120" s="282" t="str">
        <f>RIGHT(T2,1)&amp;V3&amp;MID(T2,2,1)&amp;V3&amp;MID(T2,5,1)&amp;LEFT(T2,1)&amp;C7</f>
        <v>TXGXTA2309</v>
      </c>
      <c r="T120" s="282" t="str">
        <f>+C8</f>
        <v>Agents</v>
      </c>
      <c r="U120" s="282" t="str">
        <f>+D120</f>
        <v>Agent</v>
      </c>
      <c r="V120" s="239" t="str">
        <f>+C10</f>
        <v>5c7b55fb-2e98-4c10-9378-13375425af93</v>
      </c>
      <c r="W120" s="272"/>
      <c r="X120" s="272"/>
      <c r="AV120" s="27" t="str">
        <f t="shared" ref="AV120:AV126" si="37">+IF(D120="","","          ["&amp;D120&amp;"] "&amp;IF(TRIM(E120)="Ascending","ASC","DES")&amp;IF(D121="","",","))</f>
        <v xml:space="preserve">          [Agent]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87" t="s">
        <v>574</v>
      </c>
      <c r="AV122" s="27" t="str">
        <f t="shared" si="37"/>
        <v/>
      </c>
      <c r="AW122" s="28"/>
    </row>
    <row r="123" spans="2:51">
      <c r="B123" s="20" t="str">
        <f t="shared" si="38"/>
        <v/>
      </c>
      <c r="C123" s="10"/>
      <c r="D123" s="21" t="str">
        <f t="shared" si="36"/>
        <v/>
      </c>
      <c r="E123" s="10"/>
      <c r="G123" s="5"/>
      <c r="S123" s="288" t="s">
        <v>312</v>
      </c>
      <c r="T123" s="288" t="s">
        <v>393</v>
      </c>
      <c r="U123" s="288" t="s">
        <v>394</v>
      </c>
      <c r="V123" s="288" t="s">
        <v>390</v>
      </c>
      <c r="W123" s="288" t="s">
        <v>391</v>
      </c>
      <c r="X123" s="288" t="s">
        <v>392</v>
      </c>
      <c r="Y123" s="288" t="s">
        <v>400</v>
      </c>
      <c r="Z123" s="288" t="s">
        <v>436</v>
      </c>
      <c r="AV123" s="27" t="str">
        <f t="shared" si="37"/>
        <v/>
      </c>
      <c r="AW123" s="28"/>
    </row>
    <row r="124" spans="2:51">
      <c r="B124" s="20" t="str">
        <f t="shared" si="38"/>
        <v/>
      </c>
      <c r="C124" s="10"/>
      <c r="D124" s="21" t="str">
        <f t="shared" si="36"/>
        <v/>
      </c>
      <c r="E124" s="10"/>
      <c r="G124" s="5"/>
      <c r="S124" s="239" t="s">
        <v>909</v>
      </c>
      <c r="T124" s="239" t="s">
        <v>908</v>
      </c>
      <c r="U124" s="239" t="str">
        <f>+E8</f>
        <v>Agent</v>
      </c>
      <c r="V124" s="239"/>
      <c r="W124" s="239" t="s">
        <v>910</v>
      </c>
      <c r="X124" s="239" t="str">
        <f>"./"&amp;V2</f>
        <v>./TXGXTA2309.html</v>
      </c>
      <c r="Y124" s="239" t="s">
        <v>911</v>
      </c>
      <c r="Z124" s="282" t="str">
        <f>+S120</f>
        <v>TXGXTA2309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"5c7b55fb-2e98-4c10-9378-13375425af93",</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"Agents",</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"Agent",</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"Agent,Name,Address1,Address2,Address3,PostCode,City,PhoneBusiness,PhoneHome,ContactPerson,Addressee,Salutation,Occupation,EntryBy,EntryDate,IsSubAgent,InternetAddress",</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["Agent"],</v>
      </c>
      <c r="C137" s="122"/>
      <c r="D137" s="122"/>
      <c r="E137" s="122"/>
      <c r="F137" s="122"/>
      <c r="G137" s="122"/>
      <c r="H137" s="122"/>
      <c r="I137" s="122"/>
      <c r="J137" s="122"/>
      <c r="K137" s="122"/>
      <c r="L137" s="122"/>
      <c r="M137" s="122"/>
    </row>
    <row r="138" spans="2:49">
      <c r="B138" s="273" t="str">
        <f>REPT(" ",6)&amp;CHAR(34)&amp;"QueryStr"&amp;CHAR(34)&amp;": "&amp;G120</f>
        <v xml:space="preserve">      "QueryStr": "Agent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row>
    <row r="151" spans="2:16">
      <c r="B151" s="274"/>
      <c r="C151" s="14"/>
      <c r="D151" s="232"/>
      <c r="E151" s="14"/>
      <c r="F151" s="14"/>
      <c r="G151" s="14"/>
      <c r="H151" s="14"/>
      <c r="I151" s="14"/>
      <c r="J151" s="14"/>
      <c r="K151" s="14"/>
      <c r="L151" s="14"/>
      <c r="M151" s="14"/>
      <c r="N151" s="14"/>
    </row>
    <row r="152" spans="2:16">
      <c r="B152" s="275"/>
      <c r="C152" s="275"/>
      <c r="D152" s="275"/>
      <c r="E152" s="275"/>
      <c r="F152" s="14"/>
      <c r="G152" s="276"/>
      <c r="H152" s="14"/>
      <c r="I152" s="14"/>
      <c r="J152" s="14"/>
      <c r="K152" s="14"/>
      <c r="L152" s="14"/>
      <c r="M152" s="14"/>
      <c r="N152" s="14"/>
      <c r="O152" s="4"/>
      <c r="P152" s="4"/>
    </row>
    <row r="153" spans="2:16">
      <c r="B153" s="277"/>
      <c r="C153" s="277"/>
      <c r="D153" s="278"/>
      <c r="E153" s="14"/>
      <c r="F153" s="14"/>
      <c r="G153" s="14"/>
      <c r="H153" s="14"/>
      <c r="I153" s="14"/>
      <c r="J153" s="14"/>
      <c r="K153" s="14"/>
      <c r="L153" s="14"/>
      <c r="M153" s="14"/>
      <c r="N153" s="14"/>
    </row>
    <row r="154" spans="2:16">
      <c r="B154" s="277"/>
      <c r="C154" s="277"/>
      <c r="D154" s="278"/>
      <c r="E154" s="14"/>
      <c r="F154" s="14"/>
      <c r="G154" s="14"/>
      <c r="H154" s="14"/>
      <c r="I154" s="14"/>
      <c r="J154" s="14"/>
      <c r="K154" s="14"/>
      <c r="L154" s="14"/>
      <c r="M154" s="14"/>
      <c r="N154" s="14"/>
    </row>
    <row r="155" spans="2:16">
      <c r="B155" s="14"/>
      <c r="C155" s="14"/>
      <c r="D155" s="14"/>
      <c r="E155" s="14"/>
      <c r="F155" s="14"/>
      <c r="G155" s="14"/>
      <c r="H155" s="14"/>
      <c r="I155" s="14"/>
      <c r="J155" s="14"/>
      <c r="K155" s="14"/>
      <c r="L155" s="14"/>
      <c r="M155" s="14"/>
      <c r="N155" s="14"/>
    </row>
    <row r="156" spans="2:16">
      <c r="B156" s="14"/>
      <c r="C156" s="14"/>
      <c r="D156" s="14"/>
      <c r="E156" s="14"/>
      <c r="F156" s="14"/>
      <c r="G156" s="14"/>
      <c r="H156" s="14"/>
      <c r="I156" s="14"/>
      <c r="J156" s="14"/>
      <c r="K156" s="14"/>
      <c r="L156" s="14"/>
      <c r="M156" s="14"/>
      <c r="N156" s="14"/>
    </row>
    <row r="157" spans="2:16">
      <c r="B157" s="14"/>
      <c r="C157" s="14"/>
      <c r="D157" s="14"/>
      <c r="E157" s="14"/>
      <c r="F157" s="14"/>
      <c r="G157" s="14"/>
      <c r="H157" s="14"/>
      <c r="I157" s="14"/>
      <c r="J157" s="14"/>
      <c r="K157" s="14"/>
      <c r="L157" s="14"/>
      <c r="M157" s="14"/>
      <c r="N157" s="14"/>
    </row>
    <row r="158" spans="2:16">
      <c r="B158" s="14"/>
      <c r="C158" s="14"/>
      <c r="D158" s="14"/>
      <c r="E158" s="14"/>
      <c r="F158" s="14"/>
      <c r="G158" s="14"/>
      <c r="H158" s="14"/>
      <c r="I158" s="14"/>
      <c r="J158" s="14"/>
      <c r="K158" s="14"/>
      <c r="L158" s="14"/>
      <c r="M158" s="14"/>
      <c r="N158" s="14"/>
    </row>
    <row r="159" spans="2:16">
      <c r="B159" s="14"/>
      <c r="C159" s="14"/>
      <c r="D159" s="14"/>
      <c r="E159" s="14"/>
      <c r="F159" s="14"/>
      <c r="G159" s="14"/>
      <c r="H159" s="14"/>
      <c r="I159" s="14"/>
      <c r="J159" s="14"/>
      <c r="K159" s="14"/>
      <c r="L159" s="14"/>
      <c r="M159" s="14"/>
      <c r="N159" s="14"/>
    </row>
    <row r="161" spans="11:16">
      <c r="K161" s="107"/>
    </row>
    <row r="162" spans="11:16">
      <c r="K162" s="115"/>
    </row>
    <row r="163" spans="11:16">
      <c r="K163" s="107"/>
      <c r="L163" s="107"/>
    </row>
    <row r="164" spans="11:16">
      <c r="K164" s="107"/>
      <c r="L164" s="107"/>
      <c r="P164" s="107"/>
    </row>
    <row r="165" spans="11:16">
      <c r="K165" s="107"/>
      <c r="L165" s="107"/>
    </row>
    <row r="166" spans="11:16">
      <c r="K166" s="107"/>
      <c r="L166" s="107"/>
      <c r="O166" s="107"/>
    </row>
    <row r="167" spans="11:16">
      <c r="K167" s="107"/>
    </row>
    <row r="168" spans="11:16">
      <c r="K168" s="107"/>
    </row>
    <row r="169" spans="11:16">
      <c r="K169" s="107"/>
    </row>
    <row r="170" spans="11:16">
      <c r="K170" s="107"/>
      <c r="L170" s="107"/>
    </row>
    <row r="171" spans="11:16">
      <c r="K171" s="107"/>
      <c r="L171" s="107"/>
    </row>
    <row r="172" spans="11:16">
      <c r="K172" s="107"/>
      <c r="L172" s="107"/>
    </row>
    <row r="173" spans="11:16">
      <c r="K173" s="107"/>
      <c r="L173" s="107"/>
      <c r="O173" s="107"/>
    </row>
    <row r="174" spans="11:16">
      <c r="K174" s="107"/>
    </row>
  </sheetData>
  <mergeCells count="1">
    <mergeCell ref="N14:P14"/>
  </mergeCells>
  <dataValidations count="3">
    <dataValidation type="list" showInputMessage="1" showErrorMessage="1" sqref="V16:V115" xr:uid="{96FB91C5-05D7-4F17-B9E6-689CCC32EEE7}">
      <formula1>aFormat</formula1>
    </dataValidation>
    <dataValidation type="list" showInputMessage="1" showErrorMessage="1" sqref="U16:U115" xr:uid="{80271FA0-0048-4C25-B28E-EF13641136D9}">
      <formula1>aDataType</formula1>
    </dataValidation>
    <dataValidation type="list" showInputMessage="1" showErrorMessage="1" sqref="W16:X115 X2 V6:V7 AL11:AL12 T7" xr:uid="{CAB7970A-864F-4524-A821-C2E01E035A1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FE73E21-7F1E-49AB-B69B-0FCE5A987FE2}">
          <x14:formula1>
            <xm:f>Variables!$B$22:$B$25</xm:f>
          </x14:formula1>
          <xm:sqref>E6</xm:sqref>
        </x14:dataValidation>
        <x14:dataValidation type="list" allowBlank="1" showInputMessage="1" showErrorMessage="1" xr:uid="{8A6C8342-2BD0-439E-BFAE-BA40D54ABF6E}">
          <x14:formula1>
            <xm:f>Variables!$E$17:$E$22</xm:f>
          </x14:formula1>
          <xm:sqref>C6</xm:sqref>
        </x14:dataValidation>
        <x14:dataValidation type="list" allowBlank="1" showInputMessage="1" showErrorMessage="1" xr:uid="{8D537648-4127-4356-96FE-B7D5FE10014E}">
          <x14:formula1>
            <xm:f>Variables!$I$28:$I$35</xm:f>
          </x14:formula1>
          <xm:sqref>T6</xm:sqref>
        </x14:dataValidation>
        <x14:dataValidation type="list" allowBlank="1" showInputMessage="1" showErrorMessage="1" xr:uid="{D06184CD-1A42-4C38-ACED-683BC0F4F74A}">
          <x14:formula1>
            <xm:f>Variables!$G$6:$G$8</xm:f>
          </x14:formula1>
          <xm:sqref>T5</xm:sqref>
        </x14:dataValidation>
        <x14:dataValidation type="list" allowBlank="1" showInputMessage="1" showErrorMessage="1" xr:uid="{3E2284DD-4B96-4A42-A0F6-D0239C65AC13}">
          <x14:formula1>
            <xm:f>Variables!$G$12:$G$14</xm:f>
          </x14:formula1>
          <xm:sqref>AA16:AA115</xm:sqref>
        </x14:dataValidation>
        <x14:dataValidation type="list" showInputMessage="1" showErrorMessage="1" xr:uid="{5E802057-3454-4D18-95A0-3ABD4D9AC1F2}">
          <x14:formula1>
            <xm:f>Variables!$G$17:$G$22</xm:f>
          </x14:formula1>
          <xm:sqref>T8:T10</xm:sqref>
        </x14:dataValidation>
        <x14:dataValidation type="list" allowBlank="1" showInputMessage="1" showErrorMessage="1" xr:uid="{75AE2D0A-416D-4640-87F5-274283EB26EB}">
          <x14:formula1>
            <xm:f>Variables!E$28:E$34</xm:f>
          </x14:formula1>
          <xm:sqref>AJ16:AJ115</xm:sqref>
        </x14:dataValidation>
        <x14:dataValidation type="list" allowBlank="1" showInputMessage="1" showErrorMessage="1" xr:uid="{5FFD8114-DE45-4390-86BF-BACB9F3ADFAC}">
          <x14:formula1>
            <xm:f>Variables!E$28:E$34</xm:f>
          </x14:formula1>
          <xm:sqref>AM16:AM115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77CFF-4D32-4DFF-A7F3-FBAEC6A643B9}">
  <sheetPr codeName="Sheet24">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9.140625" style="134" customWidth="1"/>
    <col min="23" max="23" width="13.5703125" style="134" bestFit="1" customWidth="1"/>
    <col min="24" max="24" width="14.140625" style="134" bestFit="1" customWidth="1"/>
    <col min="25" max="25" width="9.85546875" style="134" bestFit="1" customWidth="1"/>
    <col min="26" max="26" width="8.85546875" style="143" bestFit="1"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4"/>
      <c r="AV1" s="13" t="s">
        <v>430</v>
      </c>
    </row>
    <row r="2" spans="2:51">
      <c r="S2" s="255" t="s">
        <v>875</v>
      </c>
      <c r="T2" s="240" t="str" cm="1">
        <f t="array" ref="T2">MID(CELL("filename",A1),FIND("]",CELL("filename",A1))+1,250)</f>
        <v>CURRENCY</v>
      </c>
      <c r="U2" s="255" t="s">
        <v>874</v>
      </c>
      <c r="V2" s="240" t="str">
        <f>UPPER(RIGHT(T2,1)&amp;V3&amp;MID(T2,2,1)&amp;V3&amp;MID(T2,5,1)&amp;LEFT(T2,1)&amp;C7)&amp;".html"</f>
        <v>YUEC5842.html</v>
      </c>
      <c r="W2" s="255" t="s">
        <v>1071</v>
      </c>
      <c r="X2" s="245" t="s">
        <v>379</v>
      </c>
      <c r="AV2" s="27" t="str">
        <f>+"USE "&amp;TRIM(C5)</f>
        <v>USE SIBISDB</v>
      </c>
      <c r="AW2" s="27"/>
    </row>
    <row r="3" spans="2:51">
      <c r="B3" s="221" t="s">
        <v>577</v>
      </c>
      <c r="C3" s="102" t="str">
        <f>+DBTableList!G5</f>
        <v>http://wikran-w10:8081</v>
      </c>
      <c r="D3" s="222" t="s">
        <v>846</v>
      </c>
      <c r="E3" s="5" t="str">
        <f>+DBTableList!$G$4</f>
        <v>CBS</v>
      </c>
      <c r="I3" s="219"/>
      <c r="J3" s="219"/>
      <c r="K3" s="62"/>
      <c r="U3" s="254" t="s">
        <v>876</v>
      </c>
      <c r="V3" s="240" t="str">
        <f>IF(ISERROR(FIND("Entryby",C11)),"","X")</f>
        <v/>
      </c>
      <c r="AV3" s="27" t="s">
        <v>0</v>
      </c>
      <c r="AW3" s="27"/>
    </row>
    <row r="4" spans="2:51">
      <c r="B4" s="222" t="s">
        <v>854</v>
      </c>
      <c r="C4" s="218" t="str">
        <f>+DBTableList!G6</f>
        <v>pythonLT</v>
      </c>
      <c r="D4" s="105" t="s">
        <v>412</v>
      </c>
      <c r="E4" s="68" t="s">
        <v>407</v>
      </c>
      <c r="S4" s="256" t="s">
        <v>872</v>
      </c>
      <c r="AV4" s="28" t="s">
        <v>1</v>
      </c>
      <c r="AW4" s="27"/>
    </row>
    <row r="5" spans="2:51">
      <c r="B5" s="100" t="s">
        <v>19</v>
      </c>
      <c r="C5" s="101" t="s">
        <v>20</v>
      </c>
      <c r="D5" s="222" t="s">
        <v>408</v>
      </c>
      <c r="E5" s="5" t="str">
        <f>+DBTableList!$G$4</f>
        <v>CBS</v>
      </c>
      <c r="S5" s="241" t="s">
        <v>873</v>
      </c>
      <c r="T5" s="244" t="s">
        <v>569</v>
      </c>
      <c r="U5" s="243" t="s">
        <v>377</v>
      </c>
      <c r="V5" s="240" t="str">
        <f>CHAR(34)&amp;E8&amp;" Info"&amp;CHAR(34)</f>
        <v>"Currency Info"</v>
      </c>
      <c r="W5" s="242"/>
      <c r="X5" s="240"/>
      <c r="AV5" s="28" t="s">
        <v>1</v>
      </c>
      <c r="AW5" s="27"/>
    </row>
    <row r="6" spans="2:51">
      <c r="B6" s="250" t="s">
        <v>10</v>
      </c>
      <c r="C6" s="5" t="s">
        <v>852</v>
      </c>
      <c r="D6" s="249" t="s">
        <v>429</v>
      </c>
      <c r="E6" s="5" t="s">
        <v>424</v>
      </c>
      <c r="S6" s="242" t="s">
        <v>514</v>
      </c>
      <c r="T6" s="245" t="s">
        <v>506</v>
      </c>
      <c r="U6" s="242" t="s">
        <v>507</v>
      </c>
      <c r="V6" s="245" t="s">
        <v>367</v>
      </c>
      <c r="W6" s="242"/>
      <c r="X6" s="240"/>
      <c r="AV6" s="27" t="s">
        <v>2</v>
      </c>
      <c r="AW6" s="27"/>
    </row>
    <row r="7" spans="2:51">
      <c r="B7" s="100" t="s">
        <v>315</v>
      </c>
      <c r="C7" s="17">
        <v>5842</v>
      </c>
      <c r="D7" s="100" t="str">
        <f>"LIMIT "&amp;IF(E7=0,"(MAX)","")</f>
        <v>LIMIT (MAX)</v>
      </c>
      <c r="E7" s="17">
        <v>0</v>
      </c>
      <c r="S7" s="242" t="s">
        <v>508</v>
      </c>
      <c r="T7" s="245" t="s">
        <v>379</v>
      </c>
      <c r="U7" s="242" t="s">
        <v>385</v>
      </c>
      <c r="V7" s="245" t="s">
        <v>379</v>
      </c>
      <c r="W7" s="242"/>
      <c r="X7" s="240"/>
      <c r="AV7" s="27" t="s">
        <v>0</v>
      </c>
      <c r="AW7" s="27"/>
    </row>
    <row r="8" spans="2:51">
      <c r="B8" s="215" t="s">
        <v>16</v>
      </c>
      <c r="C8" s="17" t="s">
        <v>73</v>
      </c>
      <c r="D8" s="215" t="s">
        <v>847</v>
      </c>
      <c r="E8" s="17" t="s">
        <v>73</v>
      </c>
      <c r="G8" s="62"/>
      <c r="S8" s="242" t="s">
        <v>509</v>
      </c>
      <c r="T8" s="245" t="s">
        <v>379</v>
      </c>
      <c r="U8" s="242" t="s">
        <v>380</v>
      </c>
      <c r="V8" s="246">
        <v>1000</v>
      </c>
      <c r="W8" s="242"/>
      <c r="X8" s="240"/>
      <c r="AV8" s="28" t="s">
        <v>1</v>
      </c>
      <c r="AW8" s="27"/>
    </row>
    <row r="9" spans="2:51">
      <c r="B9" s="105" t="s">
        <v>409</v>
      </c>
      <c r="C9" s="102" t="str">
        <f>VLOOKUP(E6,Variables!$B$22:$C$25,2,FALSE)</f>
        <v>b18e9f22-2069-4f35-9739-4d7f976335eb</v>
      </c>
      <c r="D9" s="104"/>
      <c r="E9" s="103"/>
      <c r="S9" s="242" t="s">
        <v>510</v>
      </c>
      <c r="T9" s="245" t="s">
        <v>1244</v>
      </c>
      <c r="U9" s="242" t="s">
        <v>378</v>
      </c>
      <c r="V9" s="246">
        <v>525</v>
      </c>
      <c r="W9" s="242"/>
      <c r="X9" s="240"/>
      <c r="AV9" s="27" t="s">
        <v>3</v>
      </c>
      <c r="AW9" s="27"/>
    </row>
    <row r="10" spans="2:51">
      <c r="B10" s="217" t="str">
        <f>HYPERLINK("[http://wikran-w10:8080/Gentoken.html]","TBTOKEN")</f>
        <v>TBTOKEN</v>
      </c>
      <c r="C10" s="102" t="s">
        <v>897</v>
      </c>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Code,ShortName,Name</v>
      </c>
      <c r="D11" s="104"/>
      <c r="E11" s="104"/>
      <c r="F11" s="104"/>
      <c r="G11" s="104"/>
      <c r="H11" s="104"/>
      <c r="I11" s="104"/>
      <c r="J11" s="104"/>
      <c r="K11" s="104"/>
      <c r="L11" s="103"/>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http://wikran-w10:8081/pythonLT/A75FCC75-8FB6-4460-B3F6-7070B4437930/22b4c16a-7c2d-4088-ac1a-4efc13e1fb01/all</v>
      </c>
      <c r="D12" s="104"/>
      <c r="E12" s="104"/>
      <c r="F12" s="104"/>
      <c r="G12" s="104"/>
      <c r="H12" s="104"/>
      <c r="I12" s="104"/>
      <c r="J12" s="104"/>
      <c r="K12" s="104"/>
      <c r="L12" s="103"/>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3</v>
      </c>
      <c r="D14" s="3" t="s">
        <v>496</v>
      </c>
      <c r="E14" s="3">
        <f>+C14+15</f>
        <v>18</v>
      </c>
      <c r="G14" s="16" t="s">
        <v>22</v>
      </c>
      <c r="H14" s="131" t="str">
        <f>IF(IFERROR(FIND("varchar",E22),0)&gt;0,IF(D22&gt;8000,"max",D22),"")</f>
        <v/>
      </c>
      <c r="M14" s="107" t="s">
        <v>369</v>
      </c>
      <c r="N14" s="489" t="s">
        <v>305</v>
      </c>
      <c r="O14" s="490"/>
      <c r="P14" s="491"/>
      <c r="S14" s="257" t="s">
        <v>871</v>
      </c>
      <c r="T14" s="149" t="s">
        <v>893</v>
      </c>
      <c r="AJ14" s="347">
        <f>COUNTBLANK(AJ16:AJ115)</f>
        <v>99</v>
      </c>
      <c r="AK14" s="30" t="s">
        <v>1044</v>
      </c>
      <c r="AM14" s="347">
        <f>COUNTBLANK(AM16:AM115)</f>
        <v>99</v>
      </c>
      <c r="AN14" s="30" t="s">
        <v>1036</v>
      </c>
      <c r="AO14" s="347">
        <f>+AM14+AJ14</f>
        <v>198</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[dbo].[Currency](</v>
      </c>
      <c r="AW15" s="27"/>
      <c r="AY15" s="122" t="str">
        <f>+"CREATE TABLE "&amp;TRIM(C8)&amp;" ("</f>
        <v>CREATE TABLE Currency (</v>
      </c>
    </row>
    <row r="16" spans="2:51" ht="12.75">
      <c r="B16" s="20">
        <f>IF(C16=0,"",1)</f>
        <v>1</v>
      </c>
      <c r="C16" s="5" t="s">
        <v>895</v>
      </c>
      <c r="D16" s="5">
        <v>4</v>
      </c>
      <c r="E16" s="5" t="s">
        <v>11</v>
      </c>
      <c r="G16" s="5" t="str">
        <f t="shared" ref="G16:G32" si="0">SUBSTITUTE(SUBSTITUTE(SUBSTITUTE(SUBSTITUTE(SUBSTITUTE(SUBSTITUTE(SUBSTITUTE(SUBSTITUTE(SUBSTITUTE(C16," ",""),".",""),"#","No"),"%",""),"(",""),"*",""),"-",""),"/",""),")","")</f>
        <v>Code</v>
      </c>
      <c r="H16" s="117">
        <f t="shared" ref="H16:H21" si="1">IF(IFERROR(FIND("varchar",E16),0)&gt;0,IF(D16&gt;8000,"max",D16),"")</f>
        <v>4</v>
      </c>
      <c r="I16" s="5" t="str">
        <f t="shared" ref="I16:I45" si="2">IF(E16=0,"",+E16)</f>
        <v>varchar</v>
      </c>
      <c r="J16" s="5" t="str">
        <f t="shared" ref="J16:J45" si="3">IF(C16=0,"",(IF(ISERROR(VLOOKUP(G16,$D$120:$D$127,1,FALSE)),""," NOT")&amp;" NULL"))</f>
        <v xml:space="preserve"> NOT NULL</v>
      </c>
      <c r="K16" s="138" t="s">
        <v>896</v>
      </c>
      <c r="L16" s="5"/>
      <c r="M16" s="75">
        <v>1</v>
      </c>
      <c r="N16" s="77"/>
      <c r="O16" s="26"/>
      <c r="P16" s="26"/>
      <c r="Q16" s="118">
        <f t="shared" ref="Q16:Q45" si="4">IF(M16=0,"",ROW())</f>
        <v>16</v>
      </c>
      <c r="R16" s="153"/>
      <c r="S16" s="138" t="str">
        <f>IF(K16=0,"",K16)</f>
        <v>Currency Code</v>
      </c>
      <c r="T16" s="148"/>
      <c r="U16" s="146"/>
      <c r="V16" s="146"/>
      <c r="W16" s="139"/>
      <c r="X16" s="139" t="s">
        <v>367</v>
      </c>
      <c r="Y16" s="148"/>
      <c r="Z16" s="138" t="str">
        <f t="shared" ref="Z16:Z23" si="5">IF(M16&lt;9000,"","false")</f>
        <v/>
      </c>
      <c r="AA16" s="138" t="str">
        <f>IF($C$120=B16,"asc","")</f>
        <v>asc</v>
      </c>
      <c r="AB16" s="239"/>
      <c r="AC16" s="325"/>
      <c r="AD16" s="325"/>
      <c r="AE16" s="325"/>
      <c r="AF16" s="325"/>
      <c r="AG16" s="325"/>
      <c r="AH16" s="325"/>
      <c r="AI16" s="325"/>
      <c r="AJ16" s="325"/>
      <c r="AK16" s="325"/>
      <c r="AL16" s="325"/>
      <c r="AM16" s="325" t="s">
        <v>1028</v>
      </c>
      <c r="AN16" s="325"/>
      <c r="AO16" s="325"/>
      <c r="AP16" s="136"/>
      <c r="AQ16" s="136"/>
      <c r="AR16" s="136" t="str">
        <f t="shared" ref="AR16:AS47" si="6">IF(O16=0,"",ROW())</f>
        <v/>
      </c>
      <c r="AS16" s="136" t="str">
        <f t="shared" si="6"/>
        <v/>
      </c>
      <c r="AT16" s="5" t="str">
        <f t="shared" ref="AT16:AT47" si="7">IF(C16="","",C16&amp;IF(B17="","",","))</f>
        <v>Code,</v>
      </c>
      <c r="AV16" s="27" t="str">
        <f t="shared" ref="AV16:AV35" si="8">IF(G16="","",+"          ["&amp;TRIM(G16)&amp;"] ["&amp;TRIM(I16)&amp;"]"&amp;IF(H16="","","("&amp;H16&amp;")")&amp;" "&amp;TRIM(J16)&amp;IF(G17="","",","))</f>
        <v xml:space="preserve">          [Code] [varchar](4) NOT NULL,</v>
      </c>
      <c r="AW16" s="27"/>
      <c r="AY16" s="122" t="str">
        <f t="shared" ref="AY16:AY79" si="9">IF(G16="",IF(OR(AY15=");",AY15=""),"",");"),+"          "&amp;TRIM(G16)&amp;" "&amp;UPPER(TRIM(I16))&amp;IF(H16="",""," ("&amp;H16&amp;")")&amp;" "&amp;IF(TRIM(J16)="NOT NULL","PRIMARY KEY UNIQUE NOT NULL",TRIM(J16))&amp;IF(G17="","",","))</f>
        <v xml:space="preserve">          Code VARCHAR (4) PRIMARY KEY UNIQUE NOT NULL,</v>
      </c>
    </row>
    <row r="17" spans="2:51" ht="12.75">
      <c r="B17" s="20">
        <f>IF(C17=0,"",+B16+1)</f>
        <v>2</v>
      </c>
      <c r="C17" s="5" t="s">
        <v>539</v>
      </c>
      <c r="D17" s="5">
        <v>8</v>
      </c>
      <c r="E17" s="5" t="s">
        <v>11</v>
      </c>
      <c r="G17" s="5" t="str">
        <f t="shared" si="0"/>
        <v>ShortName</v>
      </c>
      <c r="H17" s="117">
        <f t="shared" si="1"/>
        <v>8</v>
      </c>
      <c r="I17" s="5" t="str">
        <f t="shared" si="2"/>
        <v>varchar</v>
      </c>
      <c r="J17" s="5" t="str">
        <f t="shared" si="3"/>
        <v xml:space="preserve"> NULL</v>
      </c>
      <c r="K17" s="138" t="s">
        <v>474</v>
      </c>
      <c r="L17" s="5"/>
      <c r="M17" s="75">
        <v>2</v>
      </c>
      <c r="N17" s="77"/>
      <c r="O17" s="26"/>
      <c r="P17" s="26"/>
      <c r="Q17" s="118">
        <f t="shared" si="4"/>
        <v>17</v>
      </c>
      <c r="R17" s="153"/>
      <c r="S17" s="138" t="str">
        <f t="shared" ref="S17:S80" si="10">IF(K17=0,"",K17)</f>
        <v>Short Name</v>
      </c>
      <c r="T17" s="148"/>
      <c r="U17" s="146"/>
      <c r="V17" s="146"/>
      <c r="W17" s="139"/>
      <c r="X17" s="139"/>
      <c r="Y17" s="148"/>
      <c r="Z17" s="138" t="str">
        <f t="shared" si="5"/>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6"/>
        <v/>
      </c>
      <c r="AS17" s="136" t="str">
        <f t="shared" si="6"/>
        <v/>
      </c>
      <c r="AT17" s="5" t="str">
        <f t="shared" si="7"/>
        <v>ShortName,</v>
      </c>
      <c r="AV17" s="27" t="str">
        <f t="shared" si="8"/>
        <v xml:space="preserve">          [ShortName] [varchar](8) NULL,</v>
      </c>
      <c r="AW17" s="27"/>
      <c r="AY17" s="122" t="str">
        <f t="shared" si="9"/>
        <v xml:space="preserve">          ShortName VARCHAR (8) NULL,</v>
      </c>
    </row>
    <row r="18" spans="2:51" ht="12.75">
      <c r="B18" s="20">
        <f t="shared" ref="B18:B81" si="11">IF(C18=0,"",+B17+1)</f>
        <v>3</v>
      </c>
      <c r="C18" s="5" t="s">
        <v>443</v>
      </c>
      <c r="D18" s="5">
        <v>40</v>
      </c>
      <c r="E18" s="5" t="s">
        <v>11</v>
      </c>
      <c r="G18" s="5" t="str">
        <f t="shared" si="0"/>
        <v>Name</v>
      </c>
      <c r="H18" s="117">
        <f t="shared" si="1"/>
        <v>40</v>
      </c>
      <c r="I18" s="5" t="str">
        <f t="shared" si="2"/>
        <v>varchar</v>
      </c>
      <c r="J18" s="5" t="str">
        <f t="shared" si="3"/>
        <v xml:space="preserve"> NULL</v>
      </c>
      <c r="K18" s="138" t="s">
        <v>443</v>
      </c>
      <c r="L18" s="5"/>
      <c r="M18" s="75">
        <v>3</v>
      </c>
      <c r="N18" s="77"/>
      <c r="O18" s="26"/>
      <c r="P18" s="26"/>
      <c r="Q18" s="118">
        <f t="shared" si="4"/>
        <v>18</v>
      </c>
      <c r="R18" s="153"/>
      <c r="S18" s="138" t="str">
        <f t="shared" si="10"/>
        <v>Name</v>
      </c>
      <c r="T18" s="148"/>
      <c r="U18" s="146"/>
      <c r="V18" s="146"/>
      <c r="W18" s="139"/>
      <c r="X18" s="139"/>
      <c r="Y18" s="148"/>
      <c r="Z18" s="138" t="str">
        <f t="shared" si="5"/>
        <v/>
      </c>
      <c r="AA18" s="138" t="str">
        <f t="shared" ref="AA18:AA81" si="12">IF($C$120=B18,"asc","")</f>
        <v/>
      </c>
      <c r="AB18" s="239"/>
      <c r="AC18" s="325"/>
      <c r="AD18" s="325"/>
      <c r="AE18" s="325"/>
      <c r="AF18" s="325"/>
      <c r="AG18" s="325"/>
      <c r="AH18" s="325"/>
      <c r="AI18" s="325"/>
      <c r="AJ18" s="325" t="s">
        <v>1028</v>
      </c>
      <c r="AK18" s="325"/>
      <c r="AL18" s="325"/>
      <c r="AM18" s="325"/>
      <c r="AN18" s="325"/>
      <c r="AO18" s="325"/>
      <c r="AP18" s="136"/>
      <c r="AQ18" s="136"/>
      <c r="AR18" s="136" t="str">
        <f t="shared" si="6"/>
        <v/>
      </c>
      <c r="AS18" s="136" t="str">
        <f t="shared" si="6"/>
        <v/>
      </c>
      <c r="AT18" s="5" t="str">
        <f t="shared" si="7"/>
        <v>Name</v>
      </c>
      <c r="AV18" s="27" t="str">
        <f t="shared" si="8"/>
        <v xml:space="preserve">          [Name] [varchar](40) NULL</v>
      </c>
      <c r="AW18" s="27"/>
      <c r="AY18" s="122" t="str">
        <f t="shared" si="9"/>
        <v xml:space="preserve">          Name VARCHAR (40) NULL</v>
      </c>
    </row>
    <row r="19" spans="2:51" ht="12.75">
      <c r="B19" s="20" t="str">
        <f t="shared" si="11"/>
        <v/>
      </c>
      <c r="C19" s="5"/>
      <c r="D19" s="5"/>
      <c r="E19" s="5"/>
      <c r="G19" s="5" t="str">
        <f t="shared" si="0"/>
        <v/>
      </c>
      <c r="H19" s="117" t="str">
        <f t="shared" si="1"/>
        <v/>
      </c>
      <c r="I19" s="5" t="str">
        <f t="shared" si="2"/>
        <v/>
      </c>
      <c r="J19" s="5" t="str">
        <f t="shared" si="3"/>
        <v/>
      </c>
      <c r="K19" s="138"/>
      <c r="L19" s="5"/>
      <c r="M19" s="75"/>
      <c r="N19" s="77"/>
      <c r="O19" s="26"/>
      <c r="P19" s="26"/>
      <c r="Q19" s="118" t="str">
        <f t="shared" si="4"/>
        <v/>
      </c>
      <c r="R19" s="153"/>
      <c r="S19" s="138" t="str">
        <f t="shared" si="10"/>
        <v/>
      </c>
      <c r="T19" s="148"/>
      <c r="U19" s="146"/>
      <c r="V19" s="146"/>
      <c r="W19" s="139"/>
      <c r="X19" s="139"/>
      <c r="Y19" s="148"/>
      <c r="Z19" s="138" t="str">
        <f t="shared" si="5"/>
        <v/>
      </c>
      <c r="AA19" s="138" t="str">
        <f t="shared" si="12"/>
        <v/>
      </c>
      <c r="AB19" s="239"/>
      <c r="AC19" s="325"/>
      <c r="AD19" s="325"/>
      <c r="AE19" s="325"/>
      <c r="AF19" s="325"/>
      <c r="AG19" s="325"/>
      <c r="AH19" s="325"/>
      <c r="AI19" s="325"/>
      <c r="AJ19" s="325"/>
      <c r="AK19" s="325"/>
      <c r="AL19" s="325"/>
      <c r="AM19" s="325"/>
      <c r="AN19" s="325"/>
      <c r="AO19" s="325"/>
      <c r="AP19" s="136"/>
      <c r="AQ19" s="136"/>
      <c r="AR19" s="136" t="str">
        <f t="shared" si="6"/>
        <v/>
      </c>
      <c r="AS19" s="136" t="str">
        <f t="shared" si="6"/>
        <v/>
      </c>
      <c r="AT19" s="5" t="str">
        <f t="shared" si="7"/>
        <v/>
      </c>
      <c r="AV19" s="27" t="str">
        <f t="shared" si="8"/>
        <v/>
      </c>
      <c r="AW19" s="27"/>
      <c r="AY19" s="122" t="str">
        <f t="shared" si="9"/>
        <v>);</v>
      </c>
    </row>
    <row r="20" spans="2:51" ht="12.75">
      <c r="B20" s="20" t="str">
        <f t="shared" si="11"/>
        <v/>
      </c>
      <c r="C20" s="5"/>
      <c r="D20" s="5"/>
      <c r="E20" s="5"/>
      <c r="G20" s="5" t="str">
        <f t="shared" si="0"/>
        <v/>
      </c>
      <c r="H20" s="117" t="str">
        <f t="shared" si="1"/>
        <v/>
      </c>
      <c r="I20" s="5" t="str">
        <f t="shared" si="2"/>
        <v/>
      </c>
      <c r="J20" s="5" t="str">
        <f t="shared" si="3"/>
        <v/>
      </c>
      <c r="K20" s="138"/>
      <c r="L20" s="5"/>
      <c r="M20" s="75"/>
      <c r="N20" s="77"/>
      <c r="O20" s="26"/>
      <c r="P20" s="26"/>
      <c r="Q20" s="118" t="str">
        <f t="shared" si="4"/>
        <v/>
      </c>
      <c r="R20" s="153"/>
      <c r="S20" s="138" t="str">
        <f t="shared" si="10"/>
        <v/>
      </c>
      <c r="T20" s="148"/>
      <c r="U20" s="146"/>
      <c r="V20" s="146"/>
      <c r="W20" s="139"/>
      <c r="X20" s="139"/>
      <c r="Y20" s="148"/>
      <c r="Z20" s="138" t="str">
        <f t="shared" si="5"/>
        <v/>
      </c>
      <c r="AA20" s="138" t="str">
        <f t="shared" si="12"/>
        <v/>
      </c>
      <c r="AB20" s="239"/>
      <c r="AC20" s="325"/>
      <c r="AD20" s="325"/>
      <c r="AE20" s="325"/>
      <c r="AF20" s="325"/>
      <c r="AG20" s="325"/>
      <c r="AH20" s="325"/>
      <c r="AI20" s="325"/>
      <c r="AJ20" s="325"/>
      <c r="AK20" s="325"/>
      <c r="AL20" s="325"/>
      <c r="AM20" s="325"/>
      <c r="AN20" s="325"/>
      <c r="AO20" s="325"/>
      <c r="AP20" s="136"/>
      <c r="AQ20" s="136"/>
      <c r="AR20" s="136" t="str">
        <f t="shared" si="6"/>
        <v/>
      </c>
      <c r="AS20" s="136" t="str">
        <f t="shared" si="6"/>
        <v/>
      </c>
      <c r="AT20" s="5" t="str">
        <f t="shared" si="7"/>
        <v/>
      </c>
      <c r="AV20" s="27" t="str">
        <f t="shared" si="8"/>
        <v/>
      </c>
      <c r="AW20" s="27"/>
      <c r="AY20" s="122" t="str">
        <f t="shared" si="9"/>
        <v/>
      </c>
    </row>
    <row r="21" spans="2:51" ht="12.75">
      <c r="B21" s="20" t="str">
        <f t="shared" si="11"/>
        <v/>
      </c>
      <c r="C21" s="5"/>
      <c r="D21" s="5"/>
      <c r="E21" s="5"/>
      <c r="G21" s="5" t="str">
        <f t="shared" si="0"/>
        <v/>
      </c>
      <c r="H21" s="117" t="str">
        <f t="shared" si="1"/>
        <v/>
      </c>
      <c r="I21" s="5" t="str">
        <f t="shared" si="2"/>
        <v/>
      </c>
      <c r="J21" s="5" t="str">
        <f t="shared" si="3"/>
        <v/>
      </c>
      <c r="K21" s="138"/>
      <c r="L21" s="5"/>
      <c r="M21" s="75"/>
      <c r="N21" s="77"/>
      <c r="O21" s="26"/>
      <c r="P21" s="26"/>
      <c r="Q21" s="118" t="str">
        <f t="shared" si="4"/>
        <v/>
      </c>
      <c r="R21" s="153"/>
      <c r="S21" s="138" t="str">
        <f t="shared" si="10"/>
        <v/>
      </c>
      <c r="T21" s="148"/>
      <c r="U21" s="146"/>
      <c r="V21" s="146"/>
      <c r="W21" s="139"/>
      <c r="X21" s="139"/>
      <c r="Y21" s="148"/>
      <c r="Z21" s="138" t="str">
        <f t="shared" si="5"/>
        <v/>
      </c>
      <c r="AA21" s="138" t="str">
        <f t="shared" si="12"/>
        <v/>
      </c>
      <c r="AB21" s="239"/>
      <c r="AC21" s="325"/>
      <c r="AD21" s="325"/>
      <c r="AE21" s="325"/>
      <c r="AF21" s="325"/>
      <c r="AG21" s="325"/>
      <c r="AH21" s="325"/>
      <c r="AI21" s="325"/>
      <c r="AJ21" s="325"/>
      <c r="AK21" s="325"/>
      <c r="AL21" s="325"/>
      <c r="AM21" s="325"/>
      <c r="AN21" s="325"/>
      <c r="AO21" s="325"/>
      <c r="AP21" s="136"/>
      <c r="AQ21" s="136"/>
      <c r="AR21" s="136" t="str">
        <f t="shared" si="6"/>
        <v/>
      </c>
      <c r="AS21" s="136" t="str">
        <f t="shared" si="6"/>
        <v/>
      </c>
      <c r="AT21" s="5" t="str">
        <f t="shared" si="7"/>
        <v/>
      </c>
      <c r="AV21" s="27" t="str">
        <f t="shared" si="8"/>
        <v/>
      </c>
      <c r="AW21" s="27"/>
      <c r="AY21" s="122" t="str">
        <f t="shared" si="9"/>
        <v/>
      </c>
    </row>
    <row r="22" spans="2:51" ht="12.75">
      <c r="B22" s="20" t="str">
        <f t="shared" si="11"/>
        <v/>
      </c>
      <c r="C22" s="5"/>
      <c r="D22" s="5"/>
      <c r="E22" s="5"/>
      <c r="G22" s="5" t="str">
        <f t="shared" si="0"/>
        <v/>
      </c>
      <c r="H22" s="117" t="str">
        <f>IF(IFERROR(FIND("varchar",E22),0)&gt;0,IF(D22&gt;8000,"max",D22),"")</f>
        <v/>
      </c>
      <c r="I22" s="5" t="str">
        <f t="shared" si="2"/>
        <v/>
      </c>
      <c r="J22" s="5" t="str">
        <f t="shared" si="3"/>
        <v/>
      </c>
      <c r="K22" s="138"/>
      <c r="L22" s="5"/>
      <c r="M22" s="75"/>
      <c r="N22" s="77"/>
      <c r="O22" s="26"/>
      <c r="P22" s="26"/>
      <c r="Q22" s="118" t="str">
        <f t="shared" si="4"/>
        <v/>
      </c>
      <c r="R22" s="153"/>
      <c r="S22" s="138" t="str">
        <f t="shared" si="10"/>
        <v/>
      </c>
      <c r="T22" s="148"/>
      <c r="U22" s="146"/>
      <c r="V22" s="146"/>
      <c r="W22" s="139"/>
      <c r="X22" s="139"/>
      <c r="Y22" s="148"/>
      <c r="Z22" s="138" t="str">
        <f t="shared" si="5"/>
        <v/>
      </c>
      <c r="AA22" s="138" t="str">
        <f t="shared" si="12"/>
        <v/>
      </c>
      <c r="AB22" s="239"/>
      <c r="AC22" s="325"/>
      <c r="AD22" s="325"/>
      <c r="AE22" s="325"/>
      <c r="AF22" s="325"/>
      <c r="AG22" s="325"/>
      <c r="AH22" s="325"/>
      <c r="AI22" s="325"/>
      <c r="AJ22" s="325"/>
      <c r="AK22" s="325"/>
      <c r="AL22" s="325"/>
      <c r="AM22" s="325"/>
      <c r="AN22" s="325"/>
      <c r="AO22" s="325"/>
      <c r="AP22" s="136"/>
      <c r="AQ22" s="136"/>
      <c r="AR22" s="136" t="str">
        <f t="shared" si="6"/>
        <v/>
      </c>
      <c r="AS22" s="136" t="str">
        <f t="shared" si="6"/>
        <v/>
      </c>
      <c r="AT22" s="5" t="str">
        <f t="shared" si="7"/>
        <v/>
      </c>
      <c r="AV22" s="27" t="str">
        <f t="shared" si="8"/>
        <v/>
      </c>
      <c r="AW22" s="27"/>
      <c r="AY22" s="122" t="str">
        <f t="shared" si="9"/>
        <v/>
      </c>
    </row>
    <row r="23" spans="2:51" ht="12.75">
      <c r="B23" s="20" t="str">
        <f t="shared" si="11"/>
        <v/>
      </c>
      <c r="C23" s="5"/>
      <c r="D23" s="5"/>
      <c r="E23" s="5"/>
      <c r="G23" s="5" t="str">
        <f t="shared" si="0"/>
        <v/>
      </c>
      <c r="H23" s="117" t="str">
        <f t="shared" ref="H23:H86" si="13">IF(IFERROR(FIND("varchar",E23),0)&gt;0,IF(D23&gt;8000,"max",D23),"")</f>
        <v/>
      </c>
      <c r="I23" s="5" t="str">
        <f t="shared" si="2"/>
        <v/>
      </c>
      <c r="J23" s="5" t="str">
        <f t="shared" si="3"/>
        <v/>
      </c>
      <c r="K23" s="138"/>
      <c r="L23" s="5"/>
      <c r="M23" s="75"/>
      <c r="N23" s="77"/>
      <c r="O23" s="26"/>
      <c r="P23" s="26"/>
      <c r="Q23" s="118" t="str">
        <f t="shared" si="4"/>
        <v/>
      </c>
      <c r="R23" s="153"/>
      <c r="S23" s="138" t="str">
        <f t="shared" si="10"/>
        <v/>
      </c>
      <c r="T23" s="148"/>
      <c r="U23" s="146"/>
      <c r="V23" s="146"/>
      <c r="W23" s="139"/>
      <c r="X23" s="139"/>
      <c r="Y23" s="148"/>
      <c r="Z23" s="138" t="str">
        <f t="shared" si="5"/>
        <v/>
      </c>
      <c r="AA23" s="138" t="str">
        <f t="shared" si="12"/>
        <v/>
      </c>
      <c r="AB23" s="239"/>
      <c r="AC23" s="325"/>
      <c r="AD23" s="325"/>
      <c r="AE23" s="325"/>
      <c r="AF23" s="325"/>
      <c r="AG23" s="325"/>
      <c r="AH23" s="325"/>
      <c r="AI23" s="325"/>
      <c r="AJ23" s="325"/>
      <c r="AK23" s="325"/>
      <c r="AL23" s="325"/>
      <c r="AM23" s="325"/>
      <c r="AN23" s="325"/>
      <c r="AO23" s="325"/>
      <c r="AP23" s="136"/>
      <c r="AQ23" s="136"/>
      <c r="AR23" s="136" t="str">
        <f t="shared" si="6"/>
        <v/>
      </c>
      <c r="AS23" s="136" t="str">
        <f t="shared" si="6"/>
        <v/>
      </c>
      <c r="AT23" s="5" t="str">
        <f t="shared" si="7"/>
        <v/>
      </c>
      <c r="AV23" s="27" t="str">
        <f t="shared" si="8"/>
        <v/>
      </c>
      <c r="AW23" s="27"/>
      <c r="AY23" s="122" t="str">
        <f t="shared" si="9"/>
        <v/>
      </c>
    </row>
    <row r="24" spans="2:51" ht="12.75">
      <c r="B24" s="20" t="str">
        <f t="shared" si="11"/>
        <v/>
      </c>
      <c r="C24" s="5"/>
      <c r="D24" s="5"/>
      <c r="E24" s="5"/>
      <c r="G24" s="5" t="str">
        <f t="shared" si="0"/>
        <v/>
      </c>
      <c r="H24" s="117" t="str">
        <f t="shared" si="13"/>
        <v/>
      </c>
      <c r="I24" s="5" t="str">
        <f t="shared" si="2"/>
        <v/>
      </c>
      <c r="J24" s="5" t="str">
        <f t="shared" si="3"/>
        <v/>
      </c>
      <c r="K24" s="138"/>
      <c r="L24" s="5"/>
      <c r="M24" s="75"/>
      <c r="N24" s="77"/>
      <c r="O24" s="26"/>
      <c r="P24" s="26"/>
      <c r="Q24" s="118" t="str">
        <f t="shared" si="4"/>
        <v/>
      </c>
      <c r="R24" s="153"/>
      <c r="S24" s="138" t="str">
        <f t="shared" si="10"/>
        <v/>
      </c>
      <c r="T24" s="148"/>
      <c r="U24" s="146"/>
      <c r="V24" s="146"/>
      <c r="W24" s="139"/>
      <c r="X24" s="139"/>
      <c r="Y24" s="148"/>
      <c r="Z24" s="138"/>
      <c r="AA24" s="138" t="str">
        <f t="shared" si="12"/>
        <v/>
      </c>
      <c r="AB24" s="239"/>
      <c r="AC24" s="325"/>
      <c r="AD24" s="325"/>
      <c r="AE24" s="325"/>
      <c r="AF24" s="325"/>
      <c r="AG24" s="325"/>
      <c r="AH24" s="325"/>
      <c r="AI24" s="325"/>
      <c r="AJ24" s="325"/>
      <c r="AK24" s="325"/>
      <c r="AL24" s="325"/>
      <c r="AM24" s="325"/>
      <c r="AN24" s="325"/>
      <c r="AO24" s="325"/>
      <c r="AP24" s="136"/>
      <c r="AQ24" s="136"/>
      <c r="AR24" s="136" t="str">
        <f t="shared" si="6"/>
        <v/>
      </c>
      <c r="AS24" s="136" t="str">
        <f t="shared" si="6"/>
        <v/>
      </c>
      <c r="AT24" s="5" t="str">
        <f t="shared" si="7"/>
        <v/>
      </c>
      <c r="AV24" s="27" t="str">
        <f t="shared" si="8"/>
        <v/>
      </c>
      <c r="AW24" s="27"/>
      <c r="AY24" s="122" t="str">
        <f t="shared" si="9"/>
        <v/>
      </c>
    </row>
    <row r="25" spans="2:51" ht="12.75">
      <c r="B25" s="20" t="str">
        <f t="shared" si="11"/>
        <v/>
      </c>
      <c r="C25" s="5"/>
      <c r="D25" s="5"/>
      <c r="E25" s="5"/>
      <c r="G25" s="5" t="str">
        <f t="shared" si="0"/>
        <v/>
      </c>
      <c r="H25" s="117" t="str">
        <f t="shared" si="13"/>
        <v/>
      </c>
      <c r="I25" s="5" t="str">
        <f t="shared" si="2"/>
        <v/>
      </c>
      <c r="J25" s="5" t="str">
        <f t="shared" si="3"/>
        <v/>
      </c>
      <c r="K25" s="138"/>
      <c r="L25" s="5"/>
      <c r="M25" s="75"/>
      <c r="N25" s="77"/>
      <c r="O25" s="26"/>
      <c r="P25" s="26"/>
      <c r="Q25" s="118" t="str">
        <f t="shared" si="4"/>
        <v/>
      </c>
      <c r="R25" s="153"/>
      <c r="S25" s="138" t="str">
        <f t="shared" si="10"/>
        <v/>
      </c>
      <c r="T25" s="148"/>
      <c r="U25" s="146"/>
      <c r="V25" s="146"/>
      <c r="W25" s="139"/>
      <c r="X25" s="139"/>
      <c r="Y25" s="148"/>
      <c r="Z25" s="138"/>
      <c r="AA25" s="138" t="str">
        <f t="shared" si="12"/>
        <v/>
      </c>
      <c r="AB25" s="239"/>
      <c r="AC25" s="325"/>
      <c r="AD25" s="325"/>
      <c r="AE25" s="325"/>
      <c r="AF25" s="325"/>
      <c r="AG25" s="325"/>
      <c r="AH25" s="325"/>
      <c r="AI25" s="325"/>
      <c r="AJ25" s="325"/>
      <c r="AK25" s="325"/>
      <c r="AL25" s="325"/>
      <c r="AM25" s="325"/>
      <c r="AN25" s="325"/>
      <c r="AO25" s="325"/>
      <c r="AP25" s="136"/>
      <c r="AQ25" s="136"/>
      <c r="AR25" s="136" t="str">
        <f t="shared" si="6"/>
        <v/>
      </c>
      <c r="AS25" s="136" t="str">
        <f t="shared" si="6"/>
        <v/>
      </c>
      <c r="AT25" s="5" t="str">
        <f t="shared" si="7"/>
        <v/>
      </c>
      <c r="AV25" s="27" t="str">
        <f t="shared" si="8"/>
        <v/>
      </c>
      <c r="AW25" s="27"/>
      <c r="AY25" s="122" t="str">
        <f t="shared" si="9"/>
        <v/>
      </c>
    </row>
    <row r="26" spans="2:51" ht="12.75">
      <c r="B26" s="20" t="str">
        <f t="shared" si="11"/>
        <v/>
      </c>
      <c r="C26" s="5"/>
      <c r="D26" s="5"/>
      <c r="E26" s="5"/>
      <c r="G26" s="5" t="str">
        <f t="shared" si="0"/>
        <v/>
      </c>
      <c r="H26" s="117" t="str">
        <f t="shared" si="13"/>
        <v/>
      </c>
      <c r="I26" s="5" t="str">
        <f t="shared" si="2"/>
        <v/>
      </c>
      <c r="J26" s="5" t="str">
        <f t="shared" si="3"/>
        <v/>
      </c>
      <c r="K26" s="138"/>
      <c r="L26" s="5"/>
      <c r="M26" s="75"/>
      <c r="N26" s="77"/>
      <c r="O26" s="26"/>
      <c r="P26" s="26"/>
      <c r="Q26" s="118" t="str">
        <f t="shared" si="4"/>
        <v/>
      </c>
      <c r="R26" s="153"/>
      <c r="S26" s="138" t="str">
        <f t="shared" si="10"/>
        <v/>
      </c>
      <c r="T26" s="148"/>
      <c r="U26" s="146"/>
      <c r="V26" s="146"/>
      <c r="W26" s="139"/>
      <c r="X26" s="139"/>
      <c r="Y26" s="148"/>
      <c r="Z26" s="138"/>
      <c r="AA26" s="138" t="str">
        <f t="shared" si="12"/>
        <v/>
      </c>
      <c r="AB26" s="239"/>
      <c r="AC26" s="325"/>
      <c r="AD26" s="325"/>
      <c r="AE26" s="325"/>
      <c r="AF26" s="325"/>
      <c r="AG26" s="325"/>
      <c r="AH26" s="325"/>
      <c r="AI26" s="325"/>
      <c r="AJ26" s="325"/>
      <c r="AK26" s="325"/>
      <c r="AL26" s="325"/>
      <c r="AM26" s="325"/>
      <c r="AN26" s="325"/>
      <c r="AO26" s="325"/>
      <c r="AP26" s="136"/>
      <c r="AQ26" s="136"/>
      <c r="AR26" s="136" t="str">
        <f t="shared" si="6"/>
        <v/>
      </c>
      <c r="AS26" s="136" t="str">
        <f t="shared" si="6"/>
        <v/>
      </c>
      <c r="AT26" s="5" t="str">
        <f t="shared" si="7"/>
        <v/>
      </c>
      <c r="AV26" s="27" t="str">
        <f t="shared" si="8"/>
        <v/>
      </c>
      <c r="AW26" s="27"/>
      <c r="AY26" s="122" t="str">
        <f t="shared" si="9"/>
        <v/>
      </c>
    </row>
    <row r="27" spans="2:51" ht="12.75">
      <c r="B27" s="20" t="str">
        <f t="shared" si="11"/>
        <v/>
      </c>
      <c r="C27" s="5"/>
      <c r="D27" s="5"/>
      <c r="E27" s="5"/>
      <c r="G27" s="5" t="str">
        <f t="shared" si="0"/>
        <v/>
      </c>
      <c r="H27" s="117" t="str">
        <f t="shared" si="13"/>
        <v/>
      </c>
      <c r="I27" s="5" t="str">
        <f t="shared" si="2"/>
        <v/>
      </c>
      <c r="J27" s="5" t="str">
        <f t="shared" si="3"/>
        <v/>
      </c>
      <c r="K27" s="138"/>
      <c r="L27" s="5"/>
      <c r="M27" s="75"/>
      <c r="N27" s="77"/>
      <c r="O27" s="26"/>
      <c r="P27" s="26"/>
      <c r="Q27" s="118" t="str">
        <f t="shared" si="4"/>
        <v/>
      </c>
      <c r="R27" s="153"/>
      <c r="S27" s="138" t="str">
        <f t="shared" si="10"/>
        <v/>
      </c>
      <c r="T27" s="148"/>
      <c r="U27" s="146"/>
      <c r="V27" s="146"/>
      <c r="W27" s="139"/>
      <c r="X27" s="139"/>
      <c r="Y27" s="148"/>
      <c r="Z27" s="138"/>
      <c r="AA27" s="138" t="str">
        <f t="shared" si="12"/>
        <v/>
      </c>
      <c r="AB27" s="239"/>
      <c r="AC27" s="325"/>
      <c r="AD27" s="325"/>
      <c r="AE27" s="325"/>
      <c r="AF27" s="325"/>
      <c r="AG27" s="325"/>
      <c r="AH27" s="325"/>
      <c r="AI27" s="325"/>
      <c r="AJ27" s="325"/>
      <c r="AK27" s="325"/>
      <c r="AL27" s="325"/>
      <c r="AM27" s="325"/>
      <c r="AN27" s="325"/>
      <c r="AO27" s="325"/>
      <c r="AP27" s="136"/>
      <c r="AQ27" s="136"/>
      <c r="AR27" s="136" t="str">
        <f t="shared" si="6"/>
        <v/>
      </c>
      <c r="AS27" s="136" t="str">
        <f t="shared" si="6"/>
        <v/>
      </c>
      <c r="AT27" s="5" t="str">
        <f t="shared" si="7"/>
        <v/>
      </c>
      <c r="AV27" s="27" t="str">
        <f t="shared" si="8"/>
        <v/>
      </c>
      <c r="AW27" s="27"/>
      <c r="AY27" s="122" t="str">
        <f t="shared" si="9"/>
        <v/>
      </c>
    </row>
    <row r="28" spans="2:51" ht="12.75">
      <c r="B28" s="20" t="str">
        <f t="shared" si="11"/>
        <v/>
      </c>
      <c r="C28" s="5"/>
      <c r="D28" s="5"/>
      <c r="E28" s="5"/>
      <c r="G28" s="5" t="str">
        <f t="shared" si="0"/>
        <v/>
      </c>
      <c r="H28" s="117" t="str">
        <f t="shared" si="13"/>
        <v/>
      </c>
      <c r="I28" s="5" t="str">
        <f t="shared" si="2"/>
        <v/>
      </c>
      <c r="J28" s="5" t="str">
        <f t="shared" si="3"/>
        <v/>
      </c>
      <c r="K28" s="138"/>
      <c r="L28" s="5"/>
      <c r="M28" s="75"/>
      <c r="N28" s="77"/>
      <c r="O28" s="26"/>
      <c r="P28" s="26"/>
      <c r="Q28" s="118" t="str">
        <f t="shared" si="4"/>
        <v/>
      </c>
      <c r="R28" s="153"/>
      <c r="S28" s="138" t="str">
        <f t="shared" si="10"/>
        <v/>
      </c>
      <c r="T28" s="148"/>
      <c r="U28" s="146"/>
      <c r="V28" s="146"/>
      <c r="W28" s="139"/>
      <c r="X28" s="139"/>
      <c r="Y28" s="148"/>
      <c r="Z28" s="138"/>
      <c r="AA28" s="138" t="str">
        <f t="shared" si="12"/>
        <v/>
      </c>
      <c r="AB28" s="239"/>
      <c r="AC28" s="325"/>
      <c r="AD28" s="325"/>
      <c r="AE28" s="325"/>
      <c r="AF28" s="325"/>
      <c r="AG28" s="325"/>
      <c r="AH28" s="325"/>
      <c r="AI28" s="325"/>
      <c r="AJ28" s="325"/>
      <c r="AK28" s="325"/>
      <c r="AL28" s="325"/>
      <c r="AM28" s="325"/>
      <c r="AN28" s="325"/>
      <c r="AO28" s="325"/>
      <c r="AP28" s="136"/>
      <c r="AQ28" s="136"/>
      <c r="AR28" s="136" t="str">
        <f t="shared" si="6"/>
        <v/>
      </c>
      <c r="AS28" s="136" t="str">
        <f t="shared" si="6"/>
        <v/>
      </c>
      <c r="AT28" s="5" t="str">
        <f t="shared" si="7"/>
        <v/>
      </c>
      <c r="AV28" s="27" t="str">
        <f t="shared" si="8"/>
        <v/>
      </c>
      <c r="AW28" s="27"/>
      <c r="AY28" s="122" t="str">
        <f t="shared" si="9"/>
        <v/>
      </c>
    </row>
    <row r="29" spans="2:51" ht="12.75">
      <c r="B29" s="20" t="str">
        <f t="shared" si="11"/>
        <v/>
      </c>
      <c r="C29" s="5"/>
      <c r="D29" s="5"/>
      <c r="E29" s="5"/>
      <c r="G29" s="5" t="str">
        <f t="shared" si="0"/>
        <v/>
      </c>
      <c r="H29" s="117" t="str">
        <f t="shared" si="13"/>
        <v/>
      </c>
      <c r="I29" s="5" t="str">
        <f t="shared" si="2"/>
        <v/>
      </c>
      <c r="J29" s="5" t="str">
        <f t="shared" si="3"/>
        <v/>
      </c>
      <c r="K29" s="138"/>
      <c r="L29" s="5"/>
      <c r="M29" s="75"/>
      <c r="N29" s="77"/>
      <c r="O29" s="26"/>
      <c r="P29" s="26"/>
      <c r="Q29" s="118" t="str">
        <f t="shared" si="4"/>
        <v/>
      </c>
      <c r="R29" s="153"/>
      <c r="S29" s="138" t="str">
        <f t="shared" si="10"/>
        <v/>
      </c>
      <c r="T29" s="148"/>
      <c r="U29" s="146"/>
      <c r="V29" s="146"/>
      <c r="W29" s="139"/>
      <c r="X29" s="139"/>
      <c r="Y29" s="148"/>
      <c r="Z29" s="138"/>
      <c r="AA29" s="138" t="str">
        <f t="shared" si="12"/>
        <v/>
      </c>
      <c r="AB29" s="239"/>
      <c r="AC29" s="325"/>
      <c r="AD29" s="325"/>
      <c r="AE29" s="325"/>
      <c r="AF29" s="325"/>
      <c r="AG29" s="325"/>
      <c r="AH29" s="325"/>
      <c r="AI29" s="325"/>
      <c r="AJ29" s="325"/>
      <c r="AK29" s="325"/>
      <c r="AL29" s="325"/>
      <c r="AM29" s="325"/>
      <c r="AN29" s="325"/>
      <c r="AO29" s="325"/>
      <c r="AP29" s="136"/>
      <c r="AQ29" s="136"/>
      <c r="AR29" s="136" t="str">
        <f t="shared" si="6"/>
        <v/>
      </c>
      <c r="AS29" s="136" t="str">
        <f t="shared" si="6"/>
        <v/>
      </c>
      <c r="AT29" s="5" t="str">
        <f t="shared" si="7"/>
        <v/>
      </c>
      <c r="AV29" s="27" t="str">
        <f t="shared" si="8"/>
        <v/>
      </c>
      <c r="AW29" s="27"/>
      <c r="AY29" s="122" t="str">
        <f t="shared" si="9"/>
        <v/>
      </c>
    </row>
    <row r="30" spans="2:51" ht="12.75">
      <c r="B30" s="20" t="str">
        <f t="shared" si="11"/>
        <v/>
      </c>
      <c r="C30" s="5"/>
      <c r="D30" s="5"/>
      <c r="E30" s="5"/>
      <c r="G30" s="5" t="str">
        <f t="shared" si="0"/>
        <v/>
      </c>
      <c r="H30" s="117" t="str">
        <f t="shared" si="13"/>
        <v/>
      </c>
      <c r="I30" s="5" t="str">
        <f t="shared" si="2"/>
        <v/>
      </c>
      <c r="J30" s="5" t="str">
        <f t="shared" si="3"/>
        <v/>
      </c>
      <c r="K30" s="138"/>
      <c r="L30" s="5"/>
      <c r="M30" s="75"/>
      <c r="N30" s="77"/>
      <c r="O30" s="26"/>
      <c r="P30" s="26"/>
      <c r="Q30" s="118" t="str">
        <f t="shared" si="4"/>
        <v/>
      </c>
      <c r="R30" s="153"/>
      <c r="S30" s="138" t="str">
        <f t="shared" si="10"/>
        <v/>
      </c>
      <c r="T30" s="148"/>
      <c r="U30" s="146"/>
      <c r="V30" s="146"/>
      <c r="W30" s="139"/>
      <c r="X30" s="139"/>
      <c r="Y30" s="148"/>
      <c r="Z30" s="138"/>
      <c r="AA30" s="138" t="str">
        <f t="shared" si="12"/>
        <v/>
      </c>
      <c r="AB30" s="239"/>
      <c r="AC30" s="325"/>
      <c r="AD30" s="325"/>
      <c r="AE30" s="325"/>
      <c r="AF30" s="325"/>
      <c r="AG30" s="325"/>
      <c r="AH30" s="325"/>
      <c r="AI30" s="325"/>
      <c r="AJ30" s="325"/>
      <c r="AK30" s="325"/>
      <c r="AL30" s="325"/>
      <c r="AM30" s="325"/>
      <c r="AN30" s="325"/>
      <c r="AO30" s="325"/>
      <c r="AP30" s="136"/>
      <c r="AQ30" s="136"/>
      <c r="AR30" s="136" t="str">
        <f t="shared" si="6"/>
        <v/>
      </c>
      <c r="AS30" s="136" t="str">
        <f t="shared" si="6"/>
        <v/>
      </c>
      <c r="AT30" s="5" t="str">
        <f t="shared" si="7"/>
        <v/>
      </c>
      <c r="AV30" s="27" t="str">
        <f t="shared" si="8"/>
        <v/>
      </c>
      <c r="AW30" s="27"/>
      <c r="AY30" s="122" t="str">
        <f t="shared" si="9"/>
        <v/>
      </c>
    </row>
    <row r="31" spans="2:51" ht="12.75">
      <c r="B31" s="20" t="str">
        <f t="shared" si="11"/>
        <v/>
      </c>
      <c r="C31" s="5"/>
      <c r="D31" s="5"/>
      <c r="E31" s="5"/>
      <c r="G31" s="5" t="str">
        <f t="shared" si="0"/>
        <v/>
      </c>
      <c r="H31" s="117" t="str">
        <f t="shared" si="13"/>
        <v/>
      </c>
      <c r="I31" s="5" t="str">
        <f t="shared" si="2"/>
        <v/>
      </c>
      <c r="J31" s="5" t="str">
        <f t="shared" si="3"/>
        <v/>
      </c>
      <c r="K31" s="138"/>
      <c r="L31" s="5"/>
      <c r="M31" s="75"/>
      <c r="N31" s="77"/>
      <c r="O31" s="26"/>
      <c r="P31" s="26"/>
      <c r="Q31" s="118" t="str">
        <f t="shared" si="4"/>
        <v/>
      </c>
      <c r="R31" s="153"/>
      <c r="S31" s="138" t="str">
        <f t="shared" si="10"/>
        <v/>
      </c>
      <c r="T31" s="148"/>
      <c r="U31" s="146"/>
      <c r="V31" s="146"/>
      <c r="W31" s="139"/>
      <c r="X31" s="139"/>
      <c r="Y31" s="148"/>
      <c r="Z31" s="138"/>
      <c r="AA31" s="138" t="str">
        <f t="shared" si="12"/>
        <v/>
      </c>
      <c r="AB31" s="239"/>
      <c r="AC31" s="325"/>
      <c r="AD31" s="325"/>
      <c r="AE31" s="325"/>
      <c r="AF31" s="325"/>
      <c r="AG31" s="325"/>
      <c r="AH31" s="325"/>
      <c r="AI31" s="325"/>
      <c r="AJ31" s="325"/>
      <c r="AK31" s="325"/>
      <c r="AL31" s="325"/>
      <c r="AM31" s="325"/>
      <c r="AN31" s="325"/>
      <c r="AO31" s="325"/>
      <c r="AP31" s="136"/>
      <c r="AQ31" s="136"/>
      <c r="AR31" s="136" t="str">
        <f t="shared" si="6"/>
        <v/>
      </c>
      <c r="AS31" s="136" t="str">
        <f t="shared" si="6"/>
        <v/>
      </c>
      <c r="AT31" s="5" t="str">
        <f t="shared" si="7"/>
        <v/>
      </c>
      <c r="AV31" s="27" t="str">
        <f t="shared" si="8"/>
        <v/>
      </c>
      <c r="AW31" s="27"/>
      <c r="AY31" s="122" t="str">
        <f t="shared" si="9"/>
        <v/>
      </c>
    </row>
    <row r="32" spans="2:51" ht="12.75">
      <c r="B32" s="20" t="str">
        <f t="shared" si="11"/>
        <v/>
      </c>
      <c r="C32" s="5"/>
      <c r="D32" s="5"/>
      <c r="E32" s="5"/>
      <c r="G32" s="5" t="str">
        <f t="shared" si="0"/>
        <v/>
      </c>
      <c r="H32" s="117" t="str">
        <f t="shared" si="13"/>
        <v/>
      </c>
      <c r="I32" s="5" t="str">
        <f t="shared" si="2"/>
        <v/>
      </c>
      <c r="J32" s="5" t="str">
        <f t="shared" si="3"/>
        <v/>
      </c>
      <c r="K32" s="138"/>
      <c r="L32" s="5"/>
      <c r="M32" s="75"/>
      <c r="N32" s="77"/>
      <c r="O32" s="26"/>
      <c r="P32" s="26"/>
      <c r="Q32" s="118" t="str">
        <f t="shared" si="4"/>
        <v/>
      </c>
      <c r="R32" s="153"/>
      <c r="S32" s="138" t="str">
        <f t="shared" si="10"/>
        <v/>
      </c>
      <c r="T32" s="148"/>
      <c r="U32" s="146"/>
      <c r="V32" s="146"/>
      <c r="W32" s="139"/>
      <c r="X32" s="139"/>
      <c r="Y32" s="148"/>
      <c r="Z32" s="138"/>
      <c r="AA32" s="138" t="str">
        <f t="shared" si="12"/>
        <v/>
      </c>
      <c r="AB32" s="239"/>
      <c r="AC32" s="325"/>
      <c r="AD32" s="325"/>
      <c r="AE32" s="325"/>
      <c r="AF32" s="325"/>
      <c r="AG32" s="325"/>
      <c r="AH32" s="325"/>
      <c r="AI32" s="325"/>
      <c r="AJ32" s="325"/>
      <c r="AK32" s="325"/>
      <c r="AL32" s="325"/>
      <c r="AM32" s="325"/>
      <c r="AN32" s="325"/>
      <c r="AO32" s="325"/>
      <c r="AP32" s="136"/>
      <c r="AQ32" s="136"/>
      <c r="AR32" s="136" t="str">
        <f t="shared" si="6"/>
        <v/>
      </c>
      <c r="AS32" s="136" t="str">
        <f t="shared" si="6"/>
        <v/>
      </c>
      <c r="AT32" s="5" t="str">
        <f t="shared" si="7"/>
        <v/>
      </c>
      <c r="AV32" s="27" t="str">
        <f t="shared" si="8"/>
        <v/>
      </c>
      <c r="AW32" s="27"/>
      <c r="AY32" s="122" t="str">
        <f t="shared" si="9"/>
        <v/>
      </c>
    </row>
    <row r="33" spans="2:51" ht="12.75">
      <c r="B33" s="20" t="str">
        <f t="shared" si="11"/>
        <v/>
      </c>
      <c r="C33" s="5"/>
      <c r="D33" s="5"/>
      <c r="E33" s="5"/>
      <c r="G33" s="5" t="str">
        <f>SUBSTITUTE(SUBSTITUTE(SUBSTITUTE(SUBSTITUTE(SUBSTITUTE(SUBSTITUTE(SUBSTITUTE(SUBSTITUTE(SUBSTITUTE(C33," ",""),".",""),"#","No"),"%",""),"(",""),"*",""),"-",""),"/",""),")","")</f>
        <v/>
      </c>
      <c r="H33" s="117" t="str">
        <f t="shared" si="13"/>
        <v/>
      </c>
      <c r="I33" s="5" t="str">
        <f t="shared" si="2"/>
        <v/>
      </c>
      <c r="J33" s="5" t="str">
        <f t="shared" si="3"/>
        <v/>
      </c>
      <c r="K33" s="138"/>
      <c r="L33" s="5"/>
      <c r="M33" s="75"/>
      <c r="N33" s="77"/>
      <c r="O33" s="26"/>
      <c r="P33" s="26"/>
      <c r="Q33" s="118" t="str">
        <f t="shared" si="4"/>
        <v/>
      </c>
      <c r="R33" s="153"/>
      <c r="S33" s="138" t="str">
        <f t="shared" si="10"/>
        <v/>
      </c>
      <c r="T33" s="148"/>
      <c r="U33" s="146"/>
      <c r="V33" s="146"/>
      <c r="W33" s="139"/>
      <c r="X33" s="139"/>
      <c r="Y33" s="148"/>
      <c r="Z33" s="138"/>
      <c r="AA33" s="138" t="str">
        <f t="shared" si="12"/>
        <v/>
      </c>
      <c r="AB33" s="239"/>
      <c r="AC33" s="325"/>
      <c r="AD33" s="325"/>
      <c r="AE33" s="325"/>
      <c r="AF33" s="325"/>
      <c r="AG33" s="325"/>
      <c r="AH33" s="325"/>
      <c r="AI33" s="325"/>
      <c r="AJ33" s="325"/>
      <c r="AK33" s="325"/>
      <c r="AL33" s="325"/>
      <c r="AM33" s="325"/>
      <c r="AN33" s="325"/>
      <c r="AO33" s="325"/>
      <c r="AP33" s="136"/>
      <c r="AQ33" s="136"/>
      <c r="AR33" s="136" t="str">
        <f t="shared" si="6"/>
        <v/>
      </c>
      <c r="AS33" s="136" t="str">
        <f t="shared" si="6"/>
        <v/>
      </c>
      <c r="AT33" s="5" t="str">
        <f t="shared" si="7"/>
        <v/>
      </c>
      <c r="AV33" s="27" t="str">
        <f t="shared" si="8"/>
        <v/>
      </c>
      <c r="AW33" s="27"/>
      <c r="AY33" s="122" t="str">
        <f t="shared" si="9"/>
        <v/>
      </c>
    </row>
    <row r="34" spans="2:51" ht="12.75">
      <c r="B34" s="20" t="str">
        <f t="shared" si="11"/>
        <v/>
      </c>
      <c r="C34" s="5"/>
      <c r="D34" s="5"/>
      <c r="E34" s="5"/>
      <c r="G34" s="5" t="str">
        <f>SUBSTITUTE(SUBSTITUTE(SUBSTITUTE(SUBSTITUTE(SUBSTITUTE(SUBSTITUTE(SUBSTITUTE(SUBSTITUTE(SUBSTITUTE(C34," ",""),".",""),"#","No"),"%",""),"(",""),"*",""),"-",""),"/",""),")","")</f>
        <v/>
      </c>
      <c r="H34" s="117" t="str">
        <f t="shared" si="13"/>
        <v/>
      </c>
      <c r="I34" s="5" t="str">
        <f t="shared" si="2"/>
        <v/>
      </c>
      <c r="J34" s="5" t="str">
        <f t="shared" si="3"/>
        <v/>
      </c>
      <c r="K34" s="138"/>
      <c r="L34" s="5"/>
      <c r="M34" s="75"/>
      <c r="N34" s="77"/>
      <c r="O34" s="26"/>
      <c r="P34" s="26"/>
      <c r="Q34" s="118" t="str">
        <f t="shared" si="4"/>
        <v/>
      </c>
      <c r="R34" s="153"/>
      <c r="S34" s="138" t="str">
        <f t="shared" si="10"/>
        <v/>
      </c>
      <c r="T34" s="148"/>
      <c r="U34" s="146"/>
      <c r="V34" s="146"/>
      <c r="W34" s="139"/>
      <c r="X34" s="139"/>
      <c r="Y34" s="148"/>
      <c r="Z34" s="138"/>
      <c r="AA34" s="138" t="str">
        <f t="shared" si="12"/>
        <v/>
      </c>
      <c r="AB34" s="239"/>
      <c r="AC34" s="325"/>
      <c r="AD34" s="325"/>
      <c r="AE34" s="325"/>
      <c r="AF34" s="325"/>
      <c r="AG34" s="325"/>
      <c r="AH34" s="325"/>
      <c r="AI34" s="325"/>
      <c r="AJ34" s="325"/>
      <c r="AK34" s="325"/>
      <c r="AL34" s="325"/>
      <c r="AM34" s="325"/>
      <c r="AN34" s="325"/>
      <c r="AO34" s="325"/>
      <c r="AP34" s="136"/>
      <c r="AQ34" s="136"/>
      <c r="AR34" s="136" t="str">
        <f t="shared" si="6"/>
        <v/>
      </c>
      <c r="AS34" s="136" t="str">
        <f t="shared" si="6"/>
        <v/>
      </c>
      <c r="AT34" s="5" t="str">
        <f t="shared" si="7"/>
        <v/>
      </c>
      <c r="AV34" s="27" t="str">
        <f t="shared" si="8"/>
        <v/>
      </c>
      <c r="AW34" s="27"/>
      <c r="AY34" s="122" t="str">
        <f t="shared" si="9"/>
        <v/>
      </c>
    </row>
    <row r="35" spans="2:51" ht="12.75">
      <c r="B35" s="20" t="str">
        <f t="shared" si="11"/>
        <v/>
      </c>
      <c r="C35" s="5"/>
      <c r="D35" s="5"/>
      <c r="E35" s="5"/>
      <c r="G35" s="5" t="str">
        <f>SUBSTITUTE(SUBSTITUTE(SUBSTITUTE(SUBSTITUTE(SUBSTITUTE(SUBSTITUTE(SUBSTITUTE(SUBSTITUTE(SUBSTITUTE(C35," ",""),".",""),"#","No"),"%",""),"(",""),"*",""),"-",""),"/",""),")","")</f>
        <v/>
      </c>
      <c r="H35" s="117" t="str">
        <f t="shared" si="13"/>
        <v/>
      </c>
      <c r="I35" s="5" t="str">
        <f t="shared" si="2"/>
        <v/>
      </c>
      <c r="J35" s="5" t="str">
        <f t="shared" si="3"/>
        <v/>
      </c>
      <c r="K35" s="138"/>
      <c r="L35" s="5"/>
      <c r="M35" s="75"/>
      <c r="N35" s="77"/>
      <c r="O35" s="26"/>
      <c r="P35" s="26"/>
      <c r="Q35" s="118" t="str">
        <f t="shared" si="4"/>
        <v/>
      </c>
      <c r="R35" s="153"/>
      <c r="S35" s="138" t="str">
        <f t="shared" si="10"/>
        <v/>
      </c>
      <c r="T35" s="148"/>
      <c r="U35" s="146"/>
      <c r="V35" s="146"/>
      <c r="W35" s="139"/>
      <c r="X35" s="139"/>
      <c r="Y35" s="148"/>
      <c r="Z35" s="138"/>
      <c r="AA35" s="138" t="str">
        <f t="shared" si="12"/>
        <v/>
      </c>
      <c r="AB35" s="239"/>
      <c r="AC35" s="325"/>
      <c r="AD35" s="325"/>
      <c r="AE35" s="325"/>
      <c r="AF35" s="325"/>
      <c r="AG35" s="325"/>
      <c r="AH35" s="325"/>
      <c r="AI35" s="325"/>
      <c r="AJ35" s="325"/>
      <c r="AK35" s="325"/>
      <c r="AL35" s="325"/>
      <c r="AM35" s="325"/>
      <c r="AN35" s="325"/>
      <c r="AO35" s="325"/>
      <c r="AP35" s="136"/>
      <c r="AQ35" s="136"/>
      <c r="AR35" s="136" t="str">
        <f t="shared" si="6"/>
        <v/>
      </c>
      <c r="AS35" s="136" t="str">
        <f t="shared" si="6"/>
        <v/>
      </c>
      <c r="AT35" s="5" t="str">
        <f t="shared" si="7"/>
        <v/>
      </c>
      <c r="AV35" s="27" t="str">
        <f t="shared" si="8"/>
        <v/>
      </c>
      <c r="AW35" s="27"/>
      <c r="AY35" s="122" t="str">
        <f t="shared" si="9"/>
        <v/>
      </c>
    </row>
    <row r="36" spans="2:51" ht="12.75">
      <c r="B36" s="20" t="str">
        <f t="shared" si="11"/>
        <v/>
      </c>
      <c r="C36" s="5"/>
      <c r="D36" s="5"/>
      <c r="E36" s="5"/>
      <c r="G36" s="5" t="str">
        <f>SUBSTITUTE(SUBSTITUTE(SUBSTITUTE(SUBSTITUTE(SUBSTITUTE(SUBSTITUTE(SUBSTITUTE(SUBSTITUTE(SUBSTITUTE(C36," ",""),".",""),"#","No"),"%",""),"(",""),"*",""),"-",""),"/",""),")","")</f>
        <v/>
      </c>
      <c r="H36" s="117" t="str">
        <f t="shared" si="13"/>
        <v/>
      </c>
      <c r="I36" s="5" t="str">
        <f t="shared" si="2"/>
        <v/>
      </c>
      <c r="J36" s="5" t="str">
        <f t="shared" si="3"/>
        <v/>
      </c>
      <c r="K36" s="138"/>
      <c r="L36" s="5"/>
      <c r="M36" s="75"/>
      <c r="N36" s="77"/>
      <c r="O36" s="26"/>
      <c r="P36" s="26"/>
      <c r="Q36" s="118" t="str">
        <f t="shared" si="4"/>
        <v/>
      </c>
      <c r="R36" s="153"/>
      <c r="S36" s="138" t="str">
        <f t="shared" si="10"/>
        <v/>
      </c>
      <c r="T36" s="148"/>
      <c r="U36" s="146"/>
      <c r="V36" s="146"/>
      <c r="W36" s="139"/>
      <c r="X36" s="139"/>
      <c r="Y36" s="148"/>
      <c r="Z36" s="138"/>
      <c r="AA36" s="138" t="str">
        <f t="shared" si="12"/>
        <v/>
      </c>
      <c r="AB36" s="239"/>
      <c r="AC36" s="325"/>
      <c r="AD36" s="325"/>
      <c r="AE36" s="325"/>
      <c r="AF36" s="325"/>
      <c r="AG36" s="325"/>
      <c r="AH36" s="325"/>
      <c r="AI36" s="325"/>
      <c r="AJ36" s="325"/>
      <c r="AK36" s="325"/>
      <c r="AL36" s="325"/>
      <c r="AM36" s="325"/>
      <c r="AN36" s="325"/>
      <c r="AO36" s="325"/>
      <c r="AP36" s="136"/>
      <c r="AQ36" s="136"/>
      <c r="AR36" s="136" t="str">
        <f t="shared" si="6"/>
        <v/>
      </c>
      <c r="AS36" s="136" t="str">
        <f t="shared" si="6"/>
        <v/>
      </c>
      <c r="AT36" s="5" t="str">
        <f t="shared" si="7"/>
        <v/>
      </c>
      <c r="AV36" s="27" t="str">
        <f>IF(G36="","",+"          ["&amp;TRIM(G36)&amp;"] ["&amp;TRIM(I36)&amp;"]"&amp;IF(H36="","","("&amp;H36&amp;")")&amp;" "&amp;TRIM(J36)&amp;IF(G46="","",","))</f>
        <v/>
      </c>
      <c r="AW36" s="27"/>
      <c r="AY36" s="122" t="str">
        <f t="shared" si="9"/>
        <v/>
      </c>
    </row>
    <row r="37" spans="2:51" ht="12.75">
      <c r="B37" s="20" t="str">
        <f t="shared" si="11"/>
        <v/>
      </c>
      <c r="C37" s="5"/>
      <c r="D37" s="5"/>
      <c r="E37" s="5"/>
      <c r="G37" s="5" t="str">
        <f t="shared" ref="G37:G45" si="14">SUBSTITUTE(SUBSTITUTE(SUBSTITUTE(SUBSTITUTE(SUBSTITUTE(SUBSTITUTE(SUBSTITUTE(SUBSTITUTE(SUBSTITUTE(C37," ",""),".",""),"#","No"),"%",""),"(",""),"*",""),"-",""),"/",""),")","")</f>
        <v/>
      </c>
      <c r="H37" s="117" t="str">
        <f t="shared" si="13"/>
        <v/>
      </c>
      <c r="I37" s="5" t="str">
        <f t="shared" si="2"/>
        <v/>
      </c>
      <c r="J37" s="5" t="str">
        <f t="shared" si="3"/>
        <v/>
      </c>
      <c r="K37" s="138"/>
      <c r="L37" s="5"/>
      <c r="M37" s="75"/>
      <c r="N37" s="77"/>
      <c r="O37" s="26"/>
      <c r="P37" s="26"/>
      <c r="Q37" s="118" t="str">
        <f t="shared" si="4"/>
        <v/>
      </c>
      <c r="R37" s="153"/>
      <c r="S37" s="138" t="str">
        <f t="shared" si="10"/>
        <v/>
      </c>
      <c r="T37" s="148"/>
      <c r="U37" s="146"/>
      <c r="V37" s="146"/>
      <c r="W37" s="139"/>
      <c r="X37" s="139"/>
      <c r="Y37" s="148"/>
      <c r="Z37" s="138"/>
      <c r="AA37" s="138" t="str">
        <f t="shared" si="12"/>
        <v/>
      </c>
      <c r="AB37" s="239"/>
      <c r="AC37" s="325"/>
      <c r="AD37" s="325"/>
      <c r="AE37" s="325"/>
      <c r="AF37" s="325"/>
      <c r="AG37" s="325"/>
      <c r="AH37" s="325"/>
      <c r="AI37" s="325"/>
      <c r="AJ37" s="325"/>
      <c r="AK37" s="325"/>
      <c r="AL37" s="325"/>
      <c r="AM37" s="325"/>
      <c r="AN37" s="325"/>
      <c r="AO37" s="325"/>
      <c r="AP37" s="136"/>
      <c r="AQ37" s="136"/>
      <c r="AR37" s="136" t="str">
        <f t="shared" si="6"/>
        <v/>
      </c>
      <c r="AS37" s="136" t="str">
        <f t="shared" si="6"/>
        <v/>
      </c>
      <c r="AT37" s="5" t="str">
        <f t="shared" si="7"/>
        <v/>
      </c>
      <c r="AV37" s="27" t="str">
        <f>IF(G37="","",+"          ["&amp;TRIM(G37)&amp;"] ["&amp;TRIM(I37)&amp;"]"&amp;IF(H37="","","("&amp;H37&amp;")")&amp;" "&amp;TRIM(J37)&amp;IF(G38="","",","))</f>
        <v/>
      </c>
      <c r="AW37" s="27"/>
      <c r="AY37" s="122" t="str">
        <f t="shared" si="9"/>
        <v/>
      </c>
    </row>
    <row r="38" spans="2:51" ht="12.75">
      <c r="B38" s="20" t="str">
        <f t="shared" si="11"/>
        <v/>
      </c>
      <c r="C38" s="5"/>
      <c r="D38" s="5"/>
      <c r="E38" s="5"/>
      <c r="G38" s="5" t="str">
        <f t="shared" si="14"/>
        <v/>
      </c>
      <c r="H38" s="117" t="str">
        <f t="shared" si="13"/>
        <v/>
      </c>
      <c r="I38" s="5" t="str">
        <f t="shared" si="2"/>
        <v/>
      </c>
      <c r="J38" s="5" t="str">
        <f t="shared" si="3"/>
        <v/>
      </c>
      <c r="K38" s="138"/>
      <c r="L38" s="5"/>
      <c r="M38" s="75"/>
      <c r="N38" s="77"/>
      <c r="O38" s="26"/>
      <c r="P38" s="26"/>
      <c r="Q38" s="118" t="str">
        <f t="shared" si="4"/>
        <v/>
      </c>
      <c r="R38" s="153"/>
      <c r="S38" s="138" t="str">
        <f t="shared" si="10"/>
        <v/>
      </c>
      <c r="T38" s="148"/>
      <c r="U38" s="146"/>
      <c r="V38" s="146"/>
      <c r="W38" s="139"/>
      <c r="X38" s="139"/>
      <c r="Y38" s="148"/>
      <c r="Z38" s="138"/>
      <c r="AA38" s="138" t="str">
        <f t="shared" si="12"/>
        <v/>
      </c>
      <c r="AB38" s="239"/>
      <c r="AC38" s="325"/>
      <c r="AD38" s="325"/>
      <c r="AE38" s="325"/>
      <c r="AF38" s="325"/>
      <c r="AG38" s="325"/>
      <c r="AH38" s="325"/>
      <c r="AI38" s="325"/>
      <c r="AJ38" s="325"/>
      <c r="AK38" s="325"/>
      <c r="AL38" s="325"/>
      <c r="AM38" s="325"/>
      <c r="AN38" s="325"/>
      <c r="AO38" s="325"/>
      <c r="AP38" s="136"/>
      <c r="AQ38" s="136"/>
      <c r="AR38" s="136" t="str">
        <f t="shared" si="6"/>
        <v/>
      </c>
      <c r="AS38" s="136" t="str">
        <f t="shared" si="6"/>
        <v/>
      </c>
      <c r="AT38" s="5" t="str">
        <f t="shared" si="7"/>
        <v/>
      </c>
      <c r="AV38" s="27" t="str">
        <f>IF(G38="","",+"          ["&amp;TRIM(G38)&amp;"] ["&amp;TRIM(I38)&amp;"]"&amp;IF(H38="","","("&amp;H38&amp;")")&amp;" "&amp;TRIM(J38)&amp;IF(G39="","",","))</f>
        <v/>
      </c>
      <c r="AW38" s="27"/>
      <c r="AY38" s="122" t="str">
        <f t="shared" si="9"/>
        <v/>
      </c>
    </row>
    <row r="39" spans="2:51" ht="12.75">
      <c r="B39" s="20" t="str">
        <f t="shared" si="11"/>
        <v/>
      </c>
      <c r="C39" s="5"/>
      <c r="D39" s="5"/>
      <c r="E39" s="5"/>
      <c r="G39" s="5" t="str">
        <f t="shared" si="14"/>
        <v/>
      </c>
      <c r="H39" s="117" t="str">
        <f t="shared" si="13"/>
        <v/>
      </c>
      <c r="I39" s="5" t="str">
        <f t="shared" si="2"/>
        <v/>
      </c>
      <c r="J39" s="5" t="str">
        <f t="shared" si="3"/>
        <v/>
      </c>
      <c r="K39" s="138"/>
      <c r="L39" s="5"/>
      <c r="M39" s="75"/>
      <c r="N39" s="77"/>
      <c r="O39" s="26"/>
      <c r="P39" s="26"/>
      <c r="Q39" s="118" t="str">
        <f t="shared" si="4"/>
        <v/>
      </c>
      <c r="R39" s="153"/>
      <c r="S39" s="138" t="str">
        <f t="shared" si="10"/>
        <v/>
      </c>
      <c r="T39" s="148"/>
      <c r="U39" s="146"/>
      <c r="V39" s="146"/>
      <c r="W39" s="139"/>
      <c r="X39" s="139"/>
      <c r="Y39" s="148"/>
      <c r="Z39" s="138"/>
      <c r="AA39" s="138" t="str">
        <f t="shared" si="12"/>
        <v/>
      </c>
      <c r="AB39" s="239"/>
      <c r="AC39" s="325"/>
      <c r="AD39" s="325"/>
      <c r="AE39" s="325"/>
      <c r="AF39" s="325"/>
      <c r="AG39" s="325"/>
      <c r="AH39" s="325"/>
      <c r="AI39" s="325"/>
      <c r="AJ39" s="325"/>
      <c r="AK39" s="325"/>
      <c r="AL39" s="325"/>
      <c r="AM39" s="325"/>
      <c r="AN39" s="325"/>
      <c r="AO39" s="325"/>
      <c r="AP39" s="136"/>
      <c r="AQ39" s="136"/>
      <c r="AR39" s="136" t="str">
        <f t="shared" si="6"/>
        <v/>
      </c>
      <c r="AS39" s="136" t="str">
        <f t="shared" si="6"/>
        <v/>
      </c>
      <c r="AT39" s="5" t="str">
        <f t="shared" si="7"/>
        <v/>
      </c>
      <c r="AV39" s="27" t="str">
        <f>IF(G39="","",+"          ["&amp;TRIM(G39)&amp;"] ["&amp;TRIM(I39)&amp;"]"&amp;IF(H39="","","("&amp;H39&amp;")")&amp;" "&amp;TRIM(J39)&amp;IF(G69="","",","))</f>
        <v/>
      </c>
      <c r="AW39" s="27"/>
      <c r="AY39" s="122" t="str">
        <f t="shared" si="9"/>
        <v/>
      </c>
    </row>
    <row r="40" spans="2:51" ht="12.75">
      <c r="B40" s="20" t="str">
        <f t="shared" si="11"/>
        <v/>
      </c>
      <c r="C40" s="5"/>
      <c r="D40" s="5"/>
      <c r="E40" s="5"/>
      <c r="G40" s="5" t="str">
        <f t="shared" si="14"/>
        <v/>
      </c>
      <c r="H40" s="117" t="str">
        <f t="shared" si="13"/>
        <v/>
      </c>
      <c r="I40" s="5" t="str">
        <f t="shared" si="2"/>
        <v/>
      </c>
      <c r="J40" s="5" t="str">
        <f t="shared" si="3"/>
        <v/>
      </c>
      <c r="K40" s="138"/>
      <c r="L40" s="5"/>
      <c r="M40" s="75"/>
      <c r="N40" s="77"/>
      <c r="O40" s="26"/>
      <c r="P40" s="26"/>
      <c r="Q40" s="118" t="str">
        <f t="shared" si="4"/>
        <v/>
      </c>
      <c r="R40" s="153"/>
      <c r="S40" s="138" t="str">
        <f t="shared" si="10"/>
        <v/>
      </c>
      <c r="T40" s="148"/>
      <c r="U40" s="146"/>
      <c r="V40" s="146"/>
      <c r="W40" s="139"/>
      <c r="X40" s="139"/>
      <c r="Y40" s="148"/>
      <c r="Z40" s="138"/>
      <c r="AA40" s="138" t="str">
        <f t="shared" si="12"/>
        <v/>
      </c>
      <c r="AB40" s="239"/>
      <c r="AC40" s="325"/>
      <c r="AD40" s="325"/>
      <c r="AE40" s="325"/>
      <c r="AF40" s="325"/>
      <c r="AG40" s="325"/>
      <c r="AH40" s="325"/>
      <c r="AI40" s="325"/>
      <c r="AJ40" s="325"/>
      <c r="AK40" s="325"/>
      <c r="AL40" s="325"/>
      <c r="AM40" s="325"/>
      <c r="AN40" s="325"/>
      <c r="AO40" s="325"/>
      <c r="AP40" s="136"/>
      <c r="AQ40" s="136"/>
      <c r="AR40" s="136" t="str">
        <f t="shared" si="6"/>
        <v/>
      </c>
      <c r="AS40" s="136" t="str">
        <f t="shared" si="6"/>
        <v/>
      </c>
      <c r="AT40" s="5" t="str">
        <f t="shared" si="7"/>
        <v/>
      </c>
      <c r="AV40" s="27" t="str">
        <f>IF(G40="","",+"          ["&amp;TRIM(G40)&amp;"] ["&amp;TRIM(I40)&amp;"]"&amp;IF(H40="","","("&amp;H40&amp;")")&amp;" "&amp;TRIM(J40)&amp;IF(G68="","",","))</f>
        <v/>
      </c>
      <c r="AW40" s="27"/>
      <c r="AY40" s="122" t="str">
        <f t="shared" si="9"/>
        <v/>
      </c>
    </row>
    <row r="41" spans="2:51" ht="12.75">
      <c r="B41" s="20" t="str">
        <f t="shared" si="11"/>
        <v/>
      </c>
      <c r="C41" s="5"/>
      <c r="D41" s="5"/>
      <c r="E41" s="5"/>
      <c r="G41" s="5" t="str">
        <f t="shared" si="14"/>
        <v/>
      </c>
      <c r="H41" s="117" t="str">
        <f t="shared" si="13"/>
        <v/>
      </c>
      <c r="I41" s="5" t="str">
        <f t="shared" si="2"/>
        <v/>
      </c>
      <c r="J41" s="5" t="str">
        <f t="shared" si="3"/>
        <v/>
      </c>
      <c r="K41" s="138"/>
      <c r="L41" s="5"/>
      <c r="M41" s="75"/>
      <c r="N41" s="77"/>
      <c r="O41" s="26"/>
      <c r="P41" s="26"/>
      <c r="Q41" s="118" t="str">
        <f t="shared" si="4"/>
        <v/>
      </c>
      <c r="R41" s="153"/>
      <c r="S41" s="138" t="str">
        <f t="shared" si="10"/>
        <v/>
      </c>
      <c r="T41" s="148"/>
      <c r="U41" s="146"/>
      <c r="V41" s="146"/>
      <c r="W41" s="139"/>
      <c r="X41" s="139"/>
      <c r="Y41" s="148"/>
      <c r="Z41" s="138"/>
      <c r="AA41" s="138" t="str">
        <f t="shared" si="12"/>
        <v/>
      </c>
      <c r="AB41" s="239"/>
      <c r="AC41" s="325"/>
      <c r="AD41" s="325"/>
      <c r="AE41" s="325"/>
      <c r="AF41" s="325"/>
      <c r="AG41" s="325"/>
      <c r="AH41" s="325"/>
      <c r="AI41" s="325"/>
      <c r="AJ41" s="325"/>
      <c r="AK41" s="325"/>
      <c r="AL41" s="325"/>
      <c r="AM41" s="325"/>
      <c r="AN41" s="325"/>
      <c r="AO41" s="325"/>
      <c r="AP41" s="136"/>
      <c r="AQ41" s="136"/>
      <c r="AR41" s="136" t="str">
        <f t="shared" si="6"/>
        <v/>
      </c>
      <c r="AS41" s="136" t="str">
        <f t="shared" si="6"/>
        <v/>
      </c>
      <c r="AT41" s="5" t="str">
        <f t="shared" si="7"/>
        <v/>
      </c>
      <c r="AV41" s="27" t="str">
        <f>IF(G41="","",+"          ["&amp;TRIM(G41)&amp;"] ["&amp;TRIM(I41)&amp;"]"&amp;IF(H41="","","("&amp;H41&amp;")")&amp;" "&amp;TRIM(J41)&amp;IF(G42="","",","))</f>
        <v/>
      </c>
      <c r="AW41" s="27"/>
      <c r="AY41" s="122" t="str">
        <f t="shared" si="9"/>
        <v/>
      </c>
    </row>
    <row r="42" spans="2:51" ht="12.75">
      <c r="B42" s="20" t="str">
        <f t="shared" si="11"/>
        <v/>
      </c>
      <c r="C42" s="5"/>
      <c r="D42" s="5"/>
      <c r="E42" s="5"/>
      <c r="G42" s="5" t="str">
        <f t="shared" si="14"/>
        <v/>
      </c>
      <c r="H42" s="117" t="str">
        <f t="shared" si="13"/>
        <v/>
      </c>
      <c r="I42" s="5" t="str">
        <f t="shared" si="2"/>
        <v/>
      </c>
      <c r="J42" s="5" t="str">
        <f>IF(C42=0,"",(IF(ISERROR(VLOOKUP(G42,$D$120:$D$127,1,FALSE)),""," NOT")&amp;" NULL"))</f>
        <v/>
      </c>
      <c r="K42" s="138"/>
      <c r="L42" s="5"/>
      <c r="M42" s="75"/>
      <c r="N42" s="77"/>
      <c r="O42" s="26"/>
      <c r="P42" s="26"/>
      <c r="Q42" s="118" t="str">
        <f t="shared" si="4"/>
        <v/>
      </c>
      <c r="R42" s="153"/>
      <c r="S42" s="138" t="str">
        <f t="shared" si="10"/>
        <v/>
      </c>
      <c r="T42" s="148"/>
      <c r="U42" s="146"/>
      <c r="V42" s="146"/>
      <c r="W42" s="139"/>
      <c r="X42" s="139"/>
      <c r="Y42" s="148"/>
      <c r="Z42" s="138"/>
      <c r="AA42" s="138" t="str">
        <f t="shared" si="12"/>
        <v/>
      </c>
      <c r="AB42" s="239"/>
      <c r="AC42" s="325"/>
      <c r="AD42" s="325"/>
      <c r="AE42" s="325"/>
      <c r="AF42" s="325"/>
      <c r="AG42" s="325"/>
      <c r="AH42" s="325"/>
      <c r="AI42" s="325"/>
      <c r="AJ42" s="325"/>
      <c r="AK42" s="325"/>
      <c r="AL42" s="325"/>
      <c r="AM42" s="325"/>
      <c r="AN42" s="325"/>
      <c r="AO42" s="325"/>
      <c r="AP42" s="136"/>
      <c r="AQ42" s="136"/>
      <c r="AR42" s="136" t="str">
        <f t="shared" si="6"/>
        <v/>
      </c>
      <c r="AS42" s="136" t="str">
        <f t="shared" si="6"/>
        <v/>
      </c>
      <c r="AT42" s="5" t="str">
        <f t="shared" si="7"/>
        <v/>
      </c>
      <c r="AV42" s="27" t="str">
        <f>IF(G42="","",+"          ["&amp;TRIM(G42)&amp;"] ["&amp;TRIM(I42)&amp;"]"&amp;IF(H42="","","("&amp;H42&amp;")")&amp;" "&amp;TRIM(J42)&amp;IF(G45="","",","))</f>
        <v/>
      </c>
      <c r="AW42" s="27"/>
      <c r="AY42" s="122" t="str">
        <f t="shared" si="9"/>
        <v/>
      </c>
    </row>
    <row r="43" spans="2:51" ht="12.75">
      <c r="B43" s="20" t="str">
        <f t="shared" si="11"/>
        <v/>
      </c>
      <c r="C43" s="5"/>
      <c r="D43" s="5"/>
      <c r="E43" s="5"/>
      <c r="G43" s="5" t="str">
        <f t="shared" si="14"/>
        <v/>
      </c>
      <c r="H43" s="117" t="str">
        <f t="shared" si="13"/>
        <v/>
      </c>
      <c r="I43" s="5" t="str">
        <f t="shared" si="2"/>
        <v/>
      </c>
      <c r="J43" s="5" t="str">
        <f t="shared" si="3"/>
        <v/>
      </c>
      <c r="K43" s="138"/>
      <c r="L43" s="5"/>
      <c r="M43" s="75"/>
      <c r="N43" s="77"/>
      <c r="O43" s="26"/>
      <c r="P43" s="26"/>
      <c r="Q43" s="118" t="str">
        <f t="shared" si="4"/>
        <v/>
      </c>
      <c r="R43" s="153"/>
      <c r="S43" s="138" t="str">
        <f t="shared" si="10"/>
        <v/>
      </c>
      <c r="T43" s="148"/>
      <c r="U43" s="146"/>
      <c r="V43" s="146"/>
      <c r="W43" s="139"/>
      <c r="X43" s="139"/>
      <c r="Y43" s="148"/>
      <c r="Z43" s="138"/>
      <c r="AA43" s="138" t="str">
        <f t="shared" si="12"/>
        <v/>
      </c>
      <c r="AB43" s="239"/>
      <c r="AC43" s="325"/>
      <c r="AD43" s="325"/>
      <c r="AE43" s="325"/>
      <c r="AF43" s="325"/>
      <c r="AG43" s="325"/>
      <c r="AH43" s="325"/>
      <c r="AI43" s="325"/>
      <c r="AJ43" s="325"/>
      <c r="AK43" s="325"/>
      <c r="AL43" s="325"/>
      <c r="AM43" s="325"/>
      <c r="AN43" s="325"/>
      <c r="AO43" s="325"/>
      <c r="AP43" s="136"/>
      <c r="AQ43" s="136"/>
      <c r="AR43" s="136" t="str">
        <f t="shared" si="6"/>
        <v/>
      </c>
      <c r="AS43" s="136" t="str">
        <f t="shared" si="6"/>
        <v/>
      </c>
      <c r="AT43" s="5" t="str">
        <f t="shared" si="7"/>
        <v/>
      </c>
      <c r="AV43" s="27" t="str">
        <f>IF(G43="","",+"          ["&amp;TRIM(G43)&amp;"] ["&amp;TRIM(I43)&amp;"]"&amp;IF(H43="","","("&amp;H43&amp;")")&amp;" "&amp;TRIM(J43)&amp;IF(G44="","",","))</f>
        <v/>
      </c>
      <c r="AW43" s="27"/>
      <c r="AY43" s="122" t="str">
        <f t="shared" si="9"/>
        <v/>
      </c>
    </row>
    <row r="44" spans="2:51" ht="12.75">
      <c r="B44" s="20" t="str">
        <f t="shared" si="11"/>
        <v/>
      </c>
      <c r="C44" s="5"/>
      <c r="D44" s="5"/>
      <c r="E44" s="5"/>
      <c r="G44" s="5" t="str">
        <f t="shared" si="14"/>
        <v/>
      </c>
      <c r="H44" s="117" t="str">
        <f t="shared" si="13"/>
        <v/>
      </c>
      <c r="I44" s="5" t="str">
        <f t="shared" si="2"/>
        <v/>
      </c>
      <c r="J44" s="5" t="str">
        <f t="shared" si="3"/>
        <v/>
      </c>
      <c r="K44" s="138"/>
      <c r="L44" s="5"/>
      <c r="M44" s="75"/>
      <c r="N44" s="77"/>
      <c r="O44" s="26"/>
      <c r="P44" s="26"/>
      <c r="Q44" s="118" t="str">
        <f t="shared" si="4"/>
        <v/>
      </c>
      <c r="R44" s="153"/>
      <c r="S44" s="138" t="str">
        <f t="shared" si="10"/>
        <v/>
      </c>
      <c r="T44" s="148"/>
      <c r="U44" s="146"/>
      <c r="V44" s="146"/>
      <c r="W44" s="139"/>
      <c r="X44" s="139"/>
      <c r="Y44" s="148"/>
      <c r="Z44" s="138"/>
      <c r="AA44" s="138" t="str">
        <f t="shared" si="12"/>
        <v/>
      </c>
      <c r="AB44" s="239"/>
      <c r="AC44" s="325"/>
      <c r="AD44" s="325"/>
      <c r="AE44" s="325"/>
      <c r="AF44" s="325"/>
      <c r="AG44" s="325"/>
      <c r="AH44" s="325"/>
      <c r="AI44" s="325"/>
      <c r="AJ44" s="325"/>
      <c r="AK44" s="325"/>
      <c r="AL44" s="325"/>
      <c r="AM44" s="325"/>
      <c r="AN44" s="325"/>
      <c r="AO44" s="325"/>
      <c r="AP44" s="136"/>
      <c r="AQ44" s="136"/>
      <c r="AR44" s="136" t="str">
        <f t="shared" si="6"/>
        <v/>
      </c>
      <c r="AS44" s="136" t="str">
        <f t="shared" si="6"/>
        <v/>
      </c>
      <c r="AT44" s="5" t="str">
        <f t="shared" si="7"/>
        <v/>
      </c>
      <c r="AV44" s="27" t="str">
        <f>IF(G44="","",+"          ["&amp;TRIM(G44)&amp;"] ["&amp;TRIM(I44)&amp;"]"&amp;IF(H44="","","("&amp;H44&amp;")")&amp;" "&amp;TRIM(J44)&amp;IF(G45="","",","))</f>
        <v/>
      </c>
      <c r="AW44" s="27"/>
      <c r="AY44" s="122" t="str">
        <f t="shared" si="9"/>
        <v/>
      </c>
    </row>
    <row r="45" spans="2:51" ht="12.75">
      <c r="B45" s="20" t="str">
        <f t="shared" si="11"/>
        <v/>
      </c>
      <c r="C45" s="5"/>
      <c r="D45" s="5"/>
      <c r="E45" s="5"/>
      <c r="G45" s="5" t="str">
        <f t="shared" si="14"/>
        <v/>
      </c>
      <c r="H45" s="117" t="str">
        <f t="shared" si="13"/>
        <v/>
      </c>
      <c r="I45" s="5" t="str">
        <f t="shared" si="2"/>
        <v/>
      </c>
      <c r="J45" s="5" t="str">
        <f t="shared" si="3"/>
        <v/>
      </c>
      <c r="K45" s="138"/>
      <c r="L45" s="5"/>
      <c r="M45" s="75"/>
      <c r="N45" s="77"/>
      <c r="O45" s="26"/>
      <c r="P45" s="26"/>
      <c r="Q45" s="118" t="str">
        <f t="shared" si="4"/>
        <v/>
      </c>
      <c r="R45" s="153"/>
      <c r="S45" s="138" t="str">
        <f t="shared" si="10"/>
        <v/>
      </c>
      <c r="T45" s="148"/>
      <c r="U45" s="146"/>
      <c r="V45" s="146"/>
      <c r="W45" s="139"/>
      <c r="X45" s="139"/>
      <c r="Y45" s="148"/>
      <c r="Z45" s="138"/>
      <c r="AA45" s="138" t="str">
        <f t="shared" si="12"/>
        <v/>
      </c>
      <c r="AB45" s="239"/>
      <c r="AC45" s="325"/>
      <c r="AD45" s="325"/>
      <c r="AE45" s="325"/>
      <c r="AF45" s="325"/>
      <c r="AG45" s="325"/>
      <c r="AH45" s="325"/>
      <c r="AI45" s="325"/>
      <c r="AJ45" s="325"/>
      <c r="AK45" s="325"/>
      <c r="AL45" s="325"/>
      <c r="AM45" s="325"/>
      <c r="AN45" s="325"/>
      <c r="AO45" s="325"/>
      <c r="AP45" s="136"/>
      <c r="AQ45" s="136"/>
      <c r="AR45" s="136" t="str">
        <f t="shared" si="6"/>
        <v/>
      </c>
      <c r="AS45" s="136" t="str">
        <f t="shared" si="6"/>
        <v/>
      </c>
      <c r="AT45" s="5" t="str">
        <f t="shared" si="7"/>
        <v/>
      </c>
      <c r="AV45" s="27" t="str">
        <f>IF(G45="","",+"          ["&amp;TRIM(G45)&amp;"] ["&amp;TRIM(I45)&amp;"]"&amp;IF(H45="","","("&amp;H45&amp;")")&amp;" "&amp;TRIM(J45)&amp;IF(G54="","",","))</f>
        <v/>
      </c>
      <c r="AW45" s="27"/>
      <c r="AY45" s="122" t="str">
        <f t="shared" si="9"/>
        <v/>
      </c>
    </row>
    <row r="46" spans="2:51" ht="12.75">
      <c r="B46" s="20" t="str">
        <f t="shared" si="11"/>
        <v/>
      </c>
      <c r="C46" s="5"/>
      <c r="D46" s="5"/>
      <c r="E46" s="5"/>
      <c r="G46" s="5" t="str">
        <f>SUBSTITUTE(SUBSTITUTE(SUBSTITUTE(SUBSTITUTE(SUBSTITUTE(SUBSTITUTE(SUBSTITUTE(SUBSTITUTE(SUBSTITUTE(C46," ",""),".",""),"#","No"),"%",""),"(",""),"*",""),"-",""),"/",""),")","")</f>
        <v/>
      </c>
      <c r="H46" s="117" t="str">
        <f t="shared" si="13"/>
        <v/>
      </c>
      <c r="I46" s="5" t="str">
        <f>IF(E46=0,"",+E46)</f>
        <v/>
      </c>
      <c r="J46" s="5" t="str">
        <f>IF(C46=0,"",(IF(ISERROR(VLOOKUP(G46,$D$120:$D$127,1,FALSE)),""," NOT")&amp;" NULL"))</f>
        <v/>
      </c>
      <c r="K46" s="138"/>
      <c r="L46" s="5"/>
      <c r="M46" s="75"/>
      <c r="N46" s="77"/>
      <c r="O46" s="26"/>
      <c r="P46" s="26"/>
      <c r="Q46" s="118" t="str">
        <f>IF(M46=0,"",ROW())</f>
        <v/>
      </c>
      <c r="R46" s="153"/>
      <c r="S46" s="138" t="str">
        <f t="shared" si="10"/>
        <v/>
      </c>
      <c r="T46" s="148"/>
      <c r="U46" s="146"/>
      <c r="V46" s="146"/>
      <c r="W46" s="139"/>
      <c r="X46" s="139"/>
      <c r="Y46" s="148"/>
      <c r="Z46" s="138"/>
      <c r="AA46" s="138" t="str">
        <f t="shared" si="12"/>
        <v/>
      </c>
      <c r="AB46" s="239"/>
      <c r="AC46" s="325"/>
      <c r="AD46" s="325"/>
      <c r="AE46" s="325"/>
      <c r="AF46" s="325"/>
      <c r="AG46" s="325"/>
      <c r="AH46" s="325"/>
      <c r="AI46" s="325"/>
      <c r="AJ46" s="325"/>
      <c r="AK46" s="325"/>
      <c r="AL46" s="325"/>
      <c r="AM46" s="325"/>
      <c r="AN46" s="325"/>
      <c r="AO46" s="325"/>
      <c r="AP46" s="136"/>
      <c r="AQ46" s="136"/>
      <c r="AR46" s="136" t="str">
        <f t="shared" si="6"/>
        <v/>
      </c>
      <c r="AS46" s="136" t="str">
        <f t="shared" si="6"/>
        <v/>
      </c>
      <c r="AT46" s="5" t="str">
        <f t="shared" si="7"/>
        <v/>
      </c>
      <c r="AV46" s="27" t="str">
        <f>IF(G46="","",+"          ["&amp;TRIM(G46)&amp;"] ["&amp;TRIM(I46)&amp;"]"&amp;IF(H46="","","("&amp;H46&amp;")")&amp;" "&amp;TRIM(J46)&amp;IF(G47="","",","))</f>
        <v/>
      </c>
      <c r="AW46" s="27"/>
      <c r="AY46" s="122" t="str">
        <f t="shared" si="9"/>
        <v/>
      </c>
    </row>
    <row r="47" spans="2:51" ht="12.75">
      <c r="B47" s="20" t="str">
        <f t="shared" si="11"/>
        <v/>
      </c>
      <c r="C47" s="5"/>
      <c r="D47" s="5"/>
      <c r="E47" s="5"/>
      <c r="G47" s="5" t="str">
        <f>SUBSTITUTE(SUBSTITUTE(SUBSTITUTE(SUBSTITUTE(SUBSTITUTE(SUBSTITUTE(SUBSTITUTE(SUBSTITUTE(SUBSTITUTE(C47," ",""),".",""),"#","No"),"%",""),"(",""),"*",""),"-",""),"/",""),")","")</f>
        <v/>
      </c>
      <c r="H47" s="117" t="str">
        <f t="shared" si="13"/>
        <v/>
      </c>
      <c r="I47" s="5" t="str">
        <f>IF(E47=0,"",+E47)</f>
        <v/>
      </c>
      <c r="J47" s="5" t="str">
        <f>IF(C47=0,"",(IF(ISERROR(VLOOKUP(G47,$D$120:$D$127,1,FALSE)),""," NOT")&amp;" NULL"))</f>
        <v/>
      </c>
      <c r="K47" s="138"/>
      <c r="L47" s="5"/>
      <c r="M47" s="75"/>
      <c r="N47" s="77"/>
      <c r="O47" s="26"/>
      <c r="P47" s="26"/>
      <c r="Q47" s="118" t="str">
        <f>IF(M47=0,"",ROW())</f>
        <v/>
      </c>
      <c r="R47" s="153"/>
      <c r="S47" s="138" t="str">
        <f t="shared" si="10"/>
        <v/>
      </c>
      <c r="T47" s="148"/>
      <c r="U47" s="146"/>
      <c r="V47" s="146"/>
      <c r="W47" s="139"/>
      <c r="X47" s="139"/>
      <c r="Y47" s="148"/>
      <c r="Z47" s="138"/>
      <c r="AA47" s="138" t="str">
        <f t="shared" si="12"/>
        <v/>
      </c>
      <c r="AB47" s="239"/>
      <c r="AC47" s="325"/>
      <c r="AD47" s="325"/>
      <c r="AE47" s="325"/>
      <c r="AF47" s="325"/>
      <c r="AG47" s="325"/>
      <c r="AH47" s="325"/>
      <c r="AI47" s="325"/>
      <c r="AJ47" s="325"/>
      <c r="AK47" s="325"/>
      <c r="AL47" s="325"/>
      <c r="AM47" s="325"/>
      <c r="AN47" s="325"/>
      <c r="AO47" s="325"/>
      <c r="AP47" s="136"/>
      <c r="AQ47" s="136"/>
      <c r="AR47" s="136" t="str">
        <f t="shared" si="6"/>
        <v/>
      </c>
      <c r="AS47" s="136" t="str">
        <f t="shared" si="6"/>
        <v/>
      </c>
      <c r="AT47" s="5" t="str">
        <f t="shared" si="7"/>
        <v/>
      </c>
      <c r="AV47" s="27" t="str">
        <f>IF(G47="","",+"          ["&amp;TRIM(G47)&amp;"] ["&amp;TRIM(I47)&amp;"]"&amp;IF(H47="","","("&amp;H47&amp;")")&amp;" "&amp;TRIM(J47)&amp;IF(G48="","",","))</f>
        <v/>
      </c>
      <c r="AW47" s="27"/>
      <c r="AY47" s="122" t="str">
        <f t="shared" si="9"/>
        <v/>
      </c>
    </row>
    <row r="48" spans="2:51" ht="12.75">
      <c r="B48" s="20" t="str">
        <f t="shared" si="11"/>
        <v/>
      </c>
      <c r="C48" s="5"/>
      <c r="D48" s="5"/>
      <c r="E48" s="5"/>
      <c r="G48" s="5" t="str">
        <f>SUBSTITUTE(SUBSTITUTE(SUBSTITUTE(SUBSTITUTE(SUBSTITUTE(SUBSTITUTE(SUBSTITUTE(SUBSTITUTE(SUBSTITUTE(C48," ",""),".",""),"#","No"),"%",""),"(",""),"*",""),"-",""),"/",""),")","")</f>
        <v/>
      </c>
      <c r="H48" s="117" t="str">
        <f t="shared" si="13"/>
        <v/>
      </c>
      <c r="I48" s="5" t="str">
        <f>IF(E48=0,"",+E48)</f>
        <v/>
      </c>
      <c r="J48" s="5" t="str">
        <f>IF(C48=0,"",(IF(ISERROR(VLOOKUP(G48,$D$120:$D$127,1,FALSE)),""," NOT")&amp;" NULL"))</f>
        <v/>
      </c>
      <c r="K48" s="138"/>
      <c r="L48" s="5"/>
      <c r="M48" s="75"/>
      <c r="N48" s="77"/>
      <c r="O48" s="26"/>
      <c r="P48" s="26"/>
      <c r="Q48" s="118" t="str">
        <f>IF(M48=0,"",ROW())</f>
        <v/>
      </c>
      <c r="R48" s="153"/>
      <c r="S48" s="138" t="str">
        <f t="shared" si="10"/>
        <v/>
      </c>
      <c r="T48" s="148"/>
      <c r="U48" s="146"/>
      <c r="V48" s="146"/>
      <c r="W48" s="139"/>
      <c r="X48" s="139"/>
      <c r="Y48" s="148"/>
      <c r="Z48" s="138"/>
      <c r="AA48" s="138" t="str">
        <f t="shared" si="12"/>
        <v/>
      </c>
      <c r="AB48" s="239"/>
      <c r="AC48" s="325"/>
      <c r="AD48" s="325"/>
      <c r="AE48" s="325"/>
      <c r="AF48" s="325"/>
      <c r="AG48" s="325"/>
      <c r="AH48" s="325"/>
      <c r="AI48" s="325"/>
      <c r="AJ48" s="325"/>
      <c r="AK48" s="325"/>
      <c r="AL48" s="325"/>
      <c r="AM48" s="325"/>
      <c r="AN48" s="325"/>
      <c r="AO48" s="325"/>
      <c r="AP48" s="136"/>
      <c r="AQ48" s="136"/>
      <c r="AR48" s="136" t="str">
        <f t="shared" ref="AR48:AS79" si="15">IF(O48=0,"",ROW())</f>
        <v/>
      </c>
      <c r="AS48" s="136" t="str">
        <f t="shared" si="15"/>
        <v/>
      </c>
      <c r="AT48" s="5" t="str">
        <f t="shared" ref="AT48:AT79" si="16">IF(C48="","",C48&amp;IF(B49="","",","))</f>
        <v/>
      </c>
      <c r="AV48" s="27" t="str">
        <f>IF(G48="","",+"          ["&amp;TRIM(G48)&amp;"] ["&amp;TRIM(I48)&amp;"]"&amp;IF(H48="","","("&amp;H48&amp;")")&amp;" "&amp;TRIM(J48)&amp;IF(G96="","",","))</f>
        <v/>
      </c>
      <c r="AW48" s="27"/>
      <c r="AY48" s="122" t="str">
        <f t="shared" si="9"/>
        <v/>
      </c>
    </row>
    <row r="49" spans="2:51" ht="12.75">
      <c r="B49" s="20" t="str">
        <f t="shared" si="11"/>
        <v/>
      </c>
      <c r="C49" s="5"/>
      <c r="D49" s="5"/>
      <c r="E49" s="5"/>
      <c r="G49" s="5" t="str">
        <f>SUBSTITUTE(SUBSTITUTE(SUBSTITUTE(SUBSTITUTE(SUBSTITUTE(SUBSTITUTE(SUBSTITUTE(SUBSTITUTE(SUBSTITUTE(C49," ",""),".",""),"#","No"),"%",""),"(",""),"*",""),"-",""),"/",""),")","")</f>
        <v/>
      </c>
      <c r="H49" s="117" t="str">
        <f t="shared" si="13"/>
        <v/>
      </c>
      <c r="I49" s="5" t="str">
        <f>IF(E49=0,"",+E49)</f>
        <v/>
      </c>
      <c r="J49" s="5" t="str">
        <f>IF(C49=0,"",(IF(ISERROR(VLOOKUP(G49,$D$120:$D$127,1,FALSE)),""," NOT")&amp;" NULL"))</f>
        <v/>
      </c>
      <c r="K49" s="138"/>
      <c r="L49" s="5"/>
      <c r="M49" s="75"/>
      <c r="N49" s="77"/>
      <c r="O49" s="26"/>
      <c r="P49" s="26"/>
      <c r="Q49" s="118" t="str">
        <f>IF(M49=0,"",ROW())</f>
        <v/>
      </c>
      <c r="R49" s="153"/>
      <c r="S49" s="138" t="str">
        <f t="shared" si="10"/>
        <v/>
      </c>
      <c r="T49" s="148"/>
      <c r="U49" s="146"/>
      <c r="V49" s="146"/>
      <c r="W49" s="139"/>
      <c r="X49" s="139"/>
      <c r="Y49" s="148"/>
      <c r="Z49" s="138"/>
      <c r="AA49" s="138" t="str">
        <f t="shared" si="12"/>
        <v/>
      </c>
      <c r="AB49" s="239"/>
      <c r="AC49" s="325"/>
      <c r="AD49" s="325"/>
      <c r="AE49" s="325"/>
      <c r="AF49" s="325"/>
      <c r="AG49" s="325"/>
      <c r="AH49" s="325"/>
      <c r="AI49" s="325"/>
      <c r="AJ49" s="325"/>
      <c r="AK49" s="325"/>
      <c r="AL49" s="325"/>
      <c r="AM49" s="325"/>
      <c r="AN49" s="325"/>
      <c r="AO49" s="325"/>
      <c r="AP49" s="136"/>
      <c r="AQ49" s="136"/>
      <c r="AR49" s="136" t="str">
        <f t="shared" si="15"/>
        <v/>
      </c>
      <c r="AS49" s="136" t="str">
        <f t="shared" si="15"/>
        <v/>
      </c>
      <c r="AT49" s="5" t="str">
        <f t="shared" si="16"/>
        <v/>
      </c>
      <c r="AV49" s="27" t="str">
        <f>IF(G49="","",+"          ["&amp;TRIM(G49)&amp;"] ["&amp;TRIM(I49)&amp;"]"&amp;IF(H49="","","("&amp;H49&amp;")")&amp;" "&amp;TRIM(J49)&amp;IF(G95="","",","))</f>
        <v/>
      </c>
      <c r="AW49" s="27"/>
      <c r="AY49" s="122" t="str">
        <f t="shared" si="9"/>
        <v/>
      </c>
    </row>
    <row r="50" spans="2:51" ht="12.75">
      <c r="B50" s="20" t="str">
        <f t="shared" si="11"/>
        <v/>
      </c>
      <c r="C50" s="5"/>
      <c r="D50" s="5"/>
      <c r="E50" s="5"/>
      <c r="G50" s="5" t="str">
        <f t="shared" ref="G50:G93" si="17">SUBSTITUTE(SUBSTITUTE(SUBSTITUTE(SUBSTITUTE(SUBSTITUTE(SUBSTITUTE(SUBSTITUTE(SUBSTITUTE(SUBSTITUTE(C50," ",""),".",""),"#","No"),"%",""),"(",""),"*",""),"-",""),"/",""),")","")</f>
        <v/>
      </c>
      <c r="H50" s="117" t="str">
        <f t="shared" si="13"/>
        <v/>
      </c>
      <c r="I50" s="5" t="str">
        <f t="shared" ref="I50:I93" si="18">IF(E50=0,"",+E50)</f>
        <v/>
      </c>
      <c r="J50" s="5" t="str">
        <f t="shared" ref="J50:J93" si="19">IF(C50=0,"",(IF(ISERROR(VLOOKUP(G50,$D$120:$D$127,1,FALSE)),""," NOT")&amp;" NULL"))</f>
        <v/>
      </c>
      <c r="K50" s="138"/>
      <c r="L50" s="5"/>
      <c r="M50" s="75"/>
      <c r="N50" s="77"/>
      <c r="O50" s="26"/>
      <c r="P50" s="26"/>
      <c r="Q50" s="118" t="str">
        <f t="shared" ref="Q50:Q93" si="20">IF(M50=0,"",ROW())</f>
        <v/>
      </c>
      <c r="R50" s="153"/>
      <c r="S50" s="138" t="str">
        <f t="shared" si="10"/>
        <v/>
      </c>
      <c r="T50" s="148"/>
      <c r="U50" s="146"/>
      <c r="V50" s="146"/>
      <c r="W50" s="139"/>
      <c r="X50" s="139"/>
      <c r="Y50" s="148"/>
      <c r="Z50" s="138"/>
      <c r="AA50" s="138" t="str">
        <f t="shared" si="12"/>
        <v/>
      </c>
      <c r="AB50" s="239"/>
      <c r="AC50" s="325"/>
      <c r="AD50" s="325"/>
      <c r="AE50" s="325"/>
      <c r="AF50" s="325"/>
      <c r="AG50" s="325"/>
      <c r="AH50" s="325"/>
      <c r="AI50" s="325"/>
      <c r="AJ50" s="325"/>
      <c r="AK50" s="325"/>
      <c r="AL50" s="325"/>
      <c r="AM50" s="325"/>
      <c r="AN50" s="325"/>
      <c r="AO50" s="325"/>
      <c r="AP50" s="136"/>
      <c r="AQ50" s="136"/>
      <c r="AR50" s="136" t="str">
        <f t="shared" si="15"/>
        <v/>
      </c>
      <c r="AS50" s="136" t="str">
        <f t="shared" si="15"/>
        <v/>
      </c>
      <c r="AT50" s="5" t="str">
        <f t="shared" si="16"/>
        <v/>
      </c>
      <c r="AV50" s="27" t="str">
        <f>IF(G50="","",+"          ["&amp;TRIM(G50)&amp;"] ["&amp;TRIM(I50)&amp;"]"&amp;IF(H50="","","("&amp;H50&amp;")")&amp;" "&amp;TRIM(J50)&amp;IF(G51="","",","))</f>
        <v/>
      </c>
      <c r="AW50" s="27"/>
      <c r="AY50" s="122" t="str">
        <f t="shared" si="9"/>
        <v/>
      </c>
    </row>
    <row r="51" spans="2:51" ht="12.75">
      <c r="B51" s="20" t="str">
        <f t="shared" si="11"/>
        <v/>
      </c>
      <c r="C51" s="5"/>
      <c r="D51" s="5"/>
      <c r="E51" s="5"/>
      <c r="G51" s="5" t="str">
        <f t="shared" si="17"/>
        <v/>
      </c>
      <c r="H51" s="117" t="str">
        <f t="shared" si="13"/>
        <v/>
      </c>
      <c r="I51" s="5" t="str">
        <f t="shared" si="18"/>
        <v/>
      </c>
      <c r="J51" s="5" t="str">
        <f t="shared" si="19"/>
        <v/>
      </c>
      <c r="K51" s="138"/>
      <c r="L51" s="5"/>
      <c r="M51" s="75"/>
      <c r="N51" s="77"/>
      <c r="O51" s="26"/>
      <c r="P51" s="26"/>
      <c r="Q51" s="118" t="str">
        <f t="shared" si="20"/>
        <v/>
      </c>
      <c r="R51" s="153"/>
      <c r="S51" s="138" t="str">
        <f t="shared" si="10"/>
        <v/>
      </c>
      <c r="T51" s="148"/>
      <c r="U51" s="146"/>
      <c r="V51" s="146"/>
      <c r="W51" s="139"/>
      <c r="X51" s="139"/>
      <c r="Y51" s="148"/>
      <c r="Z51" s="138"/>
      <c r="AA51" s="138" t="str">
        <f t="shared" si="12"/>
        <v/>
      </c>
      <c r="AB51" s="239"/>
      <c r="AC51" s="325"/>
      <c r="AD51" s="325"/>
      <c r="AE51" s="325"/>
      <c r="AF51" s="325"/>
      <c r="AG51" s="325"/>
      <c r="AH51" s="325"/>
      <c r="AI51" s="325"/>
      <c r="AJ51" s="325"/>
      <c r="AK51" s="325"/>
      <c r="AL51" s="325"/>
      <c r="AM51" s="325"/>
      <c r="AN51" s="325"/>
      <c r="AO51" s="325"/>
      <c r="AP51" s="136"/>
      <c r="AQ51" s="136"/>
      <c r="AR51" s="136" t="str">
        <f t="shared" si="15"/>
        <v/>
      </c>
      <c r="AS51" s="136" t="str">
        <f t="shared" si="15"/>
        <v/>
      </c>
      <c r="AT51" s="5" t="str">
        <f t="shared" si="16"/>
        <v/>
      </c>
      <c r="AV51" s="27" t="str">
        <f>IF(G51="","",+"          ["&amp;TRIM(G51)&amp;"] ["&amp;TRIM(I51)&amp;"]"&amp;IF(H51="","","("&amp;H51&amp;")")&amp;" "&amp;TRIM(J51)&amp;IF(G54="","",","))</f>
        <v/>
      </c>
      <c r="AW51" s="27"/>
      <c r="AY51" s="122" t="str">
        <f t="shared" si="9"/>
        <v/>
      </c>
    </row>
    <row r="52" spans="2:51" ht="12.75">
      <c r="B52" s="20" t="str">
        <f t="shared" si="11"/>
        <v/>
      </c>
      <c r="C52" s="5"/>
      <c r="D52" s="5"/>
      <c r="E52" s="5"/>
      <c r="G52" s="5" t="str">
        <f t="shared" si="17"/>
        <v/>
      </c>
      <c r="H52" s="117" t="str">
        <f t="shared" si="13"/>
        <v/>
      </c>
      <c r="I52" s="5" t="str">
        <f t="shared" si="18"/>
        <v/>
      </c>
      <c r="J52" s="5" t="str">
        <f t="shared" si="19"/>
        <v/>
      </c>
      <c r="K52" s="138"/>
      <c r="L52" s="5"/>
      <c r="M52" s="75"/>
      <c r="N52" s="77"/>
      <c r="O52" s="26"/>
      <c r="P52" s="26"/>
      <c r="Q52" s="118" t="str">
        <f t="shared" si="20"/>
        <v/>
      </c>
      <c r="R52" s="153"/>
      <c r="S52" s="138" t="str">
        <f t="shared" si="10"/>
        <v/>
      </c>
      <c r="T52" s="148"/>
      <c r="U52" s="146"/>
      <c r="V52" s="146"/>
      <c r="W52" s="139"/>
      <c r="X52" s="139"/>
      <c r="Y52" s="148"/>
      <c r="Z52" s="138"/>
      <c r="AA52" s="138" t="str">
        <f t="shared" si="12"/>
        <v/>
      </c>
      <c r="AB52" s="239"/>
      <c r="AC52" s="325"/>
      <c r="AD52" s="325"/>
      <c r="AE52" s="325"/>
      <c r="AF52" s="325"/>
      <c r="AG52" s="325"/>
      <c r="AH52" s="325"/>
      <c r="AI52" s="325"/>
      <c r="AJ52" s="325"/>
      <c r="AK52" s="325"/>
      <c r="AL52" s="325"/>
      <c r="AM52" s="325"/>
      <c r="AN52" s="325"/>
      <c r="AO52" s="325"/>
      <c r="AP52" s="136"/>
      <c r="AQ52" s="136"/>
      <c r="AR52" s="136" t="str">
        <f t="shared" si="15"/>
        <v/>
      </c>
      <c r="AS52" s="136" t="str">
        <f t="shared" si="15"/>
        <v/>
      </c>
      <c r="AT52" s="5" t="str">
        <f t="shared" si="16"/>
        <v/>
      </c>
      <c r="AV52" s="27" t="str">
        <f>IF(G52="","",+"          ["&amp;TRIM(G52)&amp;"] ["&amp;TRIM(I52)&amp;"]"&amp;IF(H52="","","("&amp;H52&amp;")")&amp;" "&amp;TRIM(J52)&amp;IF(G53="","",","))</f>
        <v/>
      </c>
      <c r="AW52" s="27"/>
      <c r="AY52" s="122" t="str">
        <f t="shared" si="9"/>
        <v/>
      </c>
    </row>
    <row r="53" spans="2:51" ht="12.75">
      <c r="B53" s="20" t="str">
        <f t="shared" si="11"/>
        <v/>
      </c>
      <c r="C53" s="5"/>
      <c r="D53" s="5"/>
      <c r="E53" s="5"/>
      <c r="G53" s="5" t="str">
        <f t="shared" si="17"/>
        <v/>
      </c>
      <c r="H53" s="117" t="str">
        <f t="shared" si="13"/>
        <v/>
      </c>
      <c r="I53" s="5" t="str">
        <f t="shared" si="18"/>
        <v/>
      </c>
      <c r="J53" s="5" t="str">
        <f t="shared" si="19"/>
        <v/>
      </c>
      <c r="K53" s="138"/>
      <c r="L53" s="5"/>
      <c r="M53" s="75"/>
      <c r="N53" s="77"/>
      <c r="O53" s="26"/>
      <c r="P53" s="26"/>
      <c r="Q53" s="118" t="str">
        <f t="shared" si="20"/>
        <v/>
      </c>
      <c r="R53" s="153"/>
      <c r="S53" s="138" t="str">
        <f t="shared" si="10"/>
        <v/>
      </c>
      <c r="T53" s="148"/>
      <c r="U53" s="146"/>
      <c r="V53" s="146"/>
      <c r="W53" s="139"/>
      <c r="X53" s="139"/>
      <c r="Y53" s="148"/>
      <c r="Z53" s="138"/>
      <c r="AA53" s="138" t="str">
        <f t="shared" si="12"/>
        <v/>
      </c>
      <c r="AB53" s="239"/>
      <c r="AC53" s="325"/>
      <c r="AD53" s="325"/>
      <c r="AE53" s="325"/>
      <c r="AF53" s="325"/>
      <c r="AG53" s="325"/>
      <c r="AH53" s="325"/>
      <c r="AI53" s="325"/>
      <c r="AJ53" s="325"/>
      <c r="AK53" s="325"/>
      <c r="AL53" s="325"/>
      <c r="AM53" s="325"/>
      <c r="AN53" s="325"/>
      <c r="AO53" s="325"/>
      <c r="AP53" s="136"/>
      <c r="AQ53" s="136"/>
      <c r="AR53" s="136" t="str">
        <f t="shared" si="15"/>
        <v/>
      </c>
      <c r="AS53" s="136" t="str">
        <f t="shared" si="15"/>
        <v/>
      </c>
      <c r="AT53" s="5" t="str">
        <f t="shared" si="16"/>
        <v/>
      </c>
      <c r="AV53" s="27" t="str">
        <f>IF(G53="","",+"          ["&amp;TRIM(G53)&amp;"] ["&amp;TRIM(I53)&amp;"]"&amp;IF(H53="","","("&amp;H53&amp;")")&amp;" "&amp;TRIM(J53)&amp;IF(G54="","",","))</f>
        <v/>
      </c>
      <c r="AW53" s="27"/>
      <c r="AY53" s="122" t="str">
        <f t="shared" si="9"/>
        <v/>
      </c>
    </row>
    <row r="54" spans="2:51" ht="12.75">
      <c r="B54" s="20" t="str">
        <f t="shared" si="11"/>
        <v/>
      </c>
      <c r="C54" s="5"/>
      <c r="D54" s="5"/>
      <c r="E54" s="5"/>
      <c r="G54" s="5" t="str">
        <f t="shared" si="17"/>
        <v/>
      </c>
      <c r="H54" s="117" t="str">
        <f t="shared" si="13"/>
        <v/>
      </c>
      <c r="I54" s="5" t="str">
        <f t="shared" si="18"/>
        <v/>
      </c>
      <c r="J54" s="5" t="str">
        <f t="shared" si="19"/>
        <v/>
      </c>
      <c r="K54" s="138"/>
      <c r="L54" s="5"/>
      <c r="M54" s="75"/>
      <c r="N54" s="77"/>
      <c r="O54" s="26"/>
      <c r="P54" s="26"/>
      <c r="Q54" s="118" t="str">
        <f t="shared" si="20"/>
        <v/>
      </c>
      <c r="R54" s="153"/>
      <c r="S54" s="138" t="str">
        <f t="shared" si="10"/>
        <v/>
      </c>
      <c r="T54" s="148"/>
      <c r="U54" s="146"/>
      <c r="V54" s="146"/>
      <c r="W54" s="139"/>
      <c r="X54" s="139"/>
      <c r="Y54" s="148"/>
      <c r="Z54" s="138"/>
      <c r="AA54" s="138" t="str">
        <f t="shared" si="12"/>
        <v/>
      </c>
      <c r="AB54" s="239"/>
      <c r="AC54" s="325"/>
      <c r="AD54" s="325"/>
      <c r="AE54" s="325"/>
      <c r="AF54" s="325"/>
      <c r="AG54" s="325"/>
      <c r="AH54" s="325"/>
      <c r="AI54" s="325"/>
      <c r="AJ54" s="325"/>
      <c r="AK54" s="325"/>
      <c r="AL54" s="325"/>
      <c r="AM54" s="325"/>
      <c r="AN54" s="325"/>
      <c r="AO54" s="325"/>
      <c r="AP54" s="136"/>
      <c r="AQ54" s="136"/>
      <c r="AR54" s="136" t="str">
        <f t="shared" si="15"/>
        <v/>
      </c>
      <c r="AS54" s="136" t="str">
        <f t="shared" si="15"/>
        <v/>
      </c>
      <c r="AT54" s="5" t="str">
        <f t="shared" si="16"/>
        <v/>
      </c>
      <c r="AV54" s="27" t="str">
        <f>IF(G54="","",+"          ["&amp;TRIM(G54)&amp;"] ["&amp;TRIM(I54)&amp;"]"&amp;IF(H54="","","("&amp;H54&amp;")")&amp;" "&amp;TRIM(J54)&amp;IF(G63="","",","))</f>
        <v/>
      </c>
      <c r="AW54" s="27"/>
      <c r="AY54" s="122" t="str">
        <f t="shared" si="9"/>
        <v/>
      </c>
    </row>
    <row r="55" spans="2:51" ht="12.75">
      <c r="B55" s="20" t="str">
        <f t="shared" si="11"/>
        <v/>
      </c>
      <c r="C55" s="5"/>
      <c r="D55" s="5"/>
      <c r="E55" s="5"/>
      <c r="G55" s="5" t="str">
        <f t="shared" si="17"/>
        <v/>
      </c>
      <c r="H55" s="117" t="str">
        <f t="shared" si="13"/>
        <v/>
      </c>
      <c r="I55" s="5" t="str">
        <f t="shared" si="18"/>
        <v/>
      </c>
      <c r="J55" s="5" t="str">
        <f t="shared" si="19"/>
        <v/>
      </c>
      <c r="K55" s="138"/>
      <c r="L55" s="5"/>
      <c r="M55" s="75"/>
      <c r="N55" s="77"/>
      <c r="O55" s="26"/>
      <c r="P55" s="26"/>
      <c r="Q55" s="118" t="str">
        <f t="shared" si="20"/>
        <v/>
      </c>
      <c r="R55" s="153"/>
      <c r="S55" s="138" t="str">
        <f t="shared" si="10"/>
        <v/>
      </c>
      <c r="T55" s="148"/>
      <c r="U55" s="146"/>
      <c r="V55" s="146"/>
      <c r="W55" s="139"/>
      <c r="X55" s="139"/>
      <c r="Y55" s="148"/>
      <c r="Z55" s="138"/>
      <c r="AA55" s="138" t="str">
        <f t="shared" si="12"/>
        <v/>
      </c>
      <c r="AB55" s="239"/>
      <c r="AC55" s="325"/>
      <c r="AD55" s="325"/>
      <c r="AE55" s="325"/>
      <c r="AF55" s="325"/>
      <c r="AG55" s="325"/>
      <c r="AH55" s="325"/>
      <c r="AI55" s="325"/>
      <c r="AJ55" s="325"/>
      <c r="AK55" s="325"/>
      <c r="AL55" s="325"/>
      <c r="AM55" s="325"/>
      <c r="AN55" s="325"/>
      <c r="AO55" s="325"/>
      <c r="AP55" s="136"/>
      <c r="AQ55" s="136"/>
      <c r="AR55" s="136" t="str">
        <f t="shared" si="15"/>
        <v/>
      </c>
      <c r="AS55" s="136" t="str">
        <f t="shared" si="15"/>
        <v/>
      </c>
      <c r="AT55" s="5" t="str">
        <f t="shared" si="16"/>
        <v/>
      </c>
      <c r="AV55" s="27" t="str">
        <f>IF(G55="","",+"          ["&amp;TRIM(G55)&amp;"] ["&amp;TRIM(I55)&amp;"]"&amp;IF(H55="","","("&amp;H55&amp;")")&amp;" "&amp;TRIM(J55)&amp;IF(G56="","",","))</f>
        <v/>
      </c>
      <c r="AW55" s="27"/>
      <c r="AY55" s="122" t="str">
        <f t="shared" si="9"/>
        <v/>
      </c>
    </row>
    <row r="56" spans="2:51" ht="12.75">
      <c r="B56" s="20" t="str">
        <f t="shared" si="11"/>
        <v/>
      </c>
      <c r="C56" s="5"/>
      <c r="D56" s="5"/>
      <c r="E56" s="5"/>
      <c r="G56" s="5" t="str">
        <f t="shared" si="17"/>
        <v/>
      </c>
      <c r="H56" s="117" t="str">
        <f t="shared" si="13"/>
        <v/>
      </c>
      <c r="I56" s="5" t="str">
        <f t="shared" si="18"/>
        <v/>
      </c>
      <c r="J56" s="5" t="str">
        <f t="shared" si="19"/>
        <v/>
      </c>
      <c r="K56" s="138"/>
      <c r="L56" s="5"/>
      <c r="M56" s="75"/>
      <c r="N56" s="77"/>
      <c r="O56" s="26"/>
      <c r="P56" s="26"/>
      <c r="Q56" s="118" t="str">
        <f t="shared" si="20"/>
        <v/>
      </c>
      <c r="R56" s="153"/>
      <c r="S56" s="138" t="str">
        <f t="shared" si="10"/>
        <v/>
      </c>
      <c r="T56" s="148"/>
      <c r="U56" s="146"/>
      <c r="V56" s="146"/>
      <c r="W56" s="139"/>
      <c r="X56" s="139"/>
      <c r="Y56" s="148"/>
      <c r="Z56" s="138"/>
      <c r="AA56" s="138" t="str">
        <f t="shared" si="12"/>
        <v/>
      </c>
      <c r="AB56" s="239"/>
      <c r="AC56" s="325"/>
      <c r="AD56" s="325"/>
      <c r="AE56" s="325"/>
      <c r="AF56" s="325"/>
      <c r="AG56" s="325"/>
      <c r="AH56" s="325"/>
      <c r="AI56" s="325"/>
      <c r="AJ56" s="325"/>
      <c r="AK56" s="325"/>
      <c r="AL56" s="325"/>
      <c r="AM56" s="325"/>
      <c r="AN56" s="325"/>
      <c r="AO56" s="325"/>
      <c r="AP56" s="136"/>
      <c r="AQ56" s="136"/>
      <c r="AR56" s="136" t="str">
        <f t="shared" si="15"/>
        <v/>
      </c>
      <c r="AS56" s="136" t="str">
        <f t="shared" si="15"/>
        <v/>
      </c>
      <c r="AT56" s="5" t="str">
        <f t="shared" si="16"/>
        <v/>
      </c>
      <c r="AV56" s="27" t="str">
        <f>IF(G56="","",+"          ["&amp;TRIM(G56)&amp;"] ["&amp;TRIM(I56)&amp;"]"&amp;IF(H56="","","("&amp;H56&amp;")")&amp;" "&amp;TRIM(J56)&amp;IF(G62="","",","))</f>
        <v/>
      </c>
      <c r="AW56" s="27"/>
      <c r="AY56" s="122" t="str">
        <f t="shared" si="9"/>
        <v/>
      </c>
    </row>
    <row r="57" spans="2:51" ht="12.75">
      <c r="B57" s="20" t="str">
        <f t="shared" si="11"/>
        <v/>
      </c>
      <c r="C57" s="5"/>
      <c r="D57" s="5"/>
      <c r="E57" s="5"/>
      <c r="G57" s="5" t="str">
        <f t="shared" si="17"/>
        <v/>
      </c>
      <c r="H57" s="117" t="str">
        <f t="shared" si="13"/>
        <v/>
      </c>
      <c r="I57" s="5" t="str">
        <f t="shared" si="18"/>
        <v/>
      </c>
      <c r="J57" s="5" t="str">
        <f t="shared" si="19"/>
        <v/>
      </c>
      <c r="K57" s="138"/>
      <c r="L57" s="5"/>
      <c r="M57" s="75"/>
      <c r="N57" s="77"/>
      <c r="O57" s="26"/>
      <c r="P57" s="26"/>
      <c r="Q57" s="118" t="str">
        <f t="shared" si="20"/>
        <v/>
      </c>
      <c r="R57" s="153"/>
      <c r="S57" s="138" t="str">
        <f t="shared" si="10"/>
        <v/>
      </c>
      <c r="T57" s="148"/>
      <c r="U57" s="146"/>
      <c r="V57" s="146"/>
      <c r="W57" s="139"/>
      <c r="X57" s="139"/>
      <c r="Y57" s="148"/>
      <c r="Z57" s="138"/>
      <c r="AA57" s="138" t="str">
        <f t="shared" si="12"/>
        <v/>
      </c>
      <c r="AB57" s="239"/>
      <c r="AC57" s="325"/>
      <c r="AD57" s="325"/>
      <c r="AE57" s="325"/>
      <c r="AF57" s="325"/>
      <c r="AG57" s="325"/>
      <c r="AH57" s="325"/>
      <c r="AI57" s="325"/>
      <c r="AJ57" s="325"/>
      <c r="AK57" s="325"/>
      <c r="AL57" s="325"/>
      <c r="AM57" s="325"/>
      <c r="AN57" s="325"/>
      <c r="AO57" s="325"/>
      <c r="AP57" s="136"/>
      <c r="AQ57" s="136"/>
      <c r="AR57" s="136" t="str">
        <f t="shared" si="15"/>
        <v/>
      </c>
      <c r="AS57" s="136" t="str">
        <f t="shared" si="15"/>
        <v/>
      </c>
      <c r="AT57" s="5" t="str">
        <f t="shared" si="16"/>
        <v/>
      </c>
      <c r="AV57" s="27" t="str">
        <f>IF(G57="","",+"          ["&amp;TRIM(G57)&amp;"] ["&amp;TRIM(I57)&amp;"]"&amp;IF(H57="","","("&amp;H57&amp;")")&amp;" "&amp;TRIM(J57)&amp;IF(G58="","",","))</f>
        <v/>
      </c>
      <c r="AW57" s="27"/>
      <c r="AY57" s="122" t="str">
        <f t="shared" si="9"/>
        <v/>
      </c>
    </row>
    <row r="58" spans="2:51" ht="12.75">
      <c r="B58" s="20" t="str">
        <f t="shared" si="11"/>
        <v/>
      </c>
      <c r="C58" s="5"/>
      <c r="D58" s="5"/>
      <c r="E58" s="5"/>
      <c r="G58" s="5" t="str">
        <f t="shared" si="17"/>
        <v/>
      </c>
      <c r="H58" s="117" t="str">
        <f t="shared" si="13"/>
        <v/>
      </c>
      <c r="I58" s="5" t="str">
        <f t="shared" si="18"/>
        <v/>
      </c>
      <c r="J58" s="5" t="str">
        <f t="shared" si="19"/>
        <v/>
      </c>
      <c r="K58" s="138"/>
      <c r="L58" s="5"/>
      <c r="M58" s="75"/>
      <c r="N58" s="77"/>
      <c r="O58" s="26"/>
      <c r="P58" s="26"/>
      <c r="Q58" s="118" t="str">
        <f t="shared" si="20"/>
        <v/>
      </c>
      <c r="R58" s="153"/>
      <c r="S58" s="138" t="str">
        <f t="shared" si="10"/>
        <v/>
      </c>
      <c r="T58" s="148"/>
      <c r="U58" s="146"/>
      <c r="V58" s="146"/>
      <c r="W58" s="139"/>
      <c r="X58" s="139"/>
      <c r="Y58" s="148"/>
      <c r="Z58" s="138"/>
      <c r="AA58" s="138" t="str">
        <f t="shared" si="12"/>
        <v/>
      </c>
      <c r="AB58" s="239"/>
      <c r="AC58" s="325"/>
      <c r="AD58" s="325"/>
      <c r="AE58" s="325"/>
      <c r="AF58" s="325"/>
      <c r="AG58" s="325"/>
      <c r="AH58" s="325"/>
      <c r="AI58" s="325"/>
      <c r="AJ58" s="325"/>
      <c r="AK58" s="325"/>
      <c r="AL58" s="325"/>
      <c r="AM58" s="325"/>
      <c r="AN58" s="325"/>
      <c r="AO58" s="325"/>
      <c r="AP58" s="136"/>
      <c r="AQ58" s="136"/>
      <c r="AR58" s="136" t="str">
        <f t="shared" si="15"/>
        <v/>
      </c>
      <c r="AS58" s="136" t="str">
        <f t="shared" si="15"/>
        <v/>
      </c>
      <c r="AT58" s="5" t="str">
        <f t="shared" si="16"/>
        <v/>
      </c>
      <c r="AV58" s="27" t="str">
        <f>IF(G58="","",+"          ["&amp;TRIM(G58)&amp;"] ["&amp;TRIM(I58)&amp;"]"&amp;IF(H58="","","("&amp;H58&amp;")")&amp;" "&amp;TRIM(J58)&amp;IF(G61="","",","))</f>
        <v/>
      </c>
      <c r="AW58" s="27"/>
      <c r="AY58" s="122" t="str">
        <f t="shared" si="9"/>
        <v/>
      </c>
    </row>
    <row r="59" spans="2:51" ht="12.75">
      <c r="B59" s="20" t="str">
        <f t="shared" si="11"/>
        <v/>
      </c>
      <c r="C59" s="5"/>
      <c r="D59" s="5"/>
      <c r="E59" s="5"/>
      <c r="G59" s="5" t="str">
        <f t="shared" si="17"/>
        <v/>
      </c>
      <c r="H59" s="117" t="str">
        <f t="shared" si="13"/>
        <v/>
      </c>
      <c r="I59" s="5" t="str">
        <f t="shared" si="18"/>
        <v/>
      </c>
      <c r="J59" s="5" t="str">
        <f t="shared" si="19"/>
        <v/>
      </c>
      <c r="K59" s="5"/>
      <c r="L59" s="5"/>
      <c r="M59" s="75"/>
      <c r="N59" s="77"/>
      <c r="O59" s="26"/>
      <c r="P59" s="26"/>
      <c r="Q59" s="118" t="str">
        <f t="shared" si="20"/>
        <v/>
      </c>
      <c r="R59" s="153"/>
      <c r="S59" s="138" t="str">
        <f t="shared" si="10"/>
        <v/>
      </c>
      <c r="T59" s="148"/>
      <c r="U59" s="146"/>
      <c r="V59" s="146"/>
      <c r="W59" s="139"/>
      <c r="X59" s="139"/>
      <c r="Y59" s="148"/>
      <c r="Z59" s="138"/>
      <c r="AA59" s="138" t="str">
        <f t="shared" si="12"/>
        <v/>
      </c>
      <c r="AB59" s="239"/>
      <c r="AC59" s="325"/>
      <c r="AD59" s="325"/>
      <c r="AE59" s="325"/>
      <c r="AF59" s="325"/>
      <c r="AG59" s="325"/>
      <c r="AH59" s="325"/>
      <c r="AI59" s="325"/>
      <c r="AJ59" s="325"/>
      <c r="AK59" s="325"/>
      <c r="AL59" s="325"/>
      <c r="AM59" s="325"/>
      <c r="AN59" s="325"/>
      <c r="AO59" s="325"/>
      <c r="AP59" s="136"/>
      <c r="AQ59" s="136"/>
      <c r="AR59" s="136" t="str">
        <f t="shared" si="15"/>
        <v/>
      </c>
      <c r="AS59" s="136" t="str">
        <f t="shared" si="15"/>
        <v/>
      </c>
      <c r="AT59" s="5" t="str">
        <f t="shared" si="16"/>
        <v/>
      </c>
      <c r="AV59" s="27" t="str">
        <f t="shared" ref="AV59:AV64" si="21">IF(G59="","",+"          ["&amp;TRIM(G59)&amp;"] ["&amp;TRIM(I59)&amp;"]"&amp;IF(H59="","","("&amp;H59&amp;")")&amp;" "&amp;TRIM(J59)&amp;IF(G60="","",","))</f>
        <v/>
      </c>
      <c r="AW59" s="27"/>
      <c r="AY59" s="122" t="str">
        <f t="shared" si="9"/>
        <v/>
      </c>
    </row>
    <row r="60" spans="2:51" ht="12.75">
      <c r="B60" s="20" t="str">
        <f t="shared" si="11"/>
        <v/>
      </c>
      <c r="C60" s="5"/>
      <c r="D60" s="5"/>
      <c r="E60" s="5"/>
      <c r="G60" s="5" t="str">
        <f t="shared" si="17"/>
        <v/>
      </c>
      <c r="H60" s="117" t="str">
        <f t="shared" si="13"/>
        <v/>
      </c>
      <c r="I60" s="5" t="str">
        <f t="shared" si="18"/>
        <v/>
      </c>
      <c r="J60" s="5" t="str">
        <f t="shared" si="19"/>
        <v/>
      </c>
      <c r="K60" s="5"/>
      <c r="L60" s="5"/>
      <c r="M60" s="75"/>
      <c r="N60" s="77"/>
      <c r="O60" s="26"/>
      <c r="P60" s="26"/>
      <c r="Q60" s="118" t="str">
        <f t="shared" si="20"/>
        <v/>
      </c>
      <c r="R60" s="153"/>
      <c r="S60" s="138" t="str">
        <f t="shared" si="10"/>
        <v/>
      </c>
      <c r="T60" s="148"/>
      <c r="U60" s="146"/>
      <c r="V60" s="146"/>
      <c r="W60" s="139"/>
      <c r="X60" s="139"/>
      <c r="Y60" s="148"/>
      <c r="Z60" s="138" t="str">
        <f t="shared" ref="Z60:Z115" si="22">IF(M60&lt;9000,"","false")</f>
        <v/>
      </c>
      <c r="AA60" s="138" t="str">
        <f t="shared" si="12"/>
        <v/>
      </c>
      <c r="AB60" s="239"/>
      <c r="AC60" s="325"/>
      <c r="AD60" s="325"/>
      <c r="AE60" s="325"/>
      <c r="AF60" s="325"/>
      <c r="AG60" s="325"/>
      <c r="AH60" s="325"/>
      <c r="AI60" s="325"/>
      <c r="AJ60" s="325"/>
      <c r="AK60" s="325"/>
      <c r="AL60" s="325"/>
      <c r="AM60" s="325"/>
      <c r="AN60" s="325"/>
      <c r="AO60" s="325"/>
      <c r="AP60" s="136"/>
      <c r="AQ60" s="136"/>
      <c r="AR60" s="136" t="str">
        <f t="shared" si="15"/>
        <v/>
      </c>
      <c r="AS60" s="136" t="str">
        <f t="shared" si="15"/>
        <v/>
      </c>
      <c r="AT60" s="5" t="str">
        <f t="shared" si="16"/>
        <v/>
      </c>
      <c r="AV60" s="27" t="str">
        <f t="shared" si="21"/>
        <v/>
      </c>
      <c r="AW60" s="27"/>
      <c r="AY60" s="122" t="str">
        <f t="shared" si="9"/>
        <v/>
      </c>
    </row>
    <row r="61" spans="2:51" ht="12.75">
      <c r="B61" s="20" t="str">
        <f t="shared" si="11"/>
        <v/>
      </c>
      <c r="C61" s="5"/>
      <c r="D61" s="5"/>
      <c r="E61" s="5"/>
      <c r="G61" s="5" t="str">
        <f t="shared" si="17"/>
        <v/>
      </c>
      <c r="H61" s="117" t="str">
        <f t="shared" si="13"/>
        <v/>
      </c>
      <c r="I61" s="5" t="str">
        <f t="shared" si="18"/>
        <v/>
      </c>
      <c r="J61" s="5" t="str">
        <f t="shared" si="19"/>
        <v/>
      </c>
      <c r="K61" s="5"/>
      <c r="L61" s="5"/>
      <c r="M61" s="75"/>
      <c r="N61" s="77"/>
      <c r="O61" s="26"/>
      <c r="P61" s="26"/>
      <c r="Q61" s="118" t="str">
        <f t="shared" si="20"/>
        <v/>
      </c>
      <c r="R61" s="153"/>
      <c r="S61" s="138" t="str">
        <f t="shared" si="10"/>
        <v/>
      </c>
      <c r="T61" s="148"/>
      <c r="U61" s="146"/>
      <c r="V61" s="146"/>
      <c r="W61" s="139"/>
      <c r="X61" s="139"/>
      <c r="Y61" s="148"/>
      <c r="Z61" s="138" t="str">
        <f t="shared" si="22"/>
        <v/>
      </c>
      <c r="AA61" s="138" t="str">
        <f t="shared" si="12"/>
        <v/>
      </c>
      <c r="AB61" s="239"/>
      <c r="AC61" s="325"/>
      <c r="AD61" s="325"/>
      <c r="AE61" s="325"/>
      <c r="AF61" s="325"/>
      <c r="AG61" s="325"/>
      <c r="AH61" s="325"/>
      <c r="AI61" s="325"/>
      <c r="AJ61" s="325"/>
      <c r="AK61" s="325"/>
      <c r="AL61" s="325"/>
      <c r="AM61" s="325"/>
      <c r="AN61" s="325"/>
      <c r="AO61" s="325"/>
      <c r="AP61" s="136"/>
      <c r="AQ61" s="136"/>
      <c r="AR61" s="136" t="str">
        <f t="shared" si="15"/>
        <v/>
      </c>
      <c r="AS61" s="136" t="str">
        <f t="shared" si="15"/>
        <v/>
      </c>
      <c r="AT61" s="5" t="str">
        <f t="shared" si="16"/>
        <v/>
      </c>
      <c r="AV61" s="27" t="str">
        <f t="shared" si="21"/>
        <v/>
      </c>
      <c r="AW61" s="27"/>
      <c r="AY61" s="122" t="str">
        <f t="shared" si="9"/>
        <v/>
      </c>
    </row>
    <row r="62" spans="2:51" ht="12.75">
      <c r="B62" s="20" t="str">
        <f t="shared" si="11"/>
        <v/>
      </c>
      <c r="C62" s="5"/>
      <c r="D62" s="5"/>
      <c r="E62" s="5"/>
      <c r="G62" s="5" t="str">
        <f t="shared" si="17"/>
        <v/>
      </c>
      <c r="H62" s="117" t="str">
        <f t="shared" si="13"/>
        <v/>
      </c>
      <c r="I62" s="5" t="str">
        <f t="shared" si="18"/>
        <v/>
      </c>
      <c r="J62" s="5" t="str">
        <f t="shared" si="19"/>
        <v/>
      </c>
      <c r="K62" s="5"/>
      <c r="L62" s="5"/>
      <c r="M62" s="75"/>
      <c r="N62" s="77"/>
      <c r="O62" s="26"/>
      <c r="P62" s="26"/>
      <c r="Q62" s="118" t="str">
        <f t="shared" si="20"/>
        <v/>
      </c>
      <c r="R62" s="153"/>
      <c r="S62" s="138" t="str">
        <f t="shared" si="10"/>
        <v/>
      </c>
      <c r="T62" s="148"/>
      <c r="U62" s="146"/>
      <c r="V62" s="146"/>
      <c r="W62" s="139"/>
      <c r="X62" s="139"/>
      <c r="Y62" s="148"/>
      <c r="Z62" s="138" t="str">
        <f t="shared" si="22"/>
        <v/>
      </c>
      <c r="AA62" s="138" t="str">
        <f t="shared" si="12"/>
        <v/>
      </c>
      <c r="AB62" s="239"/>
      <c r="AC62" s="325"/>
      <c r="AD62" s="325"/>
      <c r="AE62" s="325"/>
      <c r="AF62" s="325"/>
      <c r="AG62" s="325"/>
      <c r="AH62" s="325"/>
      <c r="AI62" s="325"/>
      <c r="AJ62" s="325"/>
      <c r="AK62" s="325"/>
      <c r="AL62" s="325"/>
      <c r="AM62" s="325"/>
      <c r="AN62" s="325"/>
      <c r="AO62" s="325"/>
      <c r="AP62" s="136"/>
      <c r="AQ62" s="136"/>
      <c r="AR62" s="136" t="str">
        <f t="shared" si="15"/>
        <v/>
      </c>
      <c r="AS62" s="136" t="str">
        <f t="shared" si="15"/>
        <v/>
      </c>
      <c r="AT62" s="5" t="str">
        <f t="shared" si="16"/>
        <v/>
      </c>
      <c r="AV62" s="27" t="str">
        <f t="shared" si="21"/>
        <v/>
      </c>
      <c r="AW62" s="27"/>
      <c r="AY62" s="122" t="str">
        <f t="shared" si="9"/>
        <v/>
      </c>
    </row>
    <row r="63" spans="2:51" ht="12.75">
      <c r="B63" s="20" t="str">
        <f t="shared" si="11"/>
        <v/>
      </c>
      <c r="C63" s="5"/>
      <c r="D63" s="5"/>
      <c r="E63" s="5"/>
      <c r="G63" s="5" t="str">
        <f t="shared" si="17"/>
        <v/>
      </c>
      <c r="H63" s="117" t="str">
        <f t="shared" si="13"/>
        <v/>
      </c>
      <c r="I63" s="5" t="str">
        <f t="shared" si="18"/>
        <v/>
      </c>
      <c r="J63" s="5" t="str">
        <f t="shared" si="19"/>
        <v/>
      </c>
      <c r="K63" s="5"/>
      <c r="L63" s="5"/>
      <c r="M63" s="75"/>
      <c r="N63" s="77"/>
      <c r="O63" s="26"/>
      <c r="P63" s="26"/>
      <c r="Q63" s="118" t="str">
        <f t="shared" si="20"/>
        <v/>
      </c>
      <c r="R63" s="153"/>
      <c r="S63" s="138" t="str">
        <f t="shared" si="10"/>
        <v/>
      </c>
      <c r="T63" s="148"/>
      <c r="U63" s="146"/>
      <c r="V63" s="146"/>
      <c r="W63" s="139"/>
      <c r="X63" s="139"/>
      <c r="Y63" s="148"/>
      <c r="Z63" s="138" t="str">
        <f t="shared" si="22"/>
        <v/>
      </c>
      <c r="AA63" s="138" t="str">
        <f t="shared" si="12"/>
        <v/>
      </c>
      <c r="AB63" s="239"/>
      <c r="AC63" s="325"/>
      <c r="AD63" s="325"/>
      <c r="AE63" s="325"/>
      <c r="AF63" s="325"/>
      <c r="AG63" s="325"/>
      <c r="AH63" s="325"/>
      <c r="AI63" s="325"/>
      <c r="AJ63" s="325"/>
      <c r="AK63" s="325"/>
      <c r="AL63" s="325"/>
      <c r="AM63" s="325"/>
      <c r="AN63" s="325"/>
      <c r="AO63" s="325"/>
      <c r="AP63" s="136"/>
      <c r="AQ63" s="136"/>
      <c r="AR63" s="136" t="str">
        <f t="shared" si="15"/>
        <v/>
      </c>
      <c r="AS63" s="136" t="str">
        <f t="shared" si="15"/>
        <v/>
      </c>
      <c r="AT63" s="5" t="str">
        <f t="shared" si="16"/>
        <v/>
      </c>
      <c r="AV63" s="27" t="str">
        <f t="shared" si="21"/>
        <v/>
      </c>
      <c r="AW63" s="27"/>
      <c r="AY63" s="122" t="str">
        <f t="shared" si="9"/>
        <v/>
      </c>
    </row>
    <row r="64" spans="2:51" ht="12.75">
      <c r="B64" s="20" t="str">
        <f t="shared" si="11"/>
        <v/>
      </c>
      <c r="C64" s="5"/>
      <c r="D64" s="5"/>
      <c r="E64" s="5"/>
      <c r="G64" s="5" t="str">
        <f t="shared" si="17"/>
        <v/>
      </c>
      <c r="H64" s="117" t="str">
        <f t="shared" si="13"/>
        <v/>
      </c>
      <c r="I64" s="5" t="str">
        <f t="shared" si="18"/>
        <v/>
      </c>
      <c r="J64" s="5" t="str">
        <f t="shared" si="19"/>
        <v/>
      </c>
      <c r="K64" s="5"/>
      <c r="L64" s="5"/>
      <c r="M64" s="75"/>
      <c r="N64" s="77"/>
      <c r="O64" s="26"/>
      <c r="P64" s="26"/>
      <c r="Q64" s="118" t="str">
        <f t="shared" si="20"/>
        <v/>
      </c>
      <c r="R64" s="153"/>
      <c r="S64" s="138" t="str">
        <f t="shared" si="10"/>
        <v/>
      </c>
      <c r="T64" s="148"/>
      <c r="U64" s="146"/>
      <c r="V64" s="146"/>
      <c r="W64" s="139"/>
      <c r="X64" s="139"/>
      <c r="Y64" s="148"/>
      <c r="Z64" s="138" t="str">
        <f t="shared" si="22"/>
        <v/>
      </c>
      <c r="AA64" s="138" t="str">
        <f t="shared" si="12"/>
        <v/>
      </c>
      <c r="AB64" s="239"/>
      <c r="AC64" s="325"/>
      <c r="AD64" s="325"/>
      <c r="AE64" s="325"/>
      <c r="AF64" s="325"/>
      <c r="AG64" s="325"/>
      <c r="AH64" s="325"/>
      <c r="AI64" s="325"/>
      <c r="AJ64" s="325"/>
      <c r="AK64" s="325"/>
      <c r="AL64" s="325"/>
      <c r="AM64" s="325"/>
      <c r="AN64" s="325"/>
      <c r="AO64" s="325"/>
      <c r="AP64" s="136"/>
      <c r="AQ64" s="136"/>
      <c r="AR64" s="136" t="str">
        <f t="shared" si="15"/>
        <v/>
      </c>
      <c r="AS64" s="136" t="str">
        <f t="shared" si="15"/>
        <v/>
      </c>
      <c r="AT64" s="5" t="str">
        <f t="shared" si="16"/>
        <v/>
      </c>
      <c r="AV64" s="27" t="str">
        <f t="shared" si="21"/>
        <v/>
      </c>
      <c r="AW64" s="27"/>
      <c r="AY64" s="122" t="str">
        <f t="shared" si="9"/>
        <v/>
      </c>
    </row>
    <row r="65" spans="2:51" ht="12.75">
      <c r="B65" s="20" t="str">
        <f t="shared" si="11"/>
        <v/>
      </c>
      <c r="C65" s="5"/>
      <c r="D65" s="5"/>
      <c r="E65" s="5"/>
      <c r="G65" s="5" t="str">
        <f t="shared" si="17"/>
        <v/>
      </c>
      <c r="H65" s="117" t="str">
        <f t="shared" si="13"/>
        <v/>
      </c>
      <c r="I65" s="5" t="str">
        <f t="shared" si="18"/>
        <v/>
      </c>
      <c r="J65" s="5" t="str">
        <f t="shared" si="19"/>
        <v/>
      </c>
      <c r="K65" s="5"/>
      <c r="L65" s="5"/>
      <c r="M65" s="75"/>
      <c r="N65" s="77"/>
      <c r="O65" s="26"/>
      <c r="P65" s="26"/>
      <c r="Q65" s="118" t="str">
        <f t="shared" si="20"/>
        <v/>
      </c>
      <c r="R65" s="153"/>
      <c r="S65" s="138" t="str">
        <f t="shared" si="10"/>
        <v/>
      </c>
      <c r="T65" s="148"/>
      <c r="U65" s="146"/>
      <c r="V65" s="146"/>
      <c r="W65" s="139"/>
      <c r="X65" s="139"/>
      <c r="Y65" s="148"/>
      <c r="Z65" s="138" t="str">
        <f t="shared" si="22"/>
        <v/>
      </c>
      <c r="AA65" s="138" t="str">
        <f t="shared" si="12"/>
        <v/>
      </c>
      <c r="AB65" s="239"/>
      <c r="AC65" s="325"/>
      <c r="AD65" s="325"/>
      <c r="AE65" s="325"/>
      <c r="AF65" s="325"/>
      <c r="AG65" s="325"/>
      <c r="AH65" s="325"/>
      <c r="AI65" s="325"/>
      <c r="AJ65" s="325"/>
      <c r="AK65" s="325"/>
      <c r="AL65" s="325"/>
      <c r="AM65" s="325"/>
      <c r="AN65" s="325"/>
      <c r="AO65" s="325"/>
      <c r="AP65" s="136"/>
      <c r="AQ65" s="136"/>
      <c r="AR65" s="136" t="str">
        <f t="shared" si="15"/>
        <v/>
      </c>
      <c r="AS65" s="136" t="str">
        <f t="shared" si="15"/>
        <v/>
      </c>
      <c r="AT65" s="5" t="str">
        <f t="shared" si="16"/>
        <v/>
      </c>
      <c r="AV65" s="27" t="str">
        <f>IF(G65="","",+"          ["&amp;TRIM(G65)&amp;"] ["&amp;TRIM(I65)&amp;"]"&amp;IF(H65="","","("&amp;H65&amp;")")&amp;" "&amp;TRIM(J65)&amp;IF(G68="","",","))</f>
        <v/>
      </c>
      <c r="AW65" s="27"/>
      <c r="AY65" s="122" t="str">
        <f t="shared" si="9"/>
        <v/>
      </c>
    </row>
    <row r="66" spans="2:51" ht="12.75">
      <c r="B66" s="20" t="str">
        <f t="shared" si="11"/>
        <v/>
      </c>
      <c r="C66" s="5"/>
      <c r="D66" s="5"/>
      <c r="E66" s="5"/>
      <c r="G66" s="5" t="str">
        <f t="shared" si="17"/>
        <v/>
      </c>
      <c r="H66" s="117" t="str">
        <f t="shared" si="13"/>
        <v/>
      </c>
      <c r="I66" s="5" t="str">
        <f t="shared" si="18"/>
        <v/>
      </c>
      <c r="J66" s="5" t="str">
        <f t="shared" si="19"/>
        <v/>
      </c>
      <c r="K66" s="5"/>
      <c r="L66" s="5"/>
      <c r="M66" s="75"/>
      <c r="N66" s="77"/>
      <c r="O66" s="26"/>
      <c r="P66" s="26"/>
      <c r="Q66" s="118" t="str">
        <f t="shared" si="20"/>
        <v/>
      </c>
      <c r="R66" s="153"/>
      <c r="S66" s="138" t="str">
        <f t="shared" si="10"/>
        <v/>
      </c>
      <c r="T66" s="148"/>
      <c r="U66" s="146"/>
      <c r="V66" s="146"/>
      <c r="W66" s="139"/>
      <c r="X66" s="139"/>
      <c r="Y66" s="148"/>
      <c r="Z66" s="138" t="str">
        <f t="shared" si="22"/>
        <v/>
      </c>
      <c r="AA66" s="138" t="str">
        <f t="shared" si="12"/>
        <v/>
      </c>
      <c r="AB66" s="239"/>
      <c r="AC66" s="325"/>
      <c r="AD66" s="325"/>
      <c r="AE66" s="325"/>
      <c r="AF66" s="325"/>
      <c r="AG66" s="325"/>
      <c r="AH66" s="325"/>
      <c r="AI66" s="325"/>
      <c r="AJ66" s="325"/>
      <c r="AK66" s="325"/>
      <c r="AL66" s="325"/>
      <c r="AM66" s="325"/>
      <c r="AN66" s="325"/>
      <c r="AO66" s="325"/>
      <c r="AP66" s="136"/>
      <c r="AQ66" s="136"/>
      <c r="AR66" s="136" t="str">
        <f t="shared" si="15"/>
        <v/>
      </c>
      <c r="AS66" s="136" t="str">
        <f t="shared" si="15"/>
        <v/>
      </c>
      <c r="AT66" s="5" t="str">
        <f t="shared" si="16"/>
        <v/>
      </c>
      <c r="AV66" s="27" t="str">
        <f>IF(G66="","",+"          ["&amp;TRIM(G66)&amp;"] ["&amp;TRIM(I66)&amp;"]"&amp;IF(H66="","","("&amp;H66&amp;")")&amp;" "&amp;TRIM(J66)&amp;IF(G67="","",","))</f>
        <v/>
      </c>
      <c r="AW66" s="27"/>
      <c r="AY66" s="122" t="str">
        <f t="shared" si="9"/>
        <v/>
      </c>
    </row>
    <row r="67" spans="2:51" ht="12.75">
      <c r="B67" s="20" t="str">
        <f t="shared" si="11"/>
        <v/>
      </c>
      <c r="C67" s="5"/>
      <c r="D67" s="5"/>
      <c r="E67" s="5"/>
      <c r="G67" s="5" t="str">
        <f t="shared" si="17"/>
        <v/>
      </c>
      <c r="H67" s="117" t="str">
        <f t="shared" si="13"/>
        <v/>
      </c>
      <c r="I67" s="5" t="str">
        <f t="shared" si="18"/>
        <v/>
      </c>
      <c r="J67" s="5" t="str">
        <f t="shared" si="19"/>
        <v/>
      </c>
      <c r="K67" s="5"/>
      <c r="L67" s="5"/>
      <c r="M67" s="75"/>
      <c r="N67" s="77"/>
      <c r="O67" s="26"/>
      <c r="P67" s="26"/>
      <c r="Q67" s="118" t="str">
        <f t="shared" si="20"/>
        <v/>
      </c>
      <c r="R67" s="153"/>
      <c r="S67" s="138" t="str">
        <f t="shared" si="10"/>
        <v/>
      </c>
      <c r="T67" s="148"/>
      <c r="U67" s="146"/>
      <c r="V67" s="146"/>
      <c r="W67" s="139"/>
      <c r="X67" s="139"/>
      <c r="Y67" s="148"/>
      <c r="Z67" s="138" t="str">
        <f t="shared" si="22"/>
        <v/>
      </c>
      <c r="AA67" s="138" t="str">
        <f t="shared" si="12"/>
        <v/>
      </c>
      <c r="AB67" s="239"/>
      <c r="AC67" s="325"/>
      <c r="AD67" s="325"/>
      <c r="AE67" s="325"/>
      <c r="AF67" s="325"/>
      <c r="AG67" s="325"/>
      <c r="AH67" s="325"/>
      <c r="AI67" s="325"/>
      <c r="AJ67" s="325"/>
      <c r="AK67" s="325"/>
      <c r="AL67" s="325"/>
      <c r="AM67" s="325"/>
      <c r="AN67" s="325"/>
      <c r="AO67" s="325"/>
      <c r="AP67" s="136"/>
      <c r="AQ67" s="136"/>
      <c r="AR67" s="136" t="str">
        <f t="shared" si="15"/>
        <v/>
      </c>
      <c r="AS67" s="136" t="str">
        <f t="shared" si="15"/>
        <v/>
      </c>
      <c r="AT67" s="5" t="str">
        <f t="shared" si="16"/>
        <v/>
      </c>
      <c r="AV67" s="27" t="str">
        <f>IF(G67="","",+"          ["&amp;TRIM(G67)&amp;"] ["&amp;TRIM(I67)&amp;"]"&amp;IF(H67="","","("&amp;H67&amp;")")&amp;" "&amp;TRIM(J67)&amp;IF(G68="","",","))</f>
        <v/>
      </c>
      <c r="AW67" s="27"/>
      <c r="AY67" s="122" t="str">
        <f t="shared" si="9"/>
        <v/>
      </c>
    </row>
    <row r="68" spans="2:51" ht="12.75">
      <c r="B68" s="20" t="str">
        <f t="shared" si="11"/>
        <v/>
      </c>
      <c r="C68" s="5"/>
      <c r="D68" s="5"/>
      <c r="E68" s="5"/>
      <c r="G68" s="5" t="str">
        <f t="shared" si="17"/>
        <v/>
      </c>
      <c r="H68" s="117" t="str">
        <f t="shared" si="13"/>
        <v/>
      </c>
      <c r="I68" s="5" t="str">
        <f t="shared" si="18"/>
        <v/>
      </c>
      <c r="J68" s="5" t="str">
        <f t="shared" si="19"/>
        <v/>
      </c>
      <c r="K68" s="5"/>
      <c r="L68" s="5"/>
      <c r="M68" s="75"/>
      <c r="N68" s="77"/>
      <c r="O68" s="26"/>
      <c r="P68" s="26"/>
      <c r="Q68" s="118" t="str">
        <f t="shared" si="20"/>
        <v/>
      </c>
      <c r="R68" s="153"/>
      <c r="S68" s="138" t="str">
        <f t="shared" si="10"/>
        <v/>
      </c>
      <c r="T68" s="148"/>
      <c r="U68" s="146"/>
      <c r="V68" s="146"/>
      <c r="W68" s="139"/>
      <c r="X68" s="139"/>
      <c r="Y68" s="148"/>
      <c r="Z68" s="138" t="str">
        <f t="shared" si="22"/>
        <v/>
      </c>
      <c r="AA68" s="138" t="str">
        <f t="shared" si="12"/>
        <v/>
      </c>
      <c r="AB68" s="239"/>
      <c r="AC68" s="325"/>
      <c r="AD68" s="325"/>
      <c r="AE68" s="325"/>
      <c r="AF68" s="325"/>
      <c r="AG68" s="325"/>
      <c r="AH68" s="325"/>
      <c r="AI68" s="325"/>
      <c r="AJ68" s="325"/>
      <c r="AK68" s="325"/>
      <c r="AL68" s="325"/>
      <c r="AM68" s="325"/>
      <c r="AN68" s="325"/>
      <c r="AO68" s="325"/>
      <c r="AP68" s="136"/>
      <c r="AQ68" s="136"/>
      <c r="AR68" s="136" t="str">
        <f t="shared" si="15"/>
        <v/>
      </c>
      <c r="AS68" s="136" t="str">
        <f t="shared" si="15"/>
        <v/>
      </c>
      <c r="AT68" s="5" t="str">
        <f t="shared" si="16"/>
        <v/>
      </c>
      <c r="AV68" s="27" t="str">
        <f>IF(G68="","",+"          ["&amp;TRIM(G68)&amp;"] ["&amp;TRIM(I68)&amp;"]"&amp;IF(H68="","","("&amp;H68&amp;")")&amp;" "&amp;TRIM(J68)&amp;IF(G95="","",","))</f>
        <v/>
      </c>
      <c r="AW68" s="27"/>
      <c r="AY68" s="122" t="str">
        <f t="shared" si="9"/>
        <v/>
      </c>
    </row>
    <row r="69" spans="2:51" ht="12.75">
      <c r="B69" s="20" t="str">
        <f t="shared" si="11"/>
        <v/>
      </c>
      <c r="C69" s="5"/>
      <c r="D69" s="5"/>
      <c r="E69" s="5"/>
      <c r="G69" s="5" t="str">
        <f t="shared" si="17"/>
        <v/>
      </c>
      <c r="H69" s="117" t="str">
        <f t="shared" si="13"/>
        <v/>
      </c>
      <c r="I69" s="5" t="str">
        <f t="shared" si="18"/>
        <v/>
      </c>
      <c r="J69" s="5" t="str">
        <f t="shared" si="19"/>
        <v/>
      </c>
      <c r="K69" s="5"/>
      <c r="L69" s="5"/>
      <c r="M69" s="75"/>
      <c r="N69" s="77"/>
      <c r="O69" s="26"/>
      <c r="P69" s="26"/>
      <c r="Q69" s="118" t="str">
        <f t="shared" si="20"/>
        <v/>
      </c>
      <c r="R69" s="153"/>
      <c r="S69" s="138" t="str">
        <f t="shared" si="10"/>
        <v/>
      </c>
      <c r="T69" s="148"/>
      <c r="U69" s="146"/>
      <c r="V69" s="146"/>
      <c r="W69" s="139"/>
      <c r="X69" s="139"/>
      <c r="Y69" s="148"/>
      <c r="Z69" s="138" t="str">
        <f t="shared" si="22"/>
        <v/>
      </c>
      <c r="AA69" s="138" t="str">
        <f t="shared" si="12"/>
        <v/>
      </c>
      <c r="AB69" s="239"/>
      <c r="AC69" s="325"/>
      <c r="AD69" s="325"/>
      <c r="AE69" s="325"/>
      <c r="AF69" s="325"/>
      <c r="AG69" s="325"/>
      <c r="AH69" s="325"/>
      <c r="AI69" s="325"/>
      <c r="AJ69" s="325"/>
      <c r="AK69" s="325"/>
      <c r="AL69" s="325"/>
      <c r="AM69" s="325"/>
      <c r="AN69" s="325"/>
      <c r="AO69" s="325"/>
      <c r="AP69" s="136"/>
      <c r="AQ69" s="136"/>
      <c r="AR69" s="136" t="str">
        <f t="shared" si="15"/>
        <v/>
      </c>
      <c r="AS69" s="136" t="str">
        <f t="shared" si="15"/>
        <v/>
      </c>
      <c r="AT69" s="5" t="str">
        <f t="shared" si="16"/>
        <v/>
      </c>
      <c r="AV69" s="27" t="str">
        <f>IF(G69="","",+"          ["&amp;TRIM(G69)&amp;"] ["&amp;TRIM(I69)&amp;"]"&amp;IF(H69="","","("&amp;H69&amp;")")&amp;" "&amp;TRIM(J69)&amp;IF(G70="","",","))</f>
        <v/>
      </c>
      <c r="AW69" s="27"/>
      <c r="AY69" s="122" t="str">
        <f t="shared" si="9"/>
        <v/>
      </c>
    </row>
    <row r="70" spans="2:51" ht="12.75">
      <c r="B70" s="20" t="str">
        <f t="shared" si="11"/>
        <v/>
      </c>
      <c r="C70" s="5"/>
      <c r="D70" s="5"/>
      <c r="E70" s="5"/>
      <c r="G70" s="5" t="str">
        <f t="shared" si="17"/>
        <v/>
      </c>
      <c r="H70" s="117" t="str">
        <f t="shared" si="13"/>
        <v/>
      </c>
      <c r="I70" s="5" t="str">
        <f t="shared" si="18"/>
        <v/>
      </c>
      <c r="J70" s="5" t="str">
        <f t="shared" si="19"/>
        <v/>
      </c>
      <c r="K70" s="5"/>
      <c r="L70" s="5"/>
      <c r="M70" s="75"/>
      <c r="N70" s="77"/>
      <c r="O70" s="26"/>
      <c r="P70" s="26"/>
      <c r="Q70" s="118" t="str">
        <f t="shared" si="20"/>
        <v/>
      </c>
      <c r="R70" s="153"/>
      <c r="S70" s="138" t="str">
        <f t="shared" si="10"/>
        <v/>
      </c>
      <c r="T70" s="148"/>
      <c r="U70" s="146"/>
      <c r="V70" s="146"/>
      <c r="W70" s="139"/>
      <c r="X70" s="139"/>
      <c r="Y70" s="148"/>
      <c r="Z70" s="138" t="str">
        <f t="shared" si="22"/>
        <v/>
      </c>
      <c r="AA70" s="138" t="str">
        <f t="shared" si="12"/>
        <v/>
      </c>
      <c r="AB70" s="239"/>
      <c r="AC70" s="325"/>
      <c r="AD70" s="325"/>
      <c r="AE70" s="325"/>
      <c r="AF70" s="325"/>
      <c r="AG70" s="325"/>
      <c r="AH70" s="325"/>
      <c r="AI70" s="325"/>
      <c r="AJ70" s="325"/>
      <c r="AK70" s="325"/>
      <c r="AL70" s="325"/>
      <c r="AM70" s="325"/>
      <c r="AN70" s="325"/>
      <c r="AO70" s="325"/>
      <c r="AP70" s="136"/>
      <c r="AQ70" s="136"/>
      <c r="AR70" s="136" t="str">
        <f t="shared" si="15"/>
        <v/>
      </c>
      <c r="AS70" s="136" t="str">
        <f t="shared" si="15"/>
        <v/>
      </c>
      <c r="AT70" s="5" t="str">
        <f t="shared" si="16"/>
        <v/>
      </c>
      <c r="AV70" s="27" t="str">
        <f>IF(G70="","",+"          ["&amp;TRIM(G70)&amp;"] ["&amp;TRIM(I70)&amp;"]"&amp;IF(H70="","","("&amp;H70&amp;")")&amp;" "&amp;TRIM(J70)&amp;IF(G94="","",","))</f>
        <v/>
      </c>
      <c r="AW70" s="27"/>
      <c r="AY70" s="122" t="str">
        <f t="shared" si="9"/>
        <v/>
      </c>
    </row>
    <row r="71" spans="2:51" ht="12.75">
      <c r="B71" s="20" t="str">
        <f t="shared" si="11"/>
        <v/>
      </c>
      <c r="C71" s="5"/>
      <c r="D71" s="5"/>
      <c r="E71" s="5"/>
      <c r="G71" s="5" t="str">
        <f t="shared" si="17"/>
        <v/>
      </c>
      <c r="H71" s="117" t="str">
        <f t="shared" si="13"/>
        <v/>
      </c>
      <c r="I71" s="5" t="str">
        <f t="shared" si="18"/>
        <v/>
      </c>
      <c r="J71" s="5" t="str">
        <f t="shared" si="19"/>
        <v/>
      </c>
      <c r="K71" s="5"/>
      <c r="L71" s="5"/>
      <c r="M71" s="75"/>
      <c r="N71" s="77"/>
      <c r="O71" s="26"/>
      <c r="P71" s="26"/>
      <c r="Q71" s="118" t="str">
        <f t="shared" si="20"/>
        <v/>
      </c>
      <c r="R71" s="153"/>
      <c r="S71" s="138" t="str">
        <f t="shared" si="10"/>
        <v/>
      </c>
      <c r="T71" s="148"/>
      <c r="U71" s="146"/>
      <c r="V71" s="146"/>
      <c r="W71" s="139"/>
      <c r="X71" s="139"/>
      <c r="Y71" s="148"/>
      <c r="Z71" s="138" t="str">
        <f t="shared" si="22"/>
        <v/>
      </c>
      <c r="AA71" s="138" t="str">
        <f t="shared" si="12"/>
        <v/>
      </c>
      <c r="AB71" s="239"/>
      <c r="AC71" s="325"/>
      <c r="AD71" s="325"/>
      <c r="AE71" s="325"/>
      <c r="AF71" s="325"/>
      <c r="AG71" s="325"/>
      <c r="AH71" s="325"/>
      <c r="AI71" s="325"/>
      <c r="AJ71" s="325"/>
      <c r="AK71" s="325"/>
      <c r="AL71" s="325"/>
      <c r="AM71" s="325"/>
      <c r="AN71" s="325"/>
      <c r="AO71" s="325"/>
      <c r="AP71" s="136"/>
      <c r="AQ71" s="136"/>
      <c r="AR71" s="136" t="str">
        <f t="shared" si="15"/>
        <v/>
      </c>
      <c r="AS71" s="136" t="str">
        <f t="shared" si="15"/>
        <v/>
      </c>
      <c r="AT71" s="5" t="str">
        <f t="shared" si="16"/>
        <v/>
      </c>
      <c r="AV71" s="27" t="str">
        <f>IF(G71="","",+"          ["&amp;TRIM(G71)&amp;"] ["&amp;TRIM(I71)&amp;"]"&amp;IF(H71="","","("&amp;H71&amp;")")&amp;" "&amp;TRIM(J71)&amp;IF(G72="","",","))</f>
        <v/>
      </c>
      <c r="AW71" s="27"/>
      <c r="AY71" s="122" t="str">
        <f t="shared" si="9"/>
        <v/>
      </c>
    </row>
    <row r="72" spans="2:51" ht="12.75">
      <c r="B72" s="20" t="str">
        <f t="shared" si="11"/>
        <v/>
      </c>
      <c r="C72" s="5"/>
      <c r="D72" s="5"/>
      <c r="E72" s="5"/>
      <c r="G72" s="5" t="str">
        <f t="shared" si="17"/>
        <v/>
      </c>
      <c r="H72" s="117" t="str">
        <f t="shared" si="13"/>
        <v/>
      </c>
      <c r="I72" s="5" t="str">
        <f t="shared" si="18"/>
        <v/>
      </c>
      <c r="J72" s="5" t="str">
        <f t="shared" si="19"/>
        <v/>
      </c>
      <c r="K72" s="5"/>
      <c r="L72" s="5"/>
      <c r="M72" s="75"/>
      <c r="N72" s="77"/>
      <c r="O72" s="26"/>
      <c r="P72" s="26"/>
      <c r="Q72" s="118" t="str">
        <f t="shared" si="20"/>
        <v/>
      </c>
      <c r="R72" s="153"/>
      <c r="S72" s="138" t="str">
        <f t="shared" si="10"/>
        <v/>
      </c>
      <c r="T72" s="148"/>
      <c r="U72" s="146"/>
      <c r="V72" s="146"/>
      <c r="W72" s="139"/>
      <c r="X72" s="139"/>
      <c r="Y72" s="148"/>
      <c r="Z72" s="138" t="str">
        <f t="shared" si="22"/>
        <v/>
      </c>
      <c r="AA72" s="138" t="str">
        <f t="shared" si="12"/>
        <v/>
      </c>
      <c r="AB72" s="239"/>
      <c r="AC72" s="325"/>
      <c r="AD72" s="325"/>
      <c r="AE72" s="325"/>
      <c r="AF72" s="325"/>
      <c r="AG72" s="325"/>
      <c r="AH72" s="325"/>
      <c r="AI72" s="325"/>
      <c r="AJ72" s="325"/>
      <c r="AK72" s="325"/>
      <c r="AL72" s="325"/>
      <c r="AM72" s="325"/>
      <c r="AN72" s="325"/>
      <c r="AO72" s="325"/>
      <c r="AP72" s="136"/>
      <c r="AQ72" s="136"/>
      <c r="AR72" s="136" t="str">
        <f t="shared" si="15"/>
        <v/>
      </c>
      <c r="AS72" s="136" t="str">
        <f t="shared" si="15"/>
        <v/>
      </c>
      <c r="AT72" s="5" t="str">
        <f t="shared" si="16"/>
        <v/>
      </c>
      <c r="AV72" s="27" t="str">
        <f>IF(G72="","",+"          ["&amp;TRIM(G72)&amp;"] ["&amp;TRIM(I72)&amp;"]"&amp;IF(H72="","","("&amp;H72&amp;")")&amp;" "&amp;TRIM(J72)&amp;IF(G75="","",","))</f>
        <v/>
      </c>
      <c r="AW72" s="27"/>
      <c r="AY72" s="122" t="str">
        <f t="shared" si="9"/>
        <v/>
      </c>
    </row>
    <row r="73" spans="2:51" ht="12.75">
      <c r="B73" s="20" t="str">
        <f t="shared" si="11"/>
        <v/>
      </c>
      <c r="C73" s="5"/>
      <c r="D73" s="5"/>
      <c r="E73" s="5"/>
      <c r="G73" s="5" t="str">
        <f t="shared" si="17"/>
        <v/>
      </c>
      <c r="H73" s="117" t="str">
        <f t="shared" si="13"/>
        <v/>
      </c>
      <c r="I73" s="5" t="str">
        <f t="shared" si="18"/>
        <v/>
      </c>
      <c r="J73" s="5" t="str">
        <f t="shared" si="19"/>
        <v/>
      </c>
      <c r="K73" s="5"/>
      <c r="L73" s="5"/>
      <c r="M73" s="75"/>
      <c r="N73" s="77"/>
      <c r="O73" s="26"/>
      <c r="P73" s="26"/>
      <c r="Q73" s="118" t="str">
        <f t="shared" si="20"/>
        <v/>
      </c>
      <c r="R73" s="153"/>
      <c r="S73" s="138" t="str">
        <f t="shared" si="10"/>
        <v/>
      </c>
      <c r="T73" s="148"/>
      <c r="U73" s="146"/>
      <c r="V73" s="146"/>
      <c r="W73" s="139"/>
      <c r="X73" s="139"/>
      <c r="Y73" s="148"/>
      <c r="Z73" s="138" t="str">
        <f t="shared" si="22"/>
        <v/>
      </c>
      <c r="AA73" s="138" t="str">
        <f t="shared" si="12"/>
        <v/>
      </c>
      <c r="AB73" s="239"/>
      <c r="AC73" s="325"/>
      <c r="AD73" s="325"/>
      <c r="AE73" s="325"/>
      <c r="AF73" s="325"/>
      <c r="AG73" s="325"/>
      <c r="AH73" s="325"/>
      <c r="AI73" s="325"/>
      <c r="AJ73" s="325"/>
      <c r="AK73" s="325"/>
      <c r="AL73" s="325"/>
      <c r="AM73" s="325"/>
      <c r="AN73" s="325"/>
      <c r="AO73" s="325"/>
      <c r="AP73" s="136"/>
      <c r="AQ73" s="136"/>
      <c r="AR73" s="136" t="str">
        <f t="shared" si="15"/>
        <v/>
      </c>
      <c r="AS73" s="136" t="str">
        <f t="shared" si="15"/>
        <v/>
      </c>
      <c r="AT73" s="5" t="str">
        <f t="shared" si="16"/>
        <v/>
      </c>
      <c r="AV73" s="27" t="str">
        <f>IF(G73="","",+"          ["&amp;TRIM(G73)&amp;"] ["&amp;TRIM(I73)&amp;"]"&amp;IF(H73="","","("&amp;H73&amp;")")&amp;" "&amp;TRIM(J73)&amp;IF(G74="","",","))</f>
        <v/>
      </c>
      <c r="AW73" s="27"/>
      <c r="AY73" s="122" t="str">
        <f t="shared" si="9"/>
        <v/>
      </c>
    </row>
    <row r="74" spans="2:51" ht="12.75">
      <c r="B74" s="20" t="str">
        <f t="shared" si="11"/>
        <v/>
      </c>
      <c r="C74" s="5"/>
      <c r="D74" s="5"/>
      <c r="E74" s="5"/>
      <c r="G74" s="5" t="str">
        <f t="shared" si="17"/>
        <v/>
      </c>
      <c r="H74" s="117" t="str">
        <f t="shared" si="13"/>
        <v/>
      </c>
      <c r="I74" s="5" t="str">
        <f t="shared" si="18"/>
        <v/>
      </c>
      <c r="J74" s="5" t="str">
        <f t="shared" si="19"/>
        <v/>
      </c>
      <c r="K74" s="5"/>
      <c r="L74" s="5"/>
      <c r="M74" s="75"/>
      <c r="N74" s="77"/>
      <c r="O74" s="26"/>
      <c r="P74" s="26"/>
      <c r="Q74" s="118" t="str">
        <f t="shared" si="20"/>
        <v/>
      </c>
      <c r="R74" s="153"/>
      <c r="S74" s="138" t="str">
        <f t="shared" si="10"/>
        <v/>
      </c>
      <c r="T74" s="148"/>
      <c r="U74" s="146"/>
      <c r="V74" s="146"/>
      <c r="W74" s="139"/>
      <c r="X74" s="139"/>
      <c r="Y74" s="148"/>
      <c r="Z74" s="138" t="str">
        <f t="shared" si="22"/>
        <v/>
      </c>
      <c r="AA74" s="138" t="str">
        <f t="shared" si="12"/>
        <v/>
      </c>
      <c r="AB74" s="239"/>
      <c r="AC74" s="325"/>
      <c r="AD74" s="325"/>
      <c r="AE74" s="325"/>
      <c r="AF74" s="325"/>
      <c r="AG74" s="325"/>
      <c r="AH74" s="325"/>
      <c r="AI74" s="325"/>
      <c r="AJ74" s="325"/>
      <c r="AK74" s="325"/>
      <c r="AL74" s="325"/>
      <c r="AM74" s="325"/>
      <c r="AN74" s="325"/>
      <c r="AO74" s="325"/>
      <c r="AP74" s="136"/>
      <c r="AQ74" s="136"/>
      <c r="AR74" s="136" t="str">
        <f t="shared" si="15"/>
        <v/>
      </c>
      <c r="AS74" s="136" t="str">
        <f t="shared" si="15"/>
        <v/>
      </c>
      <c r="AT74" s="5" t="str">
        <f t="shared" si="16"/>
        <v/>
      </c>
      <c r="AV74" s="27" t="str">
        <f>IF(G74="","",+"          ["&amp;TRIM(G74)&amp;"] ["&amp;TRIM(I74)&amp;"]"&amp;IF(H74="","","("&amp;H74&amp;")")&amp;" "&amp;TRIM(J74)&amp;IF(G75="","",","))</f>
        <v/>
      </c>
      <c r="AW74" s="27"/>
      <c r="AY74" s="122" t="str">
        <f t="shared" si="9"/>
        <v/>
      </c>
    </row>
    <row r="75" spans="2:51" ht="12.75">
      <c r="B75" s="20" t="str">
        <f t="shared" si="11"/>
        <v/>
      </c>
      <c r="C75" s="5"/>
      <c r="D75" s="5"/>
      <c r="E75" s="5"/>
      <c r="G75" s="5" t="str">
        <f t="shared" si="17"/>
        <v/>
      </c>
      <c r="H75" s="117" t="str">
        <f t="shared" si="13"/>
        <v/>
      </c>
      <c r="I75" s="5" t="str">
        <f t="shared" si="18"/>
        <v/>
      </c>
      <c r="J75" s="5" t="str">
        <f t="shared" si="19"/>
        <v/>
      </c>
      <c r="K75" s="5"/>
      <c r="L75" s="5"/>
      <c r="M75" s="75"/>
      <c r="N75" s="77"/>
      <c r="O75" s="26"/>
      <c r="P75" s="26"/>
      <c r="Q75" s="118" t="str">
        <f t="shared" si="20"/>
        <v/>
      </c>
      <c r="R75" s="153"/>
      <c r="S75" s="138" t="str">
        <f t="shared" si="10"/>
        <v/>
      </c>
      <c r="T75" s="148"/>
      <c r="U75" s="146"/>
      <c r="V75" s="146"/>
      <c r="W75" s="139"/>
      <c r="X75" s="139"/>
      <c r="Y75" s="148"/>
      <c r="Z75" s="138" t="str">
        <f t="shared" si="22"/>
        <v/>
      </c>
      <c r="AA75" s="138" t="str">
        <f t="shared" si="12"/>
        <v/>
      </c>
      <c r="AB75" s="239"/>
      <c r="AC75" s="325"/>
      <c r="AD75" s="325"/>
      <c r="AE75" s="325"/>
      <c r="AF75" s="325"/>
      <c r="AG75" s="325"/>
      <c r="AH75" s="325"/>
      <c r="AI75" s="325"/>
      <c r="AJ75" s="325"/>
      <c r="AK75" s="325"/>
      <c r="AL75" s="325"/>
      <c r="AM75" s="325"/>
      <c r="AN75" s="325"/>
      <c r="AO75" s="325"/>
      <c r="AP75" s="136"/>
      <c r="AQ75" s="136"/>
      <c r="AR75" s="136" t="str">
        <f t="shared" si="15"/>
        <v/>
      </c>
      <c r="AS75" s="136" t="str">
        <f t="shared" si="15"/>
        <v/>
      </c>
      <c r="AT75" s="5" t="str">
        <f t="shared" si="16"/>
        <v/>
      </c>
      <c r="AV75" s="27" t="str">
        <f>IF(G75="","",+"          ["&amp;TRIM(G75)&amp;"] ["&amp;TRIM(I75)&amp;"]"&amp;IF(H75="","","("&amp;H75&amp;")")&amp;" "&amp;TRIM(J75)&amp;IF(G94="","",","))</f>
        <v/>
      </c>
      <c r="AW75" s="27"/>
      <c r="AY75" s="122" t="str">
        <f t="shared" si="9"/>
        <v/>
      </c>
    </row>
    <row r="76" spans="2:51" ht="12.75">
      <c r="B76" s="20" t="str">
        <f t="shared" si="11"/>
        <v/>
      </c>
      <c r="C76" s="5"/>
      <c r="D76" s="5"/>
      <c r="E76" s="5"/>
      <c r="G76" s="5" t="str">
        <f t="shared" si="17"/>
        <v/>
      </c>
      <c r="H76" s="117" t="str">
        <f t="shared" si="13"/>
        <v/>
      </c>
      <c r="I76" s="5" t="str">
        <f t="shared" si="18"/>
        <v/>
      </c>
      <c r="J76" s="5" t="str">
        <f t="shared" si="19"/>
        <v/>
      </c>
      <c r="K76" s="5"/>
      <c r="L76" s="5"/>
      <c r="M76" s="75"/>
      <c r="N76" s="77"/>
      <c r="O76" s="26"/>
      <c r="P76" s="26"/>
      <c r="Q76" s="118" t="str">
        <f t="shared" si="20"/>
        <v/>
      </c>
      <c r="R76" s="153"/>
      <c r="S76" s="138" t="str">
        <f t="shared" si="10"/>
        <v/>
      </c>
      <c r="T76" s="148"/>
      <c r="U76" s="146"/>
      <c r="V76" s="146"/>
      <c r="W76" s="139"/>
      <c r="X76" s="139"/>
      <c r="Y76" s="148"/>
      <c r="Z76" s="138" t="str">
        <f t="shared" si="22"/>
        <v/>
      </c>
      <c r="AA76" s="138" t="str">
        <f t="shared" si="12"/>
        <v/>
      </c>
      <c r="AB76" s="239"/>
      <c r="AC76" s="325"/>
      <c r="AD76" s="325"/>
      <c r="AE76" s="325"/>
      <c r="AF76" s="325"/>
      <c r="AG76" s="325"/>
      <c r="AH76" s="325"/>
      <c r="AI76" s="325"/>
      <c r="AJ76" s="325"/>
      <c r="AK76" s="325"/>
      <c r="AL76" s="325"/>
      <c r="AM76" s="325"/>
      <c r="AN76" s="325"/>
      <c r="AO76" s="325"/>
      <c r="AP76" s="136"/>
      <c r="AQ76" s="136"/>
      <c r="AR76" s="136" t="str">
        <f t="shared" si="15"/>
        <v/>
      </c>
      <c r="AS76" s="136" t="str">
        <f t="shared" si="15"/>
        <v/>
      </c>
      <c r="AT76" s="5" t="str">
        <f t="shared" si="16"/>
        <v/>
      </c>
      <c r="AV76" s="27" t="str">
        <f>IF(G76="","",+"          ["&amp;TRIM(G76)&amp;"] ["&amp;TRIM(I76)&amp;"]"&amp;IF(H76="","","("&amp;H76&amp;")")&amp;" "&amp;TRIM(J76)&amp;IF(G77="","",","))</f>
        <v/>
      </c>
      <c r="AW76" s="27"/>
      <c r="AY76" s="122" t="str">
        <f t="shared" si="9"/>
        <v/>
      </c>
    </row>
    <row r="77" spans="2:51" ht="12.75">
      <c r="B77" s="20" t="str">
        <f t="shared" si="11"/>
        <v/>
      </c>
      <c r="C77" s="5"/>
      <c r="D77" s="5"/>
      <c r="E77" s="5"/>
      <c r="G77" s="5" t="str">
        <f t="shared" si="17"/>
        <v/>
      </c>
      <c r="H77" s="117" t="str">
        <f t="shared" si="13"/>
        <v/>
      </c>
      <c r="I77" s="5" t="str">
        <f t="shared" si="18"/>
        <v/>
      </c>
      <c r="J77" s="5" t="str">
        <f t="shared" si="19"/>
        <v/>
      </c>
      <c r="K77" s="5"/>
      <c r="L77" s="5"/>
      <c r="M77" s="75"/>
      <c r="N77" s="77"/>
      <c r="O77" s="26"/>
      <c r="P77" s="26"/>
      <c r="Q77" s="118" t="str">
        <f t="shared" si="20"/>
        <v/>
      </c>
      <c r="R77" s="153"/>
      <c r="S77" s="138" t="str">
        <f t="shared" si="10"/>
        <v/>
      </c>
      <c r="T77" s="148"/>
      <c r="U77" s="146"/>
      <c r="V77" s="146"/>
      <c r="W77" s="139"/>
      <c r="X77" s="139"/>
      <c r="Y77" s="148"/>
      <c r="Z77" s="138" t="str">
        <f t="shared" si="22"/>
        <v/>
      </c>
      <c r="AA77" s="138" t="str">
        <f t="shared" si="12"/>
        <v/>
      </c>
      <c r="AB77" s="239"/>
      <c r="AC77" s="325"/>
      <c r="AD77" s="325"/>
      <c r="AE77" s="325"/>
      <c r="AF77" s="325"/>
      <c r="AG77" s="325"/>
      <c r="AH77" s="325"/>
      <c r="AI77" s="325"/>
      <c r="AJ77" s="325"/>
      <c r="AK77" s="325"/>
      <c r="AL77" s="325"/>
      <c r="AM77" s="325"/>
      <c r="AN77" s="325"/>
      <c r="AO77" s="325"/>
      <c r="AP77" s="136"/>
      <c r="AQ77" s="136"/>
      <c r="AR77" s="136" t="str">
        <f t="shared" si="15"/>
        <v/>
      </c>
      <c r="AS77" s="136" t="str">
        <f t="shared" si="15"/>
        <v/>
      </c>
      <c r="AT77" s="5" t="str">
        <f t="shared" si="16"/>
        <v/>
      </c>
      <c r="AV77" s="27" t="str">
        <f>IF(G77="","",+"          ["&amp;TRIM(G77)&amp;"] ["&amp;TRIM(I77)&amp;"]"&amp;IF(H77="","","("&amp;H77&amp;")")&amp;" "&amp;TRIM(J77)&amp;IF(G78="","",","))</f>
        <v/>
      </c>
      <c r="AW77" s="27"/>
      <c r="AY77" s="122" t="str">
        <f t="shared" si="9"/>
        <v/>
      </c>
    </row>
    <row r="78" spans="2:51" ht="12.75">
      <c r="B78" s="20" t="str">
        <f t="shared" si="11"/>
        <v/>
      </c>
      <c r="C78" s="5"/>
      <c r="D78" s="5"/>
      <c r="E78" s="5"/>
      <c r="G78" s="5" t="str">
        <f t="shared" si="17"/>
        <v/>
      </c>
      <c r="H78" s="117" t="str">
        <f t="shared" si="13"/>
        <v/>
      </c>
      <c r="I78" s="5" t="str">
        <f t="shared" si="18"/>
        <v/>
      </c>
      <c r="J78" s="5" t="str">
        <f t="shared" si="19"/>
        <v/>
      </c>
      <c r="K78" s="5"/>
      <c r="L78" s="5"/>
      <c r="M78" s="75"/>
      <c r="N78" s="77"/>
      <c r="O78" s="26"/>
      <c r="P78" s="26"/>
      <c r="Q78" s="118" t="str">
        <f t="shared" si="20"/>
        <v/>
      </c>
      <c r="R78" s="153"/>
      <c r="S78" s="138" t="str">
        <f t="shared" si="10"/>
        <v/>
      </c>
      <c r="T78" s="148"/>
      <c r="U78" s="146"/>
      <c r="V78" s="146"/>
      <c r="W78" s="139"/>
      <c r="X78" s="139"/>
      <c r="Y78" s="148"/>
      <c r="Z78" s="138" t="str">
        <f t="shared" si="22"/>
        <v/>
      </c>
      <c r="AA78" s="138" t="str">
        <f t="shared" si="12"/>
        <v/>
      </c>
      <c r="AB78" s="239"/>
      <c r="AC78" s="325"/>
      <c r="AD78" s="325"/>
      <c r="AE78" s="325"/>
      <c r="AF78" s="325"/>
      <c r="AG78" s="325"/>
      <c r="AH78" s="325"/>
      <c r="AI78" s="325"/>
      <c r="AJ78" s="325"/>
      <c r="AK78" s="325"/>
      <c r="AL78" s="325"/>
      <c r="AM78" s="325"/>
      <c r="AN78" s="325"/>
      <c r="AO78" s="325"/>
      <c r="AP78" s="136"/>
      <c r="AQ78" s="136"/>
      <c r="AR78" s="136" t="str">
        <f t="shared" si="15"/>
        <v/>
      </c>
      <c r="AS78" s="136" t="str">
        <f t="shared" si="15"/>
        <v/>
      </c>
      <c r="AT78" s="5" t="str">
        <f t="shared" si="16"/>
        <v/>
      </c>
      <c r="AV78" s="27" t="str">
        <f>IF(G78="","",+"          ["&amp;TRIM(G78)&amp;"] ["&amp;TRIM(I78)&amp;"]"&amp;IF(H78="","","("&amp;H78&amp;")")&amp;" "&amp;TRIM(J78)&amp;IF(G93="","",","))</f>
        <v/>
      </c>
      <c r="AW78" s="27"/>
      <c r="AY78" s="122" t="str">
        <f t="shared" si="9"/>
        <v/>
      </c>
    </row>
    <row r="79" spans="2:51" ht="12.75">
      <c r="B79" s="20" t="str">
        <f t="shared" si="11"/>
        <v/>
      </c>
      <c r="C79" s="5"/>
      <c r="D79" s="5"/>
      <c r="E79" s="5"/>
      <c r="G79" s="5" t="str">
        <f t="shared" si="17"/>
        <v/>
      </c>
      <c r="H79" s="117" t="str">
        <f t="shared" si="13"/>
        <v/>
      </c>
      <c r="I79" s="5" t="str">
        <f t="shared" si="18"/>
        <v/>
      </c>
      <c r="J79" s="5" t="str">
        <f t="shared" si="19"/>
        <v/>
      </c>
      <c r="K79" s="5"/>
      <c r="L79" s="5"/>
      <c r="M79" s="75"/>
      <c r="N79" s="77"/>
      <c r="O79" s="26"/>
      <c r="P79" s="26"/>
      <c r="Q79" s="118" t="str">
        <f t="shared" si="20"/>
        <v/>
      </c>
      <c r="R79" s="153"/>
      <c r="S79" s="138" t="str">
        <f t="shared" si="10"/>
        <v/>
      </c>
      <c r="T79" s="148"/>
      <c r="U79" s="146"/>
      <c r="V79" s="146"/>
      <c r="W79" s="139"/>
      <c r="X79" s="139"/>
      <c r="Y79" s="148"/>
      <c r="Z79" s="138" t="str">
        <f t="shared" si="22"/>
        <v/>
      </c>
      <c r="AA79" s="138" t="str">
        <f t="shared" si="12"/>
        <v/>
      </c>
      <c r="AB79" s="239"/>
      <c r="AC79" s="325"/>
      <c r="AD79" s="325"/>
      <c r="AE79" s="325"/>
      <c r="AF79" s="325"/>
      <c r="AG79" s="325"/>
      <c r="AH79" s="325"/>
      <c r="AI79" s="325"/>
      <c r="AJ79" s="325"/>
      <c r="AK79" s="325"/>
      <c r="AL79" s="325"/>
      <c r="AM79" s="325"/>
      <c r="AN79" s="325"/>
      <c r="AO79" s="325"/>
      <c r="AP79" s="136"/>
      <c r="AQ79" s="136"/>
      <c r="AR79" s="136" t="str">
        <f t="shared" si="15"/>
        <v/>
      </c>
      <c r="AS79" s="136" t="str">
        <f t="shared" si="15"/>
        <v/>
      </c>
      <c r="AT79" s="5" t="str">
        <f t="shared" si="16"/>
        <v/>
      </c>
      <c r="AV79" s="27" t="str">
        <f>IF(G79="","",+"          ["&amp;TRIM(G79)&amp;"] ["&amp;TRIM(I79)&amp;"]"&amp;IF(H79="","","("&amp;H79&amp;")")&amp;" "&amp;TRIM(J79)&amp;IF(G80="","",","))</f>
        <v/>
      </c>
      <c r="AW79" s="27"/>
      <c r="AY79" s="122" t="str">
        <f t="shared" si="9"/>
        <v/>
      </c>
    </row>
    <row r="80" spans="2:51" ht="12.75">
      <c r="B80" s="20" t="str">
        <f t="shared" si="11"/>
        <v/>
      </c>
      <c r="C80" s="5"/>
      <c r="D80" s="5"/>
      <c r="E80" s="5"/>
      <c r="G80" s="5" t="str">
        <f t="shared" si="17"/>
        <v/>
      </c>
      <c r="H80" s="117" t="str">
        <f t="shared" si="13"/>
        <v/>
      </c>
      <c r="I80" s="5" t="str">
        <f t="shared" si="18"/>
        <v/>
      </c>
      <c r="J80" s="5" t="str">
        <f t="shared" si="19"/>
        <v/>
      </c>
      <c r="K80" s="5"/>
      <c r="L80" s="5"/>
      <c r="M80" s="75"/>
      <c r="N80" s="77"/>
      <c r="O80" s="26"/>
      <c r="P80" s="26"/>
      <c r="Q80" s="118" t="str">
        <f t="shared" si="20"/>
        <v/>
      </c>
      <c r="R80" s="153"/>
      <c r="S80" s="138" t="str">
        <f t="shared" si="10"/>
        <v/>
      </c>
      <c r="T80" s="148"/>
      <c r="U80" s="146"/>
      <c r="V80" s="146"/>
      <c r="W80" s="139"/>
      <c r="X80" s="139"/>
      <c r="Y80" s="148"/>
      <c r="Z80" s="138" t="str">
        <f t="shared" si="22"/>
        <v/>
      </c>
      <c r="AA80" s="138" t="str">
        <f t="shared" si="12"/>
        <v/>
      </c>
      <c r="AB80" s="239"/>
      <c r="AC80" s="325"/>
      <c r="AD80" s="325"/>
      <c r="AE80" s="325"/>
      <c r="AF80" s="325"/>
      <c r="AG80" s="325"/>
      <c r="AH80" s="325"/>
      <c r="AI80" s="325"/>
      <c r="AJ80" s="325"/>
      <c r="AK80" s="325"/>
      <c r="AL80" s="325"/>
      <c r="AM80" s="325"/>
      <c r="AN80" s="325"/>
      <c r="AO80" s="325"/>
      <c r="AP80" s="136"/>
      <c r="AQ80" s="136"/>
      <c r="AR80" s="136" t="str">
        <f t="shared" ref="AR80:AS115" si="23">IF(O80=0,"",ROW())</f>
        <v/>
      </c>
      <c r="AS80" s="136" t="str">
        <f t="shared" si="23"/>
        <v/>
      </c>
      <c r="AT80" s="5" t="str">
        <f t="shared" ref="AT80:AT116" si="24">IF(C80="","",C80&amp;IF(B81="","",","))</f>
        <v/>
      </c>
      <c r="AV80" s="27" t="str">
        <f>IF(G80="","",+"          ["&amp;TRIM(G80)&amp;"] ["&amp;TRIM(I80)&amp;"]"&amp;IF(H80="","","("&amp;H80&amp;")")&amp;" "&amp;TRIM(J80)&amp;IF(G83="","",","))</f>
        <v/>
      </c>
      <c r="AW80" s="27"/>
      <c r="AY80" s="122"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7" t="str">
        <f t="shared" si="13"/>
        <v/>
      </c>
      <c r="I81" s="5" t="str">
        <f t="shared" si="18"/>
        <v/>
      </c>
      <c r="J81" s="5" t="str">
        <f t="shared" si="19"/>
        <v/>
      </c>
      <c r="K81" s="5"/>
      <c r="L81" s="5"/>
      <c r="M81" s="75"/>
      <c r="N81" s="77"/>
      <c r="O81" s="26"/>
      <c r="P81" s="26"/>
      <c r="Q81" s="118" t="str">
        <f t="shared" si="20"/>
        <v/>
      </c>
      <c r="R81" s="153"/>
      <c r="S81" s="138" t="str">
        <f t="shared" ref="S81:S115" si="26">IF(K81=0,"",K81)</f>
        <v/>
      </c>
      <c r="T81" s="148"/>
      <c r="U81" s="146"/>
      <c r="V81" s="146"/>
      <c r="W81" s="139"/>
      <c r="X81" s="139"/>
      <c r="Y81" s="148"/>
      <c r="Z81" s="138" t="str">
        <f t="shared" si="22"/>
        <v/>
      </c>
      <c r="AA81" s="138" t="str">
        <f t="shared" si="12"/>
        <v/>
      </c>
      <c r="AB81" s="239"/>
      <c r="AC81" s="325"/>
      <c r="AD81" s="325"/>
      <c r="AE81" s="325"/>
      <c r="AF81" s="325"/>
      <c r="AG81" s="325"/>
      <c r="AH81" s="325"/>
      <c r="AI81" s="325"/>
      <c r="AJ81" s="325"/>
      <c r="AK81" s="325"/>
      <c r="AL81" s="325"/>
      <c r="AM81" s="325"/>
      <c r="AN81" s="325"/>
      <c r="AO81" s="325"/>
      <c r="AP81" s="136"/>
      <c r="AQ81" s="136"/>
      <c r="AR81" s="136" t="str">
        <f t="shared" si="23"/>
        <v/>
      </c>
      <c r="AS81" s="136" t="str">
        <f t="shared" si="23"/>
        <v/>
      </c>
      <c r="AT81" s="5" t="str">
        <f t="shared" si="24"/>
        <v/>
      </c>
      <c r="AV81" s="27" t="str">
        <f>IF(G81="","",+"          ["&amp;TRIM(G81)&amp;"] ["&amp;TRIM(I81)&amp;"]"&amp;IF(H81="","","("&amp;H81&amp;")")&amp;" "&amp;TRIM(J81)&amp;IF(G82="","",","))</f>
        <v/>
      </c>
      <c r="AW81" s="27"/>
      <c r="AY81" s="122" t="str">
        <f t="shared" si="25"/>
        <v/>
      </c>
    </row>
    <row r="82" spans="2:51" ht="12.75">
      <c r="B82" s="20" t="str">
        <f t="shared" ref="B82:B115" si="27">IF(C82=0,"",+B81+1)</f>
        <v/>
      </c>
      <c r="C82" s="5"/>
      <c r="D82" s="5"/>
      <c r="E82" s="5"/>
      <c r="G82" s="5" t="str">
        <f t="shared" si="17"/>
        <v/>
      </c>
      <c r="H82" s="117" t="str">
        <f t="shared" si="13"/>
        <v/>
      </c>
      <c r="I82" s="5" t="str">
        <f t="shared" si="18"/>
        <v/>
      </c>
      <c r="J82" s="5" t="str">
        <f t="shared" si="19"/>
        <v/>
      </c>
      <c r="K82" s="5"/>
      <c r="L82" s="5"/>
      <c r="M82" s="75"/>
      <c r="N82" s="77"/>
      <c r="O82" s="26"/>
      <c r="P82" s="26"/>
      <c r="Q82" s="118" t="str">
        <f t="shared" si="20"/>
        <v/>
      </c>
      <c r="R82" s="153"/>
      <c r="S82" s="138" t="str">
        <f t="shared" si="26"/>
        <v/>
      </c>
      <c r="T82" s="148"/>
      <c r="U82" s="146"/>
      <c r="V82" s="146"/>
      <c r="W82" s="139"/>
      <c r="X82" s="139"/>
      <c r="Y82" s="148"/>
      <c r="Z82" s="138" t="str">
        <f t="shared" si="22"/>
        <v/>
      </c>
      <c r="AA82" s="138" t="str">
        <f t="shared" ref="AA82:AA115" si="28">IF($C$120=B82,"asc","")</f>
        <v/>
      </c>
      <c r="AB82" s="239"/>
      <c r="AC82" s="325"/>
      <c r="AD82" s="325"/>
      <c r="AE82" s="325"/>
      <c r="AF82" s="325"/>
      <c r="AG82" s="325"/>
      <c r="AH82" s="325"/>
      <c r="AI82" s="325"/>
      <c r="AJ82" s="325"/>
      <c r="AK82" s="325"/>
      <c r="AL82" s="325"/>
      <c r="AM82" s="325"/>
      <c r="AN82" s="325"/>
      <c r="AO82" s="325"/>
      <c r="AP82" s="136"/>
      <c r="AQ82" s="136"/>
      <c r="AR82" s="136" t="str">
        <f t="shared" si="23"/>
        <v/>
      </c>
      <c r="AS82" s="136" t="str">
        <f t="shared" si="23"/>
        <v/>
      </c>
      <c r="AT82" s="5" t="str">
        <f t="shared" si="24"/>
        <v/>
      </c>
      <c r="AV82" s="27" t="str">
        <f>IF(G82="","",+"          ["&amp;TRIM(G82)&amp;"] ["&amp;TRIM(I82)&amp;"]"&amp;IF(H82="","","("&amp;H82&amp;")")&amp;" "&amp;TRIM(J82)&amp;IF(G83="","",","))</f>
        <v/>
      </c>
      <c r="AW82" s="27"/>
      <c r="AY82" s="122" t="str">
        <f t="shared" si="25"/>
        <v/>
      </c>
    </row>
    <row r="83" spans="2:51" ht="12.75">
      <c r="B83" s="20" t="str">
        <f t="shared" si="27"/>
        <v/>
      </c>
      <c r="C83" s="5"/>
      <c r="D83" s="5"/>
      <c r="E83" s="5"/>
      <c r="G83" s="5" t="str">
        <f t="shared" si="17"/>
        <v/>
      </c>
      <c r="H83" s="117" t="str">
        <f t="shared" si="13"/>
        <v/>
      </c>
      <c r="I83" s="5" t="str">
        <f t="shared" si="18"/>
        <v/>
      </c>
      <c r="J83" s="5" t="str">
        <f t="shared" si="19"/>
        <v/>
      </c>
      <c r="K83" s="5"/>
      <c r="L83" s="5"/>
      <c r="M83" s="75"/>
      <c r="N83" s="77"/>
      <c r="O83" s="26"/>
      <c r="P83" s="26"/>
      <c r="Q83" s="118" t="str">
        <f t="shared" si="20"/>
        <v/>
      </c>
      <c r="R83" s="153"/>
      <c r="S83" s="138" t="str">
        <f t="shared" si="26"/>
        <v/>
      </c>
      <c r="T83" s="148"/>
      <c r="U83" s="146"/>
      <c r="V83" s="146"/>
      <c r="W83" s="139"/>
      <c r="X83" s="139"/>
      <c r="Y83" s="148"/>
      <c r="Z83" s="138" t="str">
        <f t="shared" si="22"/>
        <v/>
      </c>
      <c r="AA83" s="138" t="str">
        <f t="shared" si="28"/>
        <v/>
      </c>
      <c r="AB83" s="239"/>
      <c r="AC83" s="325"/>
      <c r="AD83" s="325"/>
      <c r="AE83" s="325"/>
      <c r="AF83" s="325"/>
      <c r="AG83" s="325"/>
      <c r="AH83" s="325"/>
      <c r="AI83" s="325"/>
      <c r="AJ83" s="325"/>
      <c r="AK83" s="325"/>
      <c r="AL83" s="325"/>
      <c r="AM83" s="325"/>
      <c r="AN83" s="325"/>
      <c r="AO83" s="325"/>
      <c r="AP83" s="136"/>
      <c r="AQ83" s="136"/>
      <c r="AR83" s="136" t="str">
        <f t="shared" si="23"/>
        <v/>
      </c>
      <c r="AS83" s="136" t="str">
        <f t="shared" si="23"/>
        <v/>
      </c>
      <c r="AT83" s="5" t="str">
        <f t="shared" si="24"/>
        <v/>
      </c>
      <c r="AV83" s="27" t="str">
        <f>IF(G83="","",+"          ["&amp;TRIM(G83)&amp;"] ["&amp;TRIM(I83)&amp;"]"&amp;IF(H83="","","("&amp;H83&amp;")")&amp;" "&amp;TRIM(J83)&amp;IF(G93="","",","))</f>
        <v/>
      </c>
      <c r="AW83" s="27"/>
      <c r="AY83" s="122" t="str">
        <f t="shared" si="25"/>
        <v/>
      </c>
    </row>
    <row r="84" spans="2:51" ht="12.75">
      <c r="B84" s="20" t="str">
        <f t="shared" si="27"/>
        <v/>
      </c>
      <c r="C84" s="5"/>
      <c r="D84" s="5"/>
      <c r="E84" s="5"/>
      <c r="G84" s="5" t="str">
        <f t="shared" si="17"/>
        <v/>
      </c>
      <c r="H84" s="117" t="str">
        <f t="shared" si="13"/>
        <v/>
      </c>
      <c r="I84" s="5" t="str">
        <f t="shared" si="18"/>
        <v/>
      </c>
      <c r="J84" s="5" t="str">
        <f t="shared" si="19"/>
        <v/>
      </c>
      <c r="K84" s="5"/>
      <c r="L84" s="5"/>
      <c r="M84" s="75"/>
      <c r="N84" s="77"/>
      <c r="O84" s="26"/>
      <c r="P84" s="26"/>
      <c r="Q84" s="118" t="str">
        <f t="shared" si="20"/>
        <v/>
      </c>
      <c r="R84" s="153"/>
      <c r="S84" s="138" t="str">
        <f t="shared" si="26"/>
        <v/>
      </c>
      <c r="T84" s="148"/>
      <c r="U84" s="146"/>
      <c r="V84" s="146"/>
      <c r="W84" s="139"/>
      <c r="X84" s="139"/>
      <c r="Y84" s="148"/>
      <c r="Z84" s="138" t="str">
        <f t="shared" si="22"/>
        <v/>
      </c>
      <c r="AA84" s="138" t="str">
        <f t="shared" si="28"/>
        <v/>
      </c>
      <c r="AB84" s="239"/>
      <c r="AC84" s="325"/>
      <c r="AD84" s="325"/>
      <c r="AE84" s="325"/>
      <c r="AF84" s="325"/>
      <c r="AG84" s="325"/>
      <c r="AH84" s="325"/>
      <c r="AI84" s="325"/>
      <c r="AJ84" s="325"/>
      <c r="AK84" s="325"/>
      <c r="AL84" s="325"/>
      <c r="AM84" s="325"/>
      <c r="AN84" s="325"/>
      <c r="AO84" s="325"/>
      <c r="AP84" s="136"/>
      <c r="AQ84" s="136"/>
      <c r="AR84" s="136" t="str">
        <f t="shared" si="23"/>
        <v/>
      </c>
      <c r="AS84" s="136" t="str">
        <f t="shared" si="23"/>
        <v/>
      </c>
      <c r="AT84" s="5" t="str">
        <f t="shared" si="24"/>
        <v/>
      </c>
      <c r="AV84" s="27" t="str">
        <f>IF(G84="","",+"          ["&amp;TRIM(G84)&amp;"] ["&amp;TRIM(I84)&amp;"]"&amp;IF(H84="","","("&amp;H84&amp;")")&amp;" "&amp;TRIM(J84)&amp;IF(G85="","",","))</f>
        <v/>
      </c>
      <c r="AW84" s="27"/>
      <c r="AY84" s="122" t="str">
        <f t="shared" si="25"/>
        <v/>
      </c>
    </row>
    <row r="85" spans="2:51" ht="12.75">
      <c r="B85" s="20" t="str">
        <f t="shared" si="27"/>
        <v/>
      </c>
      <c r="C85" s="5"/>
      <c r="D85" s="5"/>
      <c r="E85" s="5"/>
      <c r="G85" s="5" t="str">
        <f t="shared" si="17"/>
        <v/>
      </c>
      <c r="H85" s="117" t="str">
        <f t="shared" si="13"/>
        <v/>
      </c>
      <c r="I85" s="5" t="str">
        <f t="shared" si="18"/>
        <v/>
      </c>
      <c r="J85" s="5" t="str">
        <f t="shared" si="19"/>
        <v/>
      </c>
      <c r="K85" s="5"/>
      <c r="L85" s="5"/>
      <c r="M85" s="75"/>
      <c r="N85" s="77"/>
      <c r="O85" s="26"/>
      <c r="P85" s="26"/>
      <c r="Q85" s="118" t="str">
        <f t="shared" si="20"/>
        <v/>
      </c>
      <c r="R85" s="153"/>
      <c r="S85" s="138" t="str">
        <f t="shared" si="26"/>
        <v/>
      </c>
      <c r="T85" s="148"/>
      <c r="U85" s="146"/>
      <c r="V85" s="146"/>
      <c r="W85" s="139"/>
      <c r="X85" s="139"/>
      <c r="Y85" s="148"/>
      <c r="Z85" s="138" t="str">
        <f t="shared" si="22"/>
        <v/>
      </c>
      <c r="AA85" s="138" t="str">
        <f t="shared" si="28"/>
        <v/>
      </c>
      <c r="AB85" s="239"/>
      <c r="AC85" s="325"/>
      <c r="AD85" s="325"/>
      <c r="AE85" s="325"/>
      <c r="AF85" s="325"/>
      <c r="AG85" s="325"/>
      <c r="AH85" s="325"/>
      <c r="AI85" s="325"/>
      <c r="AJ85" s="325"/>
      <c r="AK85" s="325"/>
      <c r="AL85" s="325"/>
      <c r="AM85" s="325"/>
      <c r="AN85" s="325"/>
      <c r="AO85" s="325"/>
      <c r="AP85" s="136"/>
      <c r="AQ85" s="136"/>
      <c r="AR85" s="136" t="str">
        <f t="shared" si="23"/>
        <v/>
      </c>
      <c r="AS85" s="136" t="str">
        <f t="shared" si="23"/>
        <v/>
      </c>
      <c r="AT85" s="5" t="str">
        <f t="shared" si="24"/>
        <v/>
      </c>
      <c r="AV85" s="27" t="str">
        <f>IF(G85="","",+"          ["&amp;TRIM(G85)&amp;"] ["&amp;TRIM(I85)&amp;"]"&amp;IF(H85="","","("&amp;H85&amp;")")&amp;" "&amp;TRIM(J85)&amp;IF(G86="","",","))</f>
        <v/>
      </c>
      <c r="AW85" s="27"/>
      <c r="AY85" s="122" t="str">
        <f t="shared" si="25"/>
        <v/>
      </c>
    </row>
    <row r="86" spans="2:51" ht="12.75">
      <c r="B86" s="20" t="str">
        <f t="shared" si="27"/>
        <v/>
      </c>
      <c r="C86" s="5"/>
      <c r="D86" s="5"/>
      <c r="E86" s="5"/>
      <c r="G86" s="5" t="str">
        <f t="shared" si="17"/>
        <v/>
      </c>
      <c r="H86" s="117" t="str">
        <f t="shared" si="13"/>
        <v/>
      </c>
      <c r="I86" s="5" t="str">
        <f t="shared" si="18"/>
        <v/>
      </c>
      <c r="J86" s="5" t="str">
        <f t="shared" si="19"/>
        <v/>
      </c>
      <c r="K86" s="5"/>
      <c r="L86" s="5"/>
      <c r="M86" s="75"/>
      <c r="N86" s="77"/>
      <c r="O86" s="26"/>
      <c r="P86" s="26"/>
      <c r="Q86" s="118" t="str">
        <f t="shared" si="20"/>
        <v/>
      </c>
      <c r="R86" s="153"/>
      <c r="S86" s="138" t="str">
        <f t="shared" si="26"/>
        <v/>
      </c>
      <c r="T86" s="148"/>
      <c r="U86" s="146"/>
      <c r="V86" s="146"/>
      <c r="W86" s="139"/>
      <c r="X86" s="139"/>
      <c r="Y86" s="148"/>
      <c r="Z86" s="138" t="str">
        <f t="shared" si="22"/>
        <v/>
      </c>
      <c r="AA86" s="138" t="str">
        <f t="shared" si="28"/>
        <v/>
      </c>
      <c r="AB86" s="239"/>
      <c r="AC86" s="325"/>
      <c r="AD86" s="325"/>
      <c r="AE86" s="325"/>
      <c r="AF86" s="325"/>
      <c r="AG86" s="325"/>
      <c r="AH86" s="325"/>
      <c r="AI86" s="325"/>
      <c r="AJ86" s="325"/>
      <c r="AK86" s="325"/>
      <c r="AL86" s="325"/>
      <c r="AM86" s="325"/>
      <c r="AN86" s="325"/>
      <c r="AO86" s="325"/>
      <c r="AP86" s="136"/>
      <c r="AQ86" s="136"/>
      <c r="AR86" s="136" t="str">
        <f t="shared" si="23"/>
        <v/>
      </c>
      <c r="AS86" s="136" t="str">
        <f t="shared" si="23"/>
        <v/>
      </c>
      <c r="AT86" s="5" t="str">
        <f t="shared" si="24"/>
        <v/>
      </c>
      <c r="AV86" s="27" t="str">
        <f>IF(G86="","",+"          ["&amp;TRIM(G86)&amp;"] ["&amp;TRIM(I86)&amp;"]"&amp;IF(H86="","","("&amp;H86&amp;")")&amp;" "&amp;TRIM(J86)&amp;IF(G87="","",","))</f>
        <v/>
      </c>
      <c r="AW86" s="27"/>
      <c r="AY86" s="122" t="str">
        <f t="shared" si="25"/>
        <v/>
      </c>
    </row>
    <row r="87" spans="2:51" ht="12.75">
      <c r="B87" s="20" t="str">
        <f t="shared" si="27"/>
        <v/>
      </c>
      <c r="C87" s="5"/>
      <c r="D87" s="5"/>
      <c r="E87" s="5"/>
      <c r="G87" s="5" t="str">
        <f t="shared" si="17"/>
        <v/>
      </c>
      <c r="H87" s="117" t="str">
        <f t="shared" ref="H87:H115" si="29">IF(IFERROR(FIND("varchar",E87),0)&gt;0,IF(D87&gt;8000,"max",D87),"")</f>
        <v/>
      </c>
      <c r="I87" s="5" t="str">
        <f t="shared" si="18"/>
        <v/>
      </c>
      <c r="J87" s="5" t="str">
        <f t="shared" si="19"/>
        <v/>
      </c>
      <c r="K87" s="5"/>
      <c r="L87" s="5"/>
      <c r="M87" s="75"/>
      <c r="N87" s="77"/>
      <c r="O87" s="26"/>
      <c r="P87" s="26"/>
      <c r="Q87" s="118" t="str">
        <f t="shared" si="20"/>
        <v/>
      </c>
      <c r="R87" s="153"/>
      <c r="S87" s="138" t="str">
        <f t="shared" si="26"/>
        <v/>
      </c>
      <c r="T87" s="148"/>
      <c r="U87" s="146"/>
      <c r="V87" s="146"/>
      <c r="W87" s="139"/>
      <c r="X87" s="139"/>
      <c r="Y87" s="148"/>
      <c r="Z87" s="138" t="str">
        <f t="shared" si="22"/>
        <v/>
      </c>
      <c r="AA87" s="138" t="str">
        <f t="shared" si="28"/>
        <v/>
      </c>
      <c r="AB87" s="239"/>
      <c r="AC87" s="325"/>
      <c r="AD87" s="325"/>
      <c r="AE87" s="325"/>
      <c r="AF87" s="325"/>
      <c r="AG87" s="325"/>
      <c r="AH87" s="325"/>
      <c r="AI87" s="325"/>
      <c r="AJ87" s="325"/>
      <c r="AK87" s="325"/>
      <c r="AL87" s="325"/>
      <c r="AM87" s="325"/>
      <c r="AN87" s="325"/>
      <c r="AO87" s="325"/>
      <c r="AP87" s="136"/>
      <c r="AQ87" s="136"/>
      <c r="AR87" s="136" t="str">
        <f t="shared" si="23"/>
        <v/>
      </c>
      <c r="AS87" s="136" t="str">
        <f t="shared" si="23"/>
        <v/>
      </c>
      <c r="AT87" s="5" t="str">
        <f t="shared" si="24"/>
        <v/>
      </c>
      <c r="AV87" s="27" t="str">
        <f>IF(G87="","",+"          ["&amp;TRIM(G87)&amp;"] ["&amp;TRIM(I87)&amp;"]"&amp;IF(H87="","","("&amp;H87&amp;")")&amp;" "&amp;TRIM(J87)&amp;IF(G93="","",","))</f>
        <v/>
      </c>
      <c r="AW87" s="27"/>
      <c r="AY87" s="122" t="str">
        <f t="shared" si="25"/>
        <v/>
      </c>
    </row>
    <row r="88" spans="2:51" ht="12.75">
      <c r="B88" s="20" t="str">
        <f t="shared" si="27"/>
        <v/>
      </c>
      <c r="C88" s="5"/>
      <c r="D88" s="5"/>
      <c r="E88" s="5"/>
      <c r="G88" s="5" t="str">
        <f t="shared" si="17"/>
        <v/>
      </c>
      <c r="H88" s="117" t="str">
        <f t="shared" si="29"/>
        <v/>
      </c>
      <c r="I88" s="5" t="str">
        <f t="shared" si="18"/>
        <v/>
      </c>
      <c r="J88" s="5" t="str">
        <f t="shared" si="19"/>
        <v/>
      </c>
      <c r="K88" s="5"/>
      <c r="L88" s="5"/>
      <c r="M88" s="75"/>
      <c r="N88" s="77"/>
      <c r="O88" s="26"/>
      <c r="P88" s="26"/>
      <c r="Q88" s="118" t="str">
        <f t="shared" si="20"/>
        <v/>
      </c>
      <c r="R88" s="153"/>
      <c r="S88" s="138" t="str">
        <f t="shared" si="26"/>
        <v/>
      </c>
      <c r="T88" s="148"/>
      <c r="U88" s="146"/>
      <c r="V88" s="146"/>
      <c r="W88" s="139"/>
      <c r="X88" s="139"/>
      <c r="Y88" s="148"/>
      <c r="Z88" s="138" t="str">
        <f t="shared" si="22"/>
        <v/>
      </c>
      <c r="AA88" s="138" t="str">
        <f t="shared" si="28"/>
        <v/>
      </c>
      <c r="AB88" s="239"/>
      <c r="AC88" s="325"/>
      <c r="AD88" s="325"/>
      <c r="AE88" s="325"/>
      <c r="AF88" s="325"/>
      <c r="AG88" s="325"/>
      <c r="AH88" s="325"/>
      <c r="AI88" s="325"/>
      <c r="AJ88" s="325"/>
      <c r="AK88" s="325"/>
      <c r="AL88" s="325"/>
      <c r="AM88" s="325"/>
      <c r="AN88" s="325"/>
      <c r="AO88" s="325"/>
      <c r="AP88" s="136"/>
      <c r="AQ88" s="136"/>
      <c r="AR88" s="136" t="str">
        <f t="shared" si="23"/>
        <v/>
      </c>
      <c r="AS88" s="136" t="str">
        <f t="shared" si="23"/>
        <v/>
      </c>
      <c r="AT88" s="5" t="str">
        <f t="shared" si="24"/>
        <v/>
      </c>
      <c r="AV88" s="27" t="str">
        <f>IF(G88="","",+"          ["&amp;TRIM(G88)&amp;"] ["&amp;TRIM(I88)&amp;"]"&amp;IF(H88="","","("&amp;H88&amp;")")&amp;" "&amp;TRIM(J88)&amp;IF(G89="","",","))</f>
        <v/>
      </c>
      <c r="AW88" s="27"/>
      <c r="AY88" s="122" t="str">
        <f t="shared" si="25"/>
        <v/>
      </c>
    </row>
    <row r="89" spans="2:51" ht="12.75">
      <c r="B89" s="20" t="str">
        <f t="shared" si="27"/>
        <v/>
      </c>
      <c r="C89" s="5"/>
      <c r="D89" s="5"/>
      <c r="E89" s="5"/>
      <c r="G89" s="5" t="str">
        <f t="shared" si="17"/>
        <v/>
      </c>
      <c r="H89" s="117" t="str">
        <f t="shared" si="29"/>
        <v/>
      </c>
      <c r="I89" s="5" t="str">
        <f t="shared" si="18"/>
        <v/>
      </c>
      <c r="J89" s="5" t="str">
        <f t="shared" si="19"/>
        <v/>
      </c>
      <c r="K89" s="5"/>
      <c r="L89" s="5"/>
      <c r="M89" s="75"/>
      <c r="N89" s="77"/>
      <c r="O89" s="26"/>
      <c r="P89" s="26"/>
      <c r="Q89" s="118" t="str">
        <f t="shared" si="20"/>
        <v/>
      </c>
      <c r="R89" s="153"/>
      <c r="S89" s="138" t="str">
        <f t="shared" si="26"/>
        <v/>
      </c>
      <c r="T89" s="148"/>
      <c r="U89" s="146"/>
      <c r="V89" s="146"/>
      <c r="W89" s="139"/>
      <c r="X89" s="139"/>
      <c r="Y89" s="148"/>
      <c r="Z89" s="138" t="str">
        <f t="shared" si="22"/>
        <v/>
      </c>
      <c r="AA89" s="138" t="str">
        <f t="shared" si="28"/>
        <v/>
      </c>
      <c r="AB89" s="239"/>
      <c r="AC89" s="325"/>
      <c r="AD89" s="325"/>
      <c r="AE89" s="325"/>
      <c r="AF89" s="325"/>
      <c r="AG89" s="325"/>
      <c r="AH89" s="325"/>
      <c r="AI89" s="325"/>
      <c r="AJ89" s="325"/>
      <c r="AK89" s="325"/>
      <c r="AL89" s="325"/>
      <c r="AM89" s="325"/>
      <c r="AN89" s="325"/>
      <c r="AO89" s="325"/>
      <c r="AP89" s="136"/>
      <c r="AQ89" s="136"/>
      <c r="AR89" s="136" t="str">
        <f t="shared" si="23"/>
        <v/>
      </c>
      <c r="AS89" s="136" t="str">
        <f t="shared" si="23"/>
        <v/>
      </c>
      <c r="AT89" s="5" t="str">
        <f t="shared" si="24"/>
        <v/>
      </c>
      <c r="AV89" s="27" t="str">
        <f>IF(G89="","",+"          ["&amp;TRIM(G89)&amp;"] ["&amp;TRIM(I89)&amp;"]"&amp;IF(H89="","","("&amp;H89&amp;")")&amp;" "&amp;TRIM(J89)&amp;IF(G92="","",","))</f>
        <v/>
      </c>
      <c r="AW89" s="27"/>
      <c r="AY89" s="122" t="str">
        <f t="shared" si="25"/>
        <v/>
      </c>
    </row>
    <row r="90" spans="2:51" ht="12.75">
      <c r="B90" s="20" t="str">
        <f t="shared" si="27"/>
        <v/>
      </c>
      <c r="C90" s="5"/>
      <c r="D90" s="5"/>
      <c r="E90" s="5"/>
      <c r="G90" s="5" t="str">
        <f t="shared" si="17"/>
        <v/>
      </c>
      <c r="H90" s="117" t="str">
        <f t="shared" si="29"/>
        <v/>
      </c>
      <c r="I90" s="5" t="str">
        <f t="shared" si="18"/>
        <v/>
      </c>
      <c r="J90" s="5" t="str">
        <f t="shared" si="19"/>
        <v/>
      </c>
      <c r="K90" s="5"/>
      <c r="L90" s="5"/>
      <c r="M90" s="75"/>
      <c r="N90" s="77"/>
      <c r="O90" s="26"/>
      <c r="P90" s="26"/>
      <c r="Q90" s="118" t="str">
        <f t="shared" si="20"/>
        <v/>
      </c>
      <c r="R90" s="153"/>
      <c r="S90" s="138" t="str">
        <f t="shared" si="26"/>
        <v/>
      </c>
      <c r="T90" s="148"/>
      <c r="U90" s="146"/>
      <c r="V90" s="146"/>
      <c r="W90" s="139"/>
      <c r="X90" s="139"/>
      <c r="Y90" s="148"/>
      <c r="Z90" s="138" t="str">
        <f t="shared" si="22"/>
        <v/>
      </c>
      <c r="AA90" s="138" t="str">
        <f t="shared" si="28"/>
        <v/>
      </c>
      <c r="AB90" s="239"/>
      <c r="AC90" s="325"/>
      <c r="AD90" s="325"/>
      <c r="AE90" s="325"/>
      <c r="AF90" s="325"/>
      <c r="AG90" s="325"/>
      <c r="AH90" s="325"/>
      <c r="AI90" s="325"/>
      <c r="AJ90" s="325"/>
      <c r="AK90" s="325"/>
      <c r="AL90" s="325"/>
      <c r="AM90" s="325"/>
      <c r="AN90" s="325"/>
      <c r="AO90" s="325"/>
      <c r="AP90" s="136"/>
      <c r="AQ90" s="136"/>
      <c r="AR90" s="136" t="str">
        <f t="shared" si="23"/>
        <v/>
      </c>
      <c r="AS90" s="136" t="str">
        <f t="shared" si="23"/>
        <v/>
      </c>
      <c r="AT90" s="5" t="str">
        <f t="shared" si="24"/>
        <v/>
      </c>
      <c r="AV90" s="27" t="str">
        <f t="shared" ref="AV90:AV95" si="30">IF(G90="","",+"          ["&amp;TRIM(G90)&amp;"] ["&amp;TRIM(I90)&amp;"]"&amp;IF(H90="","","("&amp;H90&amp;")")&amp;" "&amp;TRIM(J90)&amp;IF(G91="","",","))</f>
        <v/>
      </c>
      <c r="AW90" s="27"/>
      <c r="AY90" s="122" t="str">
        <f t="shared" si="25"/>
        <v/>
      </c>
    </row>
    <row r="91" spans="2:51" ht="12.75">
      <c r="B91" s="20" t="str">
        <f t="shared" si="27"/>
        <v/>
      </c>
      <c r="C91" s="5"/>
      <c r="D91" s="5"/>
      <c r="E91" s="5"/>
      <c r="G91" s="5" t="str">
        <f t="shared" si="17"/>
        <v/>
      </c>
      <c r="H91" s="117" t="str">
        <f t="shared" si="29"/>
        <v/>
      </c>
      <c r="I91" s="5" t="str">
        <f t="shared" si="18"/>
        <v/>
      </c>
      <c r="J91" s="5" t="str">
        <f t="shared" si="19"/>
        <v/>
      </c>
      <c r="K91" s="5"/>
      <c r="L91" s="5"/>
      <c r="M91" s="75"/>
      <c r="N91" s="77"/>
      <c r="O91" s="26"/>
      <c r="P91" s="26"/>
      <c r="Q91" s="118" t="str">
        <f t="shared" si="20"/>
        <v/>
      </c>
      <c r="R91" s="153"/>
      <c r="S91" s="138" t="str">
        <f t="shared" si="26"/>
        <v/>
      </c>
      <c r="T91" s="148"/>
      <c r="U91" s="146"/>
      <c r="V91" s="146"/>
      <c r="W91" s="139"/>
      <c r="X91" s="139"/>
      <c r="Y91" s="148"/>
      <c r="Z91" s="138" t="str">
        <f t="shared" si="22"/>
        <v/>
      </c>
      <c r="AA91" s="138" t="str">
        <f t="shared" si="28"/>
        <v/>
      </c>
      <c r="AB91" s="239"/>
      <c r="AC91" s="325"/>
      <c r="AD91" s="325"/>
      <c r="AE91" s="325"/>
      <c r="AF91" s="325"/>
      <c r="AG91" s="325"/>
      <c r="AH91" s="325"/>
      <c r="AI91" s="325"/>
      <c r="AJ91" s="325"/>
      <c r="AK91" s="325"/>
      <c r="AL91" s="325"/>
      <c r="AM91" s="325"/>
      <c r="AN91" s="325"/>
      <c r="AO91" s="325"/>
      <c r="AP91" s="136"/>
      <c r="AQ91" s="136"/>
      <c r="AR91" s="136" t="str">
        <f t="shared" si="23"/>
        <v/>
      </c>
      <c r="AS91" s="136" t="str">
        <f t="shared" si="23"/>
        <v/>
      </c>
      <c r="AT91" s="5" t="str">
        <f t="shared" si="24"/>
        <v/>
      </c>
      <c r="AV91" s="27" t="str">
        <f t="shared" si="30"/>
        <v/>
      </c>
      <c r="AW91" s="27"/>
      <c r="AY91" s="122" t="str">
        <f t="shared" si="25"/>
        <v/>
      </c>
    </row>
    <row r="92" spans="2:51" ht="12.75">
      <c r="B92" s="20" t="str">
        <f t="shared" si="27"/>
        <v/>
      </c>
      <c r="C92" s="5"/>
      <c r="D92" s="5"/>
      <c r="E92" s="5"/>
      <c r="G92" s="5" t="str">
        <f t="shared" si="17"/>
        <v/>
      </c>
      <c r="H92" s="117" t="str">
        <f t="shared" si="29"/>
        <v/>
      </c>
      <c r="I92" s="5" t="str">
        <f t="shared" si="18"/>
        <v/>
      </c>
      <c r="J92" s="5" t="str">
        <f t="shared" si="19"/>
        <v/>
      </c>
      <c r="K92" s="5"/>
      <c r="L92" s="5"/>
      <c r="M92" s="75"/>
      <c r="N92" s="77"/>
      <c r="O92" s="26"/>
      <c r="P92" s="26"/>
      <c r="Q92" s="118" t="str">
        <f t="shared" si="20"/>
        <v/>
      </c>
      <c r="R92" s="153"/>
      <c r="S92" s="138" t="str">
        <f t="shared" si="26"/>
        <v/>
      </c>
      <c r="T92" s="148"/>
      <c r="U92" s="146"/>
      <c r="V92" s="146"/>
      <c r="W92" s="139"/>
      <c r="X92" s="139"/>
      <c r="Y92" s="148"/>
      <c r="Z92" s="138" t="str">
        <f t="shared" si="22"/>
        <v/>
      </c>
      <c r="AA92" s="138" t="str">
        <f t="shared" si="28"/>
        <v/>
      </c>
      <c r="AB92" s="239"/>
      <c r="AC92" s="325"/>
      <c r="AD92" s="325"/>
      <c r="AE92" s="325"/>
      <c r="AF92" s="325"/>
      <c r="AG92" s="325"/>
      <c r="AH92" s="325"/>
      <c r="AI92" s="325"/>
      <c r="AJ92" s="325"/>
      <c r="AK92" s="325"/>
      <c r="AL92" s="325"/>
      <c r="AM92" s="325"/>
      <c r="AN92" s="325"/>
      <c r="AO92" s="325"/>
      <c r="AP92" s="136"/>
      <c r="AQ92" s="136"/>
      <c r="AR92" s="136" t="str">
        <f t="shared" si="23"/>
        <v/>
      </c>
      <c r="AS92" s="136" t="str">
        <f t="shared" si="23"/>
        <v/>
      </c>
      <c r="AT92" s="5" t="str">
        <f t="shared" si="24"/>
        <v/>
      </c>
      <c r="AV92" s="27" t="str">
        <f t="shared" si="30"/>
        <v/>
      </c>
      <c r="AW92" s="27"/>
      <c r="AY92" s="122" t="str">
        <f t="shared" si="25"/>
        <v/>
      </c>
    </row>
    <row r="93" spans="2:51" ht="12.75">
      <c r="B93" s="20" t="str">
        <f t="shared" si="27"/>
        <v/>
      </c>
      <c r="C93" s="5"/>
      <c r="D93" s="5"/>
      <c r="E93" s="5"/>
      <c r="G93" s="5" t="str">
        <f t="shared" si="17"/>
        <v/>
      </c>
      <c r="H93" s="117" t="str">
        <f t="shared" si="29"/>
        <v/>
      </c>
      <c r="I93" s="5" t="str">
        <f t="shared" si="18"/>
        <v/>
      </c>
      <c r="J93" s="5" t="str">
        <f t="shared" si="19"/>
        <v/>
      </c>
      <c r="K93" s="5"/>
      <c r="L93" s="5"/>
      <c r="M93" s="75"/>
      <c r="N93" s="77"/>
      <c r="O93" s="26"/>
      <c r="P93" s="26"/>
      <c r="Q93" s="118" t="str">
        <f t="shared" si="20"/>
        <v/>
      </c>
      <c r="R93" s="153"/>
      <c r="S93" s="138" t="str">
        <f t="shared" si="26"/>
        <v/>
      </c>
      <c r="T93" s="148"/>
      <c r="U93" s="146"/>
      <c r="V93" s="146"/>
      <c r="W93" s="139"/>
      <c r="X93" s="139"/>
      <c r="Y93" s="148"/>
      <c r="Z93" s="138" t="str">
        <f t="shared" si="22"/>
        <v/>
      </c>
      <c r="AA93" s="138" t="str">
        <f t="shared" si="28"/>
        <v/>
      </c>
      <c r="AB93" s="239"/>
      <c r="AC93" s="325"/>
      <c r="AD93" s="325"/>
      <c r="AE93" s="325"/>
      <c r="AF93" s="325"/>
      <c r="AG93" s="325"/>
      <c r="AH93" s="325"/>
      <c r="AI93" s="325"/>
      <c r="AJ93" s="325"/>
      <c r="AK93" s="325"/>
      <c r="AL93" s="325"/>
      <c r="AM93" s="325"/>
      <c r="AN93" s="325"/>
      <c r="AO93" s="325"/>
      <c r="AP93" s="136"/>
      <c r="AQ93" s="136"/>
      <c r="AR93" s="136" t="str">
        <f t="shared" si="23"/>
        <v/>
      </c>
      <c r="AS93" s="136" t="str">
        <f t="shared" si="23"/>
        <v/>
      </c>
      <c r="AT93" s="5" t="str">
        <f t="shared" si="24"/>
        <v/>
      </c>
      <c r="AV93" s="27" t="str">
        <f t="shared" si="30"/>
        <v/>
      </c>
      <c r="AW93" s="27"/>
      <c r="AY93" s="122" t="str">
        <f t="shared" si="25"/>
        <v/>
      </c>
    </row>
    <row r="94" spans="2:51" ht="12.75">
      <c r="B94" s="20" t="str">
        <f t="shared" si="27"/>
        <v/>
      </c>
      <c r="C94" s="5"/>
      <c r="D94" s="5"/>
      <c r="E94" s="5"/>
      <c r="G94" s="5" t="str">
        <f>SUBSTITUTE(SUBSTITUTE(SUBSTITUTE(SUBSTITUTE(SUBSTITUTE(SUBSTITUTE(SUBSTITUTE(SUBSTITUTE(SUBSTITUTE(C94," ",""),".",""),"#","No"),"%",""),"(",""),"*",""),"-",""),"/",""),")","")</f>
        <v/>
      </c>
      <c r="H94" s="117" t="str">
        <f t="shared" si="29"/>
        <v/>
      </c>
      <c r="I94" s="5" t="str">
        <f>IF(E94=0,"",+E94)</f>
        <v/>
      </c>
      <c r="J94" s="5" t="str">
        <f>IF(C94=0,"",(IF(ISERROR(VLOOKUP(G94,$D$120:$D$127,1,FALSE)),""," NOT")&amp;" NULL"))</f>
        <v/>
      </c>
      <c r="K94" s="5"/>
      <c r="L94" s="5"/>
      <c r="M94" s="75"/>
      <c r="N94" s="77"/>
      <c r="O94" s="26"/>
      <c r="P94" s="26"/>
      <c r="Q94" s="118" t="str">
        <f>IF(M94=0,"",ROW())</f>
        <v/>
      </c>
      <c r="R94" s="153"/>
      <c r="S94" s="138" t="str">
        <f t="shared" si="26"/>
        <v/>
      </c>
      <c r="T94" s="148"/>
      <c r="U94" s="146"/>
      <c r="V94" s="146"/>
      <c r="W94" s="139"/>
      <c r="X94" s="139"/>
      <c r="Y94" s="148"/>
      <c r="Z94" s="138" t="str">
        <f t="shared" si="22"/>
        <v/>
      </c>
      <c r="AA94" s="138" t="str">
        <f t="shared" si="28"/>
        <v/>
      </c>
      <c r="AB94" s="239"/>
      <c r="AC94" s="325"/>
      <c r="AD94" s="325"/>
      <c r="AE94" s="325"/>
      <c r="AF94" s="325"/>
      <c r="AG94" s="325"/>
      <c r="AH94" s="325"/>
      <c r="AI94" s="325"/>
      <c r="AJ94" s="325"/>
      <c r="AK94" s="325"/>
      <c r="AL94" s="325"/>
      <c r="AM94" s="325"/>
      <c r="AN94" s="325"/>
      <c r="AO94" s="325"/>
      <c r="AP94" s="136"/>
      <c r="AQ94" s="136"/>
      <c r="AR94" s="136" t="str">
        <f t="shared" si="23"/>
        <v/>
      </c>
      <c r="AS94" s="136" t="str">
        <f t="shared" si="23"/>
        <v/>
      </c>
      <c r="AT94" s="5" t="str">
        <f t="shared" si="24"/>
        <v/>
      </c>
      <c r="AV94" s="27" t="str">
        <f t="shared" si="30"/>
        <v/>
      </c>
      <c r="AW94" s="27"/>
      <c r="AY94" s="122" t="str">
        <f t="shared" si="25"/>
        <v/>
      </c>
    </row>
    <row r="95" spans="2:51" ht="12.75">
      <c r="B95" s="20" t="str">
        <f t="shared" si="27"/>
        <v/>
      </c>
      <c r="C95" s="5"/>
      <c r="D95" s="5"/>
      <c r="E95" s="5"/>
      <c r="G95" s="5" t="str">
        <f>SUBSTITUTE(SUBSTITUTE(SUBSTITUTE(SUBSTITUTE(SUBSTITUTE(SUBSTITUTE(SUBSTITUTE(SUBSTITUTE(SUBSTITUTE(C95," ",""),".",""),"#","No"),"%",""),"(",""),"*",""),"-",""),"/",""),")","")</f>
        <v/>
      </c>
      <c r="H95" s="117" t="str">
        <f t="shared" si="29"/>
        <v/>
      </c>
      <c r="I95" s="5" t="str">
        <f>IF(E95=0,"",+E95)</f>
        <v/>
      </c>
      <c r="J95" s="5" t="str">
        <f>IF(C95=0,"",(IF(ISERROR(VLOOKUP(G95,$D$120:$D$127,1,FALSE)),""," NOT")&amp;" NULL"))</f>
        <v/>
      </c>
      <c r="K95" s="5"/>
      <c r="L95" s="5"/>
      <c r="M95" s="75"/>
      <c r="N95" s="77"/>
      <c r="O95" s="26"/>
      <c r="P95" s="26"/>
      <c r="Q95" s="118" t="str">
        <f>IF(M95=0,"",ROW())</f>
        <v/>
      </c>
      <c r="R95" s="153"/>
      <c r="S95" s="138" t="str">
        <f t="shared" si="26"/>
        <v/>
      </c>
      <c r="T95" s="148"/>
      <c r="U95" s="146"/>
      <c r="V95" s="146"/>
      <c r="W95" s="139"/>
      <c r="X95" s="139"/>
      <c r="Y95" s="148"/>
      <c r="Z95" s="138" t="str">
        <f t="shared" si="22"/>
        <v/>
      </c>
      <c r="AA95" s="138" t="str">
        <f t="shared" si="28"/>
        <v/>
      </c>
      <c r="AB95" s="239"/>
      <c r="AC95" s="325"/>
      <c r="AD95" s="325"/>
      <c r="AE95" s="325"/>
      <c r="AF95" s="325"/>
      <c r="AG95" s="325"/>
      <c r="AH95" s="325"/>
      <c r="AI95" s="325"/>
      <c r="AJ95" s="325"/>
      <c r="AK95" s="325"/>
      <c r="AL95" s="325"/>
      <c r="AM95" s="325"/>
      <c r="AN95" s="325"/>
      <c r="AO95" s="325"/>
      <c r="AP95" s="136"/>
      <c r="AQ95" s="136"/>
      <c r="AR95" s="136" t="str">
        <f t="shared" si="23"/>
        <v/>
      </c>
      <c r="AS95" s="136" t="str">
        <f t="shared" si="23"/>
        <v/>
      </c>
      <c r="AT95" s="5" t="str">
        <f t="shared" si="24"/>
        <v/>
      </c>
      <c r="AV95" s="27" t="str">
        <f t="shared" si="30"/>
        <v/>
      </c>
      <c r="AW95" s="27"/>
      <c r="AY95" s="122" t="str">
        <f t="shared" si="25"/>
        <v/>
      </c>
    </row>
    <row r="96" spans="2:51" ht="12.75">
      <c r="B96" s="20" t="str">
        <f t="shared" si="27"/>
        <v/>
      </c>
      <c r="C96" s="5"/>
      <c r="D96" s="5"/>
      <c r="E96" s="5"/>
      <c r="G96" s="5" t="str">
        <f>SUBSTITUTE(SUBSTITUTE(SUBSTITUTE(SUBSTITUTE(SUBSTITUTE(SUBSTITUTE(SUBSTITUTE(SUBSTITUTE(SUBSTITUTE(C96," ",""),".",""),"#","No"),"%",""),"(",""),"*",""),"-",""),"/",""),")","")</f>
        <v/>
      </c>
      <c r="H96" s="117" t="str">
        <f t="shared" si="29"/>
        <v/>
      </c>
      <c r="I96" s="5" t="str">
        <f>IF(E96=0,"",+E96)</f>
        <v/>
      </c>
      <c r="J96" s="5" t="str">
        <f>IF(C96=0,"",(IF(ISERROR(VLOOKUP(G96,$D$120:$D$127,1,FALSE)),""," NOT")&amp;" NULL"))</f>
        <v/>
      </c>
      <c r="K96" s="5"/>
      <c r="L96" s="5"/>
      <c r="M96" s="75"/>
      <c r="N96" s="77"/>
      <c r="O96" s="26"/>
      <c r="P96" s="26"/>
      <c r="Q96" s="118" t="str">
        <f>IF(M96=0,"",ROW())</f>
        <v/>
      </c>
      <c r="R96" s="153"/>
      <c r="S96" s="138" t="str">
        <f t="shared" si="26"/>
        <v/>
      </c>
      <c r="T96" s="148"/>
      <c r="U96" s="146"/>
      <c r="V96" s="146"/>
      <c r="W96" s="139"/>
      <c r="X96" s="139"/>
      <c r="Y96" s="148"/>
      <c r="Z96" s="138" t="str">
        <f t="shared" si="22"/>
        <v/>
      </c>
      <c r="AA96" s="138" t="str">
        <f t="shared" si="28"/>
        <v/>
      </c>
      <c r="AB96" s="239"/>
      <c r="AC96" s="325"/>
      <c r="AD96" s="325"/>
      <c r="AE96" s="325"/>
      <c r="AF96" s="325"/>
      <c r="AG96" s="325"/>
      <c r="AH96" s="325"/>
      <c r="AI96" s="325"/>
      <c r="AJ96" s="325"/>
      <c r="AK96" s="325"/>
      <c r="AL96" s="325"/>
      <c r="AM96" s="325"/>
      <c r="AN96" s="325"/>
      <c r="AO96" s="325"/>
      <c r="AP96" s="136"/>
      <c r="AQ96" s="136"/>
      <c r="AR96" s="136" t="str">
        <f t="shared" si="23"/>
        <v/>
      </c>
      <c r="AS96" s="136" t="str">
        <f t="shared" si="23"/>
        <v/>
      </c>
      <c r="AT96" s="5" t="str">
        <f t="shared" si="24"/>
        <v/>
      </c>
      <c r="AV96" s="27" t="str">
        <f>IF(G96="","",+"          ["&amp;TRIM(G96)&amp;"] ["&amp;TRIM(I96)&amp;"]"&amp;IF(H96="","","("&amp;H96&amp;")")&amp;" "&amp;TRIM(J96)&amp;IF(G108="","",","))</f>
        <v/>
      </c>
      <c r="AW96" s="27"/>
      <c r="AY96" s="122" t="str">
        <f t="shared" si="25"/>
        <v/>
      </c>
    </row>
    <row r="97" spans="2:51" ht="12.75">
      <c r="B97" s="20" t="str">
        <f t="shared" si="27"/>
        <v/>
      </c>
      <c r="C97" s="5"/>
      <c r="D97" s="5"/>
      <c r="E97" s="5"/>
      <c r="G97" s="5" t="str">
        <f t="shared" ref="G97:G115" si="31">SUBSTITUTE(SUBSTITUTE(SUBSTITUTE(SUBSTITUTE(SUBSTITUTE(SUBSTITUTE(SUBSTITUTE(SUBSTITUTE(SUBSTITUTE(C97," ",""),".",""),"#","No"),"%",""),"(",""),"*",""),"-",""),"/",""),")","")</f>
        <v/>
      </c>
      <c r="H97" s="117" t="str">
        <f t="shared" si="29"/>
        <v/>
      </c>
      <c r="I97" s="5" t="str">
        <f t="shared" ref="I97:I115" si="32">IF(E97=0,"",+E97)</f>
        <v/>
      </c>
      <c r="J97" s="5" t="str">
        <f t="shared" ref="J97:J115" si="33">IF(C97=0,"",(IF(ISERROR(VLOOKUP(G97,$D$120:$D$127,1,FALSE)),""," NOT")&amp;" NULL"))</f>
        <v/>
      </c>
      <c r="K97" s="5"/>
      <c r="L97" s="5"/>
      <c r="M97" s="75"/>
      <c r="N97" s="77"/>
      <c r="O97" s="26"/>
      <c r="P97" s="26"/>
      <c r="Q97" s="118" t="str">
        <f t="shared" ref="Q97:Q115" si="34">IF(M97=0,"",ROW())</f>
        <v/>
      </c>
      <c r="R97" s="153"/>
      <c r="S97" s="138" t="str">
        <f t="shared" si="26"/>
        <v/>
      </c>
      <c r="T97" s="148"/>
      <c r="U97" s="146"/>
      <c r="V97" s="146"/>
      <c r="W97" s="139"/>
      <c r="X97" s="139"/>
      <c r="Y97" s="148"/>
      <c r="Z97" s="138" t="str">
        <f t="shared" si="22"/>
        <v/>
      </c>
      <c r="AA97" s="138" t="str">
        <f t="shared" si="28"/>
        <v/>
      </c>
      <c r="AB97" s="239"/>
      <c r="AC97" s="325"/>
      <c r="AD97" s="325"/>
      <c r="AE97" s="325"/>
      <c r="AF97" s="325"/>
      <c r="AG97" s="325"/>
      <c r="AH97" s="325"/>
      <c r="AI97" s="325"/>
      <c r="AJ97" s="325"/>
      <c r="AK97" s="325"/>
      <c r="AL97" s="325"/>
      <c r="AM97" s="325"/>
      <c r="AN97" s="325"/>
      <c r="AO97" s="325"/>
      <c r="AP97" s="136"/>
      <c r="AQ97" s="136"/>
      <c r="AR97" s="136" t="str">
        <f t="shared" si="23"/>
        <v/>
      </c>
      <c r="AS97" s="136" t="str">
        <f t="shared" si="23"/>
        <v/>
      </c>
      <c r="AT97" s="5" t="str">
        <f t="shared" si="24"/>
        <v/>
      </c>
      <c r="AV97" s="27" t="str">
        <f>IF(G97="","",+"          ["&amp;TRIM(G97)&amp;"] ["&amp;TRIM(I97)&amp;"]"&amp;IF(H97="","","("&amp;H97&amp;")")&amp;" "&amp;TRIM(J97)&amp;IF(G98="","",","))</f>
        <v/>
      </c>
      <c r="AW97" s="27"/>
      <c r="AY97" s="122" t="str">
        <f t="shared" si="25"/>
        <v/>
      </c>
    </row>
    <row r="98" spans="2:51" ht="12.75">
      <c r="B98" s="20" t="str">
        <f t="shared" si="27"/>
        <v/>
      </c>
      <c r="C98" s="5"/>
      <c r="D98" s="5"/>
      <c r="E98" s="5"/>
      <c r="G98" s="5" t="str">
        <f t="shared" si="31"/>
        <v/>
      </c>
      <c r="H98" s="117" t="str">
        <f t="shared" si="29"/>
        <v/>
      </c>
      <c r="I98" s="5" t="str">
        <f t="shared" si="32"/>
        <v/>
      </c>
      <c r="J98" s="5" t="str">
        <f t="shared" si="33"/>
        <v/>
      </c>
      <c r="K98" s="5"/>
      <c r="L98" s="5"/>
      <c r="M98" s="75"/>
      <c r="N98" s="77"/>
      <c r="O98" s="26"/>
      <c r="P98" s="26"/>
      <c r="Q98" s="118" t="str">
        <f t="shared" si="34"/>
        <v/>
      </c>
      <c r="R98" s="153"/>
      <c r="S98" s="138" t="str">
        <f t="shared" si="26"/>
        <v/>
      </c>
      <c r="T98" s="148"/>
      <c r="U98" s="146"/>
      <c r="V98" s="146"/>
      <c r="W98" s="139"/>
      <c r="X98" s="139"/>
      <c r="Y98" s="148"/>
      <c r="Z98" s="138" t="str">
        <f t="shared" si="22"/>
        <v/>
      </c>
      <c r="AA98" s="138" t="str">
        <f t="shared" si="28"/>
        <v/>
      </c>
      <c r="AB98" s="239"/>
      <c r="AC98" s="325"/>
      <c r="AD98" s="325"/>
      <c r="AE98" s="325"/>
      <c r="AF98" s="325"/>
      <c r="AG98" s="325"/>
      <c r="AH98" s="325"/>
      <c r="AI98" s="325"/>
      <c r="AJ98" s="325"/>
      <c r="AK98" s="325"/>
      <c r="AL98" s="325"/>
      <c r="AM98" s="325"/>
      <c r="AN98" s="325"/>
      <c r="AO98" s="325"/>
      <c r="AP98" s="136"/>
      <c r="AQ98" s="136"/>
      <c r="AR98" s="136" t="str">
        <f t="shared" si="23"/>
        <v/>
      </c>
      <c r="AS98" s="136" t="str">
        <f t="shared" si="23"/>
        <v/>
      </c>
      <c r="AT98" s="5" t="str">
        <f t="shared" si="24"/>
        <v/>
      </c>
      <c r="AV98" s="27" t="str">
        <f>IF(G98="","",+"          ["&amp;TRIM(G98)&amp;"] ["&amp;TRIM(I98)&amp;"]"&amp;IF(H98="","","("&amp;H98&amp;")")&amp;" "&amp;TRIM(J98)&amp;IF(G107="","",","))</f>
        <v/>
      </c>
      <c r="AW98" s="27"/>
      <c r="AY98" s="122" t="str">
        <f t="shared" si="25"/>
        <v/>
      </c>
    </row>
    <row r="99" spans="2:51" ht="12.75">
      <c r="B99" s="20" t="str">
        <f t="shared" si="27"/>
        <v/>
      </c>
      <c r="C99" s="5"/>
      <c r="D99" s="5"/>
      <c r="E99" s="5"/>
      <c r="G99" s="5" t="str">
        <f t="shared" si="31"/>
        <v/>
      </c>
      <c r="H99" s="117" t="str">
        <f t="shared" si="29"/>
        <v/>
      </c>
      <c r="I99" s="5" t="str">
        <f t="shared" si="32"/>
        <v/>
      </c>
      <c r="J99" s="5" t="str">
        <f t="shared" si="33"/>
        <v/>
      </c>
      <c r="K99" s="5"/>
      <c r="L99" s="5"/>
      <c r="M99" s="75"/>
      <c r="N99" s="77"/>
      <c r="O99" s="26"/>
      <c r="P99" s="26"/>
      <c r="Q99" s="118" t="str">
        <f t="shared" si="34"/>
        <v/>
      </c>
      <c r="R99" s="153"/>
      <c r="S99" s="138" t="str">
        <f t="shared" si="26"/>
        <v/>
      </c>
      <c r="T99" s="148"/>
      <c r="U99" s="146"/>
      <c r="V99" s="146"/>
      <c r="W99" s="139"/>
      <c r="X99" s="139"/>
      <c r="Y99" s="148"/>
      <c r="Z99" s="138" t="str">
        <f t="shared" si="22"/>
        <v/>
      </c>
      <c r="AA99" s="138" t="str">
        <f t="shared" si="28"/>
        <v/>
      </c>
      <c r="AB99" s="239"/>
      <c r="AC99" s="325"/>
      <c r="AD99" s="325"/>
      <c r="AE99" s="325"/>
      <c r="AF99" s="325"/>
      <c r="AG99" s="325"/>
      <c r="AH99" s="325"/>
      <c r="AI99" s="325"/>
      <c r="AJ99" s="325"/>
      <c r="AK99" s="325"/>
      <c r="AL99" s="325"/>
      <c r="AM99" s="325"/>
      <c r="AN99" s="325"/>
      <c r="AO99" s="325"/>
      <c r="AP99" s="136"/>
      <c r="AQ99" s="136"/>
      <c r="AR99" s="136" t="str">
        <f t="shared" si="23"/>
        <v/>
      </c>
      <c r="AS99" s="136" t="str">
        <f t="shared" si="23"/>
        <v/>
      </c>
      <c r="AT99" s="5" t="str">
        <f t="shared" si="24"/>
        <v/>
      </c>
      <c r="AV99" s="27" t="str">
        <f>IF(G99="","",+"          ["&amp;TRIM(G99)&amp;"] ["&amp;TRIM(I99)&amp;"]"&amp;IF(H99="","","("&amp;H99&amp;")")&amp;" "&amp;TRIM(J99)&amp;IF(G106="","",","))</f>
        <v/>
      </c>
      <c r="AW99" s="27"/>
      <c r="AY99" s="122" t="str">
        <f t="shared" si="25"/>
        <v/>
      </c>
    </row>
    <row r="100" spans="2:51" ht="12.75">
      <c r="B100" s="20" t="str">
        <f t="shared" si="27"/>
        <v/>
      </c>
      <c r="C100" s="5"/>
      <c r="D100" s="5"/>
      <c r="E100" s="5"/>
      <c r="G100" s="5" t="str">
        <f t="shared" si="31"/>
        <v/>
      </c>
      <c r="H100" s="117" t="str">
        <f t="shared" si="29"/>
        <v/>
      </c>
      <c r="I100" s="5" t="str">
        <f t="shared" si="32"/>
        <v/>
      </c>
      <c r="J100" s="5" t="str">
        <f t="shared" si="33"/>
        <v/>
      </c>
      <c r="K100" s="5"/>
      <c r="L100" s="5"/>
      <c r="M100" s="75"/>
      <c r="N100" s="77"/>
      <c r="O100" s="26"/>
      <c r="P100" s="26"/>
      <c r="Q100" s="118" t="str">
        <f t="shared" si="34"/>
        <v/>
      </c>
      <c r="R100" s="153"/>
      <c r="S100" s="138" t="str">
        <f t="shared" si="26"/>
        <v/>
      </c>
      <c r="T100" s="148"/>
      <c r="U100" s="146"/>
      <c r="V100" s="146"/>
      <c r="W100" s="139"/>
      <c r="X100" s="139"/>
      <c r="Y100" s="148"/>
      <c r="Z100" s="138" t="str">
        <f t="shared" si="22"/>
        <v/>
      </c>
      <c r="AA100" s="138" t="str">
        <f t="shared" si="28"/>
        <v/>
      </c>
      <c r="AB100" s="239"/>
      <c r="AC100" s="325"/>
      <c r="AD100" s="325"/>
      <c r="AE100" s="325"/>
      <c r="AF100" s="325"/>
      <c r="AG100" s="325"/>
      <c r="AH100" s="325"/>
      <c r="AI100" s="325"/>
      <c r="AJ100" s="325"/>
      <c r="AK100" s="325"/>
      <c r="AL100" s="325"/>
      <c r="AM100" s="325"/>
      <c r="AN100" s="325"/>
      <c r="AO100" s="325"/>
      <c r="AP100" s="136"/>
      <c r="AQ100" s="136"/>
      <c r="AR100" s="136" t="str">
        <f t="shared" si="23"/>
        <v/>
      </c>
      <c r="AS100" s="136" t="str">
        <f t="shared" si="23"/>
        <v/>
      </c>
      <c r="AT100" s="5" t="str">
        <f t="shared" si="24"/>
        <v/>
      </c>
      <c r="AV100" s="27" t="str">
        <f>IF(G100="","",+"          ["&amp;TRIM(G100)&amp;"] ["&amp;TRIM(I100)&amp;"]"&amp;IF(H100="","","("&amp;H100&amp;")")&amp;" "&amp;TRIM(J100)&amp;IF(G101="","",","))</f>
        <v/>
      </c>
      <c r="AW100" s="27"/>
      <c r="AY100" s="122" t="str">
        <f t="shared" si="25"/>
        <v/>
      </c>
    </row>
    <row r="101" spans="2:51" ht="12.75">
      <c r="B101" s="20" t="str">
        <f t="shared" si="27"/>
        <v/>
      </c>
      <c r="C101" s="5"/>
      <c r="D101" s="5"/>
      <c r="E101" s="5"/>
      <c r="G101" s="5" t="str">
        <f t="shared" si="31"/>
        <v/>
      </c>
      <c r="H101" s="117" t="str">
        <f t="shared" si="29"/>
        <v/>
      </c>
      <c r="I101" s="5" t="str">
        <f t="shared" si="32"/>
        <v/>
      </c>
      <c r="J101" s="5" t="str">
        <f t="shared" si="33"/>
        <v/>
      </c>
      <c r="K101" s="5"/>
      <c r="L101" s="5"/>
      <c r="M101" s="75"/>
      <c r="N101" s="77"/>
      <c r="O101" s="26"/>
      <c r="P101" s="26"/>
      <c r="Q101" s="118" t="str">
        <f t="shared" si="34"/>
        <v/>
      </c>
      <c r="R101" s="153"/>
      <c r="S101" s="138" t="str">
        <f t="shared" si="26"/>
        <v/>
      </c>
      <c r="T101" s="148"/>
      <c r="U101" s="146"/>
      <c r="V101" s="146"/>
      <c r="W101" s="139"/>
      <c r="X101" s="139"/>
      <c r="Y101" s="148"/>
      <c r="Z101" s="138" t="str">
        <f t="shared" si="22"/>
        <v/>
      </c>
      <c r="AA101" s="138" t="str">
        <f t="shared" si="28"/>
        <v/>
      </c>
      <c r="AB101" s="239"/>
      <c r="AC101" s="325"/>
      <c r="AD101" s="325"/>
      <c r="AE101" s="325"/>
      <c r="AF101" s="325"/>
      <c r="AG101" s="325"/>
      <c r="AH101" s="325"/>
      <c r="AI101" s="325"/>
      <c r="AJ101" s="325"/>
      <c r="AK101" s="325"/>
      <c r="AL101" s="325"/>
      <c r="AM101" s="325"/>
      <c r="AN101" s="325"/>
      <c r="AO101" s="325"/>
      <c r="AP101" s="136"/>
      <c r="AQ101" s="136"/>
      <c r="AR101" s="136" t="str">
        <f t="shared" si="23"/>
        <v/>
      </c>
      <c r="AS101" s="136" t="str">
        <f t="shared" si="23"/>
        <v/>
      </c>
      <c r="AT101" s="5" t="str">
        <f t="shared" si="24"/>
        <v/>
      </c>
      <c r="AV101" s="27" t="str">
        <f>IF(G101="","",+"          ["&amp;TRIM(G101)&amp;"] ["&amp;TRIM(I101)&amp;"]"&amp;IF(H101="","","("&amp;H101&amp;")")&amp;" "&amp;TRIM(J101)&amp;IF(G102="","",","))</f>
        <v/>
      </c>
      <c r="AW101" s="27"/>
      <c r="AY101" s="122" t="str">
        <f t="shared" si="25"/>
        <v/>
      </c>
    </row>
    <row r="102" spans="2:51" ht="12.75">
      <c r="B102" s="20" t="str">
        <f t="shared" si="27"/>
        <v/>
      </c>
      <c r="C102" s="5"/>
      <c r="D102" s="5"/>
      <c r="E102" s="5"/>
      <c r="G102" s="5" t="str">
        <f t="shared" si="31"/>
        <v/>
      </c>
      <c r="H102" s="117" t="str">
        <f t="shared" si="29"/>
        <v/>
      </c>
      <c r="I102" s="5" t="str">
        <f t="shared" si="32"/>
        <v/>
      </c>
      <c r="J102" s="5" t="str">
        <f t="shared" si="33"/>
        <v/>
      </c>
      <c r="K102" s="5"/>
      <c r="L102" s="5"/>
      <c r="M102" s="75"/>
      <c r="N102" s="77"/>
      <c r="O102" s="26"/>
      <c r="P102" s="26"/>
      <c r="Q102" s="118" t="str">
        <f t="shared" si="34"/>
        <v/>
      </c>
      <c r="R102" s="153"/>
      <c r="S102" s="138" t="str">
        <f t="shared" si="26"/>
        <v/>
      </c>
      <c r="T102" s="148"/>
      <c r="U102" s="146"/>
      <c r="V102" s="146"/>
      <c r="W102" s="139"/>
      <c r="X102" s="139"/>
      <c r="Y102" s="148"/>
      <c r="Z102" s="138" t="str">
        <f t="shared" si="22"/>
        <v/>
      </c>
      <c r="AA102" s="138" t="str">
        <f t="shared" si="28"/>
        <v/>
      </c>
      <c r="AB102" s="239"/>
      <c r="AC102" s="325"/>
      <c r="AD102" s="325"/>
      <c r="AE102" s="325"/>
      <c r="AF102" s="325"/>
      <c r="AG102" s="325"/>
      <c r="AH102" s="325"/>
      <c r="AI102" s="325"/>
      <c r="AJ102" s="325"/>
      <c r="AK102" s="325"/>
      <c r="AL102" s="325"/>
      <c r="AM102" s="325"/>
      <c r="AN102" s="325"/>
      <c r="AO102" s="325"/>
      <c r="AP102" s="136"/>
      <c r="AQ102" s="136"/>
      <c r="AR102" s="136" t="str">
        <f t="shared" si="23"/>
        <v/>
      </c>
      <c r="AS102" s="136" t="str">
        <f t="shared" si="23"/>
        <v/>
      </c>
      <c r="AT102" s="5" t="str">
        <f t="shared" si="24"/>
        <v/>
      </c>
      <c r="AV102" s="27" t="str">
        <f>IF(G102="","",+"          ["&amp;TRIM(G102)&amp;"] ["&amp;TRIM(I102)&amp;"]"&amp;IF(H102="","","("&amp;H102&amp;")")&amp;" "&amp;TRIM(J102)&amp;IF(G103="","",","))</f>
        <v/>
      </c>
      <c r="AW102" s="27"/>
      <c r="AY102" s="122" t="str">
        <f t="shared" si="25"/>
        <v/>
      </c>
    </row>
    <row r="103" spans="2:51" ht="12.75">
      <c r="B103" s="20" t="str">
        <f t="shared" si="27"/>
        <v/>
      </c>
      <c r="C103" s="5"/>
      <c r="D103" s="5"/>
      <c r="E103" s="5"/>
      <c r="G103" s="5" t="str">
        <f t="shared" si="31"/>
        <v/>
      </c>
      <c r="H103" s="117" t="str">
        <f t="shared" si="29"/>
        <v/>
      </c>
      <c r="I103" s="5" t="str">
        <f t="shared" si="32"/>
        <v/>
      </c>
      <c r="J103" s="5" t="str">
        <f t="shared" si="33"/>
        <v/>
      </c>
      <c r="K103" s="5"/>
      <c r="L103" s="5"/>
      <c r="M103" s="75"/>
      <c r="N103" s="77"/>
      <c r="O103" s="26"/>
      <c r="P103" s="26"/>
      <c r="Q103" s="118" t="str">
        <f t="shared" si="34"/>
        <v/>
      </c>
      <c r="R103" s="153"/>
      <c r="S103" s="138" t="str">
        <f t="shared" si="26"/>
        <v/>
      </c>
      <c r="T103" s="148"/>
      <c r="U103" s="146"/>
      <c r="V103" s="146"/>
      <c r="W103" s="139"/>
      <c r="X103" s="139"/>
      <c r="Y103" s="148"/>
      <c r="Z103" s="138" t="str">
        <f t="shared" si="22"/>
        <v/>
      </c>
      <c r="AA103" s="138" t="str">
        <f t="shared" si="28"/>
        <v/>
      </c>
      <c r="AB103" s="239"/>
      <c r="AC103" s="325"/>
      <c r="AD103" s="325"/>
      <c r="AE103" s="325"/>
      <c r="AF103" s="325"/>
      <c r="AG103" s="325"/>
      <c r="AH103" s="325"/>
      <c r="AI103" s="325"/>
      <c r="AJ103" s="325"/>
      <c r="AK103" s="325"/>
      <c r="AL103" s="325"/>
      <c r="AM103" s="325"/>
      <c r="AN103" s="325"/>
      <c r="AO103" s="325"/>
      <c r="AP103" s="136"/>
      <c r="AQ103" s="136"/>
      <c r="AR103" s="136" t="str">
        <f t="shared" si="23"/>
        <v/>
      </c>
      <c r="AS103" s="136" t="str">
        <f t="shared" si="23"/>
        <v/>
      </c>
      <c r="AT103" s="5" t="str">
        <f t="shared" si="24"/>
        <v/>
      </c>
      <c r="AV103" s="27" t="str">
        <f>IF(G103="","",+"          ["&amp;TRIM(G103)&amp;"] ["&amp;TRIM(I103)&amp;"]"&amp;IF(H103="","","("&amp;H103&amp;")")&amp;" "&amp;TRIM(J103)&amp;IF(G106="","",","))</f>
        <v/>
      </c>
      <c r="AW103" s="27"/>
      <c r="AY103" s="122" t="str">
        <f t="shared" si="25"/>
        <v/>
      </c>
    </row>
    <row r="104" spans="2:51" ht="12.75">
      <c r="B104" s="20" t="str">
        <f t="shared" si="27"/>
        <v/>
      </c>
      <c r="C104" s="5"/>
      <c r="D104" s="5"/>
      <c r="E104" s="5"/>
      <c r="G104" s="5" t="str">
        <f t="shared" si="31"/>
        <v/>
      </c>
      <c r="H104" s="117" t="str">
        <f t="shared" si="29"/>
        <v/>
      </c>
      <c r="I104" s="5" t="str">
        <f t="shared" si="32"/>
        <v/>
      </c>
      <c r="J104" s="5" t="str">
        <f t="shared" si="33"/>
        <v/>
      </c>
      <c r="K104" s="5"/>
      <c r="L104" s="5"/>
      <c r="M104" s="75"/>
      <c r="N104" s="77"/>
      <c r="O104" s="26"/>
      <c r="P104" s="26"/>
      <c r="Q104" s="118" t="str">
        <f t="shared" si="34"/>
        <v/>
      </c>
      <c r="R104" s="153"/>
      <c r="S104" s="138" t="str">
        <f t="shared" si="26"/>
        <v/>
      </c>
      <c r="T104" s="148"/>
      <c r="U104" s="146"/>
      <c r="V104" s="146"/>
      <c r="W104" s="139"/>
      <c r="X104" s="139"/>
      <c r="Y104" s="148"/>
      <c r="Z104" s="138" t="str">
        <f t="shared" si="22"/>
        <v/>
      </c>
      <c r="AA104" s="138" t="str">
        <f t="shared" si="28"/>
        <v/>
      </c>
      <c r="AB104" s="239"/>
      <c r="AC104" s="325"/>
      <c r="AD104" s="325"/>
      <c r="AE104" s="325"/>
      <c r="AF104" s="325"/>
      <c r="AG104" s="325"/>
      <c r="AH104" s="325"/>
      <c r="AI104" s="325"/>
      <c r="AJ104" s="325"/>
      <c r="AK104" s="325"/>
      <c r="AL104" s="325"/>
      <c r="AM104" s="325"/>
      <c r="AN104" s="325"/>
      <c r="AO104" s="325"/>
      <c r="AP104" s="136"/>
      <c r="AQ104" s="136"/>
      <c r="AR104" s="136" t="str">
        <f t="shared" si="23"/>
        <v/>
      </c>
      <c r="AS104" s="136" t="str">
        <f t="shared" si="23"/>
        <v/>
      </c>
      <c r="AT104" s="5" t="str">
        <f t="shared" si="24"/>
        <v/>
      </c>
      <c r="AV104" s="27" t="str">
        <f t="shared" ref="AV104:AV115" si="35">IF(G104="","",+"          ["&amp;TRIM(G104)&amp;"] ["&amp;TRIM(I104)&amp;"]"&amp;IF(H104="","","("&amp;H104&amp;")")&amp;" "&amp;TRIM(J104)&amp;IF(G105="","",","))</f>
        <v/>
      </c>
      <c r="AW104" s="27"/>
      <c r="AY104" s="122" t="str">
        <f t="shared" si="25"/>
        <v/>
      </c>
    </row>
    <row r="105" spans="2:51" ht="12.75">
      <c r="B105" s="20" t="str">
        <f t="shared" si="27"/>
        <v/>
      </c>
      <c r="C105" s="5"/>
      <c r="D105" s="5"/>
      <c r="E105" s="5"/>
      <c r="G105" s="5" t="str">
        <f t="shared" si="31"/>
        <v/>
      </c>
      <c r="H105" s="117" t="str">
        <f t="shared" si="29"/>
        <v/>
      </c>
      <c r="I105" s="5" t="str">
        <f t="shared" si="32"/>
        <v/>
      </c>
      <c r="J105" s="5" t="str">
        <f t="shared" si="33"/>
        <v/>
      </c>
      <c r="K105" s="5"/>
      <c r="L105" s="5"/>
      <c r="M105" s="75"/>
      <c r="N105" s="77"/>
      <c r="O105" s="26"/>
      <c r="P105" s="26"/>
      <c r="Q105" s="118" t="str">
        <f t="shared" si="34"/>
        <v/>
      </c>
      <c r="R105" s="153"/>
      <c r="S105" s="138" t="str">
        <f t="shared" si="26"/>
        <v/>
      </c>
      <c r="T105" s="148"/>
      <c r="U105" s="146"/>
      <c r="V105" s="146"/>
      <c r="W105" s="139"/>
      <c r="X105" s="139"/>
      <c r="Y105" s="148"/>
      <c r="Z105" s="138" t="str">
        <f t="shared" si="22"/>
        <v/>
      </c>
      <c r="AA105" s="138" t="str">
        <f t="shared" si="28"/>
        <v/>
      </c>
      <c r="AB105" s="239"/>
      <c r="AC105" s="325"/>
      <c r="AD105" s="325"/>
      <c r="AE105" s="325"/>
      <c r="AF105" s="325"/>
      <c r="AG105" s="325"/>
      <c r="AH105" s="325"/>
      <c r="AI105" s="325"/>
      <c r="AJ105" s="325"/>
      <c r="AK105" s="325"/>
      <c r="AL105" s="325"/>
      <c r="AM105" s="325"/>
      <c r="AN105" s="325"/>
      <c r="AO105" s="325"/>
      <c r="AP105" s="136"/>
      <c r="AQ105" s="136"/>
      <c r="AR105" s="136" t="str">
        <f t="shared" si="23"/>
        <v/>
      </c>
      <c r="AS105" s="136" t="str">
        <f t="shared" si="23"/>
        <v/>
      </c>
      <c r="AT105" s="5" t="str">
        <f t="shared" si="24"/>
        <v/>
      </c>
      <c r="AV105" s="27" t="str">
        <f t="shared" si="35"/>
        <v/>
      </c>
      <c r="AW105" s="27"/>
      <c r="AY105" s="122" t="str">
        <f t="shared" si="25"/>
        <v/>
      </c>
    </row>
    <row r="106" spans="2:51" ht="12.75">
      <c r="B106" s="20" t="str">
        <f t="shared" si="27"/>
        <v/>
      </c>
      <c r="C106" s="5"/>
      <c r="D106" s="5"/>
      <c r="E106" s="5"/>
      <c r="G106" s="5" t="str">
        <f t="shared" si="31"/>
        <v/>
      </c>
      <c r="H106" s="117" t="str">
        <f t="shared" si="29"/>
        <v/>
      </c>
      <c r="I106" s="5" t="str">
        <f t="shared" si="32"/>
        <v/>
      </c>
      <c r="J106" s="5" t="str">
        <f t="shared" si="33"/>
        <v/>
      </c>
      <c r="K106" s="5"/>
      <c r="L106" s="5"/>
      <c r="M106" s="75"/>
      <c r="N106" s="77"/>
      <c r="O106" s="26"/>
      <c r="P106" s="26"/>
      <c r="Q106" s="118" t="str">
        <f t="shared" si="34"/>
        <v/>
      </c>
      <c r="R106" s="153"/>
      <c r="S106" s="138" t="str">
        <f t="shared" si="26"/>
        <v/>
      </c>
      <c r="T106" s="148"/>
      <c r="U106" s="146"/>
      <c r="V106" s="146"/>
      <c r="W106" s="139"/>
      <c r="X106" s="139"/>
      <c r="Y106" s="148"/>
      <c r="Z106" s="138" t="str">
        <f t="shared" si="22"/>
        <v/>
      </c>
      <c r="AA106" s="138" t="str">
        <f t="shared" si="28"/>
        <v/>
      </c>
      <c r="AB106" s="239"/>
      <c r="AC106" s="325"/>
      <c r="AD106" s="325"/>
      <c r="AE106" s="325"/>
      <c r="AF106" s="325"/>
      <c r="AG106" s="325"/>
      <c r="AH106" s="325"/>
      <c r="AI106" s="325"/>
      <c r="AJ106" s="325"/>
      <c r="AK106" s="325"/>
      <c r="AL106" s="325"/>
      <c r="AM106" s="325"/>
      <c r="AN106" s="325"/>
      <c r="AO106" s="325"/>
      <c r="AP106" s="136"/>
      <c r="AQ106" s="136"/>
      <c r="AR106" s="136" t="str">
        <f t="shared" si="23"/>
        <v/>
      </c>
      <c r="AS106" s="136" t="str">
        <f t="shared" si="23"/>
        <v/>
      </c>
      <c r="AT106" s="5" t="str">
        <f t="shared" si="24"/>
        <v/>
      </c>
      <c r="AV106" s="27" t="str">
        <f t="shared" si="35"/>
        <v/>
      </c>
      <c r="AW106" s="27"/>
      <c r="AY106" s="122" t="str">
        <f t="shared" si="25"/>
        <v/>
      </c>
    </row>
    <row r="107" spans="2:51" ht="12.75">
      <c r="B107" s="20" t="str">
        <f t="shared" si="27"/>
        <v/>
      </c>
      <c r="C107" s="5"/>
      <c r="D107" s="5"/>
      <c r="E107" s="5"/>
      <c r="G107" s="5" t="str">
        <f t="shared" si="31"/>
        <v/>
      </c>
      <c r="H107" s="117" t="str">
        <f t="shared" si="29"/>
        <v/>
      </c>
      <c r="I107" s="5" t="str">
        <f t="shared" si="32"/>
        <v/>
      </c>
      <c r="J107" s="5" t="str">
        <f t="shared" si="33"/>
        <v/>
      </c>
      <c r="K107" s="5"/>
      <c r="L107" s="5"/>
      <c r="M107" s="75"/>
      <c r="N107" s="77"/>
      <c r="O107" s="26"/>
      <c r="P107" s="26"/>
      <c r="Q107" s="118" t="str">
        <f t="shared" si="34"/>
        <v/>
      </c>
      <c r="R107" s="153"/>
      <c r="S107" s="138" t="str">
        <f t="shared" si="26"/>
        <v/>
      </c>
      <c r="T107" s="148"/>
      <c r="U107" s="146"/>
      <c r="V107" s="146"/>
      <c r="W107" s="139"/>
      <c r="X107" s="139"/>
      <c r="Y107" s="148"/>
      <c r="Z107" s="138" t="str">
        <f t="shared" si="22"/>
        <v/>
      </c>
      <c r="AA107" s="138" t="str">
        <f t="shared" si="28"/>
        <v/>
      </c>
      <c r="AB107" s="239"/>
      <c r="AC107" s="325"/>
      <c r="AD107" s="325"/>
      <c r="AE107" s="325"/>
      <c r="AF107" s="325"/>
      <c r="AG107" s="325"/>
      <c r="AH107" s="325"/>
      <c r="AI107" s="325"/>
      <c r="AJ107" s="325"/>
      <c r="AK107" s="325"/>
      <c r="AL107" s="325"/>
      <c r="AM107" s="325"/>
      <c r="AN107" s="325"/>
      <c r="AO107" s="325"/>
      <c r="AP107" s="136"/>
      <c r="AQ107" s="136"/>
      <c r="AR107" s="136" t="str">
        <f t="shared" si="23"/>
        <v/>
      </c>
      <c r="AS107" s="136" t="str">
        <f t="shared" si="23"/>
        <v/>
      </c>
      <c r="AT107" s="5" t="str">
        <f t="shared" si="24"/>
        <v/>
      </c>
      <c r="AV107" s="27" t="str">
        <f t="shared" si="35"/>
        <v/>
      </c>
      <c r="AW107" s="27"/>
      <c r="AY107" s="122" t="str">
        <f t="shared" si="25"/>
        <v/>
      </c>
    </row>
    <row r="108" spans="2:51" ht="12.75">
      <c r="B108" s="20" t="str">
        <f t="shared" si="27"/>
        <v/>
      </c>
      <c r="C108" s="5"/>
      <c r="D108" s="5"/>
      <c r="E108" s="5"/>
      <c r="G108" s="5" t="str">
        <f t="shared" si="31"/>
        <v/>
      </c>
      <c r="H108" s="117" t="str">
        <f t="shared" si="29"/>
        <v/>
      </c>
      <c r="I108" s="5" t="str">
        <f t="shared" si="32"/>
        <v/>
      </c>
      <c r="J108" s="5" t="str">
        <f t="shared" si="33"/>
        <v/>
      </c>
      <c r="K108" s="5"/>
      <c r="L108" s="5"/>
      <c r="M108" s="75"/>
      <c r="N108" s="77"/>
      <c r="O108" s="26"/>
      <c r="P108" s="26"/>
      <c r="Q108" s="118" t="str">
        <f t="shared" si="34"/>
        <v/>
      </c>
      <c r="R108" s="153"/>
      <c r="S108" s="138" t="str">
        <f t="shared" si="26"/>
        <v/>
      </c>
      <c r="T108" s="148"/>
      <c r="U108" s="146"/>
      <c r="V108" s="146"/>
      <c r="W108" s="139"/>
      <c r="X108" s="139"/>
      <c r="Y108" s="148"/>
      <c r="Z108" s="138" t="str">
        <f t="shared" si="22"/>
        <v/>
      </c>
      <c r="AA108" s="138" t="str">
        <f t="shared" si="28"/>
        <v/>
      </c>
      <c r="AB108" s="239"/>
      <c r="AC108" s="325"/>
      <c r="AD108" s="325"/>
      <c r="AE108" s="325"/>
      <c r="AF108" s="325"/>
      <c r="AG108" s="325"/>
      <c r="AH108" s="325"/>
      <c r="AI108" s="325"/>
      <c r="AJ108" s="325"/>
      <c r="AK108" s="325"/>
      <c r="AL108" s="325"/>
      <c r="AM108" s="325"/>
      <c r="AN108" s="325"/>
      <c r="AO108" s="325"/>
      <c r="AP108" s="136"/>
      <c r="AQ108" s="136"/>
      <c r="AR108" s="136" t="str">
        <f t="shared" si="23"/>
        <v/>
      </c>
      <c r="AS108" s="136" t="str">
        <f t="shared" si="23"/>
        <v/>
      </c>
      <c r="AT108" s="5" t="str">
        <f t="shared" si="24"/>
        <v/>
      </c>
      <c r="AV108" s="27" t="str">
        <f t="shared" si="35"/>
        <v/>
      </c>
      <c r="AW108" s="27"/>
      <c r="AY108" s="122" t="str">
        <f t="shared" si="25"/>
        <v/>
      </c>
    </row>
    <row r="109" spans="2:51" ht="12.75">
      <c r="B109" s="20" t="str">
        <f t="shared" si="27"/>
        <v/>
      </c>
      <c r="C109" s="5"/>
      <c r="D109" s="5"/>
      <c r="E109" s="5"/>
      <c r="G109" s="5" t="str">
        <f t="shared" si="31"/>
        <v/>
      </c>
      <c r="H109" s="117" t="str">
        <f t="shared" si="29"/>
        <v/>
      </c>
      <c r="I109" s="5" t="str">
        <f t="shared" si="32"/>
        <v/>
      </c>
      <c r="J109" s="5" t="str">
        <f t="shared" si="33"/>
        <v/>
      </c>
      <c r="K109" s="5"/>
      <c r="L109" s="5"/>
      <c r="M109" s="75"/>
      <c r="N109" s="77"/>
      <c r="O109" s="26"/>
      <c r="P109" s="26"/>
      <c r="Q109" s="118" t="str">
        <f t="shared" si="34"/>
        <v/>
      </c>
      <c r="R109" s="153"/>
      <c r="S109" s="138" t="str">
        <f t="shared" si="26"/>
        <v/>
      </c>
      <c r="T109" s="148"/>
      <c r="U109" s="146"/>
      <c r="V109" s="146"/>
      <c r="W109" s="139"/>
      <c r="X109" s="139"/>
      <c r="Y109" s="148"/>
      <c r="Z109" s="138" t="str">
        <f t="shared" si="22"/>
        <v/>
      </c>
      <c r="AA109" s="138" t="str">
        <f t="shared" si="28"/>
        <v/>
      </c>
      <c r="AB109" s="239"/>
      <c r="AC109" s="325"/>
      <c r="AD109" s="325"/>
      <c r="AE109" s="325"/>
      <c r="AF109" s="325"/>
      <c r="AG109" s="325"/>
      <c r="AH109" s="325"/>
      <c r="AI109" s="325"/>
      <c r="AJ109" s="325"/>
      <c r="AK109" s="325"/>
      <c r="AL109" s="325"/>
      <c r="AM109" s="325"/>
      <c r="AN109" s="325"/>
      <c r="AO109" s="325"/>
      <c r="AP109" s="136"/>
      <c r="AQ109" s="136"/>
      <c r="AR109" s="136" t="str">
        <f t="shared" si="23"/>
        <v/>
      </c>
      <c r="AS109" s="136" t="str">
        <f t="shared" si="23"/>
        <v/>
      </c>
      <c r="AT109" s="5" t="str">
        <f t="shared" si="24"/>
        <v/>
      </c>
      <c r="AV109" s="27" t="str">
        <f t="shared" si="35"/>
        <v/>
      </c>
      <c r="AW109" s="27"/>
      <c r="AY109" s="122" t="str">
        <f t="shared" si="25"/>
        <v/>
      </c>
    </row>
    <row r="110" spans="2:51" ht="12.75">
      <c r="B110" s="20" t="str">
        <f t="shared" si="27"/>
        <v/>
      </c>
      <c r="C110" s="5"/>
      <c r="D110" s="5"/>
      <c r="E110" s="5"/>
      <c r="G110" s="5" t="str">
        <f t="shared" si="31"/>
        <v/>
      </c>
      <c r="H110" s="117" t="str">
        <f t="shared" si="29"/>
        <v/>
      </c>
      <c r="I110" s="5" t="str">
        <f t="shared" si="32"/>
        <v/>
      </c>
      <c r="J110" s="5" t="str">
        <f t="shared" si="33"/>
        <v/>
      </c>
      <c r="K110" s="5"/>
      <c r="L110" s="5"/>
      <c r="M110" s="75"/>
      <c r="N110" s="77"/>
      <c r="O110" s="26"/>
      <c r="P110" s="26"/>
      <c r="Q110" s="118" t="str">
        <f t="shared" si="34"/>
        <v/>
      </c>
      <c r="R110" s="153"/>
      <c r="S110" s="138" t="str">
        <f t="shared" si="26"/>
        <v/>
      </c>
      <c r="T110" s="148"/>
      <c r="U110" s="146"/>
      <c r="V110" s="146"/>
      <c r="W110" s="139"/>
      <c r="X110" s="139"/>
      <c r="Y110" s="148"/>
      <c r="Z110" s="138" t="str">
        <f t="shared" si="22"/>
        <v/>
      </c>
      <c r="AA110" s="138" t="str">
        <f t="shared" si="28"/>
        <v/>
      </c>
      <c r="AB110" s="239"/>
      <c r="AC110" s="325"/>
      <c r="AD110" s="325"/>
      <c r="AE110" s="325"/>
      <c r="AF110" s="325"/>
      <c r="AG110" s="325"/>
      <c r="AH110" s="325"/>
      <c r="AI110" s="325"/>
      <c r="AJ110" s="325"/>
      <c r="AK110" s="325"/>
      <c r="AL110" s="325"/>
      <c r="AM110" s="325"/>
      <c r="AN110" s="325"/>
      <c r="AO110" s="325"/>
      <c r="AP110" s="136"/>
      <c r="AQ110" s="136"/>
      <c r="AR110" s="136" t="str">
        <f t="shared" si="23"/>
        <v/>
      </c>
      <c r="AS110" s="136" t="str">
        <f t="shared" si="23"/>
        <v/>
      </c>
      <c r="AT110" s="5" t="str">
        <f t="shared" si="24"/>
        <v/>
      </c>
      <c r="AV110" s="27" t="str">
        <f t="shared" si="35"/>
        <v/>
      </c>
      <c r="AW110" s="27"/>
      <c r="AY110" s="122" t="str">
        <f t="shared" si="25"/>
        <v/>
      </c>
    </row>
    <row r="111" spans="2:51" ht="12.75">
      <c r="B111" s="20" t="str">
        <f t="shared" si="27"/>
        <v/>
      </c>
      <c r="C111" s="5"/>
      <c r="D111" s="5"/>
      <c r="E111" s="5"/>
      <c r="G111" s="5" t="str">
        <f t="shared" si="31"/>
        <v/>
      </c>
      <c r="H111" s="117" t="str">
        <f t="shared" si="29"/>
        <v/>
      </c>
      <c r="I111" s="5" t="str">
        <f t="shared" si="32"/>
        <v/>
      </c>
      <c r="J111" s="5" t="str">
        <f t="shared" si="33"/>
        <v/>
      </c>
      <c r="K111" s="5"/>
      <c r="L111" s="5"/>
      <c r="M111" s="75"/>
      <c r="N111" s="77"/>
      <c r="O111" s="26"/>
      <c r="P111" s="26"/>
      <c r="Q111" s="118" t="str">
        <f t="shared" si="34"/>
        <v/>
      </c>
      <c r="R111" s="153"/>
      <c r="S111" s="138" t="str">
        <f t="shared" si="26"/>
        <v/>
      </c>
      <c r="T111" s="148"/>
      <c r="U111" s="146"/>
      <c r="V111" s="146"/>
      <c r="W111" s="139"/>
      <c r="X111" s="139"/>
      <c r="Y111" s="148"/>
      <c r="Z111" s="138" t="str">
        <f t="shared" si="22"/>
        <v/>
      </c>
      <c r="AA111" s="138" t="str">
        <f t="shared" si="28"/>
        <v/>
      </c>
      <c r="AB111" s="239"/>
      <c r="AC111" s="325"/>
      <c r="AD111" s="325"/>
      <c r="AE111" s="325"/>
      <c r="AF111" s="325"/>
      <c r="AG111" s="325"/>
      <c r="AH111" s="325"/>
      <c r="AI111" s="325"/>
      <c r="AJ111" s="325"/>
      <c r="AK111" s="325"/>
      <c r="AL111" s="325"/>
      <c r="AM111" s="325"/>
      <c r="AN111" s="325"/>
      <c r="AO111" s="325"/>
      <c r="AP111" s="136"/>
      <c r="AQ111" s="136"/>
      <c r="AR111" s="136" t="str">
        <f t="shared" si="23"/>
        <v/>
      </c>
      <c r="AS111" s="136" t="str">
        <f t="shared" si="23"/>
        <v/>
      </c>
      <c r="AT111" s="5" t="str">
        <f t="shared" si="24"/>
        <v/>
      </c>
      <c r="AV111" s="27" t="str">
        <f t="shared" si="35"/>
        <v/>
      </c>
      <c r="AW111" s="27"/>
      <c r="AY111" s="122" t="str">
        <f t="shared" si="25"/>
        <v/>
      </c>
    </row>
    <row r="112" spans="2:51" ht="12.75">
      <c r="B112" s="20" t="str">
        <f t="shared" si="27"/>
        <v/>
      </c>
      <c r="C112" s="5"/>
      <c r="D112" s="5"/>
      <c r="E112" s="5"/>
      <c r="G112" s="5" t="str">
        <f t="shared" si="31"/>
        <v/>
      </c>
      <c r="H112" s="117" t="str">
        <f t="shared" si="29"/>
        <v/>
      </c>
      <c r="I112" s="5" t="str">
        <f t="shared" si="32"/>
        <v/>
      </c>
      <c r="J112" s="5" t="str">
        <f t="shared" si="33"/>
        <v/>
      </c>
      <c r="K112" s="5"/>
      <c r="L112" s="5"/>
      <c r="M112" s="75"/>
      <c r="N112" s="77"/>
      <c r="O112" s="26"/>
      <c r="P112" s="26"/>
      <c r="Q112" s="118" t="str">
        <f t="shared" si="34"/>
        <v/>
      </c>
      <c r="R112" s="153"/>
      <c r="S112" s="138" t="str">
        <f t="shared" si="26"/>
        <v/>
      </c>
      <c r="T112" s="148"/>
      <c r="U112" s="146"/>
      <c r="V112" s="146"/>
      <c r="W112" s="139"/>
      <c r="X112" s="139"/>
      <c r="Y112" s="148"/>
      <c r="Z112" s="138" t="str">
        <f t="shared" si="22"/>
        <v/>
      </c>
      <c r="AA112" s="138" t="str">
        <f t="shared" si="28"/>
        <v/>
      </c>
      <c r="AB112" s="239"/>
      <c r="AC112" s="325"/>
      <c r="AD112" s="325"/>
      <c r="AE112" s="325"/>
      <c r="AF112" s="325"/>
      <c r="AG112" s="325"/>
      <c r="AH112" s="325"/>
      <c r="AI112" s="325"/>
      <c r="AJ112" s="325"/>
      <c r="AK112" s="325"/>
      <c r="AL112" s="325"/>
      <c r="AM112" s="325"/>
      <c r="AN112" s="325"/>
      <c r="AO112" s="325"/>
      <c r="AP112" s="136"/>
      <c r="AQ112" s="136"/>
      <c r="AR112" s="136" t="str">
        <f t="shared" si="23"/>
        <v/>
      </c>
      <c r="AS112" s="136" t="str">
        <f t="shared" si="23"/>
        <v/>
      </c>
      <c r="AT112" s="5" t="str">
        <f t="shared" si="24"/>
        <v/>
      </c>
      <c r="AV112" s="27" t="str">
        <f t="shared" si="35"/>
        <v/>
      </c>
      <c r="AW112" s="27"/>
      <c r="AY112" s="122" t="str">
        <f t="shared" si="25"/>
        <v/>
      </c>
    </row>
    <row r="113" spans="2:51" ht="12.75">
      <c r="B113" s="20" t="str">
        <f t="shared" si="27"/>
        <v/>
      </c>
      <c r="C113" s="5"/>
      <c r="D113" s="5"/>
      <c r="E113" s="5"/>
      <c r="G113" s="5" t="str">
        <f t="shared" si="31"/>
        <v/>
      </c>
      <c r="H113" s="117" t="str">
        <f t="shared" si="29"/>
        <v/>
      </c>
      <c r="I113" s="5" t="str">
        <f t="shared" si="32"/>
        <v/>
      </c>
      <c r="J113" s="5" t="str">
        <f t="shared" si="33"/>
        <v/>
      </c>
      <c r="K113" s="5"/>
      <c r="L113" s="5"/>
      <c r="M113" s="75"/>
      <c r="N113" s="77"/>
      <c r="O113" s="26"/>
      <c r="P113" s="26"/>
      <c r="Q113" s="118" t="str">
        <f t="shared" si="34"/>
        <v/>
      </c>
      <c r="R113" s="153"/>
      <c r="S113" s="138" t="str">
        <f t="shared" si="26"/>
        <v/>
      </c>
      <c r="T113" s="148"/>
      <c r="U113" s="146"/>
      <c r="V113" s="146"/>
      <c r="W113" s="139"/>
      <c r="X113" s="139"/>
      <c r="Y113" s="148"/>
      <c r="Z113" s="138" t="str">
        <f t="shared" si="22"/>
        <v/>
      </c>
      <c r="AA113" s="138" t="str">
        <f t="shared" si="28"/>
        <v/>
      </c>
      <c r="AB113" s="239"/>
      <c r="AC113" s="325"/>
      <c r="AD113" s="325"/>
      <c r="AE113" s="325"/>
      <c r="AF113" s="325"/>
      <c r="AG113" s="325"/>
      <c r="AH113" s="325"/>
      <c r="AI113" s="325"/>
      <c r="AJ113" s="325"/>
      <c r="AK113" s="325"/>
      <c r="AL113" s="325"/>
      <c r="AM113" s="325"/>
      <c r="AN113" s="325"/>
      <c r="AO113" s="325"/>
      <c r="AP113" s="136"/>
      <c r="AQ113" s="136"/>
      <c r="AR113" s="136" t="str">
        <f t="shared" si="23"/>
        <v/>
      </c>
      <c r="AS113" s="136" t="str">
        <f t="shared" si="23"/>
        <v/>
      </c>
      <c r="AT113" s="5" t="str">
        <f t="shared" si="24"/>
        <v/>
      </c>
      <c r="AV113" s="27" t="str">
        <f t="shared" si="35"/>
        <v/>
      </c>
      <c r="AW113" s="27"/>
      <c r="AY113" s="122" t="str">
        <f t="shared" si="25"/>
        <v/>
      </c>
    </row>
    <row r="114" spans="2:51" ht="12.75">
      <c r="B114" s="20" t="str">
        <f t="shared" si="27"/>
        <v/>
      </c>
      <c r="C114" s="5"/>
      <c r="D114" s="5"/>
      <c r="E114" s="5"/>
      <c r="G114" s="5" t="str">
        <f t="shared" si="31"/>
        <v/>
      </c>
      <c r="H114" s="117" t="str">
        <f t="shared" si="29"/>
        <v/>
      </c>
      <c r="I114" s="5" t="str">
        <f t="shared" si="32"/>
        <v/>
      </c>
      <c r="J114" s="5" t="str">
        <f t="shared" si="33"/>
        <v/>
      </c>
      <c r="K114" s="5"/>
      <c r="L114" s="5"/>
      <c r="M114" s="75"/>
      <c r="N114" s="77"/>
      <c r="O114" s="26"/>
      <c r="P114" s="26"/>
      <c r="Q114" s="118" t="str">
        <f t="shared" si="34"/>
        <v/>
      </c>
      <c r="R114" s="153"/>
      <c r="S114" s="138" t="str">
        <f t="shared" si="26"/>
        <v/>
      </c>
      <c r="T114" s="148"/>
      <c r="U114" s="146"/>
      <c r="V114" s="146"/>
      <c r="W114" s="139"/>
      <c r="X114" s="139"/>
      <c r="Y114" s="148"/>
      <c r="Z114" s="138" t="str">
        <f t="shared" si="22"/>
        <v/>
      </c>
      <c r="AA114" s="138" t="str">
        <f t="shared" si="28"/>
        <v/>
      </c>
      <c r="AB114" s="239"/>
      <c r="AC114" s="325"/>
      <c r="AD114" s="325"/>
      <c r="AE114" s="325"/>
      <c r="AF114" s="325"/>
      <c r="AG114" s="325"/>
      <c r="AH114" s="325"/>
      <c r="AI114" s="325"/>
      <c r="AJ114" s="325"/>
      <c r="AK114" s="325"/>
      <c r="AL114" s="325"/>
      <c r="AM114" s="325"/>
      <c r="AN114" s="325"/>
      <c r="AO114" s="325"/>
      <c r="AP114" s="136"/>
      <c r="AQ114" s="136"/>
      <c r="AR114" s="136" t="str">
        <f t="shared" si="23"/>
        <v/>
      </c>
      <c r="AS114" s="136" t="str">
        <f t="shared" si="23"/>
        <v/>
      </c>
      <c r="AT114" s="5" t="str">
        <f t="shared" si="24"/>
        <v/>
      </c>
      <c r="AV114" s="27" t="str">
        <f t="shared" si="35"/>
        <v/>
      </c>
      <c r="AW114" s="27"/>
      <c r="AY114" s="122" t="str">
        <f t="shared" si="25"/>
        <v/>
      </c>
    </row>
    <row r="115" spans="2:51" ht="12.75">
      <c r="B115" s="20" t="str">
        <f t="shared" si="27"/>
        <v/>
      </c>
      <c r="C115" s="5"/>
      <c r="D115" s="5"/>
      <c r="E115" s="5"/>
      <c r="G115" s="5" t="str">
        <f t="shared" si="31"/>
        <v/>
      </c>
      <c r="H115" s="117" t="str">
        <f t="shared" si="29"/>
        <v/>
      </c>
      <c r="I115" s="5" t="str">
        <f t="shared" si="32"/>
        <v/>
      </c>
      <c r="J115" s="5" t="str">
        <f t="shared" si="33"/>
        <v/>
      </c>
      <c r="K115" s="5"/>
      <c r="L115" s="5"/>
      <c r="M115" s="75"/>
      <c r="N115" s="77"/>
      <c r="O115" s="26"/>
      <c r="P115" s="26"/>
      <c r="Q115" s="118" t="str">
        <f t="shared" si="34"/>
        <v/>
      </c>
      <c r="R115" s="153"/>
      <c r="S115" s="138" t="str">
        <f t="shared" si="26"/>
        <v/>
      </c>
      <c r="T115" s="148"/>
      <c r="U115" s="146"/>
      <c r="V115" s="146"/>
      <c r="W115" s="139"/>
      <c r="X115" s="139"/>
      <c r="Y115" s="148"/>
      <c r="Z115" s="138" t="str">
        <f t="shared" si="22"/>
        <v/>
      </c>
      <c r="AA115" s="138" t="str">
        <f t="shared" si="28"/>
        <v/>
      </c>
      <c r="AB115" s="239"/>
      <c r="AC115" s="325"/>
      <c r="AD115" s="325"/>
      <c r="AE115" s="325"/>
      <c r="AF115" s="325"/>
      <c r="AG115" s="325"/>
      <c r="AH115" s="325"/>
      <c r="AI115" s="325"/>
      <c r="AJ115" s="325"/>
      <c r="AK115" s="325"/>
      <c r="AL115" s="325"/>
      <c r="AM115" s="325"/>
      <c r="AN115" s="325"/>
      <c r="AO115" s="325"/>
      <c r="AP115" s="136"/>
      <c r="AQ115" s="136"/>
      <c r="AR115" s="136" t="str">
        <f t="shared" si="23"/>
        <v/>
      </c>
      <c r="AS115" s="136" t="str">
        <f t="shared" si="23"/>
        <v/>
      </c>
      <c r="AT115" s="5" t="str">
        <f t="shared" si="24"/>
        <v/>
      </c>
      <c r="AV115" s="27" t="str">
        <f t="shared" si="35"/>
        <v/>
      </c>
      <c r="AW115" s="27"/>
      <c r="AY115" s="122" t="str">
        <f t="shared" si="25"/>
        <v/>
      </c>
    </row>
    <row r="116" spans="2:51">
      <c r="AT116" s="3" t="str">
        <f t="shared" si="24"/>
        <v/>
      </c>
      <c r="AV116" s="28"/>
      <c r="AW116" s="27"/>
      <c r="AY116" s="122" t="str">
        <f t="shared" si="25"/>
        <v/>
      </c>
    </row>
    <row r="117" spans="2:51">
      <c r="B117" s="11" t="s">
        <v>23</v>
      </c>
      <c r="AV117" s="28"/>
      <c r="AW117" s="27"/>
    </row>
    <row r="118" spans="2:51">
      <c r="B118" s="18" t="s">
        <v>17</v>
      </c>
      <c r="C118" s="22" t="str">
        <f>+"By"&amp;D120</f>
        <v>ByCode</v>
      </c>
      <c r="D118" s="23" t="str">
        <f>SUBSTITUTE(SUBSTITUTE(SUBSTITUTE(SUBSTITUTE(SUBSTITUTE(SUBSTITUTE(SUBSTITUTE(C118," ",""),".",""),"&amp;",""),"(",""),")",""),",",""),"/","")&amp;"_"&amp;TRIM(TEXT(C7,"###"))</f>
        <v>ByCode_5842</v>
      </c>
      <c r="E118" s="8"/>
      <c r="S118" s="283" t="s">
        <v>906</v>
      </c>
      <c r="AV118" s="27" t="str">
        <f>+" CONSTRAINT ["&amp;D118&amp;"] PRIMARY KEY NONCLUSTERED "</f>
        <v xml:space="preserve"> CONSTRAINT [ByCode_5842]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6">IFERROR(INDEX($G$16:$G$115,C120),"")</f>
        <v>Code</v>
      </c>
      <c r="E120" s="10" t="s">
        <v>5</v>
      </c>
      <c r="G120" s="5" t="str">
        <f>CHAR(34)&amp;D120&amp;" LIKE "&amp;H120&amp;"%{0}%"&amp;H120&amp;CHAR(34)&amp;","</f>
        <v>"Code LIKE '%{0}%'",</v>
      </c>
      <c r="H120" s="3" t="str">
        <f>IF(IFERROR(INDEX($I$16:$I$115,C120),"")="varchar","'","")</f>
        <v>'</v>
      </c>
      <c r="S120" s="282" t="str">
        <f>RIGHT(T2,1)&amp;V3&amp;MID(T2,2,1)&amp;V3&amp;MID(T2,5,1)&amp;LEFT(T2,1)&amp;C7</f>
        <v>YUEC5842</v>
      </c>
      <c r="T120" s="282" t="str">
        <f>+C8</f>
        <v>Currency</v>
      </c>
      <c r="U120" s="282" t="str">
        <f>+D120</f>
        <v>Code</v>
      </c>
      <c r="V120" s="239" t="str">
        <f>+C10</f>
        <v>22b4c16a-7c2d-4088-ac1a-4efc13e1fb01</v>
      </c>
      <c r="W120" s="272"/>
      <c r="X120" s="272"/>
      <c r="AV120" s="27" t="str">
        <f t="shared" ref="AV120:AV126" si="37">+IF(D120="","","          ["&amp;D120&amp;"] "&amp;IF(TRIM(E120)="Ascending","ASC","DES")&amp;IF(D121="","",","))</f>
        <v xml:space="preserve">          [Code]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87" t="s">
        <v>574</v>
      </c>
      <c r="AV122" s="27" t="str">
        <f t="shared" si="37"/>
        <v/>
      </c>
      <c r="AW122" s="28"/>
    </row>
    <row r="123" spans="2:51">
      <c r="B123" s="20" t="str">
        <f t="shared" si="38"/>
        <v/>
      </c>
      <c r="C123" s="10"/>
      <c r="D123" s="21" t="str">
        <f t="shared" si="36"/>
        <v/>
      </c>
      <c r="E123" s="10"/>
      <c r="G123" s="5"/>
      <c r="S123" s="288" t="s">
        <v>312</v>
      </c>
      <c r="T123" s="288" t="s">
        <v>393</v>
      </c>
      <c r="U123" s="288" t="s">
        <v>394</v>
      </c>
      <c r="V123" s="288" t="s">
        <v>390</v>
      </c>
      <c r="W123" s="288" t="s">
        <v>391</v>
      </c>
      <c r="X123" s="288" t="s">
        <v>392</v>
      </c>
      <c r="Y123" s="288" t="s">
        <v>400</v>
      </c>
      <c r="Z123" s="288" t="s">
        <v>436</v>
      </c>
      <c r="AV123" s="27" t="str">
        <f t="shared" si="37"/>
        <v/>
      </c>
      <c r="AW123" s="28"/>
    </row>
    <row r="124" spans="2:51">
      <c r="B124" s="20" t="str">
        <f t="shared" si="38"/>
        <v/>
      </c>
      <c r="C124" s="10"/>
      <c r="D124" s="21" t="str">
        <f t="shared" si="36"/>
        <v/>
      </c>
      <c r="E124" s="10"/>
      <c r="G124" s="5"/>
      <c r="S124" s="239" t="s">
        <v>913</v>
      </c>
      <c r="T124" s="239" t="s">
        <v>908</v>
      </c>
      <c r="U124" s="239" t="str">
        <f>+E8</f>
        <v>Currency</v>
      </c>
      <c r="V124" s="239"/>
      <c r="W124" s="239"/>
      <c r="X124" s="239" t="str">
        <f>"./"&amp;V2</f>
        <v>./YUEC5842.html</v>
      </c>
      <c r="Y124" s="239"/>
      <c r="Z124" s="282" t="str">
        <f>+S120</f>
        <v>YUEC5842</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"22b4c16a-7c2d-4088-ac1a-4efc13e1fb01",</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"Currency",</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"Currency",</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"Code,ShortName,Name",</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["Code"],</v>
      </c>
      <c r="C137" s="122"/>
      <c r="D137" s="122"/>
      <c r="E137" s="122"/>
      <c r="F137" s="122"/>
      <c r="G137" s="122"/>
      <c r="H137" s="122"/>
      <c r="I137" s="122"/>
      <c r="J137" s="122"/>
      <c r="K137" s="122"/>
      <c r="L137" s="122"/>
      <c r="M137" s="122"/>
    </row>
    <row r="138" spans="2:49">
      <c r="B138" s="273" t="str">
        <f>REPT(" ",6)&amp;CHAR(34)&amp;"QueryStr"&amp;CHAR(34)&amp;": "&amp;G120</f>
        <v xml:space="preserve">      "QueryStr": "Code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row>
    <row r="151" spans="2:16">
      <c r="B151" s="274"/>
      <c r="C151" s="14"/>
      <c r="D151" s="232"/>
      <c r="E151" s="14"/>
      <c r="F151" s="14"/>
      <c r="G151" s="14"/>
      <c r="H151" s="14"/>
      <c r="I151" s="14"/>
      <c r="J151" s="14"/>
      <c r="K151" s="14"/>
      <c r="L151" s="14"/>
      <c r="M151" s="14"/>
      <c r="N151" s="14"/>
    </row>
    <row r="152" spans="2:16">
      <c r="B152" s="275"/>
      <c r="C152" s="275"/>
      <c r="D152" s="275"/>
      <c r="E152" s="275"/>
      <c r="F152" s="14"/>
      <c r="G152" s="276"/>
      <c r="H152" s="14"/>
      <c r="I152" s="14"/>
      <c r="J152" s="14"/>
      <c r="K152" s="14"/>
      <c r="L152" s="14"/>
      <c r="M152" s="14"/>
      <c r="N152" s="14"/>
      <c r="O152" s="4"/>
      <c r="P152" s="4"/>
    </row>
    <row r="153" spans="2:16">
      <c r="B153" s="277"/>
      <c r="C153" s="277"/>
      <c r="D153" s="278"/>
      <c r="E153" s="14"/>
      <c r="F153" s="14"/>
      <c r="G153" s="14"/>
      <c r="H153" s="14"/>
      <c r="I153" s="14"/>
      <c r="J153" s="14"/>
      <c r="K153" s="14"/>
      <c r="L153" s="14"/>
      <c r="M153" s="14"/>
      <c r="N153" s="14"/>
    </row>
    <row r="154" spans="2:16">
      <c r="B154" s="277"/>
      <c r="C154" s="277"/>
      <c r="D154" s="278"/>
      <c r="E154" s="14"/>
      <c r="F154" s="14"/>
      <c r="G154" s="14"/>
      <c r="H154" s="14"/>
      <c r="I154" s="14"/>
      <c r="J154" s="14"/>
      <c r="K154" s="14"/>
      <c r="L154" s="14"/>
      <c r="M154" s="14"/>
      <c r="N154" s="14"/>
    </row>
    <row r="155" spans="2:16">
      <c r="B155" s="14"/>
      <c r="C155" s="14"/>
      <c r="D155" s="14"/>
      <c r="E155" s="14"/>
      <c r="F155" s="14"/>
      <c r="G155" s="14"/>
      <c r="H155" s="14"/>
      <c r="I155" s="14"/>
      <c r="J155" s="14"/>
      <c r="K155" s="14"/>
      <c r="L155" s="14"/>
      <c r="M155" s="14"/>
      <c r="N155" s="14"/>
    </row>
    <row r="156" spans="2:16">
      <c r="B156" s="14"/>
      <c r="C156" s="14"/>
      <c r="D156" s="14"/>
      <c r="E156" s="14"/>
      <c r="F156" s="14"/>
      <c r="G156" s="14"/>
      <c r="H156" s="14"/>
      <c r="I156" s="14"/>
      <c r="J156" s="14"/>
      <c r="K156" s="14"/>
      <c r="L156" s="14"/>
      <c r="M156" s="14"/>
      <c r="N156" s="14"/>
    </row>
    <row r="157" spans="2:16">
      <c r="B157" s="14"/>
      <c r="C157" s="14"/>
      <c r="D157" s="14"/>
      <c r="E157" s="14"/>
      <c r="F157" s="14"/>
      <c r="G157" s="14"/>
      <c r="H157" s="14"/>
      <c r="I157" s="14"/>
      <c r="J157" s="14"/>
      <c r="K157" s="14"/>
      <c r="L157" s="14"/>
      <c r="M157" s="14"/>
      <c r="N157" s="14"/>
    </row>
    <row r="158" spans="2:16">
      <c r="B158" s="14"/>
      <c r="C158" s="14"/>
      <c r="D158" s="14"/>
      <c r="E158" s="14"/>
      <c r="F158" s="14"/>
      <c r="G158" s="14"/>
      <c r="H158" s="14"/>
      <c r="I158" s="14"/>
      <c r="J158" s="14"/>
      <c r="K158" s="14"/>
      <c r="L158" s="14"/>
      <c r="M158" s="14"/>
      <c r="N158" s="14"/>
    </row>
    <row r="159" spans="2:16">
      <c r="B159" s="14"/>
      <c r="C159" s="14"/>
      <c r="D159" s="14"/>
      <c r="E159" s="14"/>
      <c r="F159" s="14"/>
      <c r="G159" s="14"/>
      <c r="H159" s="14"/>
      <c r="I159" s="14"/>
      <c r="J159" s="14"/>
      <c r="K159" s="14"/>
      <c r="L159" s="14"/>
      <c r="M159" s="14"/>
      <c r="N159" s="14"/>
    </row>
    <row r="160" spans="2:16">
      <c r="B160" s="14"/>
      <c r="C160" s="14"/>
      <c r="D160" s="14"/>
      <c r="E160" s="14"/>
      <c r="F160" s="14"/>
      <c r="G160" s="14"/>
      <c r="H160" s="14"/>
      <c r="I160" s="14"/>
      <c r="J160" s="14"/>
      <c r="K160" s="14"/>
      <c r="L160" s="14"/>
      <c r="M160" s="14"/>
      <c r="N160" s="14"/>
    </row>
    <row r="161" spans="2:16">
      <c r="B161" s="14"/>
      <c r="C161" s="14"/>
      <c r="D161" s="14"/>
      <c r="E161" s="14"/>
      <c r="F161" s="14"/>
      <c r="G161" s="14"/>
      <c r="H161" s="14"/>
      <c r="I161" s="14"/>
      <c r="J161" s="14"/>
      <c r="K161" s="279"/>
      <c r="L161" s="14"/>
      <c r="M161" s="14"/>
      <c r="N161" s="14"/>
    </row>
    <row r="162" spans="2:16">
      <c r="B162" s="14"/>
      <c r="C162" s="14"/>
      <c r="D162" s="14"/>
      <c r="E162" s="14"/>
      <c r="F162" s="14"/>
      <c r="G162" s="14"/>
      <c r="H162" s="14"/>
      <c r="I162" s="14"/>
      <c r="J162" s="14"/>
      <c r="K162" s="280"/>
      <c r="L162" s="14"/>
      <c r="M162" s="14"/>
      <c r="N162" s="14"/>
    </row>
    <row r="163" spans="2:16">
      <c r="B163" s="14"/>
      <c r="C163" s="14"/>
      <c r="D163" s="14"/>
      <c r="E163" s="14"/>
      <c r="F163" s="14"/>
      <c r="G163" s="14"/>
      <c r="H163" s="14"/>
      <c r="I163" s="14"/>
      <c r="J163" s="14"/>
      <c r="K163" s="279"/>
      <c r="L163" s="279"/>
      <c r="M163" s="14"/>
      <c r="N163" s="14"/>
    </row>
    <row r="164" spans="2:16">
      <c r="K164" s="107"/>
      <c r="L164" s="107"/>
      <c r="P164" s="107"/>
    </row>
    <row r="165" spans="2:16">
      <c r="K165" s="107"/>
      <c r="L165" s="107"/>
    </row>
    <row r="166" spans="2:16">
      <c r="K166" s="107"/>
      <c r="L166" s="107"/>
      <c r="O166" s="107"/>
    </row>
    <row r="167" spans="2:16">
      <c r="K167" s="107"/>
    </row>
    <row r="168" spans="2:16">
      <c r="K168" s="107"/>
    </row>
    <row r="169" spans="2:16">
      <c r="K169" s="107"/>
    </row>
    <row r="170" spans="2:16">
      <c r="K170" s="107"/>
      <c r="L170" s="107"/>
    </row>
    <row r="171" spans="2:16">
      <c r="K171" s="107"/>
      <c r="L171" s="107"/>
    </row>
    <row r="172" spans="2:16">
      <c r="K172" s="107"/>
      <c r="L172" s="107"/>
    </row>
    <row r="173" spans="2:16">
      <c r="K173" s="107"/>
      <c r="L173" s="107"/>
      <c r="O173" s="107"/>
    </row>
    <row r="174" spans="2:16">
      <c r="K174" s="107"/>
    </row>
  </sheetData>
  <mergeCells count="1">
    <mergeCell ref="N14:P14"/>
  </mergeCells>
  <dataValidations count="3">
    <dataValidation type="list" showInputMessage="1" showErrorMessage="1" sqref="V16:V115" xr:uid="{825A2452-4AD6-4209-AD6F-44929FEC9902}">
      <formula1>aFormat</formula1>
    </dataValidation>
    <dataValidation type="list" showInputMessage="1" showErrorMessage="1" sqref="U16:U115" xr:uid="{4C80016E-1EC8-4790-AE03-EA55B11F57E6}">
      <formula1>aDataType</formula1>
    </dataValidation>
    <dataValidation type="list" showInputMessage="1" showErrorMessage="1" sqref="W16:X115 X2 V6:V7 AL11:AL12 T7" xr:uid="{BEEFC7AA-1D1E-48A7-9631-0312D7E93095}">
      <formula1>aBoolean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F5CA0B0B-4002-4160-86BB-4538B6600C35}">
          <x14:formula1>
            <xm:f>Variables!$B$22:$B$25</xm:f>
          </x14:formula1>
          <xm:sqref>E6</xm:sqref>
        </x14:dataValidation>
        <x14:dataValidation type="list" allowBlank="1" showInputMessage="1" showErrorMessage="1" xr:uid="{9FEFC08F-CBC5-48A2-B6C8-A208AD4114AF}">
          <x14:formula1>
            <xm:f>Variables!$E$17:$E$22</xm:f>
          </x14:formula1>
          <xm:sqref>C6</xm:sqref>
        </x14:dataValidation>
        <x14:dataValidation type="list" allowBlank="1" showInputMessage="1" showErrorMessage="1" xr:uid="{9A6275BD-DC27-45AE-81DC-DD48791F0D87}">
          <x14:formula1>
            <xm:f>Variables!$I$28:$I$35</xm:f>
          </x14:formula1>
          <xm:sqref>T6</xm:sqref>
        </x14:dataValidation>
        <x14:dataValidation type="list" allowBlank="1" showInputMessage="1" showErrorMessage="1" xr:uid="{C21DB31C-CAB4-41A2-B1E3-5B08F7B7EAB5}">
          <x14:formula1>
            <xm:f>Variables!$G$6:$G$8</xm:f>
          </x14:formula1>
          <xm:sqref>T5</xm:sqref>
        </x14:dataValidation>
        <x14:dataValidation type="list" allowBlank="1" showInputMessage="1" showErrorMessage="1" xr:uid="{9358D15A-FDC7-443C-8FFD-1676E6C398E2}">
          <x14:formula1>
            <xm:f>Variables!$G$12:$G$14</xm:f>
          </x14:formula1>
          <xm:sqref>AA16:AA115</xm:sqref>
        </x14:dataValidation>
        <x14:dataValidation type="list" showInputMessage="1" showErrorMessage="1" xr:uid="{21D70E84-C63E-4A98-946C-1E286FF90CC8}">
          <x14:formula1>
            <xm:f>Variables!$G$17:$G$22</xm:f>
          </x14:formula1>
          <xm:sqref>T8:T10</xm:sqref>
        </x14:dataValidation>
        <x14:dataValidation type="list" allowBlank="1" showInputMessage="1" showErrorMessage="1" xr:uid="{157C5359-D27F-4FF5-9FFC-2C67A343AA24}">
          <x14:formula1>
            <xm:f>Variables!E$28:E$34</xm:f>
          </x14:formula1>
          <xm:sqref>AJ16:AJ115</xm:sqref>
        </x14:dataValidation>
        <x14:dataValidation type="list" allowBlank="1" showInputMessage="1" showErrorMessage="1" xr:uid="{6139D896-77C4-49DA-83DA-4E0225A2E5FF}">
          <x14:formula1>
            <xm:f>Variables!E$28:E$34</xm:f>
          </x14:formula1>
          <xm:sqref>AM16:AM115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2278C-7697-44C8-B4ED-4EFD7BC62B87}">
  <sheetPr codeName="Sheet25">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8.140625" style="134" bestFit="1" customWidth="1"/>
    <col min="21" max="21" width="14.7109375" style="134" bestFit="1" customWidth="1"/>
    <col min="22" max="22" width="22.140625" style="134" customWidth="1"/>
    <col min="23" max="23" width="13.5703125" style="134" bestFit="1" customWidth="1"/>
    <col min="24" max="24" width="15.28515625" style="134" customWidth="1"/>
    <col min="25" max="25" width="12.5703125" style="134" customWidth="1"/>
    <col min="26" max="26" width="15"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4"/>
      <c r="AV1" s="13" t="s">
        <v>430</v>
      </c>
    </row>
    <row r="2" spans="2:51">
      <c r="S2" s="255" t="s">
        <v>875</v>
      </c>
      <c r="T2" s="240" t="str" cm="1">
        <f t="array" ref="T2">MID(CELL("filename",A1),FIND("]",CELL("filename",A1))+1,250)</f>
        <v>ACCOUNTEXECUTIVE</v>
      </c>
      <c r="U2" s="255" t="s">
        <v>874</v>
      </c>
      <c r="V2" s="282" t="str">
        <f>UPPER(RIGHT(T2,1)&amp;V3&amp;MID(T2,2,1)&amp;V3&amp;MID(T2,5,1)&amp;LEFT(T2,1)&amp;C7)&amp;".html"</f>
        <v>EXCXUA5749.html</v>
      </c>
      <c r="W2" s="255" t="s">
        <v>1071</v>
      </c>
      <c r="X2" s="245" t="s">
        <v>379</v>
      </c>
      <c r="AV2" s="27" t="str">
        <f>+"USE "&amp;TRIM(C5)</f>
        <v>USE SIBISDB</v>
      </c>
      <c r="AW2" s="27"/>
    </row>
    <row r="3" spans="2:51">
      <c r="B3" s="221" t="s">
        <v>577</v>
      </c>
      <c r="C3" s="102" t="str">
        <f>+DBTableList!G5</f>
        <v>http://wikran-w10:8081</v>
      </c>
      <c r="D3" s="222" t="s">
        <v>846</v>
      </c>
      <c r="E3" s="5" t="str">
        <f>+DBTableList!$G$4</f>
        <v>CBS</v>
      </c>
      <c r="I3" s="219"/>
      <c r="J3" s="219"/>
      <c r="K3" s="62"/>
      <c r="U3" s="254" t="s">
        <v>877</v>
      </c>
      <c r="V3" s="240" t="str">
        <f>IF(ISERROR(FIND("EntryBy",C11)),"","X")</f>
        <v>X</v>
      </c>
      <c r="AV3" s="27" t="s">
        <v>0</v>
      </c>
      <c r="AW3" s="27"/>
    </row>
    <row r="4" spans="2:51">
      <c r="B4" s="222" t="s">
        <v>854</v>
      </c>
      <c r="C4" s="218" t="str">
        <f>+DBTableList!G6</f>
        <v>pythonLT</v>
      </c>
      <c r="D4" s="105" t="s">
        <v>412</v>
      </c>
      <c r="E4" s="68" t="s">
        <v>407</v>
      </c>
      <c r="S4" s="256" t="s">
        <v>872</v>
      </c>
      <c r="AV4" s="28" t="s">
        <v>1</v>
      </c>
      <c r="AW4" s="27"/>
    </row>
    <row r="5" spans="2:51">
      <c r="B5" s="100" t="s">
        <v>19</v>
      </c>
      <c r="C5" s="101" t="s">
        <v>20</v>
      </c>
      <c r="D5" s="222" t="s">
        <v>408</v>
      </c>
      <c r="E5" s="5" t="str">
        <f>+DBTableList!$G$4</f>
        <v>CBS</v>
      </c>
      <c r="S5" s="241" t="s">
        <v>873</v>
      </c>
      <c r="T5" s="244" t="s">
        <v>569</v>
      </c>
      <c r="U5" s="243" t="s">
        <v>377</v>
      </c>
      <c r="V5" s="240" t="str">
        <f>CHAR(34)&amp;E8&amp;" Info"&amp;CHAR(34)</f>
        <v>"Account Executive Info"</v>
      </c>
      <c r="W5" s="242"/>
      <c r="X5" s="240"/>
      <c r="AV5" s="28" t="s">
        <v>1</v>
      </c>
      <c r="AW5" s="27"/>
    </row>
    <row r="6" spans="2:51">
      <c r="B6" s="105" t="s">
        <v>10</v>
      </c>
      <c r="C6" s="5" t="s">
        <v>852</v>
      </c>
      <c r="D6" s="100" t="s">
        <v>429</v>
      </c>
      <c r="E6" s="5" t="s">
        <v>424</v>
      </c>
      <c r="S6" s="242" t="s">
        <v>514</v>
      </c>
      <c r="T6" s="245" t="s">
        <v>506</v>
      </c>
      <c r="U6" s="242" t="s">
        <v>507</v>
      </c>
      <c r="V6" s="245" t="s">
        <v>367</v>
      </c>
      <c r="W6" s="242"/>
      <c r="X6" s="240"/>
      <c r="AV6" s="27" t="s">
        <v>2</v>
      </c>
      <c r="AW6" s="27"/>
    </row>
    <row r="7" spans="2:51">
      <c r="B7" s="100" t="s">
        <v>315</v>
      </c>
      <c r="C7" s="17">
        <v>5749</v>
      </c>
      <c r="D7" s="100" t="str">
        <f>"LIMIT "&amp;IF(E7=0,"(MAX)","")</f>
        <v>LIMIT (MAX)</v>
      </c>
      <c r="E7" s="17">
        <v>0</v>
      </c>
      <c r="S7" s="242" t="s">
        <v>508</v>
      </c>
      <c r="T7" s="245" t="s">
        <v>379</v>
      </c>
      <c r="U7" s="242" t="s">
        <v>385</v>
      </c>
      <c r="V7" s="245" t="s">
        <v>379</v>
      </c>
      <c r="W7" s="242"/>
      <c r="X7" s="240"/>
      <c r="AV7" s="27" t="s">
        <v>0</v>
      </c>
      <c r="AW7" s="27"/>
    </row>
    <row r="8" spans="2:51">
      <c r="B8" s="215" t="s">
        <v>16</v>
      </c>
      <c r="C8" s="17" t="s">
        <v>434</v>
      </c>
      <c r="D8" s="215" t="s">
        <v>847</v>
      </c>
      <c r="E8" s="17" t="s">
        <v>406</v>
      </c>
      <c r="G8" s="62"/>
      <c r="S8" s="242" t="s">
        <v>509</v>
      </c>
      <c r="T8" s="245" t="s">
        <v>379</v>
      </c>
      <c r="U8" s="242" t="s">
        <v>380</v>
      </c>
      <c r="V8" s="246">
        <v>1000</v>
      </c>
      <c r="W8" s="242"/>
      <c r="X8" s="240"/>
      <c r="AV8" s="28" t="s">
        <v>1</v>
      </c>
      <c r="AW8" s="27"/>
    </row>
    <row r="9" spans="2:51">
      <c r="B9" s="105" t="s">
        <v>409</v>
      </c>
      <c r="C9" s="102" t="str">
        <f>VLOOKUP(E6,Variables!$B$22:$C$25,2,FALSE)</f>
        <v>b18e9f22-2069-4f35-9739-4d7f976335eb</v>
      </c>
      <c r="D9" s="104"/>
      <c r="E9" s="103"/>
      <c r="S9" s="242" t="s">
        <v>510</v>
      </c>
      <c r="T9" s="245" t="s">
        <v>1244</v>
      </c>
      <c r="U9" s="242" t="s">
        <v>378</v>
      </c>
      <c r="V9" s="246">
        <v>525</v>
      </c>
      <c r="W9" s="242"/>
      <c r="X9" s="240"/>
      <c r="AV9" s="27" t="s">
        <v>3</v>
      </c>
      <c r="AW9" s="27"/>
    </row>
    <row r="10" spans="2:51">
      <c r="B10" s="217" t="str">
        <f>HYPERLINK("[http://wikran-w10:8080/Gentoken.html]","TBTOKEN")</f>
        <v>TBTOKEN</v>
      </c>
      <c r="C10" s="102" t="s">
        <v>924</v>
      </c>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AccountExecutive,Name,Address1,Address2,Address3,PostCode,City,PhoneBusiness,PhoneHome,EntryBy,EntryDate,Unit,Title,Internet_Address</v>
      </c>
      <c r="D11" s="104"/>
      <c r="E11" s="104"/>
      <c r="F11" s="104"/>
      <c r="G11" s="104"/>
      <c r="H11" s="104"/>
      <c r="I11" s="104"/>
      <c r="J11" s="104"/>
      <c r="K11" s="104"/>
      <c r="L11" s="103"/>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http://wikran-w10:8081/pythonLT/A75FCC75-8FB6-4460-B3F6-7070B4437930/246b1f7c-4321-464f-bf50-221a15dc8fcf/all</v>
      </c>
      <c r="D12" s="104"/>
      <c r="E12" s="104"/>
      <c r="F12" s="104"/>
      <c r="G12" s="104"/>
      <c r="H12" s="104"/>
      <c r="I12" s="104"/>
      <c r="J12" s="104"/>
      <c r="K12" s="104"/>
      <c r="L12" s="103"/>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14</v>
      </c>
      <c r="D14" s="3" t="s">
        <v>496</v>
      </c>
      <c r="E14" s="3">
        <f>+C14+15</f>
        <v>29</v>
      </c>
      <c r="G14" s="16" t="s">
        <v>22</v>
      </c>
      <c r="H14" s="131">
        <f>IF(IFERROR(FIND("varchar",E22),0)&gt;0,IF(D22&gt;8000,"max",D22),"")</f>
        <v>30</v>
      </c>
      <c r="M14" s="107" t="s">
        <v>369</v>
      </c>
      <c r="N14" s="489" t="s">
        <v>305</v>
      </c>
      <c r="O14" s="490"/>
      <c r="P14" s="491"/>
      <c r="S14" s="257" t="s">
        <v>871</v>
      </c>
      <c r="T14" s="149" t="s">
        <v>893</v>
      </c>
      <c r="AJ14" s="347">
        <f>COUNTBLANK(AJ16:AJ115)</f>
        <v>99</v>
      </c>
      <c r="AK14" s="30" t="s">
        <v>1044</v>
      </c>
      <c r="AM14" s="347">
        <f>COUNTBLANK(AM16:AM115)</f>
        <v>99</v>
      </c>
      <c r="AN14" s="30" t="s">
        <v>1036</v>
      </c>
      <c r="AO14" s="347">
        <f>+AM14+AJ14</f>
        <v>198</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[dbo].[AccountExecutive](</v>
      </c>
      <c r="AW15" s="27"/>
      <c r="AY15" s="122" t="str">
        <f>+"CREATE TABLE "&amp;TRIM(C8)&amp;" ("</f>
        <v>CREATE TABLE AccountExecutive (</v>
      </c>
    </row>
    <row r="16" spans="2:51" ht="12.75">
      <c r="B16" s="20">
        <f>IF(C16=0,"",1)</f>
        <v>1</v>
      </c>
      <c r="C16" s="5" t="s">
        <v>434</v>
      </c>
      <c r="D16" s="5">
        <v>8</v>
      </c>
      <c r="E16" s="5" t="s">
        <v>11</v>
      </c>
      <c r="G16" s="5" t="str">
        <f t="shared" ref="G16:G32" si="0">SUBSTITUTE(SUBSTITUTE(SUBSTITUTE(SUBSTITUTE(SUBSTITUTE(SUBSTITUTE(SUBSTITUTE(SUBSTITUTE(SUBSTITUTE(C16," ",""),".",""),"#","No"),"%",""),"(",""),"*",""),"-",""),"/",""),")","")</f>
        <v>AccountExecutive</v>
      </c>
      <c r="H16" s="117">
        <f t="shared" ref="H16:H21" si="1">IF(IFERROR(FIND("varchar",E16),0)&gt;0,IF(D16&gt;8000,"max",D16),"")</f>
        <v>8</v>
      </c>
      <c r="I16" s="5" t="str">
        <f t="shared" ref="I16:I45" si="2">IF(E16=0,"",+E16)</f>
        <v>varchar</v>
      </c>
      <c r="J16" s="5" t="str">
        <f t="shared" ref="J16:J45" si="3">IF(C16=0,"",(IF(ISERROR(VLOOKUP(G16,$D$120:$D$127,1,FALSE)),""," NOT")&amp;" NULL"))</f>
        <v xml:space="preserve"> NOT NULL</v>
      </c>
      <c r="K16" s="5" t="s">
        <v>406</v>
      </c>
      <c r="L16" s="5"/>
      <c r="M16" s="75">
        <v>1</v>
      </c>
      <c r="N16" s="77"/>
      <c r="O16" s="26"/>
      <c r="P16" s="26"/>
      <c r="Q16" s="118">
        <f t="shared" ref="Q16:Q45" si="4">IF(M16=0,"",ROW())</f>
        <v>16</v>
      </c>
      <c r="R16" s="153"/>
      <c r="S16" s="138" t="str">
        <f>IF(K16=0,"",K16)</f>
        <v>Account Executive</v>
      </c>
      <c r="T16" s="148"/>
      <c r="U16" s="146"/>
      <c r="V16" s="146"/>
      <c r="W16" s="139" t="s">
        <v>379</v>
      </c>
      <c r="X16" s="139" t="s">
        <v>367</v>
      </c>
      <c r="Y16" s="148"/>
      <c r="Z16" s="138" t="str">
        <f t="shared" ref="Z16:Z29" si="5">IF(M16&lt;9000,"","false")</f>
        <v/>
      </c>
      <c r="AA16" s="138" t="str">
        <f>IF($C$120=B16,"asc","")</f>
        <v>asc</v>
      </c>
      <c r="AB16" s="239"/>
      <c r="AC16" s="325"/>
      <c r="AD16" s="325"/>
      <c r="AE16" s="325"/>
      <c r="AF16" s="325"/>
      <c r="AG16" s="325"/>
      <c r="AH16" s="325"/>
      <c r="AI16" s="325"/>
      <c r="AJ16" s="325" t="s">
        <v>1028</v>
      </c>
      <c r="AK16" s="325"/>
      <c r="AL16" s="325"/>
      <c r="AM16" s="325"/>
      <c r="AN16" s="325"/>
      <c r="AO16" s="325"/>
      <c r="AP16" s="136"/>
      <c r="AQ16" s="136"/>
      <c r="AR16" s="136" t="str">
        <f t="shared" ref="AR16:AS47" si="6">IF(O16=0,"",ROW())</f>
        <v/>
      </c>
      <c r="AS16" s="136" t="str">
        <f t="shared" si="6"/>
        <v/>
      </c>
      <c r="AT16" s="5" t="str">
        <f t="shared" ref="AT16:AT47" si="7">IF(C16="","",C16&amp;IF(B17="","",","))</f>
        <v>AccountExecutive,</v>
      </c>
      <c r="AV16" s="27" t="str">
        <f t="shared" ref="AV16:AV35" si="8">IF(G16="","",+"          ["&amp;TRIM(G16)&amp;"] ["&amp;TRIM(I16)&amp;"]"&amp;IF(H16="","","("&amp;H16&amp;")")&amp;" "&amp;TRIM(J16)&amp;IF(G17="","",","))</f>
        <v xml:space="preserve">          [AccountExecutive] [varchar](8) NOT NULL,</v>
      </c>
      <c r="AW16" s="27"/>
      <c r="AY16" s="122" t="str">
        <f t="shared" ref="AY16:AY79" si="9">IF(G16="",IF(OR(AY15=");",AY15=""),"",");"),+"          "&amp;TRIM(G16)&amp;" "&amp;UPPER(TRIM(I16))&amp;IF(H16="",""," ("&amp;H16&amp;")")&amp;" "&amp;IF(TRIM(J16)="NOT NULL","PRIMARY KEY UNIQUE NOT NULL",TRIM(J16))&amp;IF(G17="","",","))</f>
        <v xml:space="preserve">          AccountExecutive VARCHAR (8) PRIMARY KEY UNIQUE NOT NULL,</v>
      </c>
    </row>
    <row r="17" spans="2:51" ht="12.75">
      <c r="B17" s="20">
        <f>IF(C17=0,"",+B16+1)</f>
        <v>2</v>
      </c>
      <c r="C17" s="5" t="s">
        <v>443</v>
      </c>
      <c r="D17" s="5">
        <v>40</v>
      </c>
      <c r="E17" s="5" t="s">
        <v>11</v>
      </c>
      <c r="G17" s="5" t="str">
        <f t="shared" si="0"/>
        <v>Name</v>
      </c>
      <c r="H17" s="117">
        <f t="shared" si="1"/>
        <v>40</v>
      </c>
      <c r="I17" s="5" t="str">
        <f t="shared" si="2"/>
        <v>varchar</v>
      </c>
      <c r="J17" s="5" t="str">
        <f t="shared" si="3"/>
        <v xml:space="preserve"> NULL</v>
      </c>
      <c r="K17" s="5" t="s">
        <v>443</v>
      </c>
      <c r="L17" s="5"/>
      <c r="M17" s="75">
        <v>2</v>
      </c>
      <c r="N17" s="77"/>
      <c r="O17" s="26"/>
      <c r="P17" s="26"/>
      <c r="Q17" s="118">
        <f t="shared" si="4"/>
        <v>17</v>
      </c>
      <c r="R17" s="153"/>
      <c r="S17" s="138" t="str">
        <f t="shared" ref="S17:S80" si="10">IF(K17=0,"",K17)</f>
        <v>Name</v>
      </c>
      <c r="T17" s="148"/>
      <c r="U17" s="146"/>
      <c r="V17" s="146"/>
      <c r="W17" s="139"/>
      <c r="X17" s="139"/>
      <c r="Y17" s="148"/>
      <c r="Z17" s="138" t="str">
        <f t="shared" si="5"/>
        <v/>
      </c>
      <c r="AA17" s="138" t="str">
        <f>IF($C$120=B17,"asc","")</f>
        <v/>
      </c>
      <c r="AB17" s="239"/>
      <c r="AC17" s="325"/>
      <c r="AD17" s="325"/>
      <c r="AE17" s="325"/>
      <c r="AF17" s="325"/>
      <c r="AG17" s="325"/>
      <c r="AH17" s="325"/>
      <c r="AI17" s="325"/>
      <c r="AJ17" s="325"/>
      <c r="AK17" s="325"/>
      <c r="AL17" s="325"/>
      <c r="AM17" s="325" t="s">
        <v>1028</v>
      </c>
      <c r="AN17" s="325"/>
      <c r="AO17" s="325"/>
      <c r="AP17" s="136"/>
      <c r="AQ17" s="136"/>
      <c r="AR17" s="136" t="str">
        <f t="shared" si="6"/>
        <v/>
      </c>
      <c r="AS17" s="136" t="str">
        <f t="shared" si="6"/>
        <v/>
      </c>
      <c r="AT17" s="5" t="str">
        <f t="shared" si="7"/>
        <v>Name,</v>
      </c>
      <c r="AV17" s="27" t="str">
        <f t="shared" si="8"/>
        <v xml:space="preserve">          [Name] [varchar](40) NULL,</v>
      </c>
      <c r="AW17" s="27"/>
      <c r="AY17" s="122" t="str">
        <f t="shared" si="9"/>
        <v xml:space="preserve">          Name VARCHAR (40) NULL,</v>
      </c>
    </row>
    <row r="18" spans="2:51" ht="12.75">
      <c r="B18" s="20">
        <f t="shared" ref="B18:B81" si="11">IF(C18=0,"",+B17+1)</f>
        <v>3</v>
      </c>
      <c r="C18" s="5" t="s">
        <v>316</v>
      </c>
      <c r="D18" s="5">
        <v>35</v>
      </c>
      <c r="E18" s="5" t="s">
        <v>11</v>
      </c>
      <c r="G18" s="5" t="str">
        <f t="shared" si="0"/>
        <v>Address1</v>
      </c>
      <c r="H18" s="117">
        <f t="shared" si="1"/>
        <v>35</v>
      </c>
      <c r="I18" s="5" t="str">
        <f t="shared" si="2"/>
        <v>varchar</v>
      </c>
      <c r="J18" s="5" t="str">
        <f t="shared" si="3"/>
        <v xml:space="preserve"> NULL</v>
      </c>
      <c r="K18" s="5" t="s">
        <v>319</v>
      </c>
      <c r="L18" s="5"/>
      <c r="M18" s="75">
        <v>9001</v>
      </c>
      <c r="N18" s="77"/>
      <c r="O18" s="26"/>
      <c r="P18" s="26"/>
      <c r="Q18" s="118">
        <f t="shared" si="4"/>
        <v>18</v>
      </c>
      <c r="R18" s="153"/>
      <c r="S18" s="138" t="str">
        <f t="shared" si="10"/>
        <v>Address 1</v>
      </c>
      <c r="T18" s="148"/>
      <c r="U18" s="146"/>
      <c r="V18" s="146"/>
      <c r="W18" s="139"/>
      <c r="X18" s="139"/>
      <c r="Y18" s="148"/>
      <c r="Z18" s="138" t="str">
        <f t="shared" si="5"/>
        <v>false</v>
      </c>
      <c r="AA18" s="138" t="str">
        <f t="shared" ref="AA18:AA81" si="12">IF($C$120=B18,"asc","")</f>
        <v/>
      </c>
      <c r="AB18" s="239"/>
      <c r="AC18" s="325"/>
      <c r="AD18" s="325"/>
      <c r="AE18" s="325"/>
      <c r="AF18" s="325"/>
      <c r="AG18" s="325"/>
      <c r="AH18" s="325"/>
      <c r="AI18" s="325"/>
      <c r="AJ18" s="325"/>
      <c r="AK18" s="325"/>
      <c r="AL18" s="325"/>
      <c r="AM18" s="325"/>
      <c r="AN18" s="325"/>
      <c r="AO18" s="325"/>
      <c r="AP18" s="136"/>
      <c r="AQ18" s="136"/>
      <c r="AR18" s="136" t="str">
        <f t="shared" si="6"/>
        <v/>
      </c>
      <c r="AS18" s="136" t="str">
        <f t="shared" si="6"/>
        <v/>
      </c>
      <c r="AT18" s="5" t="str">
        <f t="shared" si="7"/>
        <v>Address1,</v>
      </c>
      <c r="AV18" s="27" t="str">
        <f t="shared" si="8"/>
        <v xml:space="preserve">          [Address1] [varchar](35) NULL,</v>
      </c>
      <c r="AW18" s="27"/>
      <c r="AY18" s="122" t="str">
        <f t="shared" si="9"/>
        <v xml:space="preserve">          Address1 VARCHAR (35) NULL,</v>
      </c>
    </row>
    <row r="19" spans="2:51" ht="12.75">
      <c r="B19" s="20">
        <f t="shared" si="11"/>
        <v>4</v>
      </c>
      <c r="C19" s="5" t="s">
        <v>317</v>
      </c>
      <c r="D19" s="5">
        <v>35</v>
      </c>
      <c r="E19" s="5" t="s">
        <v>11</v>
      </c>
      <c r="G19" s="5" t="str">
        <f t="shared" si="0"/>
        <v>Address2</v>
      </c>
      <c r="H19" s="117">
        <f t="shared" si="1"/>
        <v>35</v>
      </c>
      <c r="I19" s="5" t="str">
        <f t="shared" si="2"/>
        <v>varchar</v>
      </c>
      <c r="J19" s="5" t="str">
        <f t="shared" si="3"/>
        <v xml:space="preserve"> NULL</v>
      </c>
      <c r="K19" s="5" t="s">
        <v>320</v>
      </c>
      <c r="L19" s="5"/>
      <c r="M19" s="75">
        <v>9002</v>
      </c>
      <c r="N19" s="77"/>
      <c r="O19" s="26"/>
      <c r="P19" s="26"/>
      <c r="Q19" s="118">
        <f t="shared" si="4"/>
        <v>19</v>
      </c>
      <c r="R19" s="153"/>
      <c r="S19" s="138" t="str">
        <f t="shared" si="10"/>
        <v>Address 2</v>
      </c>
      <c r="T19" s="148"/>
      <c r="U19" s="146"/>
      <c r="V19" s="146"/>
      <c r="W19" s="139"/>
      <c r="X19" s="139"/>
      <c r="Y19" s="148"/>
      <c r="Z19" s="138" t="str">
        <f t="shared" si="5"/>
        <v>false</v>
      </c>
      <c r="AA19" s="138" t="str">
        <f t="shared" si="12"/>
        <v/>
      </c>
      <c r="AB19" s="239"/>
      <c r="AC19" s="325"/>
      <c r="AD19" s="325"/>
      <c r="AE19" s="325"/>
      <c r="AF19" s="325"/>
      <c r="AG19" s="325"/>
      <c r="AH19" s="325"/>
      <c r="AI19" s="325"/>
      <c r="AJ19" s="325"/>
      <c r="AK19" s="325"/>
      <c r="AL19" s="325"/>
      <c r="AM19" s="325"/>
      <c r="AN19" s="325"/>
      <c r="AO19" s="325"/>
      <c r="AP19" s="136"/>
      <c r="AQ19" s="136"/>
      <c r="AR19" s="136" t="str">
        <f t="shared" si="6"/>
        <v/>
      </c>
      <c r="AS19" s="136" t="str">
        <f t="shared" si="6"/>
        <v/>
      </c>
      <c r="AT19" s="5" t="str">
        <f t="shared" si="7"/>
        <v>Address2,</v>
      </c>
      <c r="AV19" s="27" t="str">
        <f t="shared" si="8"/>
        <v xml:space="preserve">          [Address2] [varchar](35) NULL,</v>
      </c>
      <c r="AW19" s="27"/>
      <c r="AY19" s="122" t="str">
        <f t="shared" si="9"/>
        <v xml:space="preserve">          Address2 VARCHAR (35) NULL,</v>
      </c>
    </row>
    <row r="20" spans="2:51" ht="12.75">
      <c r="B20" s="20">
        <f t="shared" si="11"/>
        <v>5</v>
      </c>
      <c r="C20" s="5" t="s">
        <v>444</v>
      </c>
      <c r="D20" s="5">
        <v>35</v>
      </c>
      <c r="E20" s="5" t="s">
        <v>11</v>
      </c>
      <c r="G20" s="5" t="str">
        <f t="shared" si="0"/>
        <v>Address3</v>
      </c>
      <c r="H20" s="117">
        <f t="shared" si="1"/>
        <v>35</v>
      </c>
      <c r="I20" s="5" t="str">
        <f t="shared" si="2"/>
        <v>varchar</v>
      </c>
      <c r="J20" s="5" t="str">
        <f t="shared" si="3"/>
        <v xml:space="preserve"> NULL</v>
      </c>
      <c r="K20" s="5" t="s">
        <v>445</v>
      </c>
      <c r="L20" s="5"/>
      <c r="M20" s="75">
        <v>9003</v>
      </c>
      <c r="N20" s="77"/>
      <c r="O20" s="26"/>
      <c r="P20" s="26"/>
      <c r="Q20" s="118">
        <f t="shared" si="4"/>
        <v>20</v>
      </c>
      <c r="R20" s="153"/>
      <c r="S20" s="138" t="str">
        <f t="shared" si="10"/>
        <v>Address 3</v>
      </c>
      <c r="T20" s="148"/>
      <c r="U20" s="146"/>
      <c r="V20" s="146"/>
      <c r="W20" s="139"/>
      <c r="X20" s="139"/>
      <c r="Y20" s="148"/>
      <c r="Z20" s="138" t="str">
        <f t="shared" si="5"/>
        <v>false</v>
      </c>
      <c r="AA20" s="138" t="str">
        <f t="shared" si="12"/>
        <v/>
      </c>
      <c r="AB20" s="239"/>
      <c r="AC20" s="325"/>
      <c r="AD20" s="325"/>
      <c r="AE20" s="325"/>
      <c r="AF20" s="325"/>
      <c r="AG20" s="325"/>
      <c r="AH20" s="325"/>
      <c r="AI20" s="325"/>
      <c r="AJ20" s="325"/>
      <c r="AK20" s="325"/>
      <c r="AL20" s="325"/>
      <c r="AM20" s="325"/>
      <c r="AN20" s="325"/>
      <c r="AO20" s="325"/>
      <c r="AP20" s="136"/>
      <c r="AQ20" s="136"/>
      <c r="AR20" s="136" t="str">
        <f t="shared" si="6"/>
        <v/>
      </c>
      <c r="AS20" s="136" t="str">
        <f t="shared" si="6"/>
        <v/>
      </c>
      <c r="AT20" s="5" t="str">
        <f t="shared" si="7"/>
        <v>Address3,</v>
      </c>
      <c r="AV20" s="27" t="str">
        <f t="shared" si="8"/>
        <v xml:space="preserve">          [Address3] [varchar](35) NULL,</v>
      </c>
      <c r="AW20" s="27"/>
      <c r="AY20" s="122" t="str">
        <f t="shared" si="9"/>
        <v xml:space="preserve">          Address3 VARCHAR (35) NULL,</v>
      </c>
    </row>
    <row r="21" spans="2:51" ht="12.75">
      <c r="B21" s="20">
        <f t="shared" si="11"/>
        <v>6</v>
      </c>
      <c r="C21" s="5" t="s">
        <v>456</v>
      </c>
      <c r="D21" s="5">
        <v>6</v>
      </c>
      <c r="E21" s="5" t="s">
        <v>11</v>
      </c>
      <c r="G21" s="5" t="str">
        <f t="shared" si="0"/>
        <v>PostCode</v>
      </c>
      <c r="H21" s="117">
        <f t="shared" si="1"/>
        <v>6</v>
      </c>
      <c r="I21" s="5" t="str">
        <f t="shared" si="2"/>
        <v>varchar</v>
      </c>
      <c r="J21" s="5" t="str">
        <f t="shared" si="3"/>
        <v xml:space="preserve"> NULL</v>
      </c>
      <c r="K21" s="5" t="s">
        <v>321</v>
      </c>
      <c r="L21" s="5"/>
      <c r="M21" s="75">
        <v>9004</v>
      </c>
      <c r="N21" s="77"/>
      <c r="O21" s="26"/>
      <c r="P21" s="26"/>
      <c r="Q21" s="118">
        <f t="shared" si="4"/>
        <v>21</v>
      </c>
      <c r="R21" s="153"/>
      <c r="S21" s="138" t="str">
        <f t="shared" si="10"/>
        <v>Zip Code</v>
      </c>
      <c r="T21" s="148"/>
      <c r="U21" s="146"/>
      <c r="V21" s="146"/>
      <c r="W21" s="139"/>
      <c r="X21" s="139"/>
      <c r="Y21" s="148"/>
      <c r="Z21" s="138" t="str">
        <f t="shared" si="5"/>
        <v>false</v>
      </c>
      <c r="AA21" s="138" t="str">
        <f t="shared" si="12"/>
        <v/>
      </c>
      <c r="AB21" s="239"/>
      <c r="AC21" s="325"/>
      <c r="AD21" s="325"/>
      <c r="AE21" s="325"/>
      <c r="AF21" s="325"/>
      <c r="AG21" s="325"/>
      <c r="AH21" s="325"/>
      <c r="AI21" s="325"/>
      <c r="AJ21" s="325"/>
      <c r="AK21" s="325"/>
      <c r="AL21" s="325"/>
      <c r="AM21" s="325"/>
      <c r="AN21" s="325"/>
      <c r="AO21" s="325"/>
      <c r="AP21" s="136"/>
      <c r="AQ21" s="136"/>
      <c r="AR21" s="136" t="str">
        <f t="shared" si="6"/>
        <v/>
      </c>
      <c r="AS21" s="136" t="str">
        <f t="shared" si="6"/>
        <v/>
      </c>
      <c r="AT21" s="5" t="str">
        <f t="shared" si="7"/>
        <v>PostCode,</v>
      </c>
      <c r="AV21" s="27" t="str">
        <f t="shared" si="8"/>
        <v xml:space="preserve">          [PostCode] [varchar](6) NULL,</v>
      </c>
      <c r="AW21" s="27"/>
      <c r="AY21" s="122" t="str">
        <f t="shared" si="9"/>
        <v xml:space="preserve">          PostCode VARCHAR (6) NULL,</v>
      </c>
    </row>
    <row r="22" spans="2:51" ht="12.75">
      <c r="B22" s="20">
        <f t="shared" si="11"/>
        <v>7</v>
      </c>
      <c r="C22" s="5" t="s">
        <v>318</v>
      </c>
      <c r="D22" s="5">
        <v>30</v>
      </c>
      <c r="E22" s="5" t="s">
        <v>11</v>
      </c>
      <c r="G22" s="5" t="str">
        <f t="shared" si="0"/>
        <v>City</v>
      </c>
      <c r="H22" s="117">
        <f>IF(IFERROR(FIND("varchar",E22),0)&gt;0,IF(D22&gt;8000,"max",D22),"")</f>
        <v>30</v>
      </c>
      <c r="I22" s="5" t="str">
        <f t="shared" si="2"/>
        <v>varchar</v>
      </c>
      <c r="J22" s="5" t="str">
        <f t="shared" si="3"/>
        <v xml:space="preserve"> NULL</v>
      </c>
      <c r="K22" s="5" t="s">
        <v>318</v>
      </c>
      <c r="L22" s="5"/>
      <c r="M22" s="75">
        <v>9005</v>
      </c>
      <c r="N22" s="77"/>
      <c r="O22" s="26"/>
      <c r="P22" s="26"/>
      <c r="Q22" s="118">
        <f t="shared" si="4"/>
        <v>22</v>
      </c>
      <c r="R22" s="153"/>
      <c r="S22" s="138" t="str">
        <f t="shared" si="10"/>
        <v>City</v>
      </c>
      <c r="T22" s="148"/>
      <c r="U22" s="146"/>
      <c r="V22" s="146"/>
      <c r="W22" s="139"/>
      <c r="X22" s="139"/>
      <c r="Y22" s="148"/>
      <c r="Z22" s="138" t="str">
        <f t="shared" si="5"/>
        <v>false</v>
      </c>
      <c r="AA22" s="138" t="str">
        <f t="shared" si="12"/>
        <v/>
      </c>
      <c r="AB22" s="239"/>
      <c r="AC22" s="325"/>
      <c r="AD22" s="325"/>
      <c r="AE22" s="325"/>
      <c r="AF22" s="325"/>
      <c r="AG22" s="325"/>
      <c r="AH22" s="325"/>
      <c r="AI22" s="325"/>
      <c r="AJ22" s="325"/>
      <c r="AK22" s="325"/>
      <c r="AL22" s="325"/>
      <c r="AM22" s="325"/>
      <c r="AN22" s="325"/>
      <c r="AO22" s="325"/>
      <c r="AP22" s="136"/>
      <c r="AQ22" s="136"/>
      <c r="AR22" s="136" t="str">
        <f t="shared" si="6"/>
        <v/>
      </c>
      <c r="AS22" s="136" t="str">
        <f t="shared" si="6"/>
        <v/>
      </c>
      <c r="AT22" s="5" t="str">
        <f t="shared" si="7"/>
        <v>City,</v>
      </c>
      <c r="AV22" s="27" t="str">
        <f t="shared" si="8"/>
        <v xml:space="preserve">          [City] [varchar](30) NULL,</v>
      </c>
      <c r="AW22" s="27"/>
      <c r="AY22" s="122" t="str">
        <f t="shared" si="9"/>
        <v xml:space="preserve">          City VARCHAR (30) NULL,</v>
      </c>
    </row>
    <row r="23" spans="2:51" ht="12.75">
      <c r="B23" s="20">
        <f t="shared" si="11"/>
        <v>8</v>
      </c>
      <c r="C23" s="5" t="s">
        <v>446</v>
      </c>
      <c r="D23" s="5">
        <v>15</v>
      </c>
      <c r="E23" s="5" t="s">
        <v>11</v>
      </c>
      <c r="G23" s="5" t="str">
        <f t="shared" si="0"/>
        <v>PhoneBusiness</v>
      </c>
      <c r="H23" s="117">
        <f t="shared" ref="H23:H86" si="13">IF(IFERROR(FIND("varchar",E23),0)&gt;0,IF(D23&gt;8000,"max",D23),"")</f>
        <v>15</v>
      </c>
      <c r="I23" s="5" t="str">
        <f t="shared" si="2"/>
        <v>varchar</v>
      </c>
      <c r="J23" s="5" t="str">
        <f t="shared" si="3"/>
        <v xml:space="preserve"> NULL</v>
      </c>
      <c r="K23" s="5" t="s">
        <v>476</v>
      </c>
      <c r="L23" s="5"/>
      <c r="M23" s="75">
        <v>9006</v>
      </c>
      <c r="N23" s="77"/>
      <c r="O23" s="26"/>
      <c r="P23" s="26"/>
      <c r="Q23" s="118">
        <f t="shared" si="4"/>
        <v>23</v>
      </c>
      <c r="R23" s="153"/>
      <c r="S23" s="138" t="str">
        <f t="shared" si="10"/>
        <v>Business Tel</v>
      </c>
      <c r="T23" s="148"/>
      <c r="U23" s="146"/>
      <c r="V23" s="146"/>
      <c r="W23" s="139"/>
      <c r="X23" s="139"/>
      <c r="Y23" s="148"/>
      <c r="Z23" s="138" t="str">
        <f t="shared" si="5"/>
        <v>false</v>
      </c>
      <c r="AA23" s="138" t="str">
        <f t="shared" si="12"/>
        <v/>
      </c>
      <c r="AB23" s="239"/>
      <c r="AC23" s="325"/>
      <c r="AD23" s="325"/>
      <c r="AE23" s="325"/>
      <c r="AF23" s="325"/>
      <c r="AG23" s="325"/>
      <c r="AH23" s="325"/>
      <c r="AI23" s="325"/>
      <c r="AJ23" s="325"/>
      <c r="AK23" s="325"/>
      <c r="AL23" s="325"/>
      <c r="AM23" s="325"/>
      <c r="AN23" s="325"/>
      <c r="AO23" s="325"/>
      <c r="AP23" s="136"/>
      <c r="AQ23" s="136"/>
      <c r="AR23" s="136" t="str">
        <f t="shared" si="6"/>
        <v/>
      </c>
      <c r="AS23" s="136" t="str">
        <f t="shared" si="6"/>
        <v/>
      </c>
      <c r="AT23" s="5" t="str">
        <f t="shared" si="7"/>
        <v>PhoneBusiness,</v>
      </c>
      <c r="AV23" s="27" t="str">
        <f t="shared" si="8"/>
        <v xml:space="preserve">          [PhoneBusiness] [varchar](15) NULL,</v>
      </c>
      <c r="AW23" s="27"/>
      <c r="AY23" s="122" t="str">
        <f t="shared" si="9"/>
        <v xml:space="preserve">          PhoneBusiness VARCHAR (15) NULL,</v>
      </c>
    </row>
    <row r="24" spans="2:51" ht="12.75">
      <c r="B24" s="20">
        <f t="shared" si="11"/>
        <v>9</v>
      </c>
      <c r="C24" s="5" t="s">
        <v>447</v>
      </c>
      <c r="D24" s="5">
        <v>15</v>
      </c>
      <c r="E24" s="5" t="s">
        <v>11</v>
      </c>
      <c r="G24" s="5" t="str">
        <f t="shared" si="0"/>
        <v>PhoneHome</v>
      </c>
      <c r="H24" s="117">
        <f t="shared" si="13"/>
        <v>15</v>
      </c>
      <c r="I24" s="5" t="str">
        <f t="shared" si="2"/>
        <v>varchar</v>
      </c>
      <c r="J24" s="5" t="str">
        <f t="shared" si="3"/>
        <v xml:space="preserve"> NULL</v>
      </c>
      <c r="K24" s="5" t="s">
        <v>475</v>
      </c>
      <c r="L24" s="5"/>
      <c r="M24" s="75">
        <v>9007</v>
      </c>
      <c r="N24" s="77"/>
      <c r="O24" s="26"/>
      <c r="P24" s="26"/>
      <c r="Q24" s="118">
        <f t="shared" si="4"/>
        <v>24</v>
      </c>
      <c r="R24" s="153"/>
      <c r="S24" s="138" t="str">
        <f t="shared" si="10"/>
        <v>Home Tel</v>
      </c>
      <c r="T24" s="148"/>
      <c r="U24" s="146"/>
      <c r="V24" s="146"/>
      <c r="W24" s="139"/>
      <c r="X24" s="139"/>
      <c r="Y24" s="148"/>
      <c r="Z24" s="138" t="str">
        <f t="shared" si="5"/>
        <v>false</v>
      </c>
      <c r="AA24" s="138" t="str">
        <f t="shared" si="12"/>
        <v/>
      </c>
      <c r="AB24" s="239"/>
      <c r="AC24" s="325"/>
      <c r="AD24" s="325"/>
      <c r="AE24" s="325"/>
      <c r="AF24" s="325"/>
      <c r="AG24" s="325"/>
      <c r="AH24" s="325"/>
      <c r="AI24" s="325"/>
      <c r="AJ24" s="325"/>
      <c r="AK24" s="325"/>
      <c r="AL24" s="325"/>
      <c r="AM24" s="325"/>
      <c r="AN24" s="325"/>
      <c r="AO24" s="325"/>
      <c r="AP24" s="136"/>
      <c r="AQ24" s="136"/>
      <c r="AR24" s="136" t="str">
        <f t="shared" si="6"/>
        <v/>
      </c>
      <c r="AS24" s="136" t="str">
        <f t="shared" si="6"/>
        <v/>
      </c>
      <c r="AT24" s="5" t="str">
        <f t="shared" si="7"/>
        <v>PhoneHome,</v>
      </c>
      <c r="AV24" s="27" t="str">
        <f t="shared" si="8"/>
        <v xml:space="preserve">          [PhoneHome] [varchar](15) NULL,</v>
      </c>
      <c r="AW24" s="27"/>
      <c r="AY24" s="122" t="str">
        <f t="shared" si="9"/>
        <v xml:space="preserve">          PhoneHome VARCHAR (15) NULL,</v>
      </c>
    </row>
    <row r="25" spans="2:51" ht="12.75">
      <c r="B25" s="20">
        <f t="shared" si="11"/>
        <v>10</v>
      </c>
      <c r="C25" s="5" t="s">
        <v>74</v>
      </c>
      <c r="D25" s="5">
        <v>10</v>
      </c>
      <c r="E25" s="5" t="s">
        <v>11</v>
      </c>
      <c r="G25" s="5" t="str">
        <f t="shared" si="0"/>
        <v>EntryBy</v>
      </c>
      <c r="H25" s="117">
        <f t="shared" si="13"/>
        <v>10</v>
      </c>
      <c r="I25" s="5" t="str">
        <f t="shared" si="2"/>
        <v>varchar</v>
      </c>
      <c r="J25" s="5" t="str">
        <f t="shared" si="3"/>
        <v xml:space="preserve"> NULL</v>
      </c>
      <c r="K25" s="5" t="s">
        <v>322</v>
      </c>
      <c r="L25" s="5"/>
      <c r="M25" s="75">
        <v>3</v>
      </c>
      <c r="N25" s="77"/>
      <c r="O25" s="26"/>
      <c r="P25" s="26"/>
      <c r="Q25" s="118">
        <f t="shared" si="4"/>
        <v>25</v>
      </c>
      <c r="R25" s="153"/>
      <c r="S25" s="138" t="str">
        <f t="shared" si="10"/>
        <v>Entry By</v>
      </c>
      <c r="T25" s="148"/>
      <c r="U25" s="146"/>
      <c r="V25" s="146"/>
      <c r="W25" s="139"/>
      <c r="X25" s="139"/>
      <c r="Y25" s="148"/>
      <c r="Z25" s="138" t="str">
        <f t="shared" si="5"/>
        <v/>
      </c>
      <c r="AA25" s="138" t="str">
        <f t="shared" si="12"/>
        <v/>
      </c>
      <c r="AB25" s="239"/>
      <c r="AC25" s="325"/>
      <c r="AD25" s="325"/>
      <c r="AE25" s="325"/>
      <c r="AF25" s="325"/>
      <c r="AG25" s="325"/>
      <c r="AH25" s="325"/>
      <c r="AI25" s="325"/>
      <c r="AJ25" s="325"/>
      <c r="AK25" s="325"/>
      <c r="AL25" s="325"/>
      <c r="AM25" s="325"/>
      <c r="AN25" s="325"/>
      <c r="AO25" s="325"/>
      <c r="AP25" s="136"/>
      <c r="AQ25" s="136"/>
      <c r="AR25" s="136" t="str">
        <f t="shared" si="6"/>
        <v/>
      </c>
      <c r="AS25" s="136" t="str">
        <f t="shared" si="6"/>
        <v/>
      </c>
      <c r="AT25" s="5" t="str">
        <f t="shared" si="7"/>
        <v>EntryBy,</v>
      </c>
      <c r="AV25" s="27" t="str">
        <f t="shared" si="8"/>
        <v xml:space="preserve">          [EntryBy] [varchar](10) NULL,</v>
      </c>
      <c r="AW25" s="27"/>
      <c r="AY25" s="122" t="str">
        <f t="shared" si="9"/>
        <v xml:space="preserve">          EntryBy VARCHAR (10) NULL,</v>
      </c>
    </row>
    <row r="26" spans="2:51" ht="12.75">
      <c r="B26" s="20">
        <f t="shared" si="11"/>
        <v>11</v>
      </c>
      <c r="C26" s="5" t="s">
        <v>75</v>
      </c>
      <c r="D26" s="5"/>
      <c r="E26" s="5" t="s">
        <v>12</v>
      </c>
      <c r="G26" s="5" t="str">
        <f t="shared" si="0"/>
        <v>EntryDate</v>
      </c>
      <c r="H26" s="117" t="str">
        <f t="shared" si="13"/>
        <v/>
      </c>
      <c r="I26" s="5" t="str">
        <f t="shared" si="2"/>
        <v>datetime</v>
      </c>
      <c r="J26" s="5" t="str">
        <f t="shared" si="3"/>
        <v xml:space="preserve"> NULL</v>
      </c>
      <c r="K26" s="5" t="s">
        <v>323</v>
      </c>
      <c r="L26" s="5"/>
      <c r="M26" s="75">
        <v>4</v>
      </c>
      <c r="N26" s="77"/>
      <c r="O26" s="26"/>
      <c r="P26" s="26"/>
      <c r="Q26" s="118">
        <f t="shared" si="4"/>
        <v>26</v>
      </c>
      <c r="R26" s="153"/>
      <c r="S26" s="138" t="str">
        <f t="shared" si="10"/>
        <v>Entry Date</v>
      </c>
      <c r="T26" s="148"/>
      <c r="U26" s="146" t="s">
        <v>373</v>
      </c>
      <c r="V26" s="146" t="s">
        <v>433</v>
      </c>
      <c r="W26" s="139"/>
      <c r="X26" s="139"/>
      <c r="Y26" s="148"/>
      <c r="Z26" s="138" t="str">
        <f t="shared" si="5"/>
        <v/>
      </c>
      <c r="AA26" s="138" t="str">
        <f t="shared" si="12"/>
        <v/>
      </c>
      <c r="AB26" s="239"/>
      <c r="AC26" s="325"/>
      <c r="AD26" s="325"/>
      <c r="AE26" s="325"/>
      <c r="AF26" s="325"/>
      <c r="AG26" s="325"/>
      <c r="AH26" s="325"/>
      <c r="AI26" s="325"/>
      <c r="AJ26" s="325"/>
      <c r="AK26" s="325"/>
      <c r="AL26" s="325"/>
      <c r="AM26" s="325"/>
      <c r="AN26" s="325"/>
      <c r="AO26" s="325"/>
      <c r="AP26" s="136"/>
      <c r="AQ26" s="136"/>
      <c r="AR26" s="136" t="str">
        <f t="shared" si="6"/>
        <v/>
      </c>
      <c r="AS26" s="136" t="str">
        <f t="shared" si="6"/>
        <v/>
      </c>
      <c r="AT26" s="5" t="str">
        <f t="shared" si="7"/>
        <v>EntryDate,</v>
      </c>
      <c r="AV26" s="27" t="str">
        <f t="shared" si="8"/>
        <v xml:space="preserve">          [EntryDate] [datetime] NULL,</v>
      </c>
      <c r="AW26" s="27"/>
      <c r="AY26" s="122" t="str">
        <f t="shared" si="9"/>
        <v xml:space="preserve">          EntryDate DATETIME NULL,</v>
      </c>
    </row>
    <row r="27" spans="2:51" ht="12.75">
      <c r="B27" s="20">
        <f t="shared" si="11"/>
        <v>12</v>
      </c>
      <c r="C27" s="5" t="s">
        <v>925</v>
      </c>
      <c r="D27" s="5">
        <v>8</v>
      </c>
      <c r="E27" s="5" t="s">
        <v>11</v>
      </c>
      <c r="G27" s="5" t="str">
        <f t="shared" si="0"/>
        <v>Unit</v>
      </c>
      <c r="H27" s="117">
        <f t="shared" si="13"/>
        <v>8</v>
      </c>
      <c r="I27" s="5" t="str">
        <f t="shared" si="2"/>
        <v>varchar</v>
      </c>
      <c r="J27" s="5" t="str">
        <f t="shared" si="3"/>
        <v xml:space="preserve"> NULL</v>
      </c>
      <c r="K27" s="5" t="s">
        <v>925</v>
      </c>
      <c r="L27" s="5"/>
      <c r="M27" s="75">
        <v>9008</v>
      </c>
      <c r="N27" s="77"/>
      <c r="O27" s="26"/>
      <c r="P27" s="26"/>
      <c r="Q27" s="118">
        <f t="shared" si="4"/>
        <v>27</v>
      </c>
      <c r="R27" s="153"/>
      <c r="S27" s="138" t="str">
        <f t="shared" si="10"/>
        <v>Unit</v>
      </c>
      <c r="T27" s="148"/>
      <c r="U27" s="146"/>
      <c r="V27" s="146"/>
      <c r="W27" s="139"/>
      <c r="X27" s="139"/>
      <c r="Y27" s="148"/>
      <c r="Z27" s="138" t="str">
        <f t="shared" si="5"/>
        <v>false</v>
      </c>
      <c r="AA27" s="138" t="str">
        <f t="shared" si="12"/>
        <v/>
      </c>
      <c r="AB27" s="239"/>
      <c r="AC27" s="325"/>
      <c r="AD27" s="325"/>
      <c r="AE27" s="325"/>
      <c r="AF27" s="325"/>
      <c r="AG27" s="325"/>
      <c r="AH27" s="325"/>
      <c r="AI27" s="325"/>
      <c r="AJ27" s="325"/>
      <c r="AK27" s="325"/>
      <c r="AL27" s="325"/>
      <c r="AM27" s="325"/>
      <c r="AN27" s="325"/>
      <c r="AO27" s="325"/>
      <c r="AP27" s="136"/>
      <c r="AQ27" s="136"/>
      <c r="AR27" s="136" t="str">
        <f t="shared" si="6"/>
        <v/>
      </c>
      <c r="AS27" s="136" t="str">
        <f t="shared" si="6"/>
        <v/>
      </c>
      <c r="AT27" s="5" t="str">
        <f t="shared" si="7"/>
        <v>Unit,</v>
      </c>
      <c r="AV27" s="27" t="str">
        <f t="shared" si="8"/>
        <v xml:space="preserve">          [Unit] [varchar](8) NULL,</v>
      </c>
      <c r="AW27" s="27"/>
      <c r="AY27" s="122" t="str">
        <f t="shared" si="9"/>
        <v xml:space="preserve">          Unit VARCHAR (8) NULL,</v>
      </c>
    </row>
    <row r="28" spans="2:51" ht="12.75">
      <c r="B28" s="20">
        <f t="shared" si="11"/>
        <v>13</v>
      </c>
      <c r="C28" s="5" t="s">
        <v>926</v>
      </c>
      <c r="D28" s="5">
        <v>30</v>
      </c>
      <c r="E28" s="5" t="s">
        <v>11</v>
      </c>
      <c r="G28" s="5" t="str">
        <f t="shared" si="0"/>
        <v>Title</v>
      </c>
      <c r="H28" s="117">
        <f t="shared" si="13"/>
        <v>30</v>
      </c>
      <c r="I28" s="5" t="str">
        <f t="shared" si="2"/>
        <v>varchar</v>
      </c>
      <c r="J28" s="5" t="str">
        <f t="shared" si="3"/>
        <v xml:space="preserve"> NULL</v>
      </c>
      <c r="K28" s="5" t="s">
        <v>926</v>
      </c>
      <c r="L28" s="5"/>
      <c r="M28" s="75">
        <v>9009</v>
      </c>
      <c r="N28" s="77"/>
      <c r="O28" s="26"/>
      <c r="P28" s="26"/>
      <c r="Q28" s="118">
        <f t="shared" si="4"/>
        <v>28</v>
      </c>
      <c r="R28" s="153"/>
      <c r="S28" s="138" t="str">
        <f t="shared" si="10"/>
        <v>Title</v>
      </c>
      <c r="T28" s="148"/>
      <c r="U28" s="146"/>
      <c r="V28" s="146"/>
      <c r="W28" s="139"/>
      <c r="X28" s="139"/>
      <c r="Y28" s="148"/>
      <c r="Z28" s="138" t="str">
        <f t="shared" si="5"/>
        <v>false</v>
      </c>
      <c r="AA28" s="138" t="str">
        <f t="shared" si="12"/>
        <v/>
      </c>
      <c r="AB28" s="239"/>
      <c r="AC28" s="325"/>
      <c r="AD28" s="325"/>
      <c r="AE28" s="325"/>
      <c r="AF28" s="325"/>
      <c r="AG28" s="325"/>
      <c r="AH28" s="325"/>
      <c r="AI28" s="325"/>
      <c r="AJ28" s="325"/>
      <c r="AK28" s="325"/>
      <c r="AL28" s="325"/>
      <c r="AM28" s="325"/>
      <c r="AN28" s="325"/>
      <c r="AO28" s="325"/>
      <c r="AP28" s="136"/>
      <c r="AQ28" s="136"/>
      <c r="AR28" s="136" t="str">
        <f t="shared" si="6"/>
        <v/>
      </c>
      <c r="AS28" s="136" t="str">
        <f t="shared" si="6"/>
        <v/>
      </c>
      <c r="AT28" s="5" t="str">
        <f t="shared" si="7"/>
        <v>Title,</v>
      </c>
      <c r="AV28" s="27" t="str">
        <f t="shared" si="8"/>
        <v xml:space="preserve">          [Title] [varchar](30) NULL,</v>
      </c>
      <c r="AW28" s="27"/>
      <c r="AY28" s="122" t="str">
        <f t="shared" si="9"/>
        <v xml:space="preserve">          Title VARCHAR (30) NULL,</v>
      </c>
    </row>
    <row r="29" spans="2:51" ht="12.75">
      <c r="B29" s="20">
        <f t="shared" si="11"/>
        <v>14</v>
      </c>
      <c r="C29" s="5" t="s">
        <v>927</v>
      </c>
      <c r="D29" s="5">
        <v>40</v>
      </c>
      <c r="E29" s="5" t="s">
        <v>11</v>
      </c>
      <c r="G29" s="5" t="str">
        <f t="shared" si="0"/>
        <v>Internet_Address</v>
      </c>
      <c r="H29" s="117">
        <f t="shared" si="13"/>
        <v>40</v>
      </c>
      <c r="I29" s="5" t="str">
        <f t="shared" si="2"/>
        <v>varchar</v>
      </c>
      <c r="J29" s="5" t="str">
        <f t="shared" si="3"/>
        <v xml:space="preserve"> NULL</v>
      </c>
      <c r="K29" s="5" t="s">
        <v>558</v>
      </c>
      <c r="L29" s="5"/>
      <c r="M29" s="75">
        <v>5</v>
      </c>
      <c r="N29" s="77"/>
      <c r="O29" s="26"/>
      <c r="P29" s="26"/>
      <c r="Q29" s="118">
        <f t="shared" si="4"/>
        <v>29</v>
      </c>
      <c r="R29" s="153"/>
      <c r="S29" s="138" t="str">
        <f t="shared" si="10"/>
        <v>Internet Address</v>
      </c>
      <c r="T29" s="148"/>
      <c r="U29" s="146"/>
      <c r="V29" s="146"/>
      <c r="W29" s="139"/>
      <c r="X29" s="139"/>
      <c r="Y29" s="148"/>
      <c r="Z29" s="138" t="str">
        <f t="shared" si="5"/>
        <v/>
      </c>
      <c r="AA29" s="138" t="str">
        <f t="shared" si="12"/>
        <v/>
      </c>
      <c r="AB29" s="239"/>
      <c r="AC29" s="325"/>
      <c r="AD29" s="325"/>
      <c r="AE29" s="325"/>
      <c r="AF29" s="325"/>
      <c r="AG29" s="325"/>
      <c r="AH29" s="325"/>
      <c r="AI29" s="325"/>
      <c r="AJ29" s="325"/>
      <c r="AK29" s="325"/>
      <c r="AL29" s="325"/>
      <c r="AM29" s="325"/>
      <c r="AN29" s="325"/>
      <c r="AO29" s="325"/>
      <c r="AP29" s="136"/>
      <c r="AQ29" s="136"/>
      <c r="AR29" s="136" t="str">
        <f t="shared" si="6"/>
        <v/>
      </c>
      <c r="AS29" s="136" t="str">
        <f t="shared" si="6"/>
        <v/>
      </c>
      <c r="AT29" s="5" t="str">
        <f t="shared" si="7"/>
        <v>Internet_Address</v>
      </c>
      <c r="AV29" s="27" t="str">
        <f t="shared" si="8"/>
        <v xml:space="preserve">          [Internet_Address] [varchar](40) NULL</v>
      </c>
      <c r="AW29" s="27"/>
      <c r="AY29" s="122" t="str">
        <f t="shared" si="9"/>
        <v xml:space="preserve">          Internet_Address VARCHAR (40) NULL</v>
      </c>
    </row>
    <row r="30" spans="2:51" ht="12.75">
      <c r="B30" s="20" t="str">
        <f t="shared" si="11"/>
        <v/>
      </c>
      <c r="C30" s="5"/>
      <c r="D30" s="5"/>
      <c r="E30" s="5"/>
      <c r="G30" s="5" t="str">
        <f t="shared" si="0"/>
        <v/>
      </c>
      <c r="H30" s="117" t="str">
        <f t="shared" si="13"/>
        <v/>
      </c>
      <c r="I30" s="5" t="str">
        <f t="shared" si="2"/>
        <v/>
      </c>
      <c r="J30" s="5" t="str">
        <f t="shared" si="3"/>
        <v/>
      </c>
      <c r="K30" s="138"/>
      <c r="L30" s="5"/>
      <c r="M30" s="75"/>
      <c r="N30" s="77"/>
      <c r="O30" s="26"/>
      <c r="P30" s="26"/>
      <c r="Q30" s="118" t="str">
        <f t="shared" si="4"/>
        <v/>
      </c>
      <c r="R30" s="153"/>
      <c r="S30" s="138" t="str">
        <f t="shared" si="10"/>
        <v/>
      </c>
      <c r="T30" s="148"/>
      <c r="U30" s="146"/>
      <c r="V30" s="146"/>
      <c r="W30" s="139"/>
      <c r="X30" s="139"/>
      <c r="Y30" s="148"/>
      <c r="Z30" s="138"/>
      <c r="AA30" s="138" t="str">
        <f t="shared" si="12"/>
        <v/>
      </c>
      <c r="AB30" s="239"/>
      <c r="AC30" s="325"/>
      <c r="AD30" s="325"/>
      <c r="AE30" s="325"/>
      <c r="AF30" s="325"/>
      <c r="AG30" s="325"/>
      <c r="AH30" s="325"/>
      <c r="AI30" s="325"/>
      <c r="AJ30" s="325"/>
      <c r="AK30" s="325"/>
      <c r="AL30" s="325"/>
      <c r="AM30" s="325"/>
      <c r="AN30" s="325"/>
      <c r="AO30" s="325"/>
      <c r="AP30" s="136"/>
      <c r="AQ30" s="136"/>
      <c r="AR30" s="136" t="str">
        <f t="shared" si="6"/>
        <v/>
      </c>
      <c r="AS30" s="136" t="str">
        <f t="shared" si="6"/>
        <v/>
      </c>
      <c r="AT30" s="5" t="str">
        <f t="shared" si="7"/>
        <v/>
      </c>
      <c r="AV30" s="27" t="str">
        <f t="shared" si="8"/>
        <v/>
      </c>
      <c r="AW30" s="27"/>
      <c r="AY30" s="122" t="str">
        <f t="shared" si="9"/>
        <v>);</v>
      </c>
    </row>
    <row r="31" spans="2:51" ht="12.75">
      <c r="B31" s="20" t="str">
        <f t="shared" si="11"/>
        <v/>
      </c>
      <c r="C31" s="5"/>
      <c r="D31" s="5"/>
      <c r="E31" s="5"/>
      <c r="G31" s="5" t="str">
        <f t="shared" si="0"/>
        <v/>
      </c>
      <c r="H31" s="117" t="str">
        <f t="shared" si="13"/>
        <v/>
      </c>
      <c r="I31" s="5" t="str">
        <f t="shared" si="2"/>
        <v/>
      </c>
      <c r="J31" s="5" t="str">
        <f t="shared" si="3"/>
        <v/>
      </c>
      <c r="K31" s="138"/>
      <c r="L31" s="5"/>
      <c r="M31" s="75"/>
      <c r="N31" s="77"/>
      <c r="O31" s="26"/>
      <c r="P31" s="26"/>
      <c r="Q31" s="118" t="str">
        <f t="shared" si="4"/>
        <v/>
      </c>
      <c r="R31" s="153"/>
      <c r="S31" s="138" t="str">
        <f t="shared" si="10"/>
        <v/>
      </c>
      <c r="T31" s="148"/>
      <c r="U31" s="146"/>
      <c r="V31" s="146"/>
      <c r="W31" s="139"/>
      <c r="X31" s="139"/>
      <c r="Y31" s="148"/>
      <c r="Z31" s="138"/>
      <c r="AA31" s="138" t="str">
        <f t="shared" si="12"/>
        <v/>
      </c>
      <c r="AB31" s="239"/>
      <c r="AC31" s="325"/>
      <c r="AD31" s="325"/>
      <c r="AE31" s="325"/>
      <c r="AF31" s="325"/>
      <c r="AG31" s="325"/>
      <c r="AH31" s="325"/>
      <c r="AI31" s="325"/>
      <c r="AJ31" s="325"/>
      <c r="AK31" s="325"/>
      <c r="AL31" s="325"/>
      <c r="AM31" s="325"/>
      <c r="AN31" s="325"/>
      <c r="AO31" s="325"/>
      <c r="AP31" s="136"/>
      <c r="AQ31" s="136"/>
      <c r="AR31" s="136" t="str">
        <f t="shared" si="6"/>
        <v/>
      </c>
      <c r="AS31" s="136" t="str">
        <f t="shared" si="6"/>
        <v/>
      </c>
      <c r="AT31" s="5" t="str">
        <f t="shared" si="7"/>
        <v/>
      </c>
      <c r="AV31" s="27" t="str">
        <f t="shared" si="8"/>
        <v/>
      </c>
      <c r="AW31" s="27"/>
      <c r="AY31" s="122" t="str">
        <f t="shared" si="9"/>
        <v/>
      </c>
    </row>
    <row r="32" spans="2:51" ht="12.75">
      <c r="B32" s="20" t="str">
        <f t="shared" si="11"/>
        <v/>
      </c>
      <c r="C32" s="5"/>
      <c r="D32" s="5"/>
      <c r="E32" s="5"/>
      <c r="G32" s="5" t="str">
        <f t="shared" si="0"/>
        <v/>
      </c>
      <c r="H32" s="117" t="str">
        <f t="shared" si="13"/>
        <v/>
      </c>
      <c r="I32" s="5" t="str">
        <f t="shared" si="2"/>
        <v/>
      </c>
      <c r="J32" s="5" t="str">
        <f t="shared" si="3"/>
        <v/>
      </c>
      <c r="K32" s="138"/>
      <c r="L32" s="5"/>
      <c r="M32" s="75"/>
      <c r="N32" s="77"/>
      <c r="O32" s="26"/>
      <c r="P32" s="26"/>
      <c r="Q32" s="118" t="str">
        <f t="shared" si="4"/>
        <v/>
      </c>
      <c r="R32" s="153"/>
      <c r="S32" s="138" t="str">
        <f t="shared" si="10"/>
        <v/>
      </c>
      <c r="T32" s="148"/>
      <c r="U32" s="146"/>
      <c r="V32" s="146"/>
      <c r="W32" s="139"/>
      <c r="X32" s="139"/>
      <c r="Y32" s="148"/>
      <c r="Z32" s="138"/>
      <c r="AA32" s="138" t="str">
        <f t="shared" si="12"/>
        <v/>
      </c>
      <c r="AB32" s="239"/>
      <c r="AC32" s="325"/>
      <c r="AD32" s="325"/>
      <c r="AE32" s="325"/>
      <c r="AF32" s="325"/>
      <c r="AG32" s="325"/>
      <c r="AH32" s="325"/>
      <c r="AI32" s="325"/>
      <c r="AJ32" s="325"/>
      <c r="AK32" s="325"/>
      <c r="AL32" s="325"/>
      <c r="AM32" s="325"/>
      <c r="AN32" s="325"/>
      <c r="AO32" s="325"/>
      <c r="AP32" s="136"/>
      <c r="AQ32" s="136"/>
      <c r="AR32" s="136" t="str">
        <f t="shared" si="6"/>
        <v/>
      </c>
      <c r="AS32" s="136" t="str">
        <f t="shared" si="6"/>
        <v/>
      </c>
      <c r="AT32" s="5" t="str">
        <f t="shared" si="7"/>
        <v/>
      </c>
      <c r="AV32" s="27" t="str">
        <f t="shared" si="8"/>
        <v/>
      </c>
      <c r="AW32" s="27"/>
      <c r="AY32" s="122" t="str">
        <f t="shared" si="9"/>
        <v/>
      </c>
    </row>
    <row r="33" spans="2:51" ht="12.75">
      <c r="B33" s="20" t="str">
        <f t="shared" si="11"/>
        <v/>
      </c>
      <c r="C33" s="5"/>
      <c r="D33" s="5"/>
      <c r="E33" s="5"/>
      <c r="G33" s="5" t="str">
        <f>SUBSTITUTE(SUBSTITUTE(SUBSTITUTE(SUBSTITUTE(SUBSTITUTE(SUBSTITUTE(SUBSTITUTE(SUBSTITUTE(SUBSTITUTE(C33," ",""),".",""),"#","No"),"%",""),"(",""),"*",""),"-",""),"/",""),")","")</f>
        <v/>
      </c>
      <c r="H33" s="117" t="str">
        <f t="shared" si="13"/>
        <v/>
      </c>
      <c r="I33" s="5" t="str">
        <f t="shared" si="2"/>
        <v/>
      </c>
      <c r="J33" s="5" t="str">
        <f t="shared" si="3"/>
        <v/>
      </c>
      <c r="K33" s="138"/>
      <c r="L33" s="5"/>
      <c r="M33" s="75"/>
      <c r="N33" s="77"/>
      <c r="O33" s="26"/>
      <c r="P33" s="26"/>
      <c r="Q33" s="118" t="str">
        <f t="shared" si="4"/>
        <v/>
      </c>
      <c r="R33" s="153"/>
      <c r="S33" s="138" t="str">
        <f t="shared" si="10"/>
        <v/>
      </c>
      <c r="T33" s="148"/>
      <c r="U33" s="146"/>
      <c r="V33" s="146"/>
      <c r="W33" s="139"/>
      <c r="X33" s="139"/>
      <c r="Y33" s="148"/>
      <c r="Z33" s="138"/>
      <c r="AA33" s="138" t="str">
        <f t="shared" si="12"/>
        <v/>
      </c>
      <c r="AB33" s="239"/>
      <c r="AC33" s="325"/>
      <c r="AD33" s="325"/>
      <c r="AE33" s="325"/>
      <c r="AF33" s="325"/>
      <c r="AG33" s="325"/>
      <c r="AH33" s="325"/>
      <c r="AI33" s="325"/>
      <c r="AJ33" s="325"/>
      <c r="AK33" s="325"/>
      <c r="AL33" s="325"/>
      <c r="AM33" s="325"/>
      <c r="AN33" s="325"/>
      <c r="AO33" s="325"/>
      <c r="AP33" s="136"/>
      <c r="AQ33" s="136"/>
      <c r="AR33" s="136" t="str">
        <f t="shared" si="6"/>
        <v/>
      </c>
      <c r="AS33" s="136" t="str">
        <f t="shared" si="6"/>
        <v/>
      </c>
      <c r="AT33" s="5" t="str">
        <f t="shared" si="7"/>
        <v/>
      </c>
      <c r="AV33" s="27" t="str">
        <f t="shared" si="8"/>
        <v/>
      </c>
      <c r="AW33" s="27"/>
      <c r="AY33" s="122" t="str">
        <f t="shared" si="9"/>
        <v/>
      </c>
    </row>
    <row r="34" spans="2:51" ht="12.75">
      <c r="B34" s="20" t="str">
        <f t="shared" si="11"/>
        <v/>
      </c>
      <c r="C34" s="5"/>
      <c r="D34" s="5"/>
      <c r="E34" s="5"/>
      <c r="G34" s="5" t="str">
        <f>SUBSTITUTE(SUBSTITUTE(SUBSTITUTE(SUBSTITUTE(SUBSTITUTE(SUBSTITUTE(SUBSTITUTE(SUBSTITUTE(SUBSTITUTE(C34," ",""),".",""),"#","No"),"%",""),"(",""),"*",""),"-",""),"/",""),")","")</f>
        <v/>
      </c>
      <c r="H34" s="117" t="str">
        <f t="shared" si="13"/>
        <v/>
      </c>
      <c r="I34" s="5" t="str">
        <f t="shared" si="2"/>
        <v/>
      </c>
      <c r="J34" s="5" t="str">
        <f t="shared" si="3"/>
        <v/>
      </c>
      <c r="K34" s="138"/>
      <c r="L34" s="5"/>
      <c r="M34" s="75"/>
      <c r="N34" s="77"/>
      <c r="O34" s="26"/>
      <c r="P34" s="26"/>
      <c r="Q34" s="118" t="str">
        <f t="shared" si="4"/>
        <v/>
      </c>
      <c r="R34" s="153"/>
      <c r="S34" s="138" t="str">
        <f t="shared" si="10"/>
        <v/>
      </c>
      <c r="T34" s="148"/>
      <c r="U34" s="146"/>
      <c r="V34" s="146"/>
      <c r="W34" s="139"/>
      <c r="X34" s="139"/>
      <c r="Y34" s="148"/>
      <c r="Z34" s="138"/>
      <c r="AA34" s="138" t="str">
        <f t="shared" si="12"/>
        <v/>
      </c>
      <c r="AB34" s="239"/>
      <c r="AC34" s="325"/>
      <c r="AD34" s="325"/>
      <c r="AE34" s="325"/>
      <c r="AF34" s="325"/>
      <c r="AG34" s="325"/>
      <c r="AH34" s="325"/>
      <c r="AI34" s="325"/>
      <c r="AJ34" s="325"/>
      <c r="AK34" s="325"/>
      <c r="AL34" s="325"/>
      <c r="AM34" s="325"/>
      <c r="AN34" s="325"/>
      <c r="AO34" s="325"/>
      <c r="AP34" s="136"/>
      <c r="AQ34" s="136"/>
      <c r="AR34" s="136" t="str">
        <f t="shared" si="6"/>
        <v/>
      </c>
      <c r="AS34" s="136" t="str">
        <f t="shared" si="6"/>
        <v/>
      </c>
      <c r="AT34" s="5" t="str">
        <f t="shared" si="7"/>
        <v/>
      </c>
      <c r="AV34" s="27" t="str">
        <f t="shared" si="8"/>
        <v/>
      </c>
      <c r="AW34" s="27"/>
      <c r="AY34" s="122" t="str">
        <f t="shared" si="9"/>
        <v/>
      </c>
    </row>
    <row r="35" spans="2:51" ht="12.75">
      <c r="B35" s="20" t="str">
        <f t="shared" si="11"/>
        <v/>
      </c>
      <c r="C35" s="5"/>
      <c r="D35" s="5"/>
      <c r="E35" s="5"/>
      <c r="G35" s="5" t="str">
        <f>SUBSTITUTE(SUBSTITUTE(SUBSTITUTE(SUBSTITUTE(SUBSTITUTE(SUBSTITUTE(SUBSTITUTE(SUBSTITUTE(SUBSTITUTE(C35," ",""),".",""),"#","No"),"%",""),"(",""),"*",""),"-",""),"/",""),")","")</f>
        <v/>
      </c>
      <c r="H35" s="117" t="str">
        <f t="shared" si="13"/>
        <v/>
      </c>
      <c r="I35" s="5" t="str">
        <f t="shared" si="2"/>
        <v/>
      </c>
      <c r="J35" s="5" t="str">
        <f t="shared" si="3"/>
        <v/>
      </c>
      <c r="K35" s="138"/>
      <c r="L35" s="5"/>
      <c r="M35" s="75"/>
      <c r="N35" s="77"/>
      <c r="O35" s="26"/>
      <c r="P35" s="26"/>
      <c r="Q35" s="118" t="str">
        <f t="shared" si="4"/>
        <v/>
      </c>
      <c r="R35" s="153"/>
      <c r="S35" s="138" t="str">
        <f t="shared" si="10"/>
        <v/>
      </c>
      <c r="T35" s="148"/>
      <c r="U35" s="146"/>
      <c r="V35" s="146"/>
      <c r="W35" s="139"/>
      <c r="X35" s="139"/>
      <c r="Y35" s="148"/>
      <c r="Z35" s="138"/>
      <c r="AA35" s="138" t="str">
        <f t="shared" si="12"/>
        <v/>
      </c>
      <c r="AB35" s="239"/>
      <c r="AC35" s="325"/>
      <c r="AD35" s="325"/>
      <c r="AE35" s="325"/>
      <c r="AF35" s="325"/>
      <c r="AG35" s="325"/>
      <c r="AH35" s="325"/>
      <c r="AI35" s="325"/>
      <c r="AJ35" s="325"/>
      <c r="AK35" s="325"/>
      <c r="AL35" s="325"/>
      <c r="AM35" s="325"/>
      <c r="AN35" s="325"/>
      <c r="AO35" s="325"/>
      <c r="AP35" s="136"/>
      <c r="AQ35" s="136"/>
      <c r="AR35" s="136" t="str">
        <f t="shared" si="6"/>
        <v/>
      </c>
      <c r="AS35" s="136" t="str">
        <f t="shared" si="6"/>
        <v/>
      </c>
      <c r="AT35" s="5" t="str">
        <f t="shared" si="7"/>
        <v/>
      </c>
      <c r="AV35" s="27" t="str">
        <f t="shared" si="8"/>
        <v/>
      </c>
      <c r="AW35" s="27"/>
      <c r="AY35" s="122" t="str">
        <f t="shared" si="9"/>
        <v/>
      </c>
    </row>
    <row r="36" spans="2:51" ht="12.75">
      <c r="B36" s="20" t="str">
        <f t="shared" si="11"/>
        <v/>
      </c>
      <c r="C36" s="5"/>
      <c r="D36" s="5"/>
      <c r="E36" s="5"/>
      <c r="G36" s="5" t="str">
        <f>SUBSTITUTE(SUBSTITUTE(SUBSTITUTE(SUBSTITUTE(SUBSTITUTE(SUBSTITUTE(SUBSTITUTE(SUBSTITUTE(SUBSTITUTE(C36," ",""),".",""),"#","No"),"%",""),"(",""),"*",""),"-",""),"/",""),")","")</f>
        <v/>
      </c>
      <c r="H36" s="117" t="str">
        <f t="shared" si="13"/>
        <v/>
      </c>
      <c r="I36" s="5" t="str">
        <f t="shared" si="2"/>
        <v/>
      </c>
      <c r="J36" s="5" t="str">
        <f t="shared" si="3"/>
        <v/>
      </c>
      <c r="K36" s="138"/>
      <c r="L36" s="5"/>
      <c r="M36" s="75"/>
      <c r="N36" s="77"/>
      <c r="O36" s="26"/>
      <c r="P36" s="26"/>
      <c r="Q36" s="118" t="str">
        <f t="shared" si="4"/>
        <v/>
      </c>
      <c r="R36" s="153"/>
      <c r="S36" s="138" t="str">
        <f t="shared" si="10"/>
        <v/>
      </c>
      <c r="T36" s="148"/>
      <c r="U36" s="146"/>
      <c r="V36" s="146"/>
      <c r="W36" s="139"/>
      <c r="X36" s="139"/>
      <c r="Y36" s="148"/>
      <c r="Z36" s="138"/>
      <c r="AA36" s="138" t="str">
        <f t="shared" si="12"/>
        <v/>
      </c>
      <c r="AB36" s="239"/>
      <c r="AC36" s="325"/>
      <c r="AD36" s="325"/>
      <c r="AE36" s="325"/>
      <c r="AF36" s="325"/>
      <c r="AG36" s="325"/>
      <c r="AH36" s="325"/>
      <c r="AI36" s="325"/>
      <c r="AJ36" s="325"/>
      <c r="AK36" s="325"/>
      <c r="AL36" s="325"/>
      <c r="AM36" s="325"/>
      <c r="AN36" s="325"/>
      <c r="AO36" s="325"/>
      <c r="AP36" s="136"/>
      <c r="AQ36" s="136"/>
      <c r="AR36" s="136" t="str">
        <f t="shared" si="6"/>
        <v/>
      </c>
      <c r="AS36" s="136" t="str">
        <f t="shared" si="6"/>
        <v/>
      </c>
      <c r="AT36" s="5" t="str">
        <f t="shared" si="7"/>
        <v/>
      </c>
      <c r="AV36" s="27" t="str">
        <f>IF(G36="","",+"          ["&amp;TRIM(G36)&amp;"] ["&amp;TRIM(I36)&amp;"]"&amp;IF(H36="","","("&amp;H36&amp;")")&amp;" "&amp;TRIM(J36)&amp;IF(G46="","",","))</f>
        <v/>
      </c>
      <c r="AW36" s="27"/>
      <c r="AY36" s="122" t="str">
        <f t="shared" si="9"/>
        <v/>
      </c>
    </row>
    <row r="37" spans="2:51" ht="12.75">
      <c r="B37" s="20" t="str">
        <f t="shared" si="11"/>
        <v/>
      </c>
      <c r="C37" s="5"/>
      <c r="D37" s="5"/>
      <c r="E37" s="5"/>
      <c r="G37" s="5" t="str">
        <f t="shared" ref="G37:G45" si="14">SUBSTITUTE(SUBSTITUTE(SUBSTITUTE(SUBSTITUTE(SUBSTITUTE(SUBSTITUTE(SUBSTITUTE(SUBSTITUTE(SUBSTITUTE(C37," ",""),".",""),"#","No"),"%",""),"(",""),"*",""),"-",""),"/",""),")","")</f>
        <v/>
      </c>
      <c r="H37" s="117" t="str">
        <f t="shared" si="13"/>
        <v/>
      </c>
      <c r="I37" s="5" t="str">
        <f t="shared" si="2"/>
        <v/>
      </c>
      <c r="J37" s="5" t="str">
        <f t="shared" si="3"/>
        <v/>
      </c>
      <c r="K37" s="138"/>
      <c r="L37" s="5"/>
      <c r="M37" s="75"/>
      <c r="N37" s="77"/>
      <c r="O37" s="26"/>
      <c r="P37" s="26"/>
      <c r="Q37" s="118" t="str">
        <f t="shared" si="4"/>
        <v/>
      </c>
      <c r="R37" s="153"/>
      <c r="S37" s="138" t="str">
        <f t="shared" si="10"/>
        <v/>
      </c>
      <c r="T37" s="148"/>
      <c r="U37" s="146"/>
      <c r="V37" s="146"/>
      <c r="W37" s="139"/>
      <c r="X37" s="139"/>
      <c r="Y37" s="148"/>
      <c r="Z37" s="138"/>
      <c r="AA37" s="138" t="str">
        <f t="shared" si="12"/>
        <v/>
      </c>
      <c r="AB37" s="239"/>
      <c r="AC37" s="325"/>
      <c r="AD37" s="325"/>
      <c r="AE37" s="325"/>
      <c r="AF37" s="325"/>
      <c r="AG37" s="325"/>
      <c r="AH37" s="325"/>
      <c r="AI37" s="325"/>
      <c r="AJ37" s="325"/>
      <c r="AK37" s="325"/>
      <c r="AL37" s="325"/>
      <c r="AM37" s="325"/>
      <c r="AN37" s="325"/>
      <c r="AO37" s="325"/>
      <c r="AP37" s="136"/>
      <c r="AQ37" s="136"/>
      <c r="AR37" s="136" t="str">
        <f t="shared" si="6"/>
        <v/>
      </c>
      <c r="AS37" s="136" t="str">
        <f t="shared" si="6"/>
        <v/>
      </c>
      <c r="AT37" s="5" t="str">
        <f t="shared" si="7"/>
        <v/>
      </c>
      <c r="AV37" s="27" t="str">
        <f>IF(G37="","",+"          ["&amp;TRIM(G37)&amp;"] ["&amp;TRIM(I37)&amp;"]"&amp;IF(H37="","","("&amp;H37&amp;")")&amp;" "&amp;TRIM(J37)&amp;IF(G38="","",","))</f>
        <v/>
      </c>
      <c r="AW37" s="27"/>
      <c r="AY37" s="122" t="str">
        <f t="shared" si="9"/>
        <v/>
      </c>
    </row>
    <row r="38" spans="2:51" ht="12.75">
      <c r="B38" s="20" t="str">
        <f t="shared" si="11"/>
        <v/>
      </c>
      <c r="C38" s="5"/>
      <c r="D38" s="5"/>
      <c r="E38" s="5"/>
      <c r="G38" s="5" t="str">
        <f t="shared" si="14"/>
        <v/>
      </c>
      <c r="H38" s="117" t="str">
        <f t="shared" si="13"/>
        <v/>
      </c>
      <c r="I38" s="5" t="str">
        <f t="shared" si="2"/>
        <v/>
      </c>
      <c r="J38" s="5" t="str">
        <f t="shared" si="3"/>
        <v/>
      </c>
      <c r="K38" s="138"/>
      <c r="L38" s="5"/>
      <c r="M38" s="75"/>
      <c r="N38" s="77"/>
      <c r="O38" s="26"/>
      <c r="P38" s="26"/>
      <c r="Q38" s="118" t="str">
        <f t="shared" si="4"/>
        <v/>
      </c>
      <c r="R38" s="153"/>
      <c r="S38" s="138" t="str">
        <f t="shared" si="10"/>
        <v/>
      </c>
      <c r="T38" s="148"/>
      <c r="U38" s="146"/>
      <c r="V38" s="146"/>
      <c r="W38" s="139"/>
      <c r="X38" s="139"/>
      <c r="Y38" s="148"/>
      <c r="Z38" s="138"/>
      <c r="AA38" s="138" t="str">
        <f t="shared" si="12"/>
        <v/>
      </c>
      <c r="AB38" s="239"/>
      <c r="AC38" s="325"/>
      <c r="AD38" s="325"/>
      <c r="AE38" s="325"/>
      <c r="AF38" s="325"/>
      <c r="AG38" s="325"/>
      <c r="AH38" s="325"/>
      <c r="AI38" s="325"/>
      <c r="AJ38" s="325"/>
      <c r="AK38" s="325"/>
      <c r="AL38" s="325"/>
      <c r="AM38" s="325"/>
      <c r="AN38" s="325"/>
      <c r="AO38" s="325"/>
      <c r="AP38" s="136"/>
      <c r="AQ38" s="136"/>
      <c r="AR38" s="136" t="str">
        <f t="shared" si="6"/>
        <v/>
      </c>
      <c r="AS38" s="136" t="str">
        <f t="shared" si="6"/>
        <v/>
      </c>
      <c r="AT38" s="5" t="str">
        <f t="shared" si="7"/>
        <v/>
      </c>
      <c r="AV38" s="27" t="str">
        <f>IF(G38="","",+"          ["&amp;TRIM(G38)&amp;"] ["&amp;TRIM(I38)&amp;"]"&amp;IF(H38="","","("&amp;H38&amp;")")&amp;" "&amp;TRIM(J38)&amp;IF(G39="","",","))</f>
        <v/>
      </c>
      <c r="AW38" s="27"/>
      <c r="AY38" s="122" t="str">
        <f t="shared" si="9"/>
        <v/>
      </c>
    </row>
    <row r="39" spans="2:51" ht="12.75">
      <c r="B39" s="20" t="str">
        <f t="shared" si="11"/>
        <v/>
      </c>
      <c r="C39" s="5"/>
      <c r="D39" s="5"/>
      <c r="E39" s="5"/>
      <c r="G39" s="5" t="str">
        <f t="shared" si="14"/>
        <v/>
      </c>
      <c r="H39" s="117" t="str">
        <f t="shared" si="13"/>
        <v/>
      </c>
      <c r="I39" s="5" t="str">
        <f t="shared" si="2"/>
        <v/>
      </c>
      <c r="J39" s="5" t="str">
        <f t="shared" si="3"/>
        <v/>
      </c>
      <c r="K39" s="138"/>
      <c r="L39" s="5"/>
      <c r="M39" s="75"/>
      <c r="N39" s="77"/>
      <c r="O39" s="26"/>
      <c r="P39" s="26"/>
      <c r="Q39" s="118" t="str">
        <f t="shared" si="4"/>
        <v/>
      </c>
      <c r="R39" s="153"/>
      <c r="S39" s="138" t="str">
        <f t="shared" si="10"/>
        <v/>
      </c>
      <c r="T39" s="148"/>
      <c r="U39" s="146"/>
      <c r="V39" s="146"/>
      <c r="W39" s="139"/>
      <c r="X39" s="139"/>
      <c r="Y39" s="148"/>
      <c r="Z39" s="138"/>
      <c r="AA39" s="138" t="str">
        <f t="shared" si="12"/>
        <v/>
      </c>
      <c r="AB39" s="239"/>
      <c r="AC39" s="325"/>
      <c r="AD39" s="325"/>
      <c r="AE39" s="325"/>
      <c r="AF39" s="325"/>
      <c r="AG39" s="325"/>
      <c r="AH39" s="325"/>
      <c r="AI39" s="325"/>
      <c r="AJ39" s="325"/>
      <c r="AK39" s="325"/>
      <c r="AL39" s="325"/>
      <c r="AM39" s="325"/>
      <c r="AN39" s="325"/>
      <c r="AO39" s="325"/>
      <c r="AP39" s="136"/>
      <c r="AQ39" s="136"/>
      <c r="AR39" s="136" t="str">
        <f t="shared" si="6"/>
        <v/>
      </c>
      <c r="AS39" s="136" t="str">
        <f t="shared" si="6"/>
        <v/>
      </c>
      <c r="AT39" s="5" t="str">
        <f t="shared" si="7"/>
        <v/>
      </c>
      <c r="AV39" s="27" t="str">
        <f>IF(G39="","",+"          ["&amp;TRIM(G39)&amp;"] ["&amp;TRIM(I39)&amp;"]"&amp;IF(H39="","","("&amp;H39&amp;")")&amp;" "&amp;TRIM(J39)&amp;IF(G69="","",","))</f>
        <v/>
      </c>
      <c r="AW39" s="27"/>
      <c r="AY39" s="122" t="str">
        <f t="shared" si="9"/>
        <v/>
      </c>
    </row>
    <row r="40" spans="2:51" ht="12.75">
      <c r="B40" s="20" t="str">
        <f t="shared" si="11"/>
        <v/>
      </c>
      <c r="C40" s="5"/>
      <c r="D40" s="5"/>
      <c r="E40" s="5"/>
      <c r="G40" s="5" t="str">
        <f t="shared" si="14"/>
        <v/>
      </c>
      <c r="H40" s="117" t="str">
        <f t="shared" si="13"/>
        <v/>
      </c>
      <c r="I40" s="5" t="str">
        <f t="shared" si="2"/>
        <v/>
      </c>
      <c r="J40" s="5" t="str">
        <f t="shared" si="3"/>
        <v/>
      </c>
      <c r="K40" s="138"/>
      <c r="L40" s="5"/>
      <c r="M40" s="75"/>
      <c r="N40" s="77"/>
      <c r="O40" s="26"/>
      <c r="P40" s="26"/>
      <c r="Q40" s="118" t="str">
        <f t="shared" si="4"/>
        <v/>
      </c>
      <c r="R40" s="153"/>
      <c r="S40" s="138" t="str">
        <f t="shared" si="10"/>
        <v/>
      </c>
      <c r="T40" s="148"/>
      <c r="U40" s="146"/>
      <c r="V40" s="146"/>
      <c r="W40" s="139"/>
      <c r="X40" s="139"/>
      <c r="Y40" s="148"/>
      <c r="Z40" s="138"/>
      <c r="AA40" s="138" t="str">
        <f t="shared" si="12"/>
        <v/>
      </c>
      <c r="AB40" s="239"/>
      <c r="AC40" s="325"/>
      <c r="AD40" s="325"/>
      <c r="AE40" s="325"/>
      <c r="AF40" s="325"/>
      <c r="AG40" s="325"/>
      <c r="AH40" s="325"/>
      <c r="AI40" s="325"/>
      <c r="AJ40" s="325"/>
      <c r="AK40" s="325"/>
      <c r="AL40" s="325"/>
      <c r="AM40" s="325"/>
      <c r="AN40" s="325"/>
      <c r="AO40" s="325"/>
      <c r="AP40" s="136"/>
      <c r="AQ40" s="136"/>
      <c r="AR40" s="136" t="str">
        <f t="shared" si="6"/>
        <v/>
      </c>
      <c r="AS40" s="136" t="str">
        <f t="shared" si="6"/>
        <v/>
      </c>
      <c r="AT40" s="5" t="str">
        <f t="shared" si="7"/>
        <v/>
      </c>
      <c r="AV40" s="27" t="str">
        <f>IF(G40="","",+"          ["&amp;TRIM(G40)&amp;"] ["&amp;TRIM(I40)&amp;"]"&amp;IF(H40="","","("&amp;H40&amp;")")&amp;" "&amp;TRIM(J40)&amp;IF(G68="","",","))</f>
        <v/>
      </c>
      <c r="AW40" s="27"/>
      <c r="AY40" s="122" t="str">
        <f t="shared" si="9"/>
        <v/>
      </c>
    </row>
    <row r="41" spans="2:51" ht="12.75">
      <c r="B41" s="20" t="str">
        <f t="shared" si="11"/>
        <v/>
      </c>
      <c r="C41" s="5"/>
      <c r="D41" s="5"/>
      <c r="E41" s="5"/>
      <c r="G41" s="5" t="str">
        <f t="shared" si="14"/>
        <v/>
      </c>
      <c r="H41" s="117" t="str">
        <f t="shared" si="13"/>
        <v/>
      </c>
      <c r="I41" s="5" t="str">
        <f t="shared" si="2"/>
        <v/>
      </c>
      <c r="J41" s="5" t="str">
        <f t="shared" si="3"/>
        <v/>
      </c>
      <c r="K41" s="138"/>
      <c r="L41" s="5"/>
      <c r="M41" s="75"/>
      <c r="N41" s="77"/>
      <c r="O41" s="26"/>
      <c r="P41" s="26"/>
      <c r="Q41" s="118" t="str">
        <f t="shared" si="4"/>
        <v/>
      </c>
      <c r="R41" s="153"/>
      <c r="S41" s="138" t="str">
        <f t="shared" si="10"/>
        <v/>
      </c>
      <c r="T41" s="148"/>
      <c r="U41" s="146"/>
      <c r="V41" s="146"/>
      <c r="W41" s="139"/>
      <c r="X41" s="139"/>
      <c r="Y41" s="148"/>
      <c r="Z41" s="138"/>
      <c r="AA41" s="138" t="str">
        <f t="shared" si="12"/>
        <v/>
      </c>
      <c r="AB41" s="239"/>
      <c r="AC41" s="325"/>
      <c r="AD41" s="325"/>
      <c r="AE41" s="325"/>
      <c r="AF41" s="325"/>
      <c r="AG41" s="325"/>
      <c r="AH41" s="325"/>
      <c r="AI41" s="325"/>
      <c r="AJ41" s="325"/>
      <c r="AK41" s="325"/>
      <c r="AL41" s="325"/>
      <c r="AM41" s="325"/>
      <c r="AN41" s="325"/>
      <c r="AO41" s="325"/>
      <c r="AP41" s="136"/>
      <c r="AQ41" s="136"/>
      <c r="AR41" s="136" t="str">
        <f t="shared" si="6"/>
        <v/>
      </c>
      <c r="AS41" s="136" t="str">
        <f t="shared" si="6"/>
        <v/>
      </c>
      <c r="AT41" s="5" t="str">
        <f t="shared" si="7"/>
        <v/>
      </c>
      <c r="AV41" s="27" t="str">
        <f>IF(G41="","",+"          ["&amp;TRIM(G41)&amp;"] ["&amp;TRIM(I41)&amp;"]"&amp;IF(H41="","","("&amp;H41&amp;")")&amp;" "&amp;TRIM(J41)&amp;IF(G42="","",","))</f>
        <v/>
      </c>
      <c r="AW41" s="27"/>
      <c r="AY41" s="122" t="str">
        <f t="shared" si="9"/>
        <v/>
      </c>
    </row>
    <row r="42" spans="2:51" ht="12.75">
      <c r="B42" s="20" t="str">
        <f t="shared" si="11"/>
        <v/>
      </c>
      <c r="C42" s="5"/>
      <c r="D42" s="5"/>
      <c r="E42" s="5"/>
      <c r="G42" s="5" t="str">
        <f t="shared" si="14"/>
        <v/>
      </c>
      <c r="H42" s="117" t="str">
        <f t="shared" si="13"/>
        <v/>
      </c>
      <c r="I42" s="5" t="str">
        <f t="shared" si="2"/>
        <v/>
      </c>
      <c r="J42" s="5" t="str">
        <f>IF(C42=0,"",(IF(ISERROR(VLOOKUP(G42,$D$120:$D$127,1,FALSE)),""," NOT")&amp;" NULL"))</f>
        <v/>
      </c>
      <c r="K42" s="138"/>
      <c r="L42" s="5"/>
      <c r="M42" s="75"/>
      <c r="N42" s="77"/>
      <c r="O42" s="26"/>
      <c r="P42" s="26"/>
      <c r="Q42" s="118" t="str">
        <f t="shared" si="4"/>
        <v/>
      </c>
      <c r="R42" s="153"/>
      <c r="S42" s="138" t="str">
        <f t="shared" si="10"/>
        <v/>
      </c>
      <c r="T42" s="148"/>
      <c r="U42" s="146"/>
      <c r="V42" s="146"/>
      <c r="W42" s="139"/>
      <c r="X42" s="139"/>
      <c r="Y42" s="148"/>
      <c r="Z42" s="138"/>
      <c r="AA42" s="138" t="str">
        <f t="shared" si="12"/>
        <v/>
      </c>
      <c r="AB42" s="239"/>
      <c r="AC42" s="325"/>
      <c r="AD42" s="325"/>
      <c r="AE42" s="325"/>
      <c r="AF42" s="325"/>
      <c r="AG42" s="325"/>
      <c r="AH42" s="325"/>
      <c r="AI42" s="325"/>
      <c r="AJ42" s="325"/>
      <c r="AK42" s="325"/>
      <c r="AL42" s="325"/>
      <c r="AM42" s="325"/>
      <c r="AN42" s="325"/>
      <c r="AO42" s="325"/>
      <c r="AP42" s="136"/>
      <c r="AQ42" s="136"/>
      <c r="AR42" s="136" t="str">
        <f t="shared" si="6"/>
        <v/>
      </c>
      <c r="AS42" s="136" t="str">
        <f t="shared" si="6"/>
        <v/>
      </c>
      <c r="AT42" s="5" t="str">
        <f t="shared" si="7"/>
        <v/>
      </c>
      <c r="AV42" s="27" t="str">
        <f>IF(G42="","",+"          ["&amp;TRIM(G42)&amp;"] ["&amp;TRIM(I42)&amp;"]"&amp;IF(H42="","","("&amp;H42&amp;")")&amp;" "&amp;TRIM(J42)&amp;IF(G45="","",","))</f>
        <v/>
      </c>
      <c r="AW42" s="27"/>
      <c r="AY42" s="122" t="str">
        <f t="shared" si="9"/>
        <v/>
      </c>
    </row>
    <row r="43" spans="2:51" ht="12.75">
      <c r="B43" s="20" t="str">
        <f t="shared" si="11"/>
        <v/>
      </c>
      <c r="C43" s="5"/>
      <c r="D43" s="5"/>
      <c r="E43" s="5"/>
      <c r="G43" s="5" t="str">
        <f t="shared" si="14"/>
        <v/>
      </c>
      <c r="H43" s="117" t="str">
        <f t="shared" si="13"/>
        <v/>
      </c>
      <c r="I43" s="5" t="str">
        <f t="shared" si="2"/>
        <v/>
      </c>
      <c r="J43" s="5" t="str">
        <f t="shared" si="3"/>
        <v/>
      </c>
      <c r="K43" s="138"/>
      <c r="L43" s="5"/>
      <c r="M43" s="75"/>
      <c r="N43" s="77"/>
      <c r="O43" s="26"/>
      <c r="P43" s="26"/>
      <c r="Q43" s="118" t="str">
        <f t="shared" si="4"/>
        <v/>
      </c>
      <c r="R43" s="153"/>
      <c r="S43" s="138" t="str">
        <f t="shared" si="10"/>
        <v/>
      </c>
      <c r="T43" s="148"/>
      <c r="U43" s="146"/>
      <c r="V43" s="146"/>
      <c r="W43" s="139"/>
      <c r="X43" s="139"/>
      <c r="Y43" s="148"/>
      <c r="Z43" s="138"/>
      <c r="AA43" s="138" t="str">
        <f t="shared" si="12"/>
        <v/>
      </c>
      <c r="AB43" s="239"/>
      <c r="AC43" s="325"/>
      <c r="AD43" s="325"/>
      <c r="AE43" s="325"/>
      <c r="AF43" s="325"/>
      <c r="AG43" s="325"/>
      <c r="AH43" s="325"/>
      <c r="AI43" s="325"/>
      <c r="AJ43" s="325"/>
      <c r="AK43" s="325"/>
      <c r="AL43" s="325"/>
      <c r="AM43" s="325"/>
      <c r="AN43" s="325"/>
      <c r="AO43" s="325"/>
      <c r="AP43" s="136"/>
      <c r="AQ43" s="136"/>
      <c r="AR43" s="136" t="str">
        <f t="shared" si="6"/>
        <v/>
      </c>
      <c r="AS43" s="136" t="str">
        <f t="shared" si="6"/>
        <v/>
      </c>
      <c r="AT43" s="5" t="str">
        <f t="shared" si="7"/>
        <v/>
      </c>
      <c r="AV43" s="27" t="str">
        <f>IF(G43="","",+"          ["&amp;TRIM(G43)&amp;"] ["&amp;TRIM(I43)&amp;"]"&amp;IF(H43="","","("&amp;H43&amp;")")&amp;" "&amp;TRIM(J43)&amp;IF(G44="","",","))</f>
        <v/>
      </c>
      <c r="AW43" s="27"/>
      <c r="AY43" s="122" t="str">
        <f t="shared" si="9"/>
        <v/>
      </c>
    </row>
    <row r="44" spans="2:51" ht="12.75">
      <c r="B44" s="20" t="str">
        <f t="shared" si="11"/>
        <v/>
      </c>
      <c r="C44" s="5"/>
      <c r="D44" s="5"/>
      <c r="E44" s="5"/>
      <c r="G44" s="5" t="str">
        <f t="shared" si="14"/>
        <v/>
      </c>
      <c r="H44" s="117" t="str">
        <f t="shared" si="13"/>
        <v/>
      </c>
      <c r="I44" s="5" t="str">
        <f t="shared" si="2"/>
        <v/>
      </c>
      <c r="J44" s="5" t="str">
        <f t="shared" si="3"/>
        <v/>
      </c>
      <c r="K44" s="138"/>
      <c r="L44" s="5"/>
      <c r="M44" s="75"/>
      <c r="N44" s="77"/>
      <c r="O44" s="26"/>
      <c r="P44" s="26"/>
      <c r="Q44" s="118" t="str">
        <f t="shared" si="4"/>
        <v/>
      </c>
      <c r="R44" s="153"/>
      <c r="S44" s="138" t="str">
        <f t="shared" si="10"/>
        <v/>
      </c>
      <c r="T44" s="148"/>
      <c r="U44" s="146"/>
      <c r="V44" s="146"/>
      <c r="W44" s="139"/>
      <c r="X44" s="139"/>
      <c r="Y44" s="148"/>
      <c r="Z44" s="138"/>
      <c r="AA44" s="138" t="str">
        <f t="shared" si="12"/>
        <v/>
      </c>
      <c r="AB44" s="239"/>
      <c r="AC44" s="325"/>
      <c r="AD44" s="325"/>
      <c r="AE44" s="325"/>
      <c r="AF44" s="325"/>
      <c r="AG44" s="325"/>
      <c r="AH44" s="325"/>
      <c r="AI44" s="325"/>
      <c r="AJ44" s="325"/>
      <c r="AK44" s="325"/>
      <c r="AL44" s="325"/>
      <c r="AM44" s="325"/>
      <c r="AN44" s="325"/>
      <c r="AO44" s="325"/>
      <c r="AP44" s="136"/>
      <c r="AQ44" s="136"/>
      <c r="AR44" s="136" t="str">
        <f t="shared" si="6"/>
        <v/>
      </c>
      <c r="AS44" s="136" t="str">
        <f t="shared" si="6"/>
        <v/>
      </c>
      <c r="AT44" s="5" t="str">
        <f t="shared" si="7"/>
        <v/>
      </c>
      <c r="AV44" s="27" t="str">
        <f>IF(G44="","",+"          ["&amp;TRIM(G44)&amp;"] ["&amp;TRIM(I44)&amp;"]"&amp;IF(H44="","","("&amp;H44&amp;")")&amp;" "&amp;TRIM(J44)&amp;IF(G45="","",","))</f>
        <v/>
      </c>
      <c r="AW44" s="27"/>
      <c r="AY44" s="122" t="str">
        <f t="shared" si="9"/>
        <v/>
      </c>
    </row>
    <row r="45" spans="2:51" ht="12.75">
      <c r="B45" s="20" t="str">
        <f t="shared" si="11"/>
        <v/>
      </c>
      <c r="C45" s="5"/>
      <c r="D45" s="5"/>
      <c r="E45" s="5"/>
      <c r="G45" s="5" t="str">
        <f t="shared" si="14"/>
        <v/>
      </c>
      <c r="H45" s="117" t="str">
        <f t="shared" si="13"/>
        <v/>
      </c>
      <c r="I45" s="5" t="str">
        <f t="shared" si="2"/>
        <v/>
      </c>
      <c r="J45" s="5" t="str">
        <f t="shared" si="3"/>
        <v/>
      </c>
      <c r="K45" s="138"/>
      <c r="L45" s="5"/>
      <c r="M45" s="75"/>
      <c r="N45" s="77"/>
      <c r="O45" s="26"/>
      <c r="P45" s="26"/>
      <c r="Q45" s="118" t="str">
        <f t="shared" si="4"/>
        <v/>
      </c>
      <c r="R45" s="153"/>
      <c r="S45" s="138" t="str">
        <f t="shared" si="10"/>
        <v/>
      </c>
      <c r="T45" s="148"/>
      <c r="U45" s="146"/>
      <c r="V45" s="146"/>
      <c r="W45" s="139"/>
      <c r="X45" s="139"/>
      <c r="Y45" s="148"/>
      <c r="Z45" s="138"/>
      <c r="AA45" s="138" t="str">
        <f t="shared" si="12"/>
        <v/>
      </c>
      <c r="AB45" s="239"/>
      <c r="AC45" s="325"/>
      <c r="AD45" s="325"/>
      <c r="AE45" s="325"/>
      <c r="AF45" s="325"/>
      <c r="AG45" s="325"/>
      <c r="AH45" s="325"/>
      <c r="AI45" s="325"/>
      <c r="AJ45" s="325"/>
      <c r="AK45" s="325"/>
      <c r="AL45" s="325"/>
      <c r="AM45" s="325"/>
      <c r="AN45" s="325"/>
      <c r="AO45" s="325"/>
      <c r="AP45" s="136"/>
      <c r="AQ45" s="136"/>
      <c r="AR45" s="136" t="str">
        <f t="shared" si="6"/>
        <v/>
      </c>
      <c r="AS45" s="136" t="str">
        <f t="shared" si="6"/>
        <v/>
      </c>
      <c r="AT45" s="5" t="str">
        <f t="shared" si="7"/>
        <v/>
      </c>
      <c r="AV45" s="27" t="str">
        <f>IF(G45="","",+"          ["&amp;TRIM(G45)&amp;"] ["&amp;TRIM(I45)&amp;"]"&amp;IF(H45="","","("&amp;H45&amp;")")&amp;" "&amp;TRIM(J45)&amp;IF(G54="","",","))</f>
        <v/>
      </c>
      <c r="AW45" s="27"/>
      <c r="AY45" s="122" t="str">
        <f t="shared" si="9"/>
        <v/>
      </c>
    </row>
    <row r="46" spans="2:51" ht="12.75">
      <c r="B46" s="20" t="str">
        <f t="shared" si="11"/>
        <v/>
      </c>
      <c r="C46" s="5"/>
      <c r="D46" s="5"/>
      <c r="E46" s="5"/>
      <c r="G46" s="5" t="str">
        <f>SUBSTITUTE(SUBSTITUTE(SUBSTITUTE(SUBSTITUTE(SUBSTITUTE(SUBSTITUTE(SUBSTITUTE(SUBSTITUTE(SUBSTITUTE(C46," ",""),".",""),"#","No"),"%",""),"(",""),"*",""),"-",""),"/",""),")","")</f>
        <v/>
      </c>
      <c r="H46" s="117" t="str">
        <f t="shared" si="13"/>
        <v/>
      </c>
      <c r="I46" s="5" t="str">
        <f>IF(E46=0,"",+E46)</f>
        <v/>
      </c>
      <c r="J46" s="5" t="str">
        <f>IF(C46=0,"",(IF(ISERROR(VLOOKUP(G46,$D$120:$D$127,1,FALSE)),""," NOT")&amp;" NULL"))</f>
        <v/>
      </c>
      <c r="K46" s="138"/>
      <c r="L46" s="5"/>
      <c r="M46" s="75"/>
      <c r="N46" s="77"/>
      <c r="O46" s="26"/>
      <c r="P46" s="26"/>
      <c r="Q46" s="118" t="str">
        <f>IF(M46=0,"",ROW())</f>
        <v/>
      </c>
      <c r="R46" s="153"/>
      <c r="S46" s="138" t="str">
        <f t="shared" si="10"/>
        <v/>
      </c>
      <c r="T46" s="148"/>
      <c r="U46" s="146"/>
      <c r="V46" s="146"/>
      <c r="W46" s="139"/>
      <c r="X46" s="139"/>
      <c r="Y46" s="148"/>
      <c r="Z46" s="138"/>
      <c r="AA46" s="138" t="str">
        <f t="shared" si="12"/>
        <v/>
      </c>
      <c r="AB46" s="239"/>
      <c r="AC46" s="325"/>
      <c r="AD46" s="325"/>
      <c r="AE46" s="325"/>
      <c r="AF46" s="325"/>
      <c r="AG46" s="325"/>
      <c r="AH46" s="325"/>
      <c r="AI46" s="325"/>
      <c r="AJ46" s="325"/>
      <c r="AK46" s="325"/>
      <c r="AL46" s="325"/>
      <c r="AM46" s="325"/>
      <c r="AN46" s="325"/>
      <c r="AO46" s="325"/>
      <c r="AP46" s="136"/>
      <c r="AQ46" s="136"/>
      <c r="AR46" s="136" t="str">
        <f t="shared" si="6"/>
        <v/>
      </c>
      <c r="AS46" s="136" t="str">
        <f t="shared" si="6"/>
        <v/>
      </c>
      <c r="AT46" s="5" t="str">
        <f t="shared" si="7"/>
        <v/>
      </c>
      <c r="AV46" s="27" t="str">
        <f>IF(G46="","",+"          ["&amp;TRIM(G46)&amp;"] ["&amp;TRIM(I46)&amp;"]"&amp;IF(H46="","","("&amp;H46&amp;")")&amp;" "&amp;TRIM(J46)&amp;IF(G47="","",","))</f>
        <v/>
      </c>
      <c r="AW46" s="27"/>
      <c r="AY46" s="122" t="str">
        <f t="shared" si="9"/>
        <v/>
      </c>
    </row>
    <row r="47" spans="2:51" ht="12.75">
      <c r="B47" s="20" t="str">
        <f t="shared" si="11"/>
        <v/>
      </c>
      <c r="C47" s="5"/>
      <c r="D47" s="5"/>
      <c r="E47" s="5"/>
      <c r="G47" s="5" t="str">
        <f>SUBSTITUTE(SUBSTITUTE(SUBSTITUTE(SUBSTITUTE(SUBSTITUTE(SUBSTITUTE(SUBSTITUTE(SUBSTITUTE(SUBSTITUTE(C47," ",""),".",""),"#","No"),"%",""),"(",""),"*",""),"-",""),"/",""),")","")</f>
        <v/>
      </c>
      <c r="H47" s="117" t="str">
        <f t="shared" si="13"/>
        <v/>
      </c>
      <c r="I47" s="5" t="str">
        <f>IF(E47=0,"",+E47)</f>
        <v/>
      </c>
      <c r="J47" s="5" t="str">
        <f>IF(C47=0,"",(IF(ISERROR(VLOOKUP(G47,$D$120:$D$127,1,FALSE)),""," NOT")&amp;" NULL"))</f>
        <v/>
      </c>
      <c r="K47" s="138"/>
      <c r="L47" s="5"/>
      <c r="M47" s="75"/>
      <c r="N47" s="77"/>
      <c r="O47" s="26"/>
      <c r="P47" s="26"/>
      <c r="Q47" s="118" t="str">
        <f>IF(M47=0,"",ROW())</f>
        <v/>
      </c>
      <c r="R47" s="153"/>
      <c r="S47" s="138" t="str">
        <f t="shared" si="10"/>
        <v/>
      </c>
      <c r="T47" s="148"/>
      <c r="U47" s="146"/>
      <c r="V47" s="146"/>
      <c r="W47" s="139"/>
      <c r="X47" s="139"/>
      <c r="Y47" s="148"/>
      <c r="Z47" s="138"/>
      <c r="AA47" s="138" t="str">
        <f t="shared" si="12"/>
        <v/>
      </c>
      <c r="AB47" s="239"/>
      <c r="AC47" s="325"/>
      <c r="AD47" s="325"/>
      <c r="AE47" s="325"/>
      <c r="AF47" s="325"/>
      <c r="AG47" s="325"/>
      <c r="AH47" s="325"/>
      <c r="AI47" s="325"/>
      <c r="AJ47" s="325"/>
      <c r="AK47" s="325"/>
      <c r="AL47" s="325"/>
      <c r="AM47" s="325"/>
      <c r="AN47" s="325"/>
      <c r="AO47" s="325"/>
      <c r="AP47" s="136"/>
      <c r="AQ47" s="136"/>
      <c r="AR47" s="136" t="str">
        <f t="shared" si="6"/>
        <v/>
      </c>
      <c r="AS47" s="136" t="str">
        <f t="shared" si="6"/>
        <v/>
      </c>
      <c r="AT47" s="5" t="str">
        <f t="shared" si="7"/>
        <v/>
      </c>
      <c r="AV47" s="27" t="str">
        <f>IF(G47="","",+"          ["&amp;TRIM(G47)&amp;"] ["&amp;TRIM(I47)&amp;"]"&amp;IF(H47="","","("&amp;H47&amp;")")&amp;" "&amp;TRIM(J47)&amp;IF(G48="","",","))</f>
        <v/>
      </c>
      <c r="AW47" s="27"/>
      <c r="AY47" s="122" t="str">
        <f t="shared" si="9"/>
        <v/>
      </c>
    </row>
    <row r="48" spans="2:51" ht="12.75">
      <c r="B48" s="20" t="str">
        <f t="shared" si="11"/>
        <v/>
      </c>
      <c r="C48" s="5"/>
      <c r="D48" s="5"/>
      <c r="E48" s="5"/>
      <c r="G48" s="5" t="str">
        <f>SUBSTITUTE(SUBSTITUTE(SUBSTITUTE(SUBSTITUTE(SUBSTITUTE(SUBSTITUTE(SUBSTITUTE(SUBSTITUTE(SUBSTITUTE(C48," ",""),".",""),"#","No"),"%",""),"(",""),"*",""),"-",""),"/",""),")","")</f>
        <v/>
      </c>
      <c r="H48" s="117" t="str">
        <f t="shared" si="13"/>
        <v/>
      </c>
      <c r="I48" s="5" t="str">
        <f>IF(E48=0,"",+E48)</f>
        <v/>
      </c>
      <c r="J48" s="5" t="str">
        <f>IF(C48=0,"",(IF(ISERROR(VLOOKUP(G48,$D$120:$D$127,1,FALSE)),""," NOT")&amp;" NULL"))</f>
        <v/>
      </c>
      <c r="K48" s="138"/>
      <c r="L48" s="5"/>
      <c r="M48" s="75"/>
      <c r="N48" s="77"/>
      <c r="O48" s="26"/>
      <c r="P48" s="26"/>
      <c r="Q48" s="118" t="str">
        <f>IF(M48=0,"",ROW())</f>
        <v/>
      </c>
      <c r="R48" s="153"/>
      <c r="S48" s="138" t="str">
        <f t="shared" si="10"/>
        <v/>
      </c>
      <c r="T48" s="148"/>
      <c r="U48" s="146"/>
      <c r="V48" s="146"/>
      <c r="W48" s="139"/>
      <c r="X48" s="139"/>
      <c r="Y48" s="148"/>
      <c r="Z48" s="138"/>
      <c r="AA48" s="138" t="str">
        <f t="shared" si="12"/>
        <v/>
      </c>
      <c r="AB48" s="239"/>
      <c r="AC48" s="325"/>
      <c r="AD48" s="325"/>
      <c r="AE48" s="325"/>
      <c r="AF48" s="325"/>
      <c r="AG48" s="325"/>
      <c r="AH48" s="325"/>
      <c r="AI48" s="325"/>
      <c r="AJ48" s="325"/>
      <c r="AK48" s="325"/>
      <c r="AL48" s="325"/>
      <c r="AM48" s="325"/>
      <c r="AN48" s="325"/>
      <c r="AO48" s="325"/>
      <c r="AP48" s="136"/>
      <c r="AQ48" s="136"/>
      <c r="AR48" s="136" t="str">
        <f t="shared" ref="AR48:AS79" si="15">IF(O48=0,"",ROW())</f>
        <v/>
      </c>
      <c r="AS48" s="136" t="str">
        <f t="shared" si="15"/>
        <v/>
      </c>
      <c r="AT48" s="5" t="str">
        <f t="shared" ref="AT48:AT79" si="16">IF(C48="","",C48&amp;IF(B49="","",","))</f>
        <v/>
      </c>
      <c r="AV48" s="27" t="str">
        <f>IF(G48="","",+"          ["&amp;TRIM(G48)&amp;"] ["&amp;TRIM(I48)&amp;"]"&amp;IF(H48="","","("&amp;H48&amp;")")&amp;" "&amp;TRIM(J48)&amp;IF(G96="","",","))</f>
        <v/>
      </c>
      <c r="AW48" s="27"/>
      <c r="AY48" s="122" t="str">
        <f t="shared" si="9"/>
        <v/>
      </c>
    </row>
    <row r="49" spans="2:51" ht="12.75">
      <c r="B49" s="20" t="str">
        <f t="shared" si="11"/>
        <v/>
      </c>
      <c r="C49" s="5"/>
      <c r="D49" s="5"/>
      <c r="E49" s="5"/>
      <c r="G49" s="5" t="str">
        <f>SUBSTITUTE(SUBSTITUTE(SUBSTITUTE(SUBSTITUTE(SUBSTITUTE(SUBSTITUTE(SUBSTITUTE(SUBSTITUTE(SUBSTITUTE(C49," ",""),".",""),"#","No"),"%",""),"(",""),"*",""),"-",""),"/",""),")","")</f>
        <v/>
      </c>
      <c r="H49" s="117" t="str">
        <f t="shared" si="13"/>
        <v/>
      </c>
      <c r="I49" s="5" t="str">
        <f>IF(E49=0,"",+E49)</f>
        <v/>
      </c>
      <c r="J49" s="5" t="str">
        <f>IF(C49=0,"",(IF(ISERROR(VLOOKUP(G49,$D$120:$D$127,1,FALSE)),""," NOT")&amp;" NULL"))</f>
        <v/>
      </c>
      <c r="K49" s="138"/>
      <c r="L49" s="5"/>
      <c r="M49" s="75"/>
      <c r="N49" s="77"/>
      <c r="O49" s="26"/>
      <c r="P49" s="26"/>
      <c r="Q49" s="118" t="str">
        <f>IF(M49=0,"",ROW())</f>
        <v/>
      </c>
      <c r="R49" s="153"/>
      <c r="S49" s="138" t="str">
        <f t="shared" si="10"/>
        <v/>
      </c>
      <c r="T49" s="148"/>
      <c r="U49" s="146"/>
      <c r="V49" s="146"/>
      <c r="W49" s="139"/>
      <c r="X49" s="139"/>
      <c r="Y49" s="148"/>
      <c r="Z49" s="138"/>
      <c r="AA49" s="138" t="str">
        <f t="shared" si="12"/>
        <v/>
      </c>
      <c r="AB49" s="239"/>
      <c r="AC49" s="325"/>
      <c r="AD49" s="325"/>
      <c r="AE49" s="325"/>
      <c r="AF49" s="325"/>
      <c r="AG49" s="325"/>
      <c r="AH49" s="325"/>
      <c r="AI49" s="325"/>
      <c r="AJ49" s="325"/>
      <c r="AK49" s="325"/>
      <c r="AL49" s="325"/>
      <c r="AM49" s="325"/>
      <c r="AN49" s="325"/>
      <c r="AO49" s="325"/>
      <c r="AP49" s="136"/>
      <c r="AQ49" s="136"/>
      <c r="AR49" s="136" t="str">
        <f t="shared" si="15"/>
        <v/>
      </c>
      <c r="AS49" s="136" t="str">
        <f t="shared" si="15"/>
        <v/>
      </c>
      <c r="AT49" s="5" t="str">
        <f t="shared" si="16"/>
        <v/>
      </c>
      <c r="AV49" s="27" t="str">
        <f>IF(G49="","",+"          ["&amp;TRIM(G49)&amp;"] ["&amp;TRIM(I49)&amp;"]"&amp;IF(H49="","","("&amp;H49&amp;")")&amp;" "&amp;TRIM(J49)&amp;IF(G95="","",","))</f>
        <v/>
      </c>
      <c r="AW49" s="27"/>
      <c r="AY49" s="122" t="str">
        <f t="shared" si="9"/>
        <v/>
      </c>
    </row>
    <row r="50" spans="2:51" ht="12.75">
      <c r="B50" s="20" t="str">
        <f t="shared" si="11"/>
        <v/>
      </c>
      <c r="C50" s="5"/>
      <c r="D50" s="5"/>
      <c r="E50" s="5"/>
      <c r="G50" s="5" t="str">
        <f t="shared" ref="G50:G93" si="17">SUBSTITUTE(SUBSTITUTE(SUBSTITUTE(SUBSTITUTE(SUBSTITUTE(SUBSTITUTE(SUBSTITUTE(SUBSTITUTE(SUBSTITUTE(C50," ",""),".",""),"#","No"),"%",""),"(",""),"*",""),"-",""),"/",""),")","")</f>
        <v/>
      </c>
      <c r="H50" s="117" t="str">
        <f t="shared" si="13"/>
        <v/>
      </c>
      <c r="I50" s="5" t="str">
        <f t="shared" ref="I50:I93" si="18">IF(E50=0,"",+E50)</f>
        <v/>
      </c>
      <c r="J50" s="5" t="str">
        <f t="shared" ref="J50:J93" si="19">IF(C50=0,"",(IF(ISERROR(VLOOKUP(G50,$D$120:$D$127,1,FALSE)),""," NOT")&amp;" NULL"))</f>
        <v/>
      </c>
      <c r="K50" s="138"/>
      <c r="L50" s="5"/>
      <c r="M50" s="75"/>
      <c r="N50" s="77"/>
      <c r="O50" s="26"/>
      <c r="P50" s="26"/>
      <c r="Q50" s="118" t="str">
        <f t="shared" ref="Q50:Q93" si="20">IF(M50=0,"",ROW())</f>
        <v/>
      </c>
      <c r="R50" s="153"/>
      <c r="S50" s="138" t="str">
        <f t="shared" si="10"/>
        <v/>
      </c>
      <c r="T50" s="148"/>
      <c r="U50" s="146"/>
      <c r="V50" s="146"/>
      <c r="W50" s="139"/>
      <c r="X50" s="139"/>
      <c r="Y50" s="148"/>
      <c r="Z50" s="138"/>
      <c r="AA50" s="138" t="str">
        <f t="shared" si="12"/>
        <v/>
      </c>
      <c r="AB50" s="239"/>
      <c r="AC50" s="325"/>
      <c r="AD50" s="325"/>
      <c r="AE50" s="325"/>
      <c r="AF50" s="325"/>
      <c r="AG50" s="325"/>
      <c r="AH50" s="325"/>
      <c r="AI50" s="325"/>
      <c r="AJ50" s="325"/>
      <c r="AK50" s="325"/>
      <c r="AL50" s="325"/>
      <c r="AM50" s="325"/>
      <c r="AN50" s="325"/>
      <c r="AO50" s="325"/>
      <c r="AP50" s="136"/>
      <c r="AQ50" s="136"/>
      <c r="AR50" s="136" t="str">
        <f t="shared" si="15"/>
        <v/>
      </c>
      <c r="AS50" s="136" t="str">
        <f t="shared" si="15"/>
        <v/>
      </c>
      <c r="AT50" s="5" t="str">
        <f t="shared" si="16"/>
        <v/>
      </c>
      <c r="AV50" s="27" t="str">
        <f>IF(G50="","",+"          ["&amp;TRIM(G50)&amp;"] ["&amp;TRIM(I50)&amp;"]"&amp;IF(H50="","","("&amp;H50&amp;")")&amp;" "&amp;TRIM(J50)&amp;IF(G51="","",","))</f>
        <v/>
      </c>
      <c r="AW50" s="27"/>
      <c r="AY50" s="122" t="str">
        <f t="shared" si="9"/>
        <v/>
      </c>
    </row>
    <row r="51" spans="2:51" ht="12.75">
      <c r="B51" s="20" t="str">
        <f t="shared" si="11"/>
        <v/>
      </c>
      <c r="C51" s="5"/>
      <c r="D51" s="5"/>
      <c r="E51" s="5"/>
      <c r="G51" s="5" t="str">
        <f t="shared" si="17"/>
        <v/>
      </c>
      <c r="H51" s="117" t="str">
        <f t="shared" si="13"/>
        <v/>
      </c>
      <c r="I51" s="5" t="str">
        <f t="shared" si="18"/>
        <v/>
      </c>
      <c r="J51" s="5" t="str">
        <f t="shared" si="19"/>
        <v/>
      </c>
      <c r="K51" s="138"/>
      <c r="L51" s="5"/>
      <c r="M51" s="75"/>
      <c r="N51" s="77"/>
      <c r="O51" s="26"/>
      <c r="P51" s="26"/>
      <c r="Q51" s="118" t="str">
        <f t="shared" si="20"/>
        <v/>
      </c>
      <c r="R51" s="153"/>
      <c r="S51" s="138" t="str">
        <f t="shared" si="10"/>
        <v/>
      </c>
      <c r="T51" s="148"/>
      <c r="U51" s="146"/>
      <c r="V51" s="146"/>
      <c r="W51" s="139"/>
      <c r="X51" s="139"/>
      <c r="Y51" s="148"/>
      <c r="Z51" s="138"/>
      <c r="AA51" s="138" t="str">
        <f t="shared" si="12"/>
        <v/>
      </c>
      <c r="AB51" s="239"/>
      <c r="AC51" s="325"/>
      <c r="AD51" s="325"/>
      <c r="AE51" s="325"/>
      <c r="AF51" s="325"/>
      <c r="AG51" s="325"/>
      <c r="AH51" s="325"/>
      <c r="AI51" s="325"/>
      <c r="AJ51" s="325"/>
      <c r="AK51" s="325"/>
      <c r="AL51" s="325"/>
      <c r="AM51" s="325"/>
      <c r="AN51" s="325"/>
      <c r="AO51" s="325"/>
      <c r="AP51" s="136"/>
      <c r="AQ51" s="136"/>
      <c r="AR51" s="136" t="str">
        <f t="shared" si="15"/>
        <v/>
      </c>
      <c r="AS51" s="136" t="str">
        <f t="shared" si="15"/>
        <v/>
      </c>
      <c r="AT51" s="5" t="str">
        <f t="shared" si="16"/>
        <v/>
      </c>
      <c r="AV51" s="27" t="str">
        <f>IF(G51="","",+"          ["&amp;TRIM(G51)&amp;"] ["&amp;TRIM(I51)&amp;"]"&amp;IF(H51="","","("&amp;H51&amp;")")&amp;" "&amp;TRIM(J51)&amp;IF(G54="","",","))</f>
        <v/>
      </c>
      <c r="AW51" s="27"/>
      <c r="AY51" s="122" t="str">
        <f t="shared" si="9"/>
        <v/>
      </c>
    </row>
    <row r="52" spans="2:51" ht="12.75">
      <c r="B52" s="20" t="str">
        <f t="shared" si="11"/>
        <v/>
      </c>
      <c r="C52" s="5"/>
      <c r="D52" s="5"/>
      <c r="E52" s="5"/>
      <c r="G52" s="5" t="str">
        <f t="shared" si="17"/>
        <v/>
      </c>
      <c r="H52" s="117" t="str">
        <f t="shared" si="13"/>
        <v/>
      </c>
      <c r="I52" s="5" t="str">
        <f t="shared" si="18"/>
        <v/>
      </c>
      <c r="J52" s="5" t="str">
        <f t="shared" si="19"/>
        <v/>
      </c>
      <c r="K52" s="138"/>
      <c r="L52" s="5"/>
      <c r="M52" s="75"/>
      <c r="N52" s="77"/>
      <c r="O52" s="26"/>
      <c r="P52" s="26"/>
      <c r="Q52" s="118" t="str">
        <f t="shared" si="20"/>
        <v/>
      </c>
      <c r="R52" s="153"/>
      <c r="S52" s="138" t="str">
        <f t="shared" si="10"/>
        <v/>
      </c>
      <c r="T52" s="148"/>
      <c r="U52" s="146"/>
      <c r="V52" s="146"/>
      <c r="W52" s="139"/>
      <c r="X52" s="139"/>
      <c r="Y52" s="148"/>
      <c r="Z52" s="138"/>
      <c r="AA52" s="138" t="str">
        <f t="shared" si="12"/>
        <v/>
      </c>
      <c r="AB52" s="239"/>
      <c r="AC52" s="325"/>
      <c r="AD52" s="325"/>
      <c r="AE52" s="325"/>
      <c r="AF52" s="325"/>
      <c r="AG52" s="325"/>
      <c r="AH52" s="325"/>
      <c r="AI52" s="325"/>
      <c r="AJ52" s="325"/>
      <c r="AK52" s="325"/>
      <c r="AL52" s="325"/>
      <c r="AM52" s="325"/>
      <c r="AN52" s="325"/>
      <c r="AO52" s="325"/>
      <c r="AP52" s="136"/>
      <c r="AQ52" s="136"/>
      <c r="AR52" s="136" t="str">
        <f t="shared" si="15"/>
        <v/>
      </c>
      <c r="AS52" s="136" t="str">
        <f t="shared" si="15"/>
        <v/>
      </c>
      <c r="AT52" s="5" t="str">
        <f t="shared" si="16"/>
        <v/>
      </c>
      <c r="AV52" s="27" t="str">
        <f>IF(G52="","",+"          ["&amp;TRIM(G52)&amp;"] ["&amp;TRIM(I52)&amp;"]"&amp;IF(H52="","","("&amp;H52&amp;")")&amp;" "&amp;TRIM(J52)&amp;IF(G53="","",","))</f>
        <v/>
      </c>
      <c r="AW52" s="27"/>
      <c r="AY52" s="122" t="str">
        <f t="shared" si="9"/>
        <v/>
      </c>
    </row>
    <row r="53" spans="2:51" ht="12.75">
      <c r="B53" s="20" t="str">
        <f t="shared" si="11"/>
        <v/>
      </c>
      <c r="C53" s="5"/>
      <c r="D53" s="5"/>
      <c r="E53" s="5"/>
      <c r="G53" s="5" t="str">
        <f t="shared" si="17"/>
        <v/>
      </c>
      <c r="H53" s="117" t="str">
        <f t="shared" si="13"/>
        <v/>
      </c>
      <c r="I53" s="5" t="str">
        <f t="shared" si="18"/>
        <v/>
      </c>
      <c r="J53" s="5" t="str">
        <f t="shared" si="19"/>
        <v/>
      </c>
      <c r="K53" s="138"/>
      <c r="L53" s="5"/>
      <c r="M53" s="75"/>
      <c r="N53" s="77"/>
      <c r="O53" s="26"/>
      <c r="P53" s="26"/>
      <c r="Q53" s="118" t="str">
        <f t="shared" si="20"/>
        <v/>
      </c>
      <c r="R53" s="153"/>
      <c r="S53" s="138" t="str">
        <f t="shared" si="10"/>
        <v/>
      </c>
      <c r="T53" s="148"/>
      <c r="U53" s="146"/>
      <c r="V53" s="146"/>
      <c r="W53" s="139"/>
      <c r="X53" s="139"/>
      <c r="Y53" s="148"/>
      <c r="Z53" s="138"/>
      <c r="AA53" s="138" t="str">
        <f t="shared" si="12"/>
        <v/>
      </c>
      <c r="AB53" s="239"/>
      <c r="AC53" s="325"/>
      <c r="AD53" s="325"/>
      <c r="AE53" s="325"/>
      <c r="AF53" s="325"/>
      <c r="AG53" s="325"/>
      <c r="AH53" s="325"/>
      <c r="AI53" s="325"/>
      <c r="AJ53" s="325"/>
      <c r="AK53" s="325"/>
      <c r="AL53" s="325"/>
      <c r="AM53" s="325"/>
      <c r="AN53" s="325"/>
      <c r="AO53" s="325"/>
      <c r="AP53" s="136"/>
      <c r="AQ53" s="136"/>
      <c r="AR53" s="136" t="str">
        <f t="shared" si="15"/>
        <v/>
      </c>
      <c r="AS53" s="136" t="str">
        <f t="shared" si="15"/>
        <v/>
      </c>
      <c r="AT53" s="5" t="str">
        <f t="shared" si="16"/>
        <v/>
      </c>
      <c r="AV53" s="27" t="str">
        <f>IF(G53="","",+"          ["&amp;TRIM(G53)&amp;"] ["&amp;TRIM(I53)&amp;"]"&amp;IF(H53="","","("&amp;H53&amp;")")&amp;" "&amp;TRIM(J53)&amp;IF(G54="","",","))</f>
        <v/>
      </c>
      <c r="AW53" s="27"/>
      <c r="AY53" s="122" t="str">
        <f t="shared" si="9"/>
        <v/>
      </c>
    </row>
    <row r="54" spans="2:51" ht="12.75">
      <c r="B54" s="20" t="str">
        <f t="shared" si="11"/>
        <v/>
      </c>
      <c r="C54" s="5"/>
      <c r="D54" s="5"/>
      <c r="E54" s="5"/>
      <c r="G54" s="5" t="str">
        <f t="shared" si="17"/>
        <v/>
      </c>
      <c r="H54" s="117" t="str">
        <f t="shared" si="13"/>
        <v/>
      </c>
      <c r="I54" s="5" t="str">
        <f t="shared" si="18"/>
        <v/>
      </c>
      <c r="J54" s="5" t="str">
        <f t="shared" si="19"/>
        <v/>
      </c>
      <c r="K54" s="138"/>
      <c r="L54" s="5"/>
      <c r="M54" s="75"/>
      <c r="N54" s="77"/>
      <c r="O54" s="26"/>
      <c r="P54" s="26"/>
      <c r="Q54" s="118" t="str">
        <f t="shared" si="20"/>
        <v/>
      </c>
      <c r="R54" s="153"/>
      <c r="S54" s="138" t="str">
        <f t="shared" si="10"/>
        <v/>
      </c>
      <c r="T54" s="148"/>
      <c r="U54" s="146"/>
      <c r="V54" s="146"/>
      <c r="W54" s="139"/>
      <c r="X54" s="139"/>
      <c r="Y54" s="148"/>
      <c r="Z54" s="138"/>
      <c r="AA54" s="138" t="str">
        <f t="shared" si="12"/>
        <v/>
      </c>
      <c r="AB54" s="239"/>
      <c r="AC54" s="325"/>
      <c r="AD54" s="325"/>
      <c r="AE54" s="325"/>
      <c r="AF54" s="325"/>
      <c r="AG54" s="325"/>
      <c r="AH54" s="325"/>
      <c r="AI54" s="325"/>
      <c r="AJ54" s="325"/>
      <c r="AK54" s="325"/>
      <c r="AL54" s="325"/>
      <c r="AM54" s="325"/>
      <c r="AN54" s="325"/>
      <c r="AO54" s="325"/>
      <c r="AP54" s="136"/>
      <c r="AQ54" s="136"/>
      <c r="AR54" s="136" t="str">
        <f t="shared" si="15"/>
        <v/>
      </c>
      <c r="AS54" s="136" t="str">
        <f t="shared" si="15"/>
        <v/>
      </c>
      <c r="AT54" s="5" t="str">
        <f t="shared" si="16"/>
        <v/>
      </c>
      <c r="AV54" s="27" t="str">
        <f>IF(G54="","",+"          ["&amp;TRIM(G54)&amp;"] ["&amp;TRIM(I54)&amp;"]"&amp;IF(H54="","","("&amp;H54&amp;")")&amp;" "&amp;TRIM(J54)&amp;IF(G63="","",","))</f>
        <v/>
      </c>
      <c r="AW54" s="27"/>
      <c r="AY54" s="122" t="str">
        <f t="shared" si="9"/>
        <v/>
      </c>
    </row>
    <row r="55" spans="2:51" ht="12.75">
      <c r="B55" s="20" t="str">
        <f t="shared" si="11"/>
        <v/>
      </c>
      <c r="C55" s="5"/>
      <c r="D55" s="5"/>
      <c r="E55" s="5"/>
      <c r="G55" s="5" t="str">
        <f t="shared" si="17"/>
        <v/>
      </c>
      <c r="H55" s="117" t="str">
        <f t="shared" si="13"/>
        <v/>
      </c>
      <c r="I55" s="5" t="str">
        <f t="shared" si="18"/>
        <v/>
      </c>
      <c r="J55" s="5" t="str">
        <f t="shared" si="19"/>
        <v/>
      </c>
      <c r="K55" s="138"/>
      <c r="L55" s="5"/>
      <c r="M55" s="75"/>
      <c r="N55" s="77"/>
      <c r="O55" s="26"/>
      <c r="P55" s="26"/>
      <c r="Q55" s="118" t="str">
        <f t="shared" si="20"/>
        <v/>
      </c>
      <c r="R55" s="153"/>
      <c r="S55" s="138" t="str">
        <f t="shared" si="10"/>
        <v/>
      </c>
      <c r="T55" s="148"/>
      <c r="U55" s="146"/>
      <c r="V55" s="146"/>
      <c r="W55" s="139"/>
      <c r="X55" s="139"/>
      <c r="Y55" s="148"/>
      <c r="Z55" s="138"/>
      <c r="AA55" s="138" t="str">
        <f t="shared" si="12"/>
        <v/>
      </c>
      <c r="AB55" s="239"/>
      <c r="AC55" s="325"/>
      <c r="AD55" s="325"/>
      <c r="AE55" s="325"/>
      <c r="AF55" s="325"/>
      <c r="AG55" s="325"/>
      <c r="AH55" s="325"/>
      <c r="AI55" s="325"/>
      <c r="AJ55" s="325"/>
      <c r="AK55" s="325"/>
      <c r="AL55" s="325"/>
      <c r="AM55" s="325"/>
      <c r="AN55" s="325"/>
      <c r="AO55" s="325"/>
      <c r="AP55" s="136"/>
      <c r="AQ55" s="136"/>
      <c r="AR55" s="136" t="str">
        <f t="shared" si="15"/>
        <v/>
      </c>
      <c r="AS55" s="136" t="str">
        <f t="shared" si="15"/>
        <v/>
      </c>
      <c r="AT55" s="5" t="str">
        <f t="shared" si="16"/>
        <v/>
      </c>
      <c r="AV55" s="27" t="str">
        <f>IF(G55="","",+"          ["&amp;TRIM(G55)&amp;"] ["&amp;TRIM(I55)&amp;"]"&amp;IF(H55="","","("&amp;H55&amp;")")&amp;" "&amp;TRIM(J55)&amp;IF(G56="","",","))</f>
        <v/>
      </c>
      <c r="AW55" s="27"/>
      <c r="AY55" s="122" t="str">
        <f t="shared" si="9"/>
        <v/>
      </c>
    </row>
    <row r="56" spans="2:51" ht="12.75">
      <c r="B56" s="20" t="str">
        <f t="shared" si="11"/>
        <v/>
      </c>
      <c r="C56" s="5"/>
      <c r="D56" s="5"/>
      <c r="E56" s="5"/>
      <c r="G56" s="5" t="str">
        <f t="shared" si="17"/>
        <v/>
      </c>
      <c r="H56" s="117" t="str">
        <f t="shared" si="13"/>
        <v/>
      </c>
      <c r="I56" s="5" t="str">
        <f t="shared" si="18"/>
        <v/>
      </c>
      <c r="J56" s="5" t="str">
        <f t="shared" si="19"/>
        <v/>
      </c>
      <c r="K56" s="138"/>
      <c r="L56" s="5"/>
      <c r="M56" s="75"/>
      <c r="N56" s="77"/>
      <c r="O56" s="26"/>
      <c r="P56" s="26"/>
      <c r="Q56" s="118" t="str">
        <f t="shared" si="20"/>
        <v/>
      </c>
      <c r="R56" s="153"/>
      <c r="S56" s="138" t="str">
        <f t="shared" si="10"/>
        <v/>
      </c>
      <c r="T56" s="148"/>
      <c r="U56" s="146"/>
      <c r="V56" s="146"/>
      <c r="W56" s="139"/>
      <c r="X56" s="139"/>
      <c r="Y56" s="148"/>
      <c r="Z56" s="138"/>
      <c r="AA56" s="138" t="str">
        <f t="shared" si="12"/>
        <v/>
      </c>
      <c r="AB56" s="239"/>
      <c r="AC56" s="325"/>
      <c r="AD56" s="325"/>
      <c r="AE56" s="325"/>
      <c r="AF56" s="325"/>
      <c r="AG56" s="325"/>
      <c r="AH56" s="325"/>
      <c r="AI56" s="325"/>
      <c r="AJ56" s="325"/>
      <c r="AK56" s="325"/>
      <c r="AL56" s="325"/>
      <c r="AM56" s="325"/>
      <c r="AN56" s="325"/>
      <c r="AO56" s="325"/>
      <c r="AP56" s="136"/>
      <c r="AQ56" s="136"/>
      <c r="AR56" s="136" t="str">
        <f t="shared" si="15"/>
        <v/>
      </c>
      <c r="AS56" s="136" t="str">
        <f t="shared" si="15"/>
        <v/>
      </c>
      <c r="AT56" s="5" t="str">
        <f t="shared" si="16"/>
        <v/>
      </c>
      <c r="AV56" s="27" t="str">
        <f>IF(G56="","",+"          ["&amp;TRIM(G56)&amp;"] ["&amp;TRIM(I56)&amp;"]"&amp;IF(H56="","","("&amp;H56&amp;")")&amp;" "&amp;TRIM(J56)&amp;IF(G62="","",","))</f>
        <v/>
      </c>
      <c r="AW56" s="27"/>
      <c r="AY56" s="122" t="str">
        <f t="shared" si="9"/>
        <v/>
      </c>
    </row>
    <row r="57" spans="2:51" ht="12.75">
      <c r="B57" s="20" t="str">
        <f t="shared" si="11"/>
        <v/>
      </c>
      <c r="C57" s="5"/>
      <c r="D57" s="5"/>
      <c r="E57" s="5"/>
      <c r="G57" s="5" t="str">
        <f t="shared" si="17"/>
        <v/>
      </c>
      <c r="H57" s="117" t="str">
        <f t="shared" si="13"/>
        <v/>
      </c>
      <c r="I57" s="5" t="str">
        <f t="shared" si="18"/>
        <v/>
      </c>
      <c r="J57" s="5" t="str">
        <f t="shared" si="19"/>
        <v/>
      </c>
      <c r="K57" s="138"/>
      <c r="L57" s="5"/>
      <c r="M57" s="75"/>
      <c r="N57" s="77"/>
      <c r="O57" s="26"/>
      <c r="P57" s="26"/>
      <c r="Q57" s="118" t="str">
        <f t="shared" si="20"/>
        <v/>
      </c>
      <c r="R57" s="153"/>
      <c r="S57" s="138" t="str">
        <f t="shared" si="10"/>
        <v/>
      </c>
      <c r="T57" s="148"/>
      <c r="U57" s="146"/>
      <c r="V57" s="146"/>
      <c r="W57" s="139"/>
      <c r="X57" s="139"/>
      <c r="Y57" s="148"/>
      <c r="Z57" s="138"/>
      <c r="AA57" s="138" t="str">
        <f t="shared" si="12"/>
        <v/>
      </c>
      <c r="AB57" s="239"/>
      <c r="AC57" s="325"/>
      <c r="AD57" s="325"/>
      <c r="AE57" s="325"/>
      <c r="AF57" s="325"/>
      <c r="AG57" s="325"/>
      <c r="AH57" s="325"/>
      <c r="AI57" s="325"/>
      <c r="AJ57" s="325"/>
      <c r="AK57" s="325"/>
      <c r="AL57" s="325"/>
      <c r="AM57" s="325"/>
      <c r="AN57" s="325"/>
      <c r="AO57" s="325"/>
      <c r="AP57" s="136"/>
      <c r="AQ57" s="136"/>
      <c r="AR57" s="136" t="str">
        <f t="shared" si="15"/>
        <v/>
      </c>
      <c r="AS57" s="136" t="str">
        <f t="shared" si="15"/>
        <v/>
      </c>
      <c r="AT57" s="5" t="str">
        <f t="shared" si="16"/>
        <v/>
      </c>
      <c r="AV57" s="27" t="str">
        <f>IF(G57="","",+"          ["&amp;TRIM(G57)&amp;"] ["&amp;TRIM(I57)&amp;"]"&amp;IF(H57="","","("&amp;H57&amp;")")&amp;" "&amp;TRIM(J57)&amp;IF(G58="","",","))</f>
        <v/>
      </c>
      <c r="AW57" s="27"/>
      <c r="AY57" s="122" t="str">
        <f t="shared" si="9"/>
        <v/>
      </c>
    </row>
    <row r="58" spans="2:51" ht="12.75">
      <c r="B58" s="20" t="str">
        <f t="shared" si="11"/>
        <v/>
      </c>
      <c r="C58" s="5"/>
      <c r="D58" s="5"/>
      <c r="E58" s="5"/>
      <c r="G58" s="5" t="str">
        <f t="shared" si="17"/>
        <v/>
      </c>
      <c r="H58" s="117" t="str">
        <f t="shared" si="13"/>
        <v/>
      </c>
      <c r="I58" s="5" t="str">
        <f t="shared" si="18"/>
        <v/>
      </c>
      <c r="J58" s="5" t="str">
        <f t="shared" si="19"/>
        <v/>
      </c>
      <c r="K58" s="138"/>
      <c r="L58" s="5"/>
      <c r="M58" s="75"/>
      <c r="N58" s="77"/>
      <c r="O58" s="26"/>
      <c r="P58" s="26"/>
      <c r="Q58" s="118" t="str">
        <f t="shared" si="20"/>
        <v/>
      </c>
      <c r="R58" s="153"/>
      <c r="S58" s="138" t="str">
        <f t="shared" si="10"/>
        <v/>
      </c>
      <c r="T58" s="148"/>
      <c r="U58" s="146"/>
      <c r="V58" s="146"/>
      <c r="W58" s="139"/>
      <c r="X58" s="139"/>
      <c r="Y58" s="148"/>
      <c r="Z58" s="138"/>
      <c r="AA58" s="138" t="str">
        <f t="shared" si="12"/>
        <v/>
      </c>
      <c r="AB58" s="239"/>
      <c r="AC58" s="325"/>
      <c r="AD58" s="325"/>
      <c r="AE58" s="325"/>
      <c r="AF58" s="325"/>
      <c r="AG58" s="325"/>
      <c r="AH58" s="325"/>
      <c r="AI58" s="325"/>
      <c r="AJ58" s="325"/>
      <c r="AK58" s="325"/>
      <c r="AL58" s="325"/>
      <c r="AM58" s="325"/>
      <c r="AN58" s="325"/>
      <c r="AO58" s="325"/>
      <c r="AP58" s="136"/>
      <c r="AQ58" s="136"/>
      <c r="AR58" s="136" t="str">
        <f t="shared" si="15"/>
        <v/>
      </c>
      <c r="AS58" s="136" t="str">
        <f t="shared" si="15"/>
        <v/>
      </c>
      <c r="AT58" s="5" t="str">
        <f t="shared" si="16"/>
        <v/>
      </c>
      <c r="AV58" s="27" t="str">
        <f>IF(G58="","",+"          ["&amp;TRIM(G58)&amp;"] ["&amp;TRIM(I58)&amp;"]"&amp;IF(H58="","","("&amp;H58&amp;")")&amp;" "&amp;TRIM(J58)&amp;IF(G61="","",","))</f>
        <v/>
      </c>
      <c r="AW58" s="27"/>
      <c r="AY58" s="122" t="str">
        <f t="shared" si="9"/>
        <v/>
      </c>
    </row>
    <row r="59" spans="2:51" ht="12.75">
      <c r="B59" s="20" t="str">
        <f t="shared" si="11"/>
        <v/>
      </c>
      <c r="C59" s="5"/>
      <c r="D59" s="5"/>
      <c r="E59" s="5"/>
      <c r="G59" s="5" t="str">
        <f t="shared" si="17"/>
        <v/>
      </c>
      <c r="H59" s="117" t="str">
        <f t="shared" si="13"/>
        <v/>
      </c>
      <c r="I59" s="5" t="str">
        <f t="shared" si="18"/>
        <v/>
      </c>
      <c r="J59" s="5" t="str">
        <f t="shared" si="19"/>
        <v/>
      </c>
      <c r="K59" s="5"/>
      <c r="L59" s="5"/>
      <c r="M59" s="75"/>
      <c r="N59" s="77"/>
      <c r="O59" s="26"/>
      <c r="P59" s="26"/>
      <c r="Q59" s="118" t="str">
        <f t="shared" si="20"/>
        <v/>
      </c>
      <c r="R59" s="153"/>
      <c r="S59" s="138" t="str">
        <f t="shared" si="10"/>
        <v/>
      </c>
      <c r="T59" s="148"/>
      <c r="U59" s="146"/>
      <c r="V59" s="146"/>
      <c r="W59" s="139"/>
      <c r="X59" s="139"/>
      <c r="Y59" s="148"/>
      <c r="Z59" s="138"/>
      <c r="AA59" s="138" t="str">
        <f t="shared" si="12"/>
        <v/>
      </c>
      <c r="AB59" s="239"/>
      <c r="AC59" s="325"/>
      <c r="AD59" s="325"/>
      <c r="AE59" s="325"/>
      <c r="AF59" s="325"/>
      <c r="AG59" s="325"/>
      <c r="AH59" s="325"/>
      <c r="AI59" s="325"/>
      <c r="AJ59" s="325"/>
      <c r="AK59" s="325"/>
      <c r="AL59" s="325"/>
      <c r="AM59" s="325"/>
      <c r="AN59" s="325"/>
      <c r="AO59" s="325"/>
      <c r="AP59" s="136"/>
      <c r="AQ59" s="136"/>
      <c r="AR59" s="136" t="str">
        <f t="shared" si="15"/>
        <v/>
      </c>
      <c r="AS59" s="136" t="str">
        <f t="shared" si="15"/>
        <v/>
      </c>
      <c r="AT59" s="5" t="str">
        <f t="shared" si="16"/>
        <v/>
      </c>
      <c r="AV59" s="27" t="str">
        <f t="shared" ref="AV59:AV64" si="21">IF(G59="","",+"          ["&amp;TRIM(G59)&amp;"] ["&amp;TRIM(I59)&amp;"]"&amp;IF(H59="","","("&amp;H59&amp;")")&amp;" "&amp;TRIM(J59)&amp;IF(G60="","",","))</f>
        <v/>
      </c>
      <c r="AW59" s="27"/>
      <c r="AY59" s="122" t="str">
        <f t="shared" si="9"/>
        <v/>
      </c>
    </row>
    <row r="60" spans="2:51" ht="12.75">
      <c r="B60" s="20" t="str">
        <f t="shared" si="11"/>
        <v/>
      </c>
      <c r="C60" s="5"/>
      <c r="D60" s="5"/>
      <c r="E60" s="5"/>
      <c r="G60" s="5" t="str">
        <f t="shared" si="17"/>
        <v/>
      </c>
      <c r="H60" s="117" t="str">
        <f t="shared" si="13"/>
        <v/>
      </c>
      <c r="I60" s="5" t="str">
        <f t="shared" si="18"/>
        <v/>
      </c>
      <c r="J60" s="5" t="str">
        <f t="shared" si="19"/>
        <v/>
      </c>
      <c r="K60" s="5"/>
      <c r="L60" s="5"/>
      <c r="M60" s="75"/>
      <c r="N60" s="77"/>
      <c r="O60" s="26"/>
      <c r="P60" s="26"/>
      <c r="Q60" s="118" t="str">
        <f t="shared" si="20"/>
        <v/>
      </c>
      <c r="R60" s="153"/>
      <c r="S60" s="138" t="str">
        <f t="shared" si="10"/>
        <v/>
      </c>
      <c r="T60" s="148"/>
      <c r="U60" s="146"/>
      <c r="V60" s="146"/>
      <c r="W60" s="139"/>
      <c r="X60" s="139"/>
      <c r="Y60" s="148"/>
      <c r="Z60" s="138" t="str">
        <f t="shared" ref="Z60:Z115" si="22">IF(M60&lt;9000,"","false")</f>
        <v/>
      </c>
      <c r="AA60" s="138" t="str">
        <f t="shared" si="12"/>
        <v/>
      </c>
      <c r="AB60" s="239"/>
      <c r="AC60" s="325"/>
      <c r="AD60" s="325"/>
      <c r="AE60" s="325"/>
      <c r="AF60" s="325"/>
      <c r="AG60" s="325"/>
      <c r="AH60" s="325"/>
      <c r="AI60" s="325"/>
      <c r="AJ60" s="325"/>
      <c r="AK60" s="325"/>
      <c r="AL60" s="325"/>
      <c r="AM60" s="325"/>
      <c r="AN60" s="325"/>
      <c r="AO60" s="325"/>
      <c r="AP60" s="136"/>
      <c r="AQ60" s="136"/>
      <c r="AR60" s="136" t="str">
        <f t="shared" si="15"/>
        <v/>
      </c>
      <c r="AS60" s="136" t="str">
        <f t="shared" si="15"/>
        <v/>
      </c>
      <c r="AT60" s="5" t="str">
        <f t="shared" si="16"/>
        <v/>
      </c>
      <c r="AV60" s="27" t="str">
        <f t="shared" si="21"/>
        <v/>
      </c>
      <c r="AW60" s="27"/>
      <c r="AY60" s="122" t="str">
        <f t="shared" si="9"/>
        <v/>
      </c>
    </row>
    <row r="61" spans="2:51" ht="12.75">
      <c r="B61" s="20" t="str">
        <f t="shared" si="11"/>
        <v/>
      </c>
      <c r="C61" s="5"/>
      <c r="D61" s="5"/>
      <c r="E61" s="5"/>
      <c r="G61" s="5" t="str">
        <f t="shared" si="17"/>
        <v/>
      </c>
      <c r="H61" s="117" t="str">
        <f t="shared" si="13"/>
        <v/>
      </c>
      <c r="I61" s="5" t="str">
        <f t="shared" si="18"/>
        <v/>
      </c>
      <c r="J61" s="5" t="str">
        <f t="shared" si="19"/>
        <v/>
      </c>
      <c r="K61" s="5"/>
      <c r="L61" s="5"/>
      <c r="M61" s="75"/>
      <c r="N61" s="77"/>
      <c r="O61" s="26"/>
      <c r="P61" s="26"/>
      <c r="Q61" s="118" t="str">
        <f t="shared" si="20"/>
        <v/>
      </c>
      <c r="R61" s="153"/>
      <c r="S61" s="138" t="str">
        <f t="shared" si="10"/>
        <v/>
      </c>
      <c r="T61" s="148"/>
      <c r="U61" s="146"/>
      <c r="V61" s="146"/>
      <c r="W61" s="139"/>
      <c r="X61" s="139"/>
      <c r="Y61" s="148"/>
      <c r="Z61" s="138" t="str">
        <f t="shared" si="22"/>
        <v/>
      </c>
      <c r="AA61" s="138" t="str">
        <f t="shared" si="12"/>
        <v/>
      </c>
      <c r="AB61" s="239"/>
      <c r="AC61" s="325"/>
      <c r="AD61" s="325"/>
      <c r="AE61" s="325"/>
      <c r="AF61" s="325"/>
      <c r="AG61" s="325"/>
      <c r="AH61" s="325"/>
      <c r="AI61" s="325"/>
      <c r="AJ61" s="325"/>
      <c r="AK61" s="325"/>
      <c r="AL61" s="325"/>
      <c r="AM61" s="325"/>
      <c r="AN61" s="325"/>
      <c r="AO61" s="325"/>
      <c r="AP61" s="136"/>
      <c r="AQ61" s="136"/>
      <c r="AR61" s="136" t="str">
        <f t="shared" si="15"/>
        <v/>
      </c>
      <c r="AS61" s="136" t="str">
        <f t="shared" si="15"/>
        <v/>
      </c>
      <c r="AT61" s="5" t="str">
        <f t="shared" si="16"/>
        <v/>
      </c>
      <c r="AV61" s="27" t="str">
        <f t="shared" si="21"/>
        <v/>
      </c>
      <c r="AW61" s="27"/>
      <c r="AY61" s="122" t="str">
        <f t="shared" si="9"/>
        <v/>
      </c>
    </row>
    <row r="62" spans="2:51" ht="12.75">
      <c r="B62" s="20" t="str">
        <f t="shared" si="11"/>
        <v/>
      </c>
      <c r="C62" s="5"/>
      <c r="D62" s="5"/>
      <c r="E62" s="5"/>
      <c r="G62" s="5" t="str">
        <f t="shared" si="17"/>
        <v/>
      </c>
      <c r="H62" s="117" t="str">
        <f t="shared" si="13"/>
        <v/>
      </c>
      <c r="I62" s="5" t="str">
        <f t="shared" si="18"/>
        <v/>
      </c>
      <c r="J62" s="5" t="str">
        <f t="shared" si="19"/>
        <v/>
      </c>
      <c r="K62" s="5"/>
      <c r="L62" s="5"/>
      <c r="M62" s="75"/>
      <c r="N62" s="77"/>
      <c r="O62" s="26"/>
      <c r="P62" s="26"/>
      <c r="Q62" s="118" t="str">
        <f t="shared" si="20"/>
        <v/>
      </c>
      <c r="R62" s="153"/>
      <c r="S62" s="138" t="str">
        <f t="shared" si="10"/>
        <v/>
      </c>
      <c r="T62" s="148"/>
      <c r="U62" s="146"/>
      <c r="V62" s="146"/>
      <c r="W62" s="139"/>
      <c r="X62" s="139"/>
      <c r="Y62" s="148"/>
      <c r="Z62" s="138" t="str">
        <f t="shared" si="22"/>
        <v/>
      </c>
      <c r="AA62" s="138" t="str">
        <f t="shared" si="12"/>
        <v/>
      </c>
      <c r="AB62" s="239"/>
      <c r="AC62" s="325"/>
      <c r="AD62" s="325"/>
      <c r="AE62" s="325"/>
      <c r="AF62" s="325"/>
      <c r="AG62" s="325"/>
      <c r="AH62" s="325"/>
      <c r="AI62" s="325"/>
      <c r="AJ62" s="325"/>
      <c r="AK62" s="325"/>
      <c r="AL62" s="325"/>
      <c r="AM62" s="325"/>
      <c r="AN62" s="325"/>
      <c r="AO62" s="325"/>
      <c r="AP62" s="136"/>
      <c r="AQ62" s="136"/>
      <c r="AR62" s="136" t="str">
        <f t="shared" si="15"/>
        <v/>
      </c>
      <c r="AS62" s="136" t="str">
        <f t="shared" si="15"/>
        <v/>
      </c>
      <c r="AT62" s="5" t="str">
        <f t="shared" si="16"/>
        <v/>
      </c>
      <c r="AV62" s="27" t="str">
        <f t="shared" si="21"/>
        <v/>
      </c>
      <c r="AW62" s="27"/>
      <c r="AY62" s="122" t="str">
        <f t="shared" si="9"/>
        <v/>
      </c>
    </row>
    <row r="63" spans="2:51" ht="12.75">
      <c r="B63" s="20" t="str">
        <f t="shared" si="11"/>
        <v/>
      </c>
      <c r="C63" s="5"/>
      <c r="D63" s="5"/>
      <c r="E63" s="5"/>
      <c r="G63" s="5" t="str">
        <f t="shared" si="17"/>
        <v/>
      </c>
      <c r="H63" s="117" t="str">
        <f t="shared" si="13"/>
        <v/>
      </c>
      <c r="I63" s="5" t="str">
        <f t="shared" si="18"/>
        <v/>
      </c>
      <c r="J63" s="5" t="str">
        <f t="shared" si="19"/>
        <v/>
      </c>
      <c r="K63" s="5"/>
      <c r="L63" s="5"/>
      <c r="M63" s="75"/>
      <c r="N63" s="77"/>
      <c r="O63" s="26"/>
      <c r="P63" s="26"/>
      <c r="Q63" s="118" t="str">
        <f t="shared" si="20"/>
        <v/>
      </c>
      <c r="R63" s="153"/>
      <c r="S63" s="138" t="str">
        <f t="shared" si="10"/>
        <v/>
      </c>
      <c r="T63" s="148"/>
      <c r="U63" s="146"/>
      <c r="V63" s="146"/>
      <c r="W63" s="139"/>
      <c r="X63" s="139"/>
      <c r="Y63" s="148"/>
      <c r="Z63" s="138" t="str">
        <f t="shared" si="22"/>
        <v/>
      </c>
      <c r="AA63" s="138" t="str">
        <f t="shared" si="12"/>
        <v/>
      </c>
      <c r="AB63" s="239"/>
      <c r="AC63" s="325"/>
      <c r="AD63" s="325"/>
      <c r="AE63" s="325"/>
      <c r="AF63" s="325"/>
      <c r="AG63" s="325"/>
      <c r="AH63" s="325"/>
      <c r="AI63" s="325"/>
      <c r="AJ63" s="325"/>
      <c r="AK63" s="325"/>
      <c r="AL63" s="325"/>
      <c r="AM63" s="325"/>
      <c r="AN63" s="325"/>
      <c r="AO63" s="325"/>
      <c r="AP63" s="136"/>
      <c r="AQ63" s="136"/>
      <c r="AR63" s="136" t="str">
        <f t="shared" si="15"/>
        <v/>
      </c>
      <c r="AS63" s="136" t="str">
        <f t="shared" si="15"/>
        <v/>
      </c>
      <c r="AT63" s="5" t="str">
        <f t="shared" si="16"/>
        <v/>
      </c>
      <c r="AV63" s="27" t="str">
        <f t="shared" si="21"/>
        <v/>
      </c>
      <c r="AW63" s="27"/>
      <c r="AY63" s="122" t="str">
        <f t="shared" si="9"/>
        <v/>
      </c>
    </row>
    <row r="64" spans="2:51" ht="12.75">
      <c r="B64" s="20" t="str">
        <f t="shared" si="11"/>
        <v/>
      </c>
      <c r="C64" s="5"/>
      <c r="D64" s="5"/>
      <c r="E64" s="5"/>
      <c r="G64" s="5" t="str">
        <f t="shared" si="17"/>
        <v/>
      </c>
      <c r="H64" s="117" t="str">
        <f t="shared" si="13"/>
        <v/>
      </c>
      <c r="I64" s="5" t="str">
        <f t="shared" si="18"/>
        <v/>
      </c>
      <c r="J64" s="5" t="str">
        <f t="shared" si="19"/>
        <v/>
      </c>
      <c r="K64" s="5"/>
      <c r="L64" s="5"/>
      <c r="M64" s="75"/>
      <c r="N64" s="77"/>
      <c r="O64" s="26"/>
      <c r="P64" s="26"/>
      <c r="Q64" s="118" t="str">
        <f t="shared" si="20"/>
        <v/>
      </c>
      <c r="R64" s="153"/>
      <c r="S64" s="138" t="str">
        <f t="shared" si="10"/>
        <v/>
      </c>
      <c r="T64" s="148"/>
      <c r="U64" s="146"/>
      <c r="V64" s="146"/>
      <c r="W64" s="139"/>
      <c r="X64" s="139"/>
      <c r="Y64" s="148"/>
      <c r="Z64" s="138" t="str">
        <f t="shared" si="22"/>
        <v/>
      </c>
      <c r="AA64" s="138" t="str">
        <f t="shared" si="12"/>
        <v/>
      </c>
      <c r="AB64" s="239"/>
      <c r="AC64" s="325"/>
      <c r="AD64" s="325"/>
      <c r="AE64" s="325"/>
      <c r="AF64" s="325"/>
      <c r="AG64" s="325"/>
      <c r="AH64" s="325"/>
      <c r="AI64" s="325"/>
      <c r="AJ64" s="325"/>
      <c r="AK64" s="325"/>
      <c r="AL64" s="325"/>
      <c r="AM64" s="325"/>
      <c r="AN64" s="325"/>
      <c r="AO64" s="325"/>
      <c r="AP64" s="136"/>
      <c r="AQ64" s="136"/>
      <c r="AR64" s="136" t="str">
        <f t="shared" si="15"/>
        <v/>
      </c>
      <c r="AS64" s="136" t="str">
        <f t="shared" si="15"/>
        <v/>
      </c>
      <c r="AT64" s="5" t="str">
        <f t="shared" si="16"/>
        <v/>
      </c>
      <c r="AV64" s="27" t="str">
        <f t="shared" si="21"/>
        <v/>
      </c>
      <c r="AW64" s="27"/>
      <c r="AY64" s="122" t="str">
        <f t="shared" si="9"/>
        <v/>
      </c>
    </row>
    <row r="65" spans="2:51" ht="12.75">
      <c r="B65" s="20" t="str">
        <f t="shared" si="11"/>
        <v/>
      </c>
      <c r="C65" s="5"/>
      <c r="D65" s="5"/>
      <c r="E65" s="5"/>
      <c r="G65" s="5" t="str">
        <f t="shared" si="17"/>
        <v/>
      </c>
      <c r="H65" s="117" t="str">
        <f t="shared" si="13"/>
        <v/>
      </c>
      <c r="I65" s="5" t="str">
        <f t="shared" si="18"/>
        <v/>
      </c>
      <c r="J65" s="5" t="str">
        <f t="shared" si="19"/>
        <v/>
      </c>
      <c r="K65" s="5"/>
      <c r="L65" s="5"/>
      <c r="M65" s="75"/>
      <c r="N65" s="77"/>
      <c r="O65" s="26"/>
      <c r="P65" s="26"/>
      <c r="Q65" s="118" t="str">
        <f t="shared" si="20"/>
        <v/>
      </c>
      <c r="R65" s="153"/>
      <c r="S65" s="138" t="str">
        <f t="shared" si="10"/>
        <v/>
      </c>
      <c r="T65" s="148"/>
      <c r="U65" s="146"/>
      <c r="V65" s="146"/>
      <c r="W65" s="139"/>
      <c r="X65" s="139"/>
      <c r="Y65" s="148"/>
      <c r="Z65" s="138" t="str">
        <f t="shared" si="22"/>
        <v/>
      </c>
      <c r="AA65" s="138" t="str">
        <f t="shared" si="12"/>
        <v/>
      </c>
      <c r="AB65" s="239"/>
      <c r="AC65" s="325"/>
      <c r="AD65" s="325"/>
      <c r="AE65" s="325"/>
      <c r="AF65" s="325"/>
      <c r="AG65" s="325"/>
      <c r="AH65" s="325"/>
      <c r="AI65" s="325"/>
      <c r="AJ65" s="325"/>
      <c r="AK65" s="325"/>
      <c r="AL65" s="325"/>
      <c r="AM65" s="325"/>
      <c r="AN65" s="325"/>
      <c r="AO65" s="325"/>
      <c r="AP65" s="136"/>
      <c r="AQ65" s="136"/>
      <c r="AR65" s="136" t="str">
        <f t="shared" si="15"/>
        <v/>
      </c>
      <c r="AS65" s="136" t="str">
        <f t="shared" si="15"/>
        <v/>
      </c>
      <c r="AT65" s="5" t="str">
        <f t="shared" si="16"/>
        <v/>
      </c>
      <c r="AV65" s="27" t="str">
        <f>IF(G65="","",+"          ["&amp;TRIM(G65)&amp;"] ["&amp;TRIM(I65)&amp;"]"&amp;IF(H65="","","("&amp;H65&amp;")")&amp;" "&amp;TRIM(J65)&amp;IF(G68="","",","))</f>
        <v/>
      </c>
      <c r="AW65" s="27"/>
      <c r="AY65" s="122" t="str">
        <f t="shared" si="9"/>
        <v/>
      </c>
    </row>
    <row r="66" spans="2:51" ht="12.75">
      <c r="B66" s="20" t="str">
        <f t="shared" si="11"/>
        <v/>
      </c>
      <c r="C66" s="5"/>
      <c r="D66" s="5"/>
      <c r="E66" s="5"/>
      <c r="G66" s="5" t="str">
        <f t="shared" si="17"/>
        <v/>
      </c>
      <c r="H66" s="117" t="str">
        <f t="shared" si="13"/>
        <v/>
      </c>
      <c r="I66" s="5" t="str">
        <f t="shared" si="18"/>
        <v/>
      </c>
      <c r="J66" s="5" t="str">
        <f t="shared" si="19"/>
        <v/>
      </c>
      <c r="K66" s="5"/>
      <c r="L66" s="5"/>
      <c r="M66" s="75"/>
      <c r="N66" s="77"/>
      <c r="O66" s="26"/>
      <c r="P66" s="26"/>
      <c r="Q66" s="118" t="str">
        <f t="shared" si="20"/>
        <v/>
      </c>
      <c r="R66" s="153"/>
      <c r="S66" s="138" t="str">
        <f t="shared" si="10"/>
        <v/>
      </c>
      <c r="T66" s="148"/>
      <c r="U66" s="146"/>
      <c r="V66" s="146"/>
      <c r="W66" s="139"/>
      <c r="X66" s="139"/>
      <c r="Y66" s="148"/>
      <c r="Z66" s="138" t="str">
        <f t="shared" si="22"/>
        <v/>
      </c>
      <c r="AA66" s="138" t="str">
        <f t="shared" si="12"/>
        <v/>
      </c>
      <c r="AB66" s="239"/>
      <c r="AC66" s="325"/>
      <c r="AD66" s="325"/>
      <c r="AE66" s="325"/>
      <c r="AF66" s="325"/>
      <c r="AG66" s="325"/>
      <c r="AH66" s="325"/>
      <c r="AI66" s="325"/>
      <c r="AJ66" s="325"/>
      <c r="AK66" s="325"/>
      <c r="AL66" s="325"/>
      <c r="AM66" s="325"/>
      <c r="AN66" s="325"/>
      <c r="AO66" s="325"/>
      <c r="AP66" s="136"/>
      <c r="AQ66" s="136"/>
      <c r="AR66" s="136" t="str">
        <f t="shared" si="15"/>
        <v/>
      </c>
      <c r="AS66" s="136" t="str">
        <f t="shared" si="15"/>
        <v/>
      </c>
      <c r="AT66" s="5" t="str">
        <f t="shared" si="16"/>
        <v/>
      </c>
      <c r="AV66" s="27" t="str">
        <f>IF(G66="","",+"          ["&amp;TRIM(G66)&amp;"] ["&amp;TRIM(I66)&amp;"]"&amp;IF(H66="","","("&amp;H66&amp;")")&amp;" "&amp;TRIM(J66)&amp;IF(G67="","",","))</f>
        <v/>
      </c>
      <c r="AW66" s="27"/>
      <c r="AY66" s="122" t="str">
        <f t="shared" si="9"/>
        <v/>
      </c>
    </row>
    <row r="67" spans="2:51" ht="12.75">
      <c r="B67" s="20" t="str">
        <f t="shared" si="11"/>
        <v/>
      </c>
      <c r="C67" s="5"/>
      <c r="D67" s="5"/>
      <c r="E67" s="5"/>
      <c r="G67" s="5" t="str">
        <f t="shared" si="17"/>
        <v/>
      </c>
      <c r="H67" s="117" t="str">
        <f t="shared" si="13"/>
        <v/>
      </c>
      <c r="I67" s="5" t="str">
        <f t="shared" si="18"/>
        <v/>
      </c>
      <c r="J67" s="5" t="str">
        <f t="shared" si="19"/>
        <v/>
      </c>
      <c r="K67" s="5"/>
      <c r="L67" s="5"/>
      <c r="M67" s="75"/>
      <c r="N67" s="77"/>
      <c r="O67" s="26"/>
      <c r="P67" s="26"/>
      <c r="Q67" s="118" t="str">
        <f t="shared" si="20"/>
        <v/>
      </c>
      <c r="R67" s="153"/>
      <c r="S67" s="138" t="str">
        <f t="shared" si="10"/>
        <v/>
      </c>
      <c r="T67" s="148"/>
      <c r="U67" s="146"/>
      <c r="V67" s="146"/>
      <c r="W67" s="139"/>
      <c r="X67" s="139"/>
      <c r="Y67" s="148"/>
      <c r="Z67" s="138" t="str">
        <f t="shared" si="22"/>
        <v/>
      </c>
      <c r="AA67" s="138" t="str">
        <f t="shared" si="12"/>
        <v/>
      </c>
      <c r="AB67" s="239"/>
      <c r="AC67" s="325"/>
      <c r="AD67" s="325"/>
      <c r="AE67" s="325"/>
      <c r="AF67" s="325"/>
      <c r="AG67" s="325"/>
      <c r="AH67" s="325"/>
      <c r="AI67" s="325"/>
      <c r="AJ67" s="325"/>
      <c r="AK67" s="325"/>
      <c r="AL67" s="325"/>
      <c r="AM67" s="325"/>
      <c r="AN67" s="325"/>
      <c r="AO67" s="325"/>
      <c r="AP67" s="136"/>
      <c r="AQ67" s="136"/>
      <c r="AR67" s="136" t="str">
        <f t="shared" si="15"/>
        <v/>
      </c>
      <c r="AS67" s="136" t="str">
        <f t="shared" si="15"/>
        <v/>
      </c>
      <c r="AT67" s="5" t="str">
        <f t="shared" si="16"/>
        <v/>
      </c>
      <c r="AV67" s="27" t="str">
        <f>IF(G67="","",+"          ["&amp;TRIM(G67)&amp;"] ["&amp;TRIM(I67)&amp;"]"&amp;IF(H67="","","("&amp;H67&amp;")")&amp;" "&amp;TRIM(J67)&amp;IF(G68="","",","))</f>
        <v/>
      </c>
      <c r="AW67" s="27"/>
      <c r="AY67" s="122" t="str">
        <f t="shared" si="9"/>
        <v/>
      </c>
    </row>
    <row r="68" spans="2:51" ht="12.75">
      <c r="B68" s="20" t="str">
        <f t="shared" si="11"/>
        <v/>
      </c>
      <c r="C68" s="5"/>
      <c r="D68" s="5"/>
      <c r="E68" s="5"/>
      <c r="G68" s="5" t="str">
        <f t="shared" si="17"/>
        <v/>
      </c>
      <c r="H68" s="117" t="str">
        <f t="shared" si="13"/>
        <v/>
      </c>
      <c r="I68" s="5" t="str">
        <f t="shared" si="18"/>
        <v/>
      </c>
      <c r="J68" s="5" t="str">
        <f t="shared" si="19"/>
        <v/>
      </c>
      <c r="K68" s="5"/>
      <c r="L68" s="5"/>
      <c r="M68" s="75"/>
      <c r="N68" s="77"/>
      <c r="O68" s="26"/>
      <c r="P68" s="26"/>
      <c r="Q68" s="118" t="str">
        <f t="shared" si="20"/>
        <v/>
      </c>
      <c r="R68" s="153"/>
      <c r="S68" s="138" t="str">
        <f t="shared" si="10"/>
        <v/>
      </c>
      <c r="T68" s="148"/>
      <c r="U68" s="146"/>
      <c r="V68" s="146"/>
      <c r="W68" s="139"/>
      <c r="X68" s="139"/>
      <c r="Y68" s="148"/>
      <c r="Z68" s="138" t="str">
        <f t="shared" si="22"/>
        <v/>
      </c>
      <c r="AA68" s="138" t="str">
        <f t="shared" si="12"/>
        <v/>
      </c>
      <c r="AB68" s="239"/>
      <c r="AC68" s="325"/>
      <c r="AD68" s="325"/>
      <c r="AE68" s="325"/>
      <c r="AF68" s="325"/>
      <c r="AG68" s="325"/>
      <c r="AH68" s="325"/>
      <c r="AI68" s="325"/>
      <c r="AJ68" s="325"/>
      <c r="AK68" s="325"/>
      <c r="AL68" s="325"/>
      <c r="AM68" s="325"/>
      <c r="AN68" s="325"/>
      <c r="AO68" s="325"/>
      <c r="AP68" s="136"/>
      <c r="AQ68" s="136"/>
      <c r="AR68" s="136" t="str">
        <f t="shared" si="15"/>
        <v/>
      </c>
      <c r="AS68" s="136" t="str">
        <f t="shared" si="15"/>
        <v/>
      </c>
      <c r="AT68" s="5" t="str">
        <f t="shared" si="16"/>
        <v/>
      </c>
      <c r="AV68" s="27" t="str">
        <f>IF(G68="","",+"          ["&amp;TRIM(G68)&amp;"] ["&amp;TRIM(I68)&amp;"]"&amp;IF(H68="","","("&amp;H68&amp;")")&amp;" "&amp;TRIM(J68)&amp;IF(G95="","",","))</f>
        <v/>
      </c>
      <c r="AW68" s="27"/>
      <c r="AY68" s="122" t="str">
        <f t="shared" si="9"/>
        <v/>
      </c>
    </row>
    <row r="69" spans="2:51" ht="12.75">
      <c r="B69" s="20" t="str">
        <f t="shared" si="11"/>
        <v/>
      </c>
      <c r="C69" s="5"/>
      <c r="D69" s="5"/>
      <c r="E69" s="5"/>
      <c r="G69" s="5" t="str">
        <f t="shared" si="17"/>
        <v/>
      </c>
      <c r="H69" s="117" t="str">
        <f t="shared" si="13"/>
        <v/>
      </c>
      <c r="I69" s="5" t="str">
        <f t="shared" si="18"/>
        <v/>
      </c>
      <c r="J69" s="5" t="str">
        <f t="shared" si="19"/>
        <v/>
      </c>
      <c r="K69" s="5"/>
      <c r="L69" s="5"/>
      <c r="M69" s="75"/>
      <c r="N69" s="77"/>
      <c r="O69" s="26"/>
      <c r="P69" s="26"/>
      <c r="Q69" s="118" t="str">
        <f t="shared" si="20"/>
        <v/>
      </c>
      <c r="R69" s="153"/>
      <c r="S69" s="138" t="str">
        <f t="shared" si="10"/>
        <v/>
      </c>
      <c r="T69" s="148"/>
      <c r="U69" s="146"/>
      <c r="V69" s="146"/>
      <c r="W69" s="139"/>
      <c r="X69" s="139"/>
      <c r="Y69" s="148"/>
      <c r="Z69" s="138" t="str">
        <f t="shared" si="22"/>
        <v/>
      </c>
      <c r="AA69" s="138" t="str">
        <f t="shared" si="12"/>
        <v/>
      </c>
      <c r="AB69" s="239"/>
      <c r="AC69" s="325"/>
      <c r="AD69" s="325"/>
      <c r="AE69" s="325"/>
      <c r="AF69" s="325"/>
      <c r="AG69" s="325"/>
      <c r="AH69" s="325"/>
      <c r="AI69" s="325"/>
      <c r="AJ69" s="325"/>
      <c r="AK69" s="325"/>
      <c r="AL69" s="325"/>
      <c r="AM69" s="325"/>
      <c r="AN69" s="325"/>
      <c r="AO69" s="325"/>
      <c r="AP69" s="136"/>
      <c r="AQ69" s="136"/>
      <c r="AR69" s="136" t="str">
        <f t="shared" si="15"/>
        <v/>
      </c>
      <c r="AS69" s="136" t="str">
        <f t="shared" si="15"/>
        <v/>
      </c>
      <c r="AT69" s="5" t="str">
        <f t="shared" si="16"/>
        <v/>
      </c>
      <c r="AV69" s="27" t="str">
        <f>IF(G69="","",+"          ["&amp;TRIM(G69)&amp;"] ["&amp;TRIM(I69)&amp;"]"&amp;IF(H69="","","("&amp;H69&amp;")")&amp;" "&amp;TRIM(J69)&amp;IF(G70="","",","))</f>
        <v/>
      </c>
      <c r="AW69" s="27"/>
      <c r="AY69" s="122" t="str">
        <f t="shared" si="9"/>
        <v/>
      </c>
    </row>
    <row r="70" spans="2:51" ht="12.75">
      <c r="B70" s="20" t="str">
        <f t="shared" si="11"/>
        <v/>
      </c>
      <c r="C70" s="5"/>
      <c r="D70" s="5"/>
      <c r="E70" s="5"/>
      <c r="G70" s="5" t="str">
        <f t="shared" si="17"/>
        <v/>
      </c>
      <c r="H70" s="117" t="str">
        <f t="shared" si="13"/>
        <v/>
      </c>
      <c r="I70" s="5" t="str">
        <f t="shared" si="18"/>
        <v/>
      </c>
      <c r="J70" s="5" t="str">
        <f t="shared" si="19"/>
        <v/>
      </c>
      <c r="K70" s="5"/>
      <c r="L70" s="5"/>
      <c r="M70" s="75"/>
      <c r="N70" s="77"/>
      <c r="O70" s="26"/>
      <c r="P70" s="26"/>
      <c r="Q70" s="118" t="str">
        <f t="shared" si="20"/>
        <v/>
      </c>
      <c r="R70" s="153"/>
      <c r="S70" s="138" t="str">
        <f t="shared" si="10"/>
        <v/>
      </c>
      <c r="T70" s="148"/>
      <c r="U70" s="146"/>
      <c r="V70" s="146"/>
      <c r="W70" s="139"/>
      <c r="X70" s="139"/>
      <c r="Y70" s="148"/>
      <c r="Z70" s="138" t="str">
        <f t="shared" si="22"/>
        <v/>
      </c>
      <c r="AA70" s="138" t="str">
        <f t="shared" si="12"/>
        <v/>
      </c>
      <c r="AB70" s="239"/>
      <c r="AC70" s="325"/>
      <c r="AD70" s="325"/>
      <c r="AE70" s="325"/>
      <c r="AF70" s="325"/>
      <c r="AG70" s="325"/>
      <c r="AH70" s="325"/>
      <c r="AI70" s="325"/>
      <c r="AJ70" s="325"/>
      <c r="AK70" s="325"/>
      <c r="AL70" s="325"/>
      <c r="AM70" s="325"/>
      <c r="AN70" s="325"/>
      <c r="AO70" s="325"/>
      <c r="AP70" s="136"/>
      <c r="AQ70" s="136"/>
      <c r="AR70" s="136" t="str">
        <f t="shared" si="15"/>
        <v/>
      </c>
      <c r="AS70" s="136" t="str">
        <f t="shared" si="15"/>
        <v/>
      </c>
      <c r="AT70" s="5" t="str">
        <f t="shared" si="16"/>
        <v/>
      </c>
      <c r="AV70" s="27" t="str">
        <f>IF(G70="","",+"          ["&amp;TRIM(G70)&amp;"] ["&amp;TRIM(I70)&amp;"]"&amp;IF(H70="","","("&amp;H70&amp;")")&amp;" "&amp;TRIM(J70)&amp;IF(G94="","",","))</f>
        <v/>
      </c>
      <c r="AW70" s="27"/>
      <c r="AY70" s="122" t="str">
        <f t="shared" si="9"/>
        <v/>
      </c>
    </row>
    <row r="71" spans="2:51" ht="12.75">
      <c r="B71" s="20" t="str">
        <f t="shared" si="11"/>
        <v/>
      </c>
      <c r="C71" s="5"/>
      <c r="D71" s="5"/>
      <c r="E71" s="5"/>
      <c r="G71" s="5" t="str">
        <f t="shared" si="17"/>
        <v/>
      </c>
      <c r="H71" s="117" t="str">
        <f t="shared" si="13"/>
        <v/>
      </c>
      <c r="I71" s="5" t="str">
        <f t="shared" si="18"/>
        <v/>
      </c>
      <c r="J71" s="5" t="str">
        <f t="shared" si="19"/>
        <v/>
      </c>
      <c r="K71" s="5"/>
      <c r="L71" s="5"/>
      <c r="M71" s="75"/>
      <c r="N71" s="77"/>
      <c r="O71" s="26"/>
      <c r="P71" s="26"/>
      <c r="Q71" s="118" t="str">
        <f t="shared" si="20"/>
        <v/>
      </c>
      <c r="R71" s="153"/>
      <c r="S71" s="138" t="str">
        <f t="shared" si="10"/>
        <v/>
      </c>
      <c r="T71" s="148"/>
      <c r="U71" s="146"/>
      <c r="V71" s="146"/>
      <c r="W71" s="139"/>
      <c r="X71" s="139"/>
      <c r="Y71" s="148"/>
      <c r="Z71" s="138" t="str">
        <f t="shared" si="22"/>
        <v/>
      </c>
      <c r="AA71" s="138" t="str">
        <f t="shared" si="12"/>
        <v/>
      </c>
      <c r="AB71" s="239"/>
      <c r="AC71" s="325"/>
      <c r="AD71" s="325"/>
      <c r="AE71" s="325"/>
      <c r="AF71" s="325"/>
      <c r="AG71" s="325"/>
      <c r="AH71" s="325"/>
      <c r="AI71" s="325"/>
      <c r="AJ71" s="325"/>
      <c r="AK71" s="325"/>
      <c r="AL71" s="325"/>
      <c r="AM71" s="325"/>
      <c r="AN71" s="325"/>
      <c r="AO71" s="325"/>
      <c r="AP71" s="136"/>
      <c r="AQ71" s="136"/>
      <c r="AR71" s="136" t="str">
        <f t="shared" si="15"/>
        <v/>
      </c>
      <c r="AS71" s="136" t="str">
        <f t="shared" si="15"/>
        <v/>
      </c>
      <c r="AT71" s="5" t="str">
        <f t="shared" si="16"/>
        <v/>
      </c>
      <c r="AV71" s="27" t="str">
        <f>IF(G71="","",+"          ["&amp;TRIM(G71)&amp;"] ["&amp;TRIM(I71)&amp;"]"&amp;IF(H71="","","("&amp;H71&amp;")")&amp;" "&amp;TRIM(J71)&amp;IF(G72="","",","))</f>
        <v/>
      </c>
      <c r="AW71" s="27"/>
      <c r="AY71" s="122" t="str">
        <f t="shared" si="9"/>
        <v/>
      </c>
    </row>
    <row r="72" spans="2:51" ht="12.75">
      <c r="B72" s="20" t="str">
        <f t="shared" si="11"/>
        <v/>
      </c>
      <c r="C72" s="5"/>
      <c r="D72" s="5"/>
      <c r="E72" s="5"/>
      <c r="G72" s="5" t="str">
        <f t="shared" si="17"/>
        <v/>
      </c>
      <c r="H72" s="117" t="str">
        <f t="shared" si="13"/>
        <v/>
      </c>
      <c r="I72" s="5" t="str">
        <f t="shared" si="18"/>
        <v/>
      </c>
      <c r="J72" s="5" t="str">
        <f t="shared" si="19"/>
        <v/>
      </c>
      <c r="K72" s="5"/>
      <c r="L72" s="5"/>
      <c r="M72" s="75"/>
      <c r="N72" s="77"/>
      <c r="O72" s="26"/>
      <c r="P72" s="26"/>
      <c r="Q72" s="118" t="str">
        <f t="shared" si="20"/>
        <v/>
      </c>
      <c r="R72" s="153"/>
      <c r="S72" s="138" t="str">
        <f t="shared" si="10"/>
        <v/>
      </c>
      <c r="T72" s="148"/>
      <c r="U72" s="146"/>
      <c r="V72" s="146"/>
      <c r="W72" s="139"/>
      <c r="X72" s="139"/>
      <c r="Y72" s="148"/>
      <c r="Z72" s="138" t="str">
        <f t="shared" si="22"/>
        <v/>
      </c>
      <c r="AA72" s="138" t="str">
        <f t="shared" si="12"/>
        <v/>
      </c>
      <c r="AB72" s="239"/>
      <c r="AC72" s="325"/>
      <c r="AD72" s="325"/>
      <c r="AE72" s="325"/>
      <c r="AF72" s="325"/>
      <c r="AG72" s="325"/>
      <c r="AH72" s="325"/>
      <c r="AI72" s="325"/>
      <c r="AJ72" s="325"/>
      <c r="AK72" s="325"/>
      <c r="AL72" s="325"/>
      <c r="AM72" s="325"/>
      <c r="AN72" s="325"/>
      <c r="AO72" s="325"/>
      <c r="AP72" s="136"/>
      <c r="AQ72" s="136"/>
      <c r="AR72" s="136" t="str">
        <f t="shared" si="15"/>
        <v/>
      </c>
      <c r="AS72" s="136" t="str">
        <f t="shared" si="15"/>
        <v/>
      </c>
      <c r="AT72" s="5" t="str">
        <f t="shared" si="16"/>
        <v/>
      </c>
      <c r="AV72" s="27" t="str">
        <f>IF(G72="","",+"          ["&amp;TRIM(G72)&amp;"] ["&amp;TRIM(I72)&amp;"]"&amp;IF(H72="","","("&amp;H72&amp;")")&amp;" "&amp;TRIM(J72)&amp;IF(G75="","",","))</f>
        <v/>
      </c>
      <c r="AW72" s="27"/>
      <c r="AY72" s="122" t="str">
        <f t="shared" si="9"/>
        <v/>
      </c>
    </row>
    <row r="73" spans="2:51" ht="12.75">
      <c r="B73" s="20" t="str">
        <f t="shared" si="11"/>
        <v/>
      </c>
      <c r="C73" s="5"/>
      <c r="D73" s="5"/>
      <c r="E73" s="5"/>
      <c r="G73" s="5" t="str">
        <f t="shared" si="17"/>
        <v/>
      </c>
      <c r="H73" s="117" t="str">
        <f t="shared" si="13"/>
        <v/>
      </c>
      <c r="I73" s="5" t="str">
        <f t="shared" si="18"/>
        <v/>
      </c>
      <c r="J73" s="5" t="str">
        <f t="shared" si="19"/>
        <v/>
      </c>
      <c r="K73" s="5"/>
      <c r="L73" s="5"/>
      <c r="M73" s="75"/>
      <c r="N73" s="77"/>
      <c r="O73" s="26"/>
      <c r="P73" s="26"/>
      <c r="Q73" s="118" t="str">
        <f t="shared" si="20"/>
        <v/>
      </c>
      <c r="R73" s="153"/>
      <c r="S73" s="138" t="str">
        <f t="shared" si="10"/>
        <v/>
      </c>
      <c r="T73" s="148"/>
      <c r="U73" s="146"/>
      <c r="V73" s="146"/>
      <c r="W73" s="139"/>
      <c r="X73" s="139"/>
      <c r="Y73" s="148"/>
      <c r="Z73" s="138" t="str">
        <f t="shared" si="22"/>
        <v/>
      </c>
      <c r="AA73" s="138" t="str">
        <f t="shared" si="12"/>
        <v/>
      </c>
      <c r="AB73" s="239"/>
      <c r="AC73" s="325"/>
      <c r="AD73" s="325"/>
      <c r="AE73" s="325"/>
      <c r="AF73" s="325"/>
      <c r="AG73" s="325"/>
      <c r="AH73" s="325"/>
      <c r="AI73" s="325"/>
      <c r="AJ73" s="325"/>
      <c r="AK73" s="325"/>
      <c r="AL73" s="325"/>
      <c r="AM73" s="325"/>
      <c r="AN73" s="325"/>
      <c r="AO73" s="325"/>
      <c r="AP73" s="136"/>
      <c r="AQ73" s="136"/>
      <c r="AR73" s="136" t="str">
        <f t="shared" si="15"/>
        <v/>
      </c>
      <c r="AS73" s="136" t="str">
        <f t="shared" si="15"/>
        <v/>
      </c>
      <c r="AT73" s="5" t="str">
        <f t="shared" si="16"/>
        <v/>
      </c>
      <c r="AV73" s="27" t="str">
        <f>IF(G73="","",+"          ["&amp;TRIM(G73)&amp;"] ["&amp;TRIM(I73)&amp;"]"&amp;IF(H73="","","("&amp;H73&amp;")")&amp;" "&amp;TRIM(J73)&amp;IF(G74="","",","))</f>
        <v/>
      </c>
      <c r="AW73" s="27"/>
      <c r="AY73" s="122" t="str">
        <f t="shared" si="9"/>
        <v/>
      </c>
    </row>
    <row r="74" spans="2:51" ht="12.75">
      <c r="B74" s="20" t="str">
        <f t="shared" si="11"/>
        <v/>
      </c>
      <c r="C74" s="5"/>
      <c r="D74" s="5"/>
      <c r="E74" s="5"/>
      <c r="G74" s="5" t="str">
        <f t="shared" si="17"/>
        <v/>
      </c>
      <c r="H74" s="117" t="str">
        <f t="shared" si="13"/>
        <v/>
      </c>
      <c r="I74" s="5" t="str">
        <f t="shared" si="18"/>
        <v/>
      </c>
      <c r="J74" s="5" t="str">
        <f t="shared" si="19"/>
        <v/>
      </c>
      <c r="K74" s="5"/>
      <c r="L74" s="5"/>
      <c r="M74" s="75"/>
      <c r="N74" s="77"/>
      <c r="O74" s="26"/>
      <c r="P74" s="26"/>
      <c r="Q74" s="118" t="str">
        <f t="shared" si="20"/>
        <v/>
      </c>
      <c r="R74" s="153"/>
      <c r="S74" s="138" t="str">
        <f t="shared" si="10"/>
        <v/>
      </c>
      <c r="T74" s="148"/>
      <c r="U74" s="146"/>
      <c r="V74" s="146"/>
      <c r="W74" s="139"/>
      <c r="X74" s="139"/>
      <c r="Y74" s="148"/>
      <c r="Z74" s="138" t="str">
        <f t="shared" si="22"/>
        <v/>
      </c>
      <c r="AA74" s="138" t="str">
        <f t="shared" si="12"/>
        <v/>
      </c>
      <c r="AB74" s="239"/>
      <c r="AC74" s="325"/>
      <c r="AD74" s="325"/>
      <c r="AE74" s="325"/>
      <c r="AF74" s="325"/>
      <c r="AG74" s="325"/>
      <c r="AH74" s="325"/>
      <c r="AI74" s="325"/>
      <c r="AJ74" s="325"/>
      <c r="AK74" s="325"/>
      <c r="AL74" s="325"/>
      <c r="AM74" s="325"/>
      <c r="AN74" s="325"/>
      <c r="AO74" s="325"/>
      <c r="AP74" s="136"/>
      <c r="AQ74" s="136"/>
      <c r="AR74" s="136" t="str">
        <f t="shared" si="15"/>
        <v/>
      </c>
      <c r="AS74" s="136" t="str">
        <f t="shared" si="15"/>
        <v/>
      </c>
      <c r="AT74" s="5" t="str">
        <f t="shared" si="16"/>
        <v/>
      </c>
      <c r="AV74" s="27" t="str">
        <f>IF(G74="","",+"          ["&amp;TRIM(G74)&amp;"] ["&amp;TRIM(I74)&amp;"]"&amp;IF(H74="","","("&amp;H74&amp;")")&amp;" "&amp;TRIM(J74)&amp;IF(G75="","",","))</f>
        <v/>
      </c>
      <c r="AW74" s="27"/>
      <c r="AY74" s="122" t="str">
        <f t="shared" si="9"/>
        <v/>
      </c>
    </row>
    <row r="75" spans="2:51" ht="12.75">
      <c r="B75" s="20" t="str">
        <f t="shared" si="11"/>
        <v/>
      </c>
      <c r="C75" s="5"/>
      <c r="D75" s="5"/>
      <c r="E75" s="5"/>
      <c r="G75" s="5" t="str">
        <f t="shared" si="17"/>
        <v/>
      </c>
      <c r="H75" s="117" t="str">
        <f t="shared" si="13"/>
        <v/>
      </c>
      <c r="I75" s="5" t="str">
        <f t="shared" si="18"/>
        <v/>
      </c>
      <c r="J75" s="5" t="str">
        <f t="shared" si="19"/>
        <v/>
      </c>
      <c r="K75" s="5"/>
      <c r="L75" s="5"/>
      <c r="M75" s="75"/>
      <c r="N75" s="77"/>
      <c r="O75" s="26"/>
      <c r="P75" s="26"/>
      <c r="Q75" s="118" t="str">
        <f t="shared" si="20"/>
        <v/>
      </c>
      <c r="R75" s="153"/>
      <c r="S75" s="138" t="str">
        <f t="shared" si="10"/>
        <v/>
      </c>
      <c r="T75" s="148"/>
      <c r="U75" s="146"/>
      <c r="V75" s="146"/>
      <c r="W75" s="139"/>
      <c r="X75" s="139"/>
      <c r="Y75" s="148"/>
      <c r="Z75" s="138" t="str">
        <f t="shared" si="22"/>
        <v/>
      </c>
      <c r="AA75" s="138" t="str">
        <f t="shared" si="12"/>
        <v/>
      </c>
      <c r="AB75" s="239"/>
      <c r="AC75" s="325"/>
      <c r="AD75" s="325"/>
      <c r="AE75" s="325"/>
      <c r="AF75" s="325"/>
      <c r="AG75" s="325"/>
      <c r="AH75" s="325"/>
      <c r="AI75" s="325"/>
      <c r="AJ75" s="325"/>
      <c r="AK75" s="325"/>
      <c r="AL75" s="325"/>
      <c r="AM75" s="325"/>
      <c r="AN75" s="325"/>
      <c r="AO75" s="325"/>
      <c r="AP75" s="136"/>
      <c r="AQ75" s="136"/>
      <c r="AR75" s="136" t="str">
        <f t="shared" si="15"/>
        <v/>
      </c>
      <c r="AS75" s="136" t="str">
        <f t="shared" si="15"/>
        <v/>
      </c>
      <c r="AT75" s="5" t="str">
        <f t="shared" si="16"/>
        <v/>
      </c>
      <c r="AV75" s="27" t="str">
        <f>IF(G75="","",+"          ["&amp;TRIM(G75)&amp;"] ["&amp;TRIM(I75)&amp;"]"&amp;IF(H75="","","("&amp;H75&amp;")")&amp;" "&amp;TRIM(J75)&amp;IF(G94="","",","))</f>
        <v/>
      </c>
      <c r="AW75" s="27"/>
      <c r="AY75" s="122" t="str">
        <f t="shared" si="9"/>
        <v/>
      </c>
    </row>
    <row r="76" spans="2:51" ht="12.75">
      <c r="B76" s="20" t="str">
        <f t="shared" si="11"/>
        <v/>
      </c>
      <c r="C76" s="5"/>
      <c r="D76" s="5"/>
      <c r="E76" s="5"/>
      <c r="G76" s="5" t="str">
        <f t="shared" si="17"/>
        <v/>
      </c>
      <c r="H76" s="117" t="str">
        <f t="shared" si="13"/>
        <v/>
      </c>
      <c r="I76" s="5" t="str">
        <f t="shared" si="18"/>
        <v/>
      </c>
      <c r="J76" s="5" t="str">
        <f t="shared" si="19"/>
        <v/>
      </c>
      <c r="K76" s="5"/>
      <c r="L76" s="5"/>
      <c r="M76" s="75"/>
      <c r="N76" s="77"/>
      <c r="O76" s="26"/>
      <c r="P76" s="26"/>
      <c r="Q76" s="118" t="str">
        <f t="shared" si="20"/>
        <v/>
      </c>
      <c r="R76" s="153"/>
      <c r="S76" s="138" t="str">
        <f t="shared" si="10"/>
        <v/>
      </c>
      <c r="T76" s="148"/>
      <c r="U76" s="146"/>
      <c r="V76" s="146"/>
      <c r="W76" s="139"/>
      <c r="X76" s="139"/>
      <c r="Y76" s="148"/>
      <c r="Z76" s="138" t="str">
        <f t="shared" si="22"/>
        <v/>
      </c>
      <c r="AA76" s="138" t="str">
        <f t="shared" si="12"/>
        <v/>
      </c>
      <c r="AB76" s="239"/>
      <c r="AC76" s="325"/>
      <c r="AD76" s="325"/>
      <c r="AE76" s="325"/>
      <c r="AF76" s="325"/>
      <c r="AG76" s="325"/>
      <c r="AH76" s="325"/>
      <c r="AI76" s="325"/>
      <c r="AJ76" s="325"/>
      <c r="AK76" s="325"/>
      <c r="AL76" s="325"/>
      <c r="AM76" s="325"/>
      <c r="AN76" s="325"/>
      <c r="AO76" s="325"/>
      <c r="AP76" s="136"/>
      <c r="AQ76" s="136"/>
      <c r="AR76" s="136" t="str">
        <f t="shared" si="15"/>
        <v/>
      </c>
      <c r="AS76" s="136" t="str">
        <f t="shared" si="15"/>
        <v/>
      </c>
      <c r="AT76" s="5" t="str">
        <f t="shared" si="16"/>
        <v/>
      </c>
      <c r="AV76" s="27" t="str">
        <f>IF(G76="","",+"          ["&amp;TRIM(G76)&amp;"] ["&amp;TRIM(I76)&amp;"]"&amp;IF(H76="","","("&amp;H76&amp;")")&amp;" "&amp;TRIM(J76)&amp;IF(G77="","",","))</f>
        <v/>
      </c>
      <c r="AW76" s="27"/>
      <c r="AY76" s="122" t="str">
        <f t="shared" si="9"/>
        <v/>
      </c>
    </row>
    <row r="77" spans="2:51" ht="12.75">
      <c r="B77" s="20" t="str">
        <f t="shared" si="11"/>
        <v/>
      </c>
      <c r="C77" s="5"/>
      <c r="D77" s="5"/>
      <c r="E77" s="5"/>
      <c r="G77" s="5" t="str">
        <f t="shared" si="17"/>
        <v/>
      </c>
      <c r="H77" s="117" t="str">
        <f t="shared" si="13"/>
        <v/>
      </c>
      <c r="I77" s="5" t="str">
        <f t="shared" si="18"/>
        <v/>
      </c>
      <c r="J77" s="5" t="str">
        <f t="shared" si="19"/>
        <v/>
      </c>
      <c r="K77" s="5"/>
      <c r="L77" s="5"/>
      <c r="M77" s="75"/>
      <c r="N77" s="77"/>
      <c r="O77" s="26"/>
      <c r="P77" s="26"/>
      <c r="Q77" s="118" t="str">
        <f t="shared" si="20"/>
        <v/>
      </c>
      <c r="R77" s="153"/>
      <c r="S77" s="138" t="str">
        <f t="shared" si="10"/>
        <v/>
      </c>
      <c r="T77" s="148"/>
      <c r="U77" s="146"/>
      <c r="V77" s="146"/>
      <c r="W77" s="139"/>
      <c r="X77" s="139"/>
      <c r="Y77" s="148"/>
      <c r="Z77" s="138" t="str">
        <f t="shared" si="22"/>
        <v/>
      </c>
      <c r="AA77" s="138" t="str">
        <f t="shared" si="12"/>
        <v/>
      </c>
      <c r="AB77" s="239"/>
      <c r="AC77" s="325"/>
      <c r="AD77" s="325"/>
      <c r="AE77" s="325"/>
      <c r="AF77" s="325"/>
      <c r="AG77" s="325"/>
      <c r="AH77" s="325"/>
      <c r="AI77" s="325"/>
      <c r="AJ77" s="325"/>
      <c r="AK77" s="325"/>
      <c r="AL77" s="325"/>
      <c r="AM77" s="325"/>
      <c r="AN77" s="325"/>
      <c r="AO77" s="325"/>
      <c r="AP77" s="136"/>
      <c r="AQ77" s="136"/>
      <c r="AR77" s="136" t="str">
        <f t="shared" si="15"/>
        <v/>
      </c>
      <c r="AS77" s="136" t="str">
        <f t="shared" si="15"/>
        <v/>
      </c>
      <c r="AT77" s="5" t="str">
        <f t="shared" si="16"/>
        <v/>
      </c>
      <c r="AV77" s="27" t="str">
        <f>IF(G77="","",+"          ["&amp;TRIM(G77)&amp;"] ["&amp;TRIM(I77)&amp;"]"&amp;IF(H77="","","("&amp;H77&amp;")")&amp;" "&amp;TRIM(J77)&amp;IF(G78="","",","))</f>
        <v/>
      </c>
      <c r="AW77" s="27"/>
      <c r="AY77" s="122" t="str">
        <f t="shared" si="9"/>
        <v/>
      </c>
    </row>
    <row r="78" spans="2:51" ht="12.75">
      <c r="B78" s="20" t="str">
        <f t="shared" si="11"/>
        <v/>
      </c>
      <c r="C78" s="5"/>
      <c r="D78" s="5"/>
      <c r="E78" s="5"/>
      <c r="G78" s="5" t="str">
        <f t="shared" si="17"/>
        <v/>
      </c>
      <c r="H78" s="117" t="str">
        <f t="shared" si="13"/>
        <v/>
      </c>
      <c r="I78" s="5" t="str">
        <f t="shared" si="18"/>
        <v/>
      </c>
      <c r="J78" s="5" t="str">
        <f t="shared" si="19"/>
        <v/>
      </c>
      <c r="K78" s="5"/>
      <c r="L78" s="5"/>
      <c r="M78" s="75"/>
      <c r="N78" s="77"/>
      <c r="O78" s="26"/>
      <c r="P78" s="26"/>
      <c r="Q78" s="118" t="str">
        <f t="shared" si="20"/>
        <v/>
      </c>
      <c r="R78" s="153"/>
      <c r="S78" s="138" t="str">
        <f t="shared" si="10"/>
        <v/>
      </c>
      <c r="T78" s="148"/>
      <c r="U78" s="146"/>
      <c r="V78" s="146"/>
      <c r="W78" s="139"/>
      <c r="X78" s="139"/>
      <c r="Y78" s="148"/>
      <c r="Z78" s="138" t="str">
        <f t="shared" si="22"/>
        <v/>
      </c>
      <c r="AA78" s="138" t="str">
        <f t="shared" si="12"/>
        <v/>
      </c>
      <c r="AB78" s="239"/>
      <c r="AC78" s="325"/>
      <c r="AD78" s="325"/>
      <c r="AE78" s="325"/>
      <c r="AF78" s="325"/>
      <c r="AG78" s="325"/>
      <c r="AH78" s="325"/>
      <c r="AI78" s="325"/>
      <c r="AJ78" s="325"/>
      <c r="AK78" s="325"/>
      <c r="AL78" s="325"/>
      <c r="AM78" s="325"/>
      <c r="AN78" s="325"/>
      <c r="AO78" s="325"/>
      <c r="AP78" s="136"/>
      <c r="AQ78" s="136"/>
      <c r="AR78" s="136" t="str">
        <f t="shared" si="15"/>
        <v/>
      </c>
      <c r="AS78" s="136" t="str">
        <f t="shared" si="15"/>
        <v/>
      </c>
      <c r="AT78" s="5" t="str">
        <f t="shared" si="16"/>
        <v/>
      </c>
      <c r="AV78" s="27" t="str">
        <f>IF(G78="","",+"          ["&amp;TRIM(G78)&amp;"] ["&amp;TRIM(I78)&amp;"]"&amp;IF(H78="","","("&amp;H78&amp;")")&amp;" "&amp;TRIM(J78)&amp;IF(G93="","",","))</f>
        <v/>
      </c>
      <c r="AW78" s="27"/>
      <c r="AY78" s="122" t="str">
        <f t="shared" si="9"/>
        <v/>
      </c>
    </row>
    <row r="79" spans="2:51" ht="12.75">
      <c r="B79" s="20" t="str">
        <f t="shared" si="11"/>
        <v/>
      </c>
      <c r="C79" s="5"/>
      <c r="D79" s="5"/>
      <c r="E79" s="5"/>
      <c r="G79" s="5" t="str">
        <f t="shared" si="17"/>
        <v/>
      </c>
      <c r="H79" s="117" t="str">
        <f t="shared" si="13"/>
        <v/>
      </c>
      <c r="I79" s="5" t="str">
        <f t="shared" si="18"/>
        <v/>
      </c>
      <c r="J79" s="5" t="str">
        <f t="shared" si="19"/>
        <v/>
      </c>
      <c r="K79" s="5"/>
      <c r="L79" s="5"/>
      <c r="M79" s="75"/>
      <c r="N79" s="77"/>
      <c r="O79" s="26"/>
      <c r="P79" s="26"/>
      <c r="Q79" s="118" t="str">
        <f t="shared" si="20"/>
        <v/>
      </c>
      <c r="R79" s="153"/>
      <c r="S79" s="138" t="str">
        <f t="shared" si="10"/>
        <v/>
      </c>
      <c r="T79" s="148"/>
      <c r="U79" s="146"/>
      <c r="V79" s="146"/>
      <c r="W79" s="139"/>
      <c r="X79" s="139"/>
      <c r="Y79" s="148"/>
      <c r="Z79" s="138" t="str">
        <f t="shared" si="22"/>
        <v/>
      </c>
      <c r="AA79" s="138" t="str">
        <f t="shared" si="12"/>
        <v/>
      </c>
      <c r="AB79" s="239"/>
      <c r="AC79" s="325"/>
      <c r="AD79" s="325"/>
      <c r="AE79" s="325"/>
      <c r="AF79" s="325"/>
      <c r="AG79" s="325"/>
      <c r="AH79" s="325"/>
      <c r="AI79" s="325"/>
      <c r="AJ79" s="325"/>
      <c r="AK79" s="325"/>
      <c r="AL79" s="325"/>
      <c r="AM79" s="325"/>
      <c r="AN79" s="325"/>
      <c r="AO79" s="325"/>
      <c r="AP79" s="136"/>
      <c r="AQ79" s="136"/>
      <c r="AR79" s="136" t="str">
        <f t="shared" si="15"/>
        <v/>
      </c>
      <c r="AS79" s="136" t="str">
        <f t="shared" si="15"/>
        <v/>
      </c>
      <c r="AT79" s="5" t="str">
        <f t="shared" si="16"/>
        <v/>
      </c>
      <c r="AV79" s="27" t="str">
        <f>IF(G79="","",+"          ["&amp;TRIM(G79)&amp;"] ["&amp;TRIM(I79)&amp;"]"&amp;IF(H79="","","("&amp;H79&amp;")")&amp;" "&amp;TRIM(J79)&amp;IF(G80="","",","))</f>
        <v/>
      </c>
      <c r="AW79" s="27"/>
      <c r="AY79" s="122" t="str">
        <f t="shared" si="9"/>
        <v/>
      </c>
    </row>
    <row r="80" spans="2:51" ht="12.75">
      <c r="B80" s="20" t="str">
        <f t="shared" si="11"/>
        <v/>
      </c>
      <c r="C80" s="5"/>
      <c r="D80" s="5"/>
      <c r="E80" s="5"/>
      <c r="G80" s="5" t="str">
        <f t="shared" si="17"/>
        <v/>
      </c>
      <c r="H80" s="117" t="str">
        <f t="shared" si="13"/>
        <v/>
      </c>
      <c r="I80" s="5" t="str">
        <f t="shared" si="18"/>
        <v/>
      </c>
      <c r="J80" s="5" t="str">
        <f t="shared" si="19"/>
        <v/>
      </c>
      <c r="K80" s="5"/>
      <c r="L80" s="5"/>
      <c r="M80" s="75"/>
      <c r="N80" s="77"/>
      <c r="O80" s="26"/>
      <c r="P80" s="26"/>
      <c r="Q80" s="118" t="str">
        <f t="shared" si="20"/>
        <v/>
      </c>
      <c r="R80" s="153"/>
      <c r="S80" s="138" t="str">
        <f t="shared" si="10"/>
        <v/>
      </c>
      <c r="T80" s="148"/>
      <c r="U80" s="146"/>
      <c r="V80" s="146"/>
      <c r="W80" s="139"/>
      <c r="X80" s="139"/>
      <c r="Y80" s="148"/>
      <c r="Z80" s="138" t="str">
        <f t="shared" si="22"/>
        <v/>
      </c>
      <c r="AA80" s="138" t="str">
        <f t="shared" si="12"/>
        <v/>
      </c>
      <c r="AB80" s="239"/>
      <c r="AC80" s="325"/>
      <c r="AD80" s="325"/>
      <c r="AE80" s="325"/>
      <c r="AF80" s="325"/>
      <c r="AG80" s="325"/>
      <c r="AH80" s="325"/>
      <c r="AI80" s="325"/>
      <c r="AJ80" s="325"/>
      <c r="AK80" s="325"/>
      <c r="AL80" s="325"/>
      <c r="AM80" s="325"/>
      <c r="AN80" s="325"/>
      <c r="AO80" s="325"/>
      <c r="AP80" s="136"/>
      <c r="AQ80" s="136"/>
      <c r="AR80" s="136" t="str">
        <f t="shared" ref="AR80:AS115" si="23">IF(O80=0,"",ROW())</f>
        <v/>
      </c>
      <c r="AS80" s="136" t="str">
        <f t="shared" si="23"/>
        <v/>
      </c>
      <c r="AT80" s="5" t="str">
        <f t="shared" ref="AT80:AT116" si="24">IF(C80="","",C80&amp;IF(B81="","",","))</f>
        <v/>
      </c>
      <c r="AV80" s="27" t="str">
        <f>IF(G80="","",+"          ["&amp;TRIM(G80)&amp;"] ["&amp;TRIM(I80)&amp;"]"&amp;IF(H80="","","("&amp;H80&amp;")")&amp;" "&amp;TRIM(J80)&amp;IF(G83="","",","))</f>
        <v/>
      </c>
      <c r="AW80" s="27"/>
      <c r="AY80" s="122"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7" t="str">
        <f t="shared" si="13"/>
        <v/>
      </c>
      <c r="I81" s="5" t="str">
        <f t="shared" si="18"/>
        <v/>
      </c>
      <c r="J81" s="5" t="str">
        <f t="shared" si="19"/>
        <v/>
      </c>
      <c r="K81" s="5"/>
      <c r="L81" s="5"/>
      <c r="M81" s="75"/>
      <c r="N81" s="77"/>
      <c r="O81" s="26"/>
      <c r="P81" s="26"/>
      <c r="Q81" s="118" t="str">
        <f t="shared" si="20"/>
        <v/>
      </c>
      <c r="R81" s="153"/>
      <c r="S81" s="138" t="str">
        <f t="shared" ref="S81:S115" si="26">IF(K81=0,"",K81)</f>
        <v/>
      </c>
      <c r="T81" s="148"/>
      <c r="U81" s="146"/>
      <c r="V81" s="146"/>
      <c r="W81" s="139"/>
      <c r="X81" s="139"/>
      <c r="Y81" s="148"/>
      <c r="Z81" s="138" t="str">
        <f t="shared" si="22"/>
        <v/>
      </c>
      <c r="AA81" s="138" t="str">
        <f t="shared" si="12"/>
        <v/>
      </c>
      <c r="AB81" s="239"/>
      <c r="AC81" s="325"/>
      <c r="AD81" s="325"/>
      <c r="AE81" s="325"/>
      <c r="AF81" s="325"/>
      <c r="AG81" s="325"/>
      <c r="AH81" s="325"/>
      <c r="AI81" s="325"/>
      <c r="AJ81" s="325"/>
      <c r="AK81" s="325"/>
      <c r="AL81" s="325"/>
      <c r="AM81" s="325"/>
      <c r="AN81" s="325"/>
      <c r="AO81" s="325"/>
      <c r="AP81" s="136"/>
      <c r="AQ81" s="136"/>
      <c r="AR81" s="136" t="str">
        <f t="shared" si="23"/>
        <v/>
      </c>
      <c r="AS81" s="136" t="str">
        <f t="shared" si="23"/>
        <v/>
      </c>
      <c r="AT81" s="5" t="str">
        <f t="shared" si="24"/>
        <v/>
      </c>
      <c r="AV81" s="27" t="str">
        <f>IF(G81="","",+"          ["&amp;TRIM(G81)&amp;"] ["&amp;TRIM(I81)&amp;"]"&amp;IF(H81="","","("&amp;H81&amp;")")&amp;" "&amp;TRIM(J81)&amp;IF(G82="","",","))</f>
        <v/>
      </c>
      <c r="AW81" s="27"/>
      <c r="AY81" s="122" t="str">
        <f t="shared" si="25"/>
        <v/>
      </c>
    </row>
    <row r="82" spans="2:51" ht="12.75">
      <c r="B82" s="20" t="str">
        <f t="shared" ref="B82:B115" si="27">IF(C82=0,"",+B81+1)</f>
        <v/>
      </c>
      <c r="C82" s="5"/>
      <c r="D82" s="5"/>
      <c r="E82" s="5"/>
      <c r="G82" s="5" t="str">
        <f t="shared" si="17"/>
        <v/>
      </c>
      <c r="H82" s="117" t="str">
        <f t="shared" si="13"/>
        <v/>
      </c>
      <c r="I82" s="5" t="str">
        <f t="shared" si="18"/>
        <v/>
      </c>
      <c r="J82" s="5" t="str">
        <f t="shared" si="19"/>
        <v/>
      </c>
      <c r="K82" s="5"/>
      <c r="L82" s="5"/>
      <c r="M82" s="75"/>
      <c r="N82" s="77"/>
      <c r="O82" s="26"/>
      <c r="P82" s="26"/>
      <c r="Q82" s="118" t="str">
        <f t="shared" si="20"/>
        <v/>
      </c>
      <c r="R82" s="153"/>
      <c r="S82" s="138" t="str">
        <f t="shared" si="26"/>
        <v/>
      </c>
      <c r="T82" s="148"/>
      <c r="U82" s="146"/>
      <c r="V82" s="146"/>
      <c r="W82" s="139"/>
      <c r="X82" s="139"/>
      <c r="Y82" s="148"/>
      <c r="Z82" s="138" t="str">
        <f t="shared" si="22"/>
        <v/>
      </c>
      <c r="AA82" s="138" t="str">
        <f t="shared" ref="AA82:AA115" si="28">IF($C$120=B82,"asc","")</f>
        <v/>
      </c>
      <c r="AB82" s="239"/>
      <c r="AC82" s="325"/>
      <c r="AD82" s="325"/>
      <c r="AE82" s="325"/>
      <c r="AF82" s="325"/>
      <c r="AG82" s="325"/>
      <c r="AH82" s="325"/>
      <c r="AI82" s="325"/>
      <c r="AJ82" s="325"/>
      <c r="AK82" s="325"/>
      <c r="AL82" s="325"/>
      <c r="AM82" s="325"/>
      <c r="AN82" s="325"/>
      <c r="AO82" s="325"/>
      <c r="AP82" s="136"/>
      <c r="AQ82" s="136"/>
      <c r="AR82" s="136" t="str">
        <f t="shared" si="23"/>
        <v/>
      </c>
      <c r="AS82" s="136" t="str">
        <f t="shared" si="23"/>
        <v/>
      </c>
      <c r="AT82" s="5" t="str">
        <f t="shared" si="24"/>
        <v/>
      </c>
      <c r="AV82" s="27" t="str">
        <f>IF(G82="","",+"          ["&amp;TRIM(G82)&amp;"] ["&amp;TRIM(I82)&amp;"]"&amp;IF(H82="","","("&amp;H82&amp;")")&amp;" "&amp;TRIM(J82)&amp;IF(G83="","",","))</f>
        <v/>
      </c>
      <c r="AW82" s="27"/>
      <c r="AY82" s="122" t="str">
        <f t="shared" si="25"/>
        <v/>
      </c>
    </row>
    <row r="83" spans="2:51" ht="12.75">
      <c r="B83" s="20" t="str">
        <f t="shared" si="27"/>
        <v/>
      </c>
      <c r="C83" s="5"/>
      <c r="D83" s="5"/>
      <c r="E83" s="5"/>
      <c r="G83" s="5" t="str">
        <f t="shared" si="17"/>
        <v/>
      </c>
      <c r="H83" s="117" t="str">
        <f t="shared" si="13"/>
        <v/>
      </c>
      <c r="I83" s="5" t="str">
        <f t="shared" si="18"/>
        <v/>
      </c>
      <c r="J83" s="5" t="str">
        <f t="shared" si="19"/>
        <v/>
      </c>
      <c r="K83" s="5"/>
      <c r="L83" s="5"/>
      <c r="M83" s="75"/>
      <c r="N83" s="77"/>
      <c r="O83" s="26"/>
      <c r="P83" s="26"/>
      <c r="Q83" s="118" t="str">
        <f t="shared" si="20"/>
        <v/>
      </c>
      <c r="R83" s="153"/>
      <c r="S83" s="138" t="str">
        <f t="shared" si="26"/>
        <v/>
      </c>
      <c r="T83" s="148"/>
      <c r="U83" s="146"/>
      <c r="V83" s="146"/>
      <c r="W83" s="139"/>
      <c r="X83" s="139"/>
      <c r="Y83" s="148"/>
      <c r="Z83" s="138" t="str">
        <f t="shared" si="22"/>
        <v/>
      </c>
      <c r="AA83" s="138" t="str">
        <f t="shared" si="28"/>
        <v/>
      </c>
      <c r="AB83" s="239"/>
      <c r="AC83" s="325"/>
      <c r="AD83" s="325"/>
      <c r="AE83" s="325"/>
      <c r="AF83" s="325"/>
      <c r="AG83" s="325"/>
      <c r="AH83" s="325"/>
      <c r="AI83" s="325"/>
      <c r="AJ83" s="325"/>
      <c r="AK83" s="325"/>
      <c r="AL83" s="325"/>
      <c r="AM83" s="325"/>
      <c r="AN83" s="325"/>
      <c r="AO83" s="325"/>
      <c r="AP83" s="136"/>
      <c r="AQ83" s="136"/>
      <c r="AR83" s="136" t="str">
        <f t="shared" si="23"/>
        <v/>
      </c>
      <c r="AS83" s="136" t="str">
        <f t="shared" si="23"/>
        <v/>
      </c>
      <c r="AT83" s="5" t="str">
        <f t="shared" si="24"/>
        <v/>
      </c>
      <c r="AV83" s="27" t="str">
        <f>IF(G83="","",+"          ["&amp;TRIM(G83)&amp;"] ["&amp;TRIM(I83)&amp;"]"&amp;IF(H83="","","("&amp;H83&amp;")")&amp;" "&amp;TRIM(J83)&amp;IF(G93="","",","))</f>
        <v/>
      </c>
      <c r="AW83" s="27"/>
      <c r="AY83" s="122" t="str">
        <f t="shared" si="25"/>
        <v/>
      </c>
    </row>
    <row r="84" spans="2:51" ht="12.75">
      <c r="B84" s="20" t="str">
        <f t="shared" si="27"/>
        <v/>
      </c>
      <c r="C84" s="5"/>
      <c r="D84" s="5"/>
      <c r="E84" s="5"/>
      <c r="G84" s="5" t="str">
        <f t="shared" si="17"/>
        <v/>
      </c>
      <c r="H84" s="117" t="str">
        <f t="shared" si="13"/>
        <v/>
      </c>
      <c r="I84" s="5" t="str">
        <f t="shared" si="18"/>
        <v/>
      </c>
      <c r="J84" s="5" t="str">
        <f t="shared" si="19"/>
        <v/>
      </c>
      <c r="K84" s="5"/>
      <c r="L84" s="5"/>
      <c r="M84" s="75"/>
      <c r="N84" s="77"/>
      <c r="O84" s="26"/>
      <c r="P84" s="26"/>
      <c r="Q84" s="118" t="str">
        <f t="shared" si="20"/>
        <v/>
      </c>
      <c r="R84" s="153"/>
      <c r="S84" s="138" t="str">
        <f t="shared" si="26"/>
        <v/>
      </c>
      <c r="T84" s="148"/>
      <c r="U84" s="146"/>
      <c r="V84" s="146"/>
      <c r="W84" s="139"/>
      <c r="X84" s="139"/>
      <c r="Y84" s="148"/>
      <c r="Z84" s="138" t="str">
        <f t="shared" si="22"/>
        <v/>
      </c>
      <c r="AA84" s="138" t="str">
        <f t="shared" si="28"/>
        <v/>
      </c>
      <c r="AB84" s="239"/>
      <c r="AC84" s="325"/>
      <c r="AD84" s="325"/>
      <c r="AE84" s="325"/>
      <c r="AF84" s="325"/>
      <c r="AG84" s="325"/>
      <c r="AH84" s="325"/>
      <c r="AI84" s="325"/>
      <c r="AJ84" s="325"/>
      <c r="AK84" s="325"/>
      <c r="AL84" s="325"/>
      <c r="AM84" s="325"/>
      <c r="AN84" s="325"/>
      <c r="AO84" s="325"/>
      <c r="AP84" s="136"/>
      <c r="AQ84" s="136"/>
      <c r="AR84" s="136" t="str">
        <f t="shared" si="23"/>
        <v/>
      </c>
      <c r="AS84" s="136" t="str">
        <f t="shared" si="23"/>
        <v/>
      </c>
      <c r="AT84" s="5" t="str">
        <f t="shared" si="24"/>
        <v/>
      </c>
      <c r="AV84" s="27" t="str">
        <f>IF(G84="","",+"          ["&amp;TRIM(G84)&amp;"] ["&amp;TRIM(I84)&amp;"]"&amp;IF(H84="","","("&amp;H84&amp;")")&amp;" "&amp;TRIM(J84)&amp;IF(G85="","",","))</f>
        <v/>
      </c>
      <c r="AW84" s="27"/>
      <c r="AY84" s="122" t="str">
        <f t="shared" si="25"/>
        <v/>
      </c>
    </row>
    <row r="85" spans="2:51" ht="12.75">
      <c r="B85" s="20" t="str">
        <f t="shared" si="27"/>
        <v/>
      </c>
      <c r="C85" s="5"/>
      <c r="D85" s="5"/>
      <c r="E85" s="5"/>
      <c r="G85" s="5" t="str">
        <f t="shared" si="17"/>
        <v/>
      </c>
      <c r="H85" s="117" t="str">
        <f t="shared" si="13"/>
        <v/>
      </c>
      <c r="I85" s="5" t="str">
        <f t="shared" si="18"/>
        <v/>
      </c>
      <c r="J85" s="5" t="str">
        <f t="shared" si="19"/>
        <v/>
      </c>
      <c r="K85" s="5"/>
      <c r="L85" s="5"/>
      <c r="M85" s="75"/>
      <c r="N85" s="77"/>
      <c r="O85" s="26"/>
      <c r="P85" s="26"/>
      <c r="Q85" s="118" t="str">
        <f t="shared" si="20"/>
        <v/>
      </c>
      <c r="R85" s="153"/>
      <c r="S85" s="138" t="str">
        <f t="shared" si="26"/>
        <v/>
      </c>
      <c r="T85" s="148"/>
      <c r="U85" s="146"/>
      <c r="V85" s="146"/>
      <c r="W85" s="139"/>
      <c r="X85" s="139"/>
      <c r="Y85" s="148"/>
      <c r="Z85" s="138" t="str">
        <f t="shared" si="22"/>
        <v/>
      </c>
      <c r="AA85" s="138" t="str">
        <f t="shared" si="28"/>
        <v/>
      </c>
      <c r="AB85" s="239"/>
      <c r="AC85" s="325"/>
      <c r="AD85" s="325"/>
      <c r="AE85" s="325"/>
      <c r="AF85" s="325"/>
      <c r="AG85" s="325"/>
      <c r="AH85" s="325"/>
      <c r="AI85" s="325"/>
      <c r="AJ85" s="325"/>
      <c r="AK85" s="325"/>
      <c r="AL85" s="325"/>
      <c r="AM85" s="325"/>
      <c r="AN85" s="325"/>
      <c r="AO85" s="325"/>
      <c r="AP85" s="136"/>
      <c r="AQ85" s="136"/>
      <c r="AR85" s="136" t="str">
        <f t="shared" si="23"/>
        <v/>
      </c>
      <c r="AS85" s="136" t="str">
        <f t="shared" si="23"/>
        <v/>
      </c>
      <c r="AT85" s="5" t="str">
        <f t="shared" si="24"/>
        <v/>
      </c>
      <c r="AV85" s="27" t="str">
        <f>IF(G85="","",+"          ["&amp;TRIM(G85)&amp;"] ["&amp;TRIM(I85)&amp;"]"&amp;IF(H85="","","("&amp;H85&amp;")")&amp;" "&amp;TRIM(J85)&amp;IF(G86="","",","))</f>
        <v/>
      </c>
      <c r="AW85" s="27"/>
      <c r="AY85" s="122" t="str">
        <f t="shared" si="25"/>
        <v/>
      </c>
    </row>
    <row r="86" spans="2:51" ht="12.75">
      <c r="B86" s="20" t="str">
        <f t="shared" si="27"/>
        <v/>
      </c>
      <c r="C86" s="5"/>
      <c r="D86" s="5"/>
      <c r="E86" s="5"/>
      <c r="G86" s="5" t="str">
        <f t="shared" si="17"/>
        <v/>
      </c>
      <c r="H86" s="117" t="str">
        <f t="shared" si="13"/>
        <v/>
      </c>
      <c r="I86" s="5" t="str">
        <f t="shared" si="18"/>
        <v/>
      </c>
      <c r="J86" s="5" t="str">
        <f t="shared" si="19"/>
        <v/>
      </c>
      <c r="K86" s="5"/>
      <c r="L86" s="5"/>
      <c r="M86" s="75"/>
      <c r="N86" s="77"/>
      <c r="O86" s="26"/>
      <c r="P86" s="26"/>
      <c r="Q86" s="118" t="str">
        <f t="shared" si="20"/>
        <v/>
      </c>
      <c r="R86" s="153"/>
      <c r="S86" s="138" t="str">
        <f t="shared" si="26"/>
        <v/>
      </c>
      <c r="T86" s="148"/>
      <c r="U86" s="146"/>
      <c r="V86" s="146"/>
      <c r="W86" s="139"/>
      <c r="X86" s="139"/>
      <c r="Y86" s="148"/>
      <c r="Z86" s="138" t="str">
        <f t="shared" si="22"/>
        <v/>
      </c>
      <c r="AA86" s="138" t="str">
        <f t="shared" si="28"/>
        <v/>
      </c>
      <c r="AB86" s="239"/>
      <c r="AC86" s="325"/>
      <c r="AD86" s="325"/>
      <c r="AE86" s="325"/>
      <c r="AF86" s="325"/>
      <c r="AG86" s="325"/>
      <c r="AH86" s="325"/>
      <c r="AI86" s="325"/>
      <c r="AJ86" s="325"/>
      <c r="AK86" s="325"/>
      <c r="AL86" s="325"/>
      <c r="AM86" s="325"/>
      <c r="AN86" s="325"/>
      <c r="AO86" s="325"/>
      <c r="AP86" s="136"/>
      <c r="AQ86" s="136"/>
      <c r="AR86" s="136" t="str">
        <f t="shared" si="23"/>
        <v/>
      </c>
      <c r="AS86" s="136" t="str">
        <f t="shared" si="23"/>
        <v/>
      </c>
      <c r="AT86" s="5" t="str">
        <f t="shared" si="24"/>
        <v/>
      </c>
      <c r="AV86" s="27" t="str">
        <f>IF(G86="","",+"          ["&amp;TRIM(G86)&amp;"] ["&amp;TRIM(I86)&amp;"]"&amp;IF(H86="","","("&amp;H86&amp;")")&amp;" "&amp;TRIM(J86)&amp;IF(G87="","",","))</f>
        <v/>
      </c>
      <c r="AW86" s="27"/>
      <c r="AY86" s="122" t="str">
        <f t="shared" si="25"/>
        <v/>
      </c>
    </row>
    <row r="87" spans="2:51" ht="12.75">
      <c r="B87" s="20" t="str">
        <f t="shared" si="27"/>
        <v/>
      </c>
      <c r="C87" s="5"/>
      <c r="D87" s="5"/>
      <c r="E87" s="5"/>
      <c r="G87" s="5" t="str">
        <f t="shared" si="17"/>
        <v/>
      </c>
      <c r="H87" s="117" t="str">
        <f t="shared" ref="H87:H115" si="29">IF(IFERROR(FIND("varchar",E87),0)&gt;0,IF(D87&gt;8000,"max",D87),"")</f>
        <v/>
      </c>
      <c r="I87" s="5" t="str">
        <f t="shared" si="18"/>
        <v/>
      </c>
      <c r="J87" s="5" t="str">
        <f t="shared" si="19"/>
        <v/>
      </c>
      <c r="K87" s="5"/>
      <c r="L87" s="5"/>
      <c r="M87" s="75"/>
      <c r="N87" s="77"/>
      <c r="O87" s="26"/>
      <c r="P87" s="26"/>
      <c r="Q87" s="118" t="str">
        <f t="shared" si="20"/>
        <v/>
      </c>
      <c r="R87" s="153"/>
      <c r="S87" s="138" t="str">
        <f t="shared" si="26"/>
        <v/>
      </c>
      <c r="T87" s="148"/>
      <c r="U87" s="146"/>
      <c r="V87" s="146"/>
      <c r="W87" s="139"/>
      <c r="X87" s="139"/>
      <c r="Y87" s="148"/>
      <c r="Z87" s="138" t="str">
        <f t="shared" si="22"/>
        <v/>
      </c>
      <c r="AA87" s="138" t="str">
        <f t="shared" si="28"/>
        <v/>
      </c>
      <c r="AB87" s="239"/>
      <c r="AC87" s="325"/>
      <c r="AD87" s="325"/>
      <c r="AE87" s="325"/>
      <c r="AF87" s="325"/>
      <c r="AG87" s="325"/>
      <c r="AH87" s="325"/>
      <c r="AI87" s="325"/>
      <c r="AJ87" s="325"/>
      <c r="AK87" s="325"/>
      <c r="AL87" s="325"/>
      <c r="AM87" s="325"/>
      <c r="AN87" s="325"/>
      <c r="AO87" s="325"/>
      <c r="AP87" s="136"/>
      <c r="AQ87" s="136"/>
      <c r="AR87" s="136" t="str">
        <f t="shared" si="23"/>
        <v/>
      </c>
      <c r="AS87" s="136" t="str">
        <f t="shared" si="23"/>
        <v/>
      </c>
      <c r="AT87" s="5" t="str">
        <f t="shared" si="24"/>
        <v/>
      </c>
      <c r="AV87" s="27" t="str">
        <f>IF(G87="","",+"          ["&amp;TRIM(G87)&amp;"] ["&amp;TRIM(I87)&amp;"]"&amp;IF(H87="","","("&amp;H87&amp;")")&amp;" "&amp;TRIM(J87)&amp;IF(G93="","",","))</f>
        <v/>
      </c>
      <c r="AW87" s="27"/>
      <c r="AY87" s="122" t="str">
        <f t="shared" si="25"/>
        <v/>
      </c>
    </row>
    <row r="88" spans="2:51" ht="12.75">
      <c r="B88" s="20" t="str">
        <f t="shared" si="27"/>
        <v/>
      </c>
      <c r="C88" s="5"/>
      <c r="D88" s="5"/>
      <c r="E88" s="5"/>
      <c r="G88" s="5" t="str">
        <f t="shared" si="17"/>
        <v/>
      </c>
      <c r="H88" s="117" t="str">
        <f t="shared" si="29"/>
        <v/>
      </c>
      <c r="I88" s="5" t="str">
        <f t="shared" si="18"/>
        <v/>
      </c>
      <c r="J88" s="5" t="str">
        <f t="shared" si="19"/>
        <v/>
      </c>
      <c r="K88" s="5"/>
      <c r="L88" s="5"/>
      <c r="M88" s="75"/>
      <c r="N88" s="77"/>
      <c r="O88" s="26"/>
      <c r="P88" s="26"/>
      <c r="Q88" s="118" t="str">
        <f t="shared" si="20"/>
        <v/>
      </c>
      <c r="R88" s="153"/>
      <c r="S88" s="138" t="str">
        <f t="shared" si="26"/>
        <v/>
      </c>
      <c r="T88" s="148"/>
      <c r="U88" s="146"/>
      <c r="V88" s="146"/>
      <c r="W88" s="139"/>
      <c r="X88" s="139"/>
      <c r="Y88" s="148"/>
      <c r="Z88" s="138" t="str">
        <f t="shared" si="22"/>
        <v/>
      </c>
      <c r="AA88" s="138" t="str">
        <f t="shared" si="28"/>
        <v/>
      </c>
      <c r="AB88" s="239"/>
      <c r="AC88" s="325"/>
      <c r="AD88" s="325"/>
      <c r="AE88" s="325"/>
      <c r="AF88" s="325"/>
      <c r="AG88" s="325"/>
      <c r="AH88" s="325"/>
      <c r="AI88" s="325"/>
      <c r="AJ88" s="325"/>
      <c r="AK88" s="325"/>
      <c r="AL88" s="325"/>
      <c r="AM88" s="325"/>
      <c r="AN88" s="325"/>
      <c r="AO88" s="325"/>
      <c r="AP88" s="136"/>
      <c r="AQ88" s="136"/>
      <c r="AR88" s="136" t="str">
        <f t="shared" si="23"/>
        <v/>
      </c>
      <c r="AS88" s="136" t="str">
        <f t="shared" si="23"/>
        <v/>
      </c>
      <c r="AT88" s="5" t="str">
        <f t="shared" si="24"/>
        <v/>
      </c>
      <c r="AV88" s="27" t="str">
        <f>IF(G88="","",+"          ["&amp;TRIM(G88)&amp;"] ["&amp;TRIM(I88)&amp;"]"&amp;IF(H88="","","("&amp;H88&amp;")")&amp;" "&amp;TRIM(J88)&amp;IF(G89="","",","))</f>
        <v/>
      </c>
      <c r="AW88" s="27"/>
      <c r="AY88" s="122" t="str">
        <f t="shared" si="25"/>
        <v/>
      </c>
    </row>
    <row r="89" spans="2:51" ht="12.75">
      <c r="B89" s="20" t="str">
        <f t="shared" si="27"/>
        <v/>
      </c>
      <c r="C89" s="5"/>
      <c r="D89" s="5"/>
      <c r="E89" s="5"/>
      <c r="G89" s="5" t="str">
        <f t="shared" si="17"/>
        <v/>
      </c>
      <c r="H89" s="117" t="str">
        <f t="shared" si="29"/>
        <v/>
      </c>
      <c r="I89" s="5" t="str">
        <f t="shared" si="18"/>
        <v/>
      </c>
      <c r="J89" s="5" t="str">
        <f t="shared" si="19"/>
        <v/>
      </c>
      <c r="K89" s="5"/>
      <c r="L89" s="5"/>
      <c r="M89" s="75"/>
      <c r="N89" s="77"/>
      <c r="O89" s="26"/>
      <c r="P89" s="26"/>
      <c r="Q89" s="118" t="str">
        <f t="shared" si="20"/>
        <v/>
      </c>
      <c r="R89" s="153"/>
      <c r="S89" s="138" t="str">
        <f t="shared" si="26"/>
        <v/>
      </c>
      <c r="T89" s="148"/>
      <c r="U89" s="146"/>
      <c r="V89" s="146"/>
      <c r="W89" s="139"/>
      <c r="X89" s="139"/>
      <c r="Y89" s="148"/>
      <c r="Z89" s="138" t="str">
        <f t="shared" si="22"/>
        <v/>
      </c>
      <c r="AA89" s="138" t="str">
        <f t="shared" si="28"/>
        <v/>
      </c>
      <c r="AB89" s="239"/>
      <c r="AC89" s="325"/>
      <c r="AD89" s="325"/>
      <c r="AE89" s="325"/>
      <c r="AF89" s="325"/>
      <c r="AG89" s="325"/>
      <c r="AH89" s="325"/>
      <c r="AI89" s="325"/>
      <c r="AJ89" s="325"/>
      <c r="AK89" s="325"/>
      <c r="AL89" s="325"/>
      <c r="AM89" s="325"/>
      <c r="AN89" s="325"/>
      <c r="AO89" s="325"/>
      <c r="AP89" s="136"/>
      <c r="AQ89" s="136"/>
      <c r="AR89" s="136" t="str">
        <f t="shared" si="23"/>
        <v/>
      </c>
      <c r="AS89" s="136" t="str">
        <f t="shared" si="23"/>
        <v/>
      </c>
      <c r="AT89" s="5" t="str">
        <f t="shared" si="24"/>
        <v/>
      </c>
      <c r="AV89" s="27" t="str">
        <f>IF(G89="","",+"          ["&amp;TRIM(G89)&amp;"] ["&amp;TRIM(I89)&amp;"]"&amp;IF(H89="","","("&amp;H89&amp;")")&amp;" "&amp;TRIM(J89)&amp;IF(G92="","",","))</f>
        <v/>
      </c>
      <c r="AW89" s="27"/>
      <c r="AY89" s="122" t="str">
        <f t="shared" si="25"/>
        <v/>
      </c>
    </row>
    <row r="90" spans="2:51" ht="12.75">
      <c r="B90" s="20" t="str">
        <f t="shared" si="27"/>
        <v/>
      </c>
      <c r="C90" s="5"/>
      <c r="D90" s="5"/>
      <c r="E90" s="5"/>
      <c r="G90" s="5" t="str">
        <f t="shared" si="17"/>
        <v/>
      </c>
      <c r="H90" s="117" t="str">
        <f t="shared" si="29"/>
        <v/>
      </c>
      <c r="I90" s="5" t="str">
        <f t="shared" si="18"/>
        <v/>
      </c>
      <c r="J90" s="5" t="str">
        <f t="shared" si="19"/>
        <v/>
      </c>
      <c r="K90" s="5"/>
      <c r="L90" s="5"/>
      <c r="M90" s="75"/>
      <c r="N90" s="77"/>
      <c r="O90" s="26"/>
      <c r="P90" s="26"/>
      <c r="Q90" s="118" t="str">
        <f t="shared" si="20"/>
        <v/>
      </c>
      <c r="R90" s="153"/>
      <c r="S90" s="138" t="str">
        <f t="shared" si="26"/>
        <v/>
      </c>
      <c r="T90" s="148"/>
      <c r="U90" s="146"/>
      <c r="V90" s="146"/>
      <c r="W90" s="139"/>
      <c r="X90" s="139"/>
      <c r="Y90" s="148"/>
      <c r="Z90" s="138" t="str">
        <f t="shared" si="22"/>
        <v/>
      </c>
      <c r="AA90" s="138" t="str">
        <f t="shared" si="28"/>
        <v/>
      </c>
      <c r="AB90" s="239"/>
      <c r="AC90" s="325"/>
      <c r="AD90" s="325"/>
      <c r="AE90" s="325"/>
      <c r="AF90" s="325"/>
      <c r="AG90" s="325"/>
      <c r="AH90" s="325"/>
      <c r="AI90" s="325"/>
      <c r="AJ90" s="325"/>
      <c r="AK90" s="325"/>
      <c r="AL90" s="325"/>
      <c r="AM90" s="325"/>
      <c r="AN90" s="325"/>
      <c r="AO90" s="325"/>
      <c r="AP90" s="136"/>
      <c r="AQ90" s="136"/>
      <c r="AR90" s="136" t="str">
        <f t="shared" si="23"/>
        <v/>
      </c>
      <c r="AS90" s="136" t="str">
        <f t="shared" si="23"/>
        <v/>
      </c>
      <c r="AT90" s="5" t="str">
        <f t="shared" si="24"/>
        <v/>
      </c>
      <c r="AV90" s="27" t="str">
        <f t="shared" ref="AV90:AV95" si="30">IF(G90="","",+"          ["&amp;TRIM(G90)&amp;"] ["&amp;TRIM(I90)&amp;"]"&amp;IF(H90="","","("&amp;H90&amp;")")&amp;" "&amp;TRIM(J90)&amp;IF(G91="","",","))</f>
        <v/>
      </c>
      <c r="AW90" s="27"/>
      <c r="AY90" s="122" t="str">
        <f t="shared" si="25"/>
        <v/>
      </c>
    </row>
    <row r="91" spans="2:51" ht="12.75">
      <c r="B91" s="20" t="str">
        <f t="shared" si="27"/>
        <v/>
      </c>
      <c r="C91" s="5"/>
      <c r="D91" s="5"/>
      <c r="E91" s="5"/>
      <c r="G91" s="5" t="str">
        <f t="shared" si="17"/>
        <v/>
      </c>
      <c r="H91" s="117" t="str">
        <f t="shared" si="29"/>
        <v/>
      </c>
      <c r="I91" s="5" t="str">
        <f t="shared" si="18"/>
        <v/>
      </c>
      <c r="J91" s="5" t="str">
        <f t="shared" si="19"/>
        <v/>
      </c>
      <c r="K91" s="5"/>
      <c r="L91" s="5"/>
      <c r="M91" s="75"/>
      <c r="N91" s="77"/>
      <c r="O91" s="26"/>
      <c r="P91" s="26"/>
      <c r="Q91" s="118" t="str">
        <f t="shared" si="20"/>
        <v/>
      </c>
      <c r="R91" s="153"/>
      <c r="S91" s="138" t="str">
        <f t="shared" si="26"/>
        <v/>
      </c>
      <c r="T91" s="148"/>
      <c r="U91" s="146"/>
      <c r="V91" s="146"/>
      <c r="W91" s="139"/>
      <c r="X91" s="139"/>
      <c r="Y91" s="148"/>
      <c r="Z91" s="138" t="str">
        <f t="shared" si="22"/>
        <v/>
      </c>
      <c r="AA91" s="138" t="str">
        <f t="shared" si="28"/>
        <v/>
      </c>
      <c r="AB91" s="239"/>
      <c r="AC91" s="325"/>
      <c r="AD91" s="325"/>
      <c r="AE91" s="325"/>
      <c r="AF91" s="325"/>
      <c r="AG91" s="325"/>
      <c r="AH91" s="325"/>
      <c r="AI91" s="325"/>
      <c r="AJ91" s="325"/>
      <c r="AK91" s="325"/>
      <c r="AL91" s="325"/>
      <c r="AM91" s="325"/>
      <c r="AN91" s="325"/>
      <c r="AO91" s="325"/>
      <c r="AP91" s="136"/>
      <c r="AQ91" s="136"/>
      <c r="AR91" s="136" t="str">
        <f t="shared" si="23"/>
        <v/>
      </c>
      <c r="AS91" s="136" t="str">
        <f t="shared" si="23"/>
        <v/>
      </c>
      <c r="AT91" s="5" t="str">
        <f t="shared" si="24"/>
        <v/>
      </c>
      <c r="AV91" s="27" t="str">
        <f t="shared" si="30"/>
        <v/>
      </c>
      <c r="AW91" s="27"/>
      <c r="AY91" s="122" t="str">
        <f t="shared" si="25"/>
        <v/>
      </c>
    </row>
    <row r="92" spans="2:51" ht="12.75">
      <c r="B92" s="20" t="str">
        <f t="shared" si="27"/>
        <v/>
      </c>
      <c r="C92" s="5"/>
      <c r="D92" s="5"/>
      <c r="E92" s="5"/>
      <c r="G92" s="5" t="str">
        <f t="shared" si="17"/>
        <v/>
      </c>
      <c r="H92" s="117" t="str">
        <f t="shared" si="29"/>
        <v/>
      </c>
      <c r="I92" s="5" t="str">
        <f t="shared" si="18"/>
        <v/>
      </c>
      <c r="J92" s="5" t="str">
        <f t="shared" si="19"/>
        <v/>
      </c>
      <c r="K92" s="5"/>
      <c r="L92" s="5"/>
      <c r="M92" s="75"/>
      <c r="N92" s="77"/>
      <c r="O92" s="26"/>
      <c r="P92" s="26"/>
      <c r="Q92" s="118" t="str">
        <f t="shared" si="20"/>
        <v/>
      </c>
      <c r="R92" s="153"/>
      <c r="S92" s="138" t="str">
        <f t="shared" si="26"/>
        <v/>
      </c>
      <c r="T92" s="148"/>
      <c r="U92" s="146"/>
      <c r="V92" s="146"/>
      <c r="W92" s="139"/>
      <c r="X92" s="139"/>
      <c r="Y92" s="148"/>
      <c r="Z92" s="138" t="str">
        <f t="shared" si="22"/>
        <v/>
      </c>
      <c r="AA92" s="138" t="str">
        <f t="shared" si="28"/>
        <v/>
      </c>
      <c r="AB92" s="239"/>
      <c r="AC92" s="325"/>
      <c r="AD92" s="325"/>
      <c r="AE92" s="325"/>
      <c r="AF92" s="325"/>
      <c r="AG92" s="325"/>
      <c r="AH92" s="325"/>
      <c r="AI92" s="325"/>
      <c r="AJ92" s="325"/>
      <c r="AK92" s="325"/>
      <c r="AL92" s="325"/>
      <c r="AM92" s="325"/>
      <c r="AN92" s="325"/>
      <c r="AO92" s="325"/>
      <c r="AP92" s="136"/>
      <c r="AQ92" s="136"/>
      <c r="AR92" s="136" t="str">
        <f t="shared" si="23"/>
        <v/>
      </c>
      <c r="AS92" s="136" t="str">
        <f t="shared" si="23"/>
        <v/>
      </c>
      <c r="AT92" s="5" t="str">
        <f t="shared" si="24"/>
        <v/>
      </c>
      <c r="AV92" s="27" t="str">
        <f t="shared" si="30"/>
        <v/>
      </c>
      <c r="AW92" s="27"/>
      <c r="AY92" s="122" t="str">
        <f t="shared" si="25"/>
        <v/>
      </c>
    </row>
    <row r="93" spans="2:51" ht="12.75">
      <c r="B93" s="20" t="str">
        <f t="shared" si="27"/>
        <v/>
      </c>
      <c r="C93" s="5"/>
      <c r="D93" s="5"/>
      <c r="E93" s="5"/>
      <c r="G93" s="5" t="str">
        <f t="shared" si="17"/>
        <v/>
      </c>
      <c r="H93" s="117" t="str">
        <f t="shared" si="29"/>
        <v/>
      </c>
      <c r="I93" s="5" t="str">
        <f t="shared" si="18"/>
        <v/>
      </c>
      <c r="J93" s="5" t="str">
        <f t="shared" si="19"/>
        <v/>
      </c>
      <c r="K93" s="5"/>
      <c r="L93" s="5"/>
      <c r="M93" s="75"/>
      <c r="N93" s="77"/>
      <c r="O93" s="26"/>
      <c r="P93" s="26"/>
      <c r="Q93" s="118" t="str">
        <f t="shared" si="20"/>
        <v/>
      </c>
      <c r="R93" s="153"/>
      <c r="S93" s="138" t="str">
        <f t="shared" si="26"/>
        <v/>
      </c>
      <c r="T93" s="148"/>
      <c r="U93" s="146"/>
      <c r="V93" s="146"/>
      <c r="W93" s="139"/>
      <c r="X93" s="139"/>
      <c r="Y93" s="148"/>
      <c r="Z93" s="138" t="str">
        <f t="shared" si="22"/>
        <v/>
      </c>
      <c r="AA93" s="138" t="str">
        <f t="shared" si="28"/>
        <v/>
      </c>
      <c r="AB93" s="239"/>
      <c r="AC93" s="325"/>
      <c r="AD93" s="325"/>
      <c r="AE93" s="325"/>
      <c r="AF93" s="325"/>
      <c r="AG93" s="325"/>
      <c r="AH93" s="325"/>
      <c r="AI93" s="325"/>
      <c r="AJ93" s="325"/>
      <c r="AK93" s="325"/>
      <c r="AL93" s="325"/>
      <c r="AM93" s="325"/>
      <c r="AN93" s="325"/>
      <c r="AO93" s="325"/>
      <c r="AP93" s="136"/>
      <c r="AQ93" s="136"/>
      <c r="AR93" s="136" t="str">
        <f t="shared" si="23"/>
        <v/>
      </c>
      <c r="AS93" s="136" t="str">
        <f t="shared" si="23"/>
        <v/>
      </c>
      <c r="AT93" s="5" t="str">
        <f t="shared" si="24"/>
        <v/>
      </c>
      <c r="AV93" s="27" t="str">
        <f t="shared" si="30"/>
        <v/>
      </c>
      <c r="AW93" s="27"/>
      <c r="AY93" s="122" t="str">
        <f t="shared" si="25"/>
        <v/>
      </c>
    </row>
    <row r="94" spans="2:51" ht="12.75">
      <c r="B94" s="20" t="str">
        <f t="shared" si="27"/>
        <v/>
      </c>
      <c r="C94" s="5"/>
      <c r="D94" s="5"/>
      <c r="E94" s="5"/>
      <c r="G94" s="5" t="str">
        <f>SUBSTITUTE(SUBSTITUTE(SUBSTITUTE(SUBSTITUTE(SUBSTITUTE(SUBSTITUTE(SUBSTITUTE(SUBSTITUTE(SUBSTITUTE(C94," ",""),".",""),"#","No"),"%",""),"(",""),"*",""),"-",""),"/",""),")","")</f>
        <v/>
      </c>
      <c r="H94" s="117" t="str">
        <f t="shared" si="29"/>
        <v/>
      </c>
      <c r="I94" s="5" t="str">
        <f>IF(E94=0,"",+E94)</f>
        <v/>
      </c>
      <c r="J94" s="5" t="str">
        <f>IF(C94=0,"",(IF(ISERROR(VLOOKUP(G94,$D$120:$D$127,1,FALSE)),""," NOT")&amp;" NULL"))</f>
        <v/>
      </c>
      <c r="K94" s="5"/>
      <c r="L94" s="5"/>
      <c r="M94" s="75"/>
      <c r="N94" s="77"/>
      <c r="O94" s="26"/>
      <c r="P94" s="26"/>
      <c r="Q94" s="118" t="str">
        <f>IF(M94=0,"",ROW())</f>
        <v/>
      </c>
      <c r="R94" s="153"/>
      <c r="S94" s="138" t="str">
        <f t="shared" si="26"/>
        <v/>
      </c>
      <c r="T94" s="148"/>
      <c r="U94" s="146"/>
      <c r="V94" s="146"/>
      <c r="W94" s="139"/>
      <c r="X94" s="139"/>
      <c r="Y94" s="148"/>
      <c r="Z94" s="138" t="str">
        <f t="shared" si="22"/>
        <v/>
      </c>
      <c r="AA94" s="138" t="str">
        <f t="shared" si="28"/>
        <v/>
      </c>
      <c r="AB94" s="239"/>
      <c r="AC94" s="325"/>
      <c r="AD94" s="325"/>
      <c r="AE94" s="325"/>
      <c r="AF94" s="325"/>
      <c r="AG94" s="325"/>
      <c r="AH94" s="325"/>
      <c r="AI94" s="325"/>
      <c r="AJ94" s="325"/>
      <c r="AK94" s="325"/>
      <c r="AL94" s="325"/>
      <c r="AM94" s="325"/>
      <c r="AN94" s="325"/>
      <c r="AO94" s="325"/>
      <c r="AP94" s="136"/>
      <c r="AQ94" s="136"/>
      <c r="AR94" s="136" t="str">
        <f t="shared" si="23"/>
        <v/>
      </c>
      <c r="AS94" s="136" t="str">
        <f t="shared" si="23"/>
        <v/>
      </c>
      <c r="AT94" s="5" t="str">
        <f t="shared" si="24"/>
        <v/>
      </c>
      <c r="AV94" s="27" t="str">
        <f t="shared" si="30"/>
        <v/>
      </c>
      <c r="AW94" s="27"/>
      <c r="AY94" s="122" t="str">
        <f t="shared" si="25"/>
        <v/>
      </c>
    </row>
    <row r="95" spans="2:51" ht="12.75">
      <c r="B95" s="20" t="str">
        <f t="shared" si="27"/>
        <v/>
      </c>
      <c r="C95" s="5"/>
      <c r="D95" s="5"/>
      <c r="E95" s="5"/>
      <c r="G95" s="5" t="str">
        <f>SUBSTITUTE(SUBSTITUTE(SUBSTITUTE(SUBSTITUTE(SUBSTITUTE(SUBSTITUTE(SUBSTITUTE(SUBSTITUTE(SUBSTITUTE(C95," ",""),".",""),"#","No"),"%",""),"(",""),"*",""),"-",""),"/",""),")","")</f>
        <v/>
      </c>
      <c r="H95" s="117" t="str">
        <f t="shared" si="29"/>
        <v/>
      </c>
      <c r="I95" s="5" t="str">
        <f>IF(E95=0,"",+E95)</f>
        <v/>
      </c>
      <c r="J95" s="5" t="str">
        <f>IF(C95=0,"",(IF(ISERROR(VLOOKUP(G95,$D$120:$D$127,1,FALSE)),""," NOT")&amp;" NULL"))</f>
        <v/>
      </c>
      <c r="K95" s="5"/>
      <c r="L95" s="5"/>
      <c r="M95" s="75"/>
      <c r="N95" s="77"/>
      <c r="O95" s="26"/>
      <c r="P95" s="26"/>
      <c r="Q95" s="118" t="str">
        <f>IF(M95=0,"",ROW())</f>
        <v/>
      </c>
      <c r="R95" s="153"/>
      <c r="S95" s="138" t="str">
        <f t="shared" si="26"/>
        <v/>
      </c>
      <c r="T95" s="148"/>
      <c r="U95" s="146"/>
      <c r="V95" s="146"/>
      <c r="W95" s="139"/>
      <c r="X95" s="139"/>
      <c r="Y95" s="148"/>
      <c r="Z95" s="138" t="str">
        <f t="shared" si="22"/>
        <v/>
      </c>
      <c r="AA95" s="138" t="str">
        <f t="shared" si="28"/>
        <v/>
      </c>
      <c r="AB95" s="239"/>
      <c r="AC95" s="325"/>
      <c r="AD95" s="325"/>
      <c r="AE95" s="325"/>
      <c r="AF95" s="325"/>
      <c r="AG95" s="325"/>
      <c r="AH95" s="325"/>
      <c r="AI95" s="325"/>
      <c r="AJ95" s="325"/>
      <c r="AK95" s="325"/>
      <c r="AL95" s="325"/>
      <c r="AM95" s="325"/>
      <c r="AN95" s="325"/>
      <c r="AO95" s="325"/>
      <c r="AP95" s="136"/>
      <c r="AQ95" s="136"/>
      <c r="AR95" s="136" t="str">
        <f t="shared" si="23"/>
        <v/>
      </c>
      <c r="AS95" s="136" t="str">
        <f t="shared" si="23"/>
        <v/>
      </c>
      <c r="AT95" s="5" t="str">
        <f t="shared" si="24"/>
        <v/>
      </c>
      <c r="AV95" s="27" t="str">
        <f t="shared" si="30"/>
        <v/>
      </c>
      <c r="AW95" s="27"/>
      <c r="AY95" s="122" t="str">
        <f t="shared" si="25"/>
        <v/>
      </c>
    </row>
    <row r="96" spans="2:51" ht="12.75">
      <c r="B96" s="20" t="str">
        <f t="shared" si="27"/>
        <v/>
      </c>
      <c r="C96" s="5"/>
      <c r="D96" s="5"/>
      <c r="E96" s="5"/>
      <c r="G96" s="5" t="str">
        <f>SUBSTITUTE(SUBSTITUTE(SUBSTITUTE(SUBSTITUTE(SUBSTITUTE(SUBSTITUTE(SUBSTITUTE(SUBSTITUTE(SUBSTITUTE(C96," ",""),".",""),"#","No"),"%",""),"(",""),"*",""),"-",""),"/",""),")","")</f>
        <v/>
      </c>
      <c r="H96" s="117" t="str">
        <f t="shared" si="29"/>
        <v/>
      </c>
      <c r="I96" s="5" t="str">
        <f>IF(E96=0,"",+E96)</f>
        <v/>
      </c>
      <c r="J96" s="5" t="str">
        <f>IF(C96=0,"",(IF(ISERROR(VLOOKUP(G96,$D$120:$D$127,1,FALSE)),""," NOT")&amp;" NULL"))</f>
        <v/>
      </c>
      <c r="K96" s="5"/>
      <c r="L96" s="5"/>
      <c r="M96" s="75"/>
      <c r="N96" s="77"/>
      <c r="O96" s="26"/>
      <c r="P96" s="26"/>
      <c r="Q96" s="118" t="str">
        <f>IF(M96=0,"",ROW())</f>
        <v/>
      </c>
      <c r="R96" s="153"/>
      <c r="S96" s="138" t="str">
        <f t="shared" si="26"/>
        <v/>
      </c>
      <c r="T96" s="148"/>
      <c r="U96" s="146"/>
      <c r="V96" s="146"/>
      <c r="W96" s="139"/>
      <c r="X96" s="139"/>
      <c r="Y96" s="148"/>
      <c r="Z96" s="138" t="str">
        <f t="shared" si="22"/>
        <v/>
      </c>
      <c r="AA96" s="138" t="str">
        <f t="shared" si="28"/>
        <v/>
      </c>
      <c r="AB96" s="239"/>
      <c r="AC96" s="325"/>
      <c r="AD96" s="325"/>
      <c r="AE96" s="325"/>
      <c r="AF96" s="325"/>
      <c r="AG96" s="325"/>
      <c r="AH96" s="325"/>
      <c r="AI96" s="325"/>
      <c r="AJ96" s="325"/>
      <c r="AK96" s="325"/>
      <c r="AL96" s="325"/>
      <c r="AM96" s="325"/>
      <c r="AN96" s="325"/>
      <c r="AO96" s="325"/>
      <c r="AP96" s="136"/>
      <c r="AQ96" s="136"/>
      <c r="AR96" s="136" t="str">
        <f t="shared" si="23"/>
        <v/>
      </c>
      <c r="AS96" s="136" t="str">
        <f t="shared" si="23"/>
        <v/>
      </c>
      <c r="AT96" s="5" t="str">
        <f t="shared" si="24"/>
        <v/>
      </c>
      <c r="AV96" s="27" t="str">
        <f>IF(G96="","",+"          ["&amp;TRIM(G96)&amp;"] ["&amp;TRIM(I96)&amp;"]"&amp;IF(H96="","","("&amp;H96&amp;")")&amp;" "&amp;TRIM(J96)&amp;IF(G108="","",","))</f>
        <v/>
      </c>
      <c r="AW96" s="27"/>
      <c r="AY96" s="122" t="str">
        <f t="shared" si="25"/>
        <v/>
      </c>
    </row>
    <row r="97" spans="2:51" ht="12.75">
      <c r="B97" s="20" t="str">
        <f t="shared" si="27"/>
        <v/>
      </c>
      <c r="C97" s="5"/>
      <c r="D97" s="5"/>
      <c r="E97" s="5"/>
      <c r="G97" s="5" t="str">
        <f t="shared" ref="G97:G115" si="31">SUBSTITUTE(SUBSTITUTE(SUBSTITUTE(SUBSTITUTE(SUBSTITUTE(SUBSTITUTE(SUBSTITUTE(SUBSTITUTE(SUBSTITUTE(C97," ",""),".",""),"#","No"),"%",""),"(",""),"*",""),"-",""),"/",""),")","")</f>
        <v/>
      </c>
      <c r="H97" s="117" t="str">
        <f t="shared" si="29"/>
        <v/>
      </c>
      <c r="I97" s="5" t="str">
        <f t="shared" ref="I97:I115" si="32">IF(E97=0,"",+E97)</f>
        <v/>
      </c>
      <c r="J97" s="5" t="str">
        <f t="shared" ref="J97:J115" si="33">IF(C97=0,"",(IF(ISERROR(VLOOKUP(G97,$D$120:$D$127,1,FALSE)),""," NOT")&amp;" NULL"))</f>
        <v/>
      </c>
      <c r="K97" s="5"/>
      <c r="L97" s="5"/>
      <c r="M97" s="75"/>
      <c r="N97" s="77"/>
      <c r="O97" s="26"/>
      <c r="P97" s="26"/>
      <c r="Q97" s="118" t="str">
        <f t="shared" ref="Q97:Q115" si="34">IF(M97=0,"",ROW())</f>
        <v/>
      </c>
      <c r="R97" s="153"/>
      <c r="S97" s="138" t="str">
        <f t="shared" si="26"/>
        <v/>
      </c>
      <c r="T97" s="148"/>
      <c r="U97" s="146"/>
      <c r="V97" s="146"/>
      <c r="W97" s="139"/>
      <c r="X97" s="139"/>
      <c r="Y97" s="148"/>
      <c r="Z97" s="138" t="str">
        <f t="shared" si="22"/>
        <v/>
      </c>
      <c r="AA97" s="138" t="str">
        <f t="shared" si="28"/>
        <v/>
      </c>
      <c r="AB97" s="239"/>
      <c r="AC97" s="325"/>
      <c r="AD97" s="325"/>
      <c r="AE97" s="325"/>
      <c r="AF97" s="325"/>
      <c r="AG97" s="325"/>
      <c r="AH97" s="325"/>
      <c r="AI97" s="325"/>
      <c r="AJ97" s="325"/>
      <c r="AK97" s="325"/>
      <c r="AL97" s="325"/>
      <c r="AM97" s="325"/>
      <c r="AN97" s="325"/>
      <c r="AO97" s="325"/>
      <c r="AP97" s="136"/>
      <c r="AQ97" s="136"/>
      <c r="AR97" s="136" t="str">
        <f t="shared" si="23"/>
        <v/>
      </c>
      <c r="AS97" s="136" t="str">
        <f t="shared" si="23"/>
        <v/>
      </c>
      <c r="AT97" s="5" t="str">
        <f t="shared" si="24"/>
        <v/>
      </c>
      <c r="AV97" s="27" t="str">
        <f>IF(G97="","",+"          ["&amp;TRIM(G97)&amp;"] ["&amp;TRIM(I97)&amp;"]"&amp;IF(H97="","","("&amp;H97&amp;")")&amp;" "&amp;TRIM(J97)&amp;IF(G98="","",","))</f>
        <v/>
      </c>
      <c r="AW97" s="27"/>
      <c r="AY97" s="122" t="str">
        <f t="shared" si="25"/>
        <v/>
      </c>
    </row>
    <row r="98" spans="2:51" ht="12.75">
      <c r="B98" s="20" t="str">
        <f t="shared" si="27"/>
        <v/>
      </c>
      <c r="C98" s="5"/>
      <c r="D98" s="5"/>
      <c r="E98" s="5"/>
      <c r="G98" s="5" t="str">
        <f t="shared" si="31"/>
        <v/>
      </c>
      <c r="H98" s="117" t="str">
        <f t="shared" si="29"/>
        <v/>
      </c>
      <c r="I98" s="5" t="str">
        <f t="shared" si="32"/>
        <v/>
      </c>
      <c r="J98" s="5" t="str">
        <f t="shared" si="33"/>
        <v/>
      </c>
      <c r="K98" s="5"/>
      <c r="L98" s="5"/>
      <c r="M98" s="75"/>
      <c r="N98" s="77"/>
      <c r="O98" s="26"/>
      <c r="P98" s="26"/>
      <c r="Q98" s="118" t="str">
        <f t="shared" si="34"/>
        <v/>
      </c>
      <c r="R98" s="153"/>
      <c r="S98" s="138" t="str">
        <f t="shared" si="26"/>
        <v/>
      </c>
      <c r="T98" s="148"/>
      <c r="U98" s="146"/>
      <c r="V98" s="146"/>
      <c r="W98" s="139"/>
      <c r="X98" s="139"/>
      <c r="Y98" s="148"/>
      <c r="Z98" s="138" t="str">
        <f t="shared" si="22"/>
        <v/>
      </c>
      <c r="AA98" s="138" t="str">
        <f t="shared" si="28"/>
        <v/>
      </c>
      <c r="AB98" s="239"/>
      <c r="AC98" s="325"/>
      <c r="AD98" s="325"/>
      <c r="AE98" s="325"/>
      <c r="AF98" s="325"/>
      <c r="AG98" s="325"/>
      <c r="AH98" s="325"/>
      <c r="AI98" s="325"/>
      <c r="AJ98" s="325"/>
      <c r="AK98" s="325"/>
      <c r="AL98" s="325"/>
      <c r="AM98" s="325"/>
      <c r="AN98" s="325"/>
      <c r="AO98" s="325"/>
      <c r="AP98" s="136"/>
      <c r="AQ98" s="136"/>
      <c r="AR98" s="136" t="str">
        <f t="shared" si="23"/>
        <v/>
      </c>
      <c r="AS98" s="136" t="str">
        <f t="shared" si="23"/>
        <v/>
      </c>
      <c r="AT98" s="5" t="str">
        <f t="shared" si="24"/>
        <v/>
      </c>
      <c r="AV98" s="27" t="str">
        <f>IF(G98="","",+"          ["&amp;TRIM(G98)&amp;"] ["&amp;TRIM(I98)&amp;"]"&amp;IF(H98="","","("&amp;H98&amp;")")&amp;" "&amp;TRIM(J98)&amp;IF(G107="","",","))</f>
        <v/>
      </c>
      <c r="AW98" s="27"/>
      <c r="AY98" s="122" t="str">
        <f t="shared" si="25"/>
        <v/>
      </c>
    </row>
    <row r="99" spans="2:51" ht="12.75">
      <c r="B99" s="20" t="str">
        <f t="shared" si="27"/>
        <v/>
      </c>
      <c r="C99" s="5"/>
      <c r="D99" s="5"/>
      <c r="E99" s="5"/>
      <c r="G99" s="5" t="str">
        <f t="shared" si="31"/>
        <v/>
      </c>
      <c r="H99" s="117" t="str">
        <f t="shared" si="29"/>
        <v/>
      </c>
      <c r="I99" s="5" t="str">
        <f t="shared" si="32"/>
        <v/>
      </c>
      <c r="J99" s="5" t="str">
        <f t="shared" si="33"/>
        <v/>
      </c>
      <c r="K99" s="5"/>
      <c r="L99" s="5"/>
      <c r="M99" s="75"/>
      <c r="N99" s="77"/>
      <c r="O99" s="26"/>
      <c r="P99" s="26"/>
      <c r="Q99" s="118" t="str">
        <f t="shared" si="34"/>
        <v/>
      </c>
      <c r="R99" s="153"/>
      <c r="S99" s="138" t="str">
        <f t="shared" si="26"/>
        <v/>
      </c>
      <c r="T99" s="148"/>
      <c r="U99" s="146"/>
      <c r="V99" s="146"/>
      <c r="W99" s="139"/>
      <c r="X99" s="139"/>
      <c r="Y99" s="148"/>
      <c r="Z99" s="138" t="str">
        <f t="shared" si="22"/>
        <v/>
      </c>
      <c r="AA99" s="138" t="str">
        <f t="shared" si="28"/>
        <v/>
      </c>
      <c r="AB99" s="239"/>
      <c r="AC99" s="325"/>
      <c r="AD99" s="325"/>
      <c r="AE99" s="325"/>
      <c r="AF99" s="325"/>
      <c r="AG99" s="325"/>
      <c r="AH99" s="325"/>
      <c r="AI99" s="325"/>
      <c r="AJ99" s="325"/>
      <c r="AK99" s="325"/>
      <c r="AL99" s="325"/>
      <c r="AM99" s="325"/>
      <c r="AN99" s="325"/>
      <c r="AO99" s="325"/>
      <c r="AP99" s="136"/>
      <c r="AQ99" s="136"/>
      <c r="AR99" s="136" t="str">
        <f t="shared" si="23"/>
        <v/>
      </c>
      <c r="AS99" s="136" t="str">
        <f t="shared" si="23"/>
        <v/>
      </c>
      <c r="AT99" s="5" t="str">
        <f t="shared" si="24"/>
        <v/>
      </c>
      <c r="AV99" s="27" t="str">
        <f>IF(G99="","",+"          ["&amp;TRIM(G99)&amp;"] ["&amp;TRIM(I99)&amp;"]"&amp;IF(H99="","","("&amp;H99&amp;")")&amp;" "&amp;TRIM(J99)&amp;IF(G106="","",","))</f>
        <v/>
      </c>
      <c r="AW99" s="27"/>
      <c r="AY99" s="122" t="str">
        <f t="shared" si="25"/>
        <v/>
      </c>
    </row>
    <row r="100" spans="2:51" ht="12.75">
      <c r="B100" s="20" t="str">
        <f t="shared" si="27"/>
        <v/>
      </c>
      <c r="C100" s="5"/>
      <c r="D100" s="5"/>
      <c r="E100" s="5"/>
      <c r="G100" s="5" t="str">
        <f t="shared" si="31"/>
        <v/>
      </c>
      <c r="H100" s="117" t="str">
        <f t="shared" si="29"/>
        <v/>
      </c>
      <c r="I100" s="5" t="str">
        <f t="shared" si="32"/>
        <v/>
      </c>
      <c r="J100" s="5" t="str">
        <f t="shared" si="33"/>
        <v/>
      </c>
      <c r="K100" s="5"/>
      <c r="L100" s="5"/>
      <c r="M100" s="75"/>
      <c r="N100" s="77"/>
      <c r="O100" s="26"/>
      <c r="P100" s="26"/>
      <c r="Q100" s="118" t="str">
        <f t="shared" si="34"/>
        <v/>
      </c>
      <c r="R100" s="153"/>
      <c r="S100" s="138" t="str">
        <f t="shared" si="26"/>
        <v/>
      </c>
      <c r="T100" s="148"/>
      <c r="U100" s="146"/>
      <c r="V100" s="146"/>
      <c r="W100" s="139"/>
      <c r="X100" s="139"/>
      <c r="Y100" s="148"/>
      <c r="Z100" s="138" t="str">
        <f t="shared" si="22"/>
        <v/>
      </c>
      <c r="AA100" s="138" t="str">
        <f t="shared" si="28"/>
        <v/>
      </c>
      <c r="AB100" s="239"/>
      <c r="AC100" s="325"/>
      <c r="AD100" s="325"/>
      <c r="AE100" s="325"/>
      <c r="AF100" s="325"/>
      <c r="AG100" s="325"/>
      <c r="AH100" s="325"/>
      <c r="AI100" s="325"/>
      <c r="AJ100" s="325"/>
      <c r="AK100" s="325"/>
      <c r="AL100" s="325"/>
      <c r="AM100" s="325"/>
      <c r="AN100" s="325"/>
      <c r="AO100" s="325"/>
      <c r="AP100" s="136"/>
      <c r="AQ100" s="136"/>
      <c r="AR100" s="136" t="str">
        <f t="shared" si="23"/>
        <v/>
      </c>
      <c r="AS100" s="136" t="str">
        <f t="shared" si="23"/>
        <v/>
      </c>
      <c r="AT100" s="5" t="str">
        <f t="shared" si="24"/>
        <v/>
      </c>
      <c r="AV100" s="27" t="str">
        <f>IF(G100="","",+"          ["&amp;TRIM(G100)&amp;"] ["&amp;TRIM(I100)&amp;"]"&amp;IF(H100="","","("&amp;H100&amp;")")&amp;" "&amp;TRIM(J100)&amp;IF(G101="","",","))</f>
        <v/>
      </c>
      <c r="AW100" s="27"/>
      <c r="AY100" s="122" t="str">
        <f t="shared" si="25"/>
        <v/>
      </c>
    </row>
    <row r="101" spans="2:51" ht="12.75">
      <c r="B101" s="20" t="str">
        <f t="shared" si="27"/>
        <v/>
      </c>
      <c r="C101" s="5"/>
      <c r="D101" s="5"/>
      <c r="E101" s="5"/>
      <c r="G101" s="5" t="str">
        <f t="shared" si="31"/>
        <v/>
      </c>
      <c r="H101" s="117" t="str">
        <f t="shared" si="29"/>
        <v/>
      </c>
      <c r="I101" s="5" t="str">
        <f t="shared" si="32"/>
        <v/>
      </c>
      <c r="J101" s="5" t="str">
        <f t="shared" si="33"/>
        <v/>
      </c>
      <c r="K101" s="5"/>
      <c r="L101" s="5"/>
      <c r="M101" s="75"/>
      <c r="N101" s="77"/>
      <c r="O101" s="26"/>
      <c r="P101" s="26"/>
      <c r="Q101" s="118" t="str">
        <f t="shared" si="34"/>
        <v/>
      </c>
      <c r="R101" s="153"/>
      <c r="S101" s="138" t="str">
        <f t="shared" si="26"/>
        <v/>
      </c>
      <c r="T101" s="148"/>
      <c r="U101" s="146"/>
      <c r="V101" s="146"/>
      <c r="W101" s="139"/>
      <c r="X101" s="139"/>
      <c r="Y101" s="148"/>
      <c r="Z101" s="138" t="str">
        <f t="shared" si="22"/>
        <v/>
      </c>
      <c r="AA101" s="138" t="str">
        <f t="shared" si="28"/>
        <v/>
      </c>
      <c r="AB101" s="239"/>
      <c r="AC101" s="325"/>
      <c r="AD101" s="325"/>
      <c r="AE101" s="325"/>
      <c r="AF101" s="325"/>
      <c r="AG101" s="325"/>
      <c r="AH101" s="325"/>
      <c r="AI101" s="325"/>
      <c r="AJ101" s="325"/>
      <c r="AK101" s="325"/>
      <c r="AL101" s="325"/>
      <c r="AM101" s="325"/>
      <c r="AN101" s="325"/>
      <c r="AO101" s="325"/>
      <c r="AP101" s="136"/>
      <c r="AQ101" s="136"/>
      <c r="AR101" s="136" t="str">
        <f t="shared" si="23"/>
        <v/>
      </c>
      <c r="AS101" s="136" t="str">
        <f t="shared" si="23"/>
        <v/>
      </c>
      <c r="AT101" s="5" t="str">
        <f t="shared" si="24"/>
        <v/>
      </c>
      <c r="AV101" s="27" t="str">
        <f>IF(G101="","",+"          ["&amp;TRIM(G101)&amp;"] ["&amp;TRIM(I101)&amp;"]"&amp;IF(H101="","","("&amp;H101&amp;")")&amp;" "&amp;TRIM(J101)&amp;IF(G102="","",","))</f>
        <v/>
      </c>
      <c r="AW101" s="27"/>
      <c r="AY101" s="122" t="str">
        <f t="shared" si="25"/>
        <v/>
      </c>
    </row>
    <row r="102" spans="2:51" ht="12.75">
      <c r="B102" s="20" t="str">
        <f t="shared" si="27"/>
        <v/>
      </c>
      <c r="C102" s="5"/>
      <c r="D102" s="5"/>
      <c r="E102" s="5"/>
      <c r="G102" s="5" t="str">
        <f t="shared" si="31"/>
        <v/>
      </c>
      <c r="H102" s="117" t="str">
        <f t="shared" si="29"/>
        <v/>
      </c>
      <c r="I102" s="5" t="str">
        <f t="shared" si="32"/>
        <v/>
      </c>
      <c r="J102" s="5" t="str">
        <f t="shared" si="33"/>
        <v/>
      </c>
      <c r="K102" s="5"/>
      <c r="L102" s="5"/>
      <c r="M102" s="75"/>
      <c r="N102" s="77"/>
      <c r="O102" s="26"/>
      <c r="P102" s="26"/>
      <c r="Q102" s="118" t="str">
        <f t="shared" si="34"/>
        <v/>
      </c>
      <c r="R102" s="153"/>
      <c r="S102" s="138" t="str">
        <f t="shared" si="26"/>
        <v/>
      </c>
      <c r="T102" s="148"/>
      <c r="U102" s="146"/>
      <c r="V102" s="146"/>
      <c r="W102" s="139"/>
      <c r="X102" s="139"/>
      <c r="Y102" s="148"/>
      <c r="Z102" s="138" t="str">
        <f t="shared" si="22"/>
        <v/>
      </c>
      <c r="AA102" s="138" t="str">
        <f t="shared" si="28"/>
        <v/>
      </c>
      <c r="AB102" s="239"/>
      <c r="AC102" s="325"/>
      <c r="AD102" s="325"/>
      <c r="AE102" s="325"/>
      <c r="AF102" s="325"/>
      <c r="AG102" s="325"/>
      <c r="AH102" s="325"/>
      <c r="AI102" s="325"/>
      <c r="AJ102" s="325"/>
      <c r="AK102" s="325"/>
      <c r="AL102" s="325"/>
      <c r="AM102" s="325"/>
      <c r="AN102" s="325"/>
      <c r="AO102" s="325"/>
      <c r="AP102" s="136"/>
      <c r="AQ102" s="136"/>
      <c r="AR102" s="136" t="str">
        <f t="shared" si="23"/>
        <v/>
      </c>
      <c r="AS102" s="136" t="str">
        <f t="shared" si="23"/>
        <v/>
      </c>
      <c r="AT102" s="5" t="str">
        <f t="shared" si="24"/>
        <v/>
      </c>
      <c r="AV102" s="27" t="str">
        <f>IF(G102="","",+"          ["&amp;TRIM(G102)&amp;"] ["&amp;TRIM(I102)&amp;"]"&amp;IF(H102="","","("&amp;H102&amp;")")&amp;" "&amp;TRIM(J102)&amp;IF(G103="","",","))</f>
        <v/>
      </c>
      <c r="AW102" s="27"/>
      <c r="AY102" s="122" t="str">
        <f t="shared" si="25"/>
        <v/>
      </c>
    </row>
    <row r="103" spans="2:51" ht="12.75">
      <c r="B103" s="20" t="str">
        <f t="shared" si="27"/>
        <v/>
      </c>
      <c r="C103" s="5"/>
      <c r="D103" s="5"/>
      <c r="E103" s="5"/>
      <c r="G103" s="5" t="str">
        <f t="shared" si="31"/>
        <v/>
      </c>
      <c r="H103" s="117" t="str">
        <f t="shared" si="29"/>
        <v/>
      </c>
      <c r="I103" s="5" t="str">
        <f t="shared" si="32"/>
        <v/>
      </c>
      <c r="J103" s="5" t="str">
        <f t="shared" si="33"/>
        <v/>
      </c>
      <c r="K103" s="5"/>
      <c r="L103" s="5"/>
      <c r="M103" s="75"/>
      <c r="N103" s="77"/>
      <c r="O103" s="26"/>
      <c r="P103" s="26"/>
      <c r="Q103" s="118" t="str">
        <f t="shared" si="34"/>
        <v/>
      </c>
      <c r="R103" s="153"/>
      <c r="S103" s="138" t="str">
        <f t="shared" si="26"/>
        <v/>
      </c>
      <c r="T103" s="148"/>
      <c r="U103" s="146"/>
      <c r="V103" s="146"/>
      <c r="W103" s="139"/>
      <c r="X103" s="139"/>
      <c r="Y103" s="148"/>
      <c r="Z103" s="138" t="str">
        <f t="shared" si="22"/>
        <v/>
      </c>
      <c r="AA103" s="138" t="str">
        <f t="shared" si="28"/>
        <v/>
      </c>
      <c r="AB103" s="239"/>
      <c r="AC103" s="325"/>
      <c r="AD103" s="325"/>
      <c r="AE103" s="325"/>
      <c r="AF103" s="325"/>
      <c r="AG103" s="325"/>
      <c r="AH103" s="325"/>
      <c r="AI103" s="325"/>
      <c r="AJ103" s="325"/>
      <c r="AK103" s="325"/>
      <c r="AL103" s="325"/>
      <c r="AM103" s="325"/>
      <c r="AN103" s="325"/>
      <c r="AO103" s="325"/>
      <c r="AP103" s="136"/>
      <c r="AQ103" s="136"/>
      <c r="AR103" s="136" t="str">
        <f t="shared" si="23"/>
        <v/>
      </c>
      <c r="AS103" s="136" t="str">
        <f t="shared" si="23"/>
        <v/>
      </c>
      <c r="AT103" s="5" t="str">
        <f t="shared" si="24"/>
        <v/>
      </c>
      <c r="AV103" s="27" t="str">
        <f>IF(G103="","",+"          ["&amp;TRIM(G103)&amp;"] ["&amp;TRIM(I103)&amp;"]"&amp;IF(H103="","","("&amp;H103&amp;")")&amp;" "&amp;TRIM(J103)&amp;IF(G106="","",","))</f>
        <v/>
      </c>
      <c r="AW103" s="27"/>
      <c r="AY103" s="122" t="str">
        <f t="shared" si="25"/>
        <v/>
      </c>
    </row>
    <row r="104" spans="2:51" ht="12.75">
      <c r="B104" s="20" t="str">
        <f t="shared" si="27"/>
        <v/>
      </c>
      <c r="C104" s="5"/>
      <c r="D104" s="5"/>
      <c r="E104" s="5"/>
      <c r="G104" s="5" t="str">
        <f t="shared" si="31"/>
        <v/>
      </c>
      <c r="H104" s="117" t="str">
        <f t="shared" si="29"/>
        <v/>
      </c>
      <c r="I104" s="5" t="str">
        <f t="shared" si="32"/>
        <v/>
      </c>
      <c r="J104" s="5" t="str">
        <f t="shared" si="33"/>
        <v/>
      </c>
      <c r="K104" s="5"/>
      <c r="L104" s="5"/>
      <c r="M104" s="75"/>
      <c r="N104" s="77"/>
      <c r="O104" s="26"/>
      <c r="P104" s="26"/>
      <c r="Q104" s="118" t="str">
        <f t="shared" si="34"/>
        <v/>
      </c>
      <c r="R104" s="153"/>
      <c r="S104" s="138" t="str">
        <f t="shared" si="26"/>
        <v/>
      </c>
      <c r="T104" s="148"/>
      <c r="U104" s="146"/>
      <c r="V104" s="146"/>
      <c r="W104" s="139"/>
      <c r="X104" s="139"/>
      <c r="Y104" s="148"/>
      <c r="Z104" s="138" t="str">
        <f t="shared" si="22"/>
        <v/>
      </c>
      <c r="AA104" s="138" t="str">
        <f t="shared" si="28"/>
        <v/>
      </c>
      <c r="AB104" s="239"/>
      <c r="AC104" s="325"/>
      <c r="AD104" s="325"/>
      <c r="AE104" s="325"/>
      <c r="AF104" s="325"/>
      <c r="AG104" s="325"/>
      <c r="AH104" s="325"/>
      <c r="AI104" s="325"/>
      <c r="AJ104" s="325"/>
      <c r="AK104" s="325"/>
      <c r="AL104" s="325"/>
      <c r="AM104" s="325"/>
      <c r="AN104" s="325"/>
      <c r="AO104" s="325"/>
      <c r="AP104" s="136"/>
      <c r="AQ104" s="136"/>
      <c r="AR104" s="136" t="str">
        <f t="shared" si="23"/>
        <v/>
      </c>
      <c r="AS104" s="136" t="str">
        <f t="shared" si="23"/>
        <v/>
      </c>
      <c r="AT104" s="5" t="str">
        <f t="shared" si="24"/>
        <v/>
      </c>
      <c r="AV104" s="27" t="str">
        <f t="shared" ref="AV104:AV115" si="35">IF(G104="","",+"          ["&amp;TRIM(G104)&amp;"] ["&amp;TRIM(I104)&amp;"]"&amp;IF(H104="","","("&amp;H104&amp;")")&amp;" "&amp;TRIM(J104)&amp;IF(G105="","",","))</f>
        <v/>
      </c>
      <c r="AW104" s="27"/>
      <c r="AY104" s="122" t="str">
        <f t="shared" si="25"/>
        <v/>
      </c>
    </row>
    <row r="105" spans="2:51" ht="12.75">
      <c r="B105" s="20" t="str">
        <f t="shared" si="27"/>
        <v/>
      </c>
      <c r="C105" s="5"/>
      <c r="D105" s="5"/>
      <c r="E105" s="5"/>
      <c r="G105" s="5" t="str">
        <f t="shared" si="31"/>
        <v/>
      </c>
      <c r="H105" s="117" t="str">
        <f t="shared" si="29"/>
        <v/>
      </c>
      <c r="I105" s="5" t="str">
        <f t="shared" si="32"/>
        <v/>
      </c>
      <c r="J105" s="5" t="str">
        <f t="shared" si="33"/>
        <v/>
      </c>
      <c r="K105" s="5"/>
      <c r="L105" s="5"/>
      <c r="M105" s="75"/>
      <c r="N105" s="77"/>
      <c r="O105" s="26"/>
      <c r="P105" s="26"/>
      <c r="Q105" s="118" t="str">
        <f t="shared" si="34"/>
        <v/>
      </c>
      <c r="R105" s="153"/>
      <c r="S105" s="138" t="str">
        <f t="shared" si="26"/>
        <v/>
      </c>
      <c r="T105" s="148"/>
      <c r="U105" s="146"/>
      <c r="V105" s="146"/>
      <c r="W105" s="139"/>
      <c r="X105" s="139"/>
      <c r="Y105" s="148"/>
      <c r="Z105" s="138" t="str">
        <f t="shared" si="22"/>
        <v/>
      </c>
      <c r="AA105" s="138" t="str">
        <f t="shared" si="28"/>
        <v/>
      </c>
      <c r="AB105" s="239"/>
      <c r="AC105" s="325"/>
      <c r="AD105" s="325"/>
      <c r="AE105" s="325"/>
      <c r="AF105" s="325"/>
      <c r="AG105" s="325"/>
      <c r="AH105" s="325"/>
      <c r="AI105" s="325"/>
      <c r="AJ105" s="325"/>
      <c r="AK105" s="325"/>
      <c r="AL105" s="325"/>
      <c r="AM105" s="325"/>
      <c r="AN105" s="325"/>
      <c r="AO105" s="325"/>
      <c r="AP105" s="136"/>
      <c r="AQ105" s="136"/>
      <c r="AR105" s="136" t="str">
        <f t="shared" si="23"/>
        <v/>
      </c>
      <c r="AS105" s="136" t="str">
        <f t="shared" si="23"/>
        <v/>
      </c>
      <c r="AT105" s="5" t="str">
        <f t="shared" si="24"/>
        <v/>
      </c>
      <c r="AV105" s="27" t="str">
        <f t="shared" si="35"/>
        <v/>
      </c>
      <c r="AW105" s="27"/>
      <c r="AY105" s="122" t="str">
        <f t="shared" si="25"/>
        <v/>
      </c>
    </row>
    <row r="106" spans="2:51" ht="12.75">
      <c r="B106" s="20" t="str">
        <f t="shared" si="27"/>
        <v/>
      </c>
      <c r="C106" s="5"/>
      <c r="D106" s="5"/>
      <c r="E106" s="5"/>
      <c r="G106" s="5" t="str">
        <f t="shared" si="31"/>
        <v/>
      </c>
      <c r="H106" s="117" t="str">
        <f t="shared" si="29"/>
        <v/>
      </c>
      <c r="I106" s="5" t="str">
        <f t="shared" si="32"/>
        <v/>
      </c>
      <c r="J106" s="5" t="str">
        <f t="shared" si="33"/>
        <v/>
      </c>
      <c r="K106" s="5"/>
      <c r="L106" s="5"/>
      <c r="M106" s="75"/>
      <c r="N106" s="77"/>
      <c r="O106" s="26"/>
      <c r="P106" s="26"/>
      <c r="Q106" s="118" t="str">
        <f t="shared" si="34"/>
        <v/>
      </c>
      <c r="R106" s="153"/>
      <c r="S106" s="138" t="str">
        <f t="shared" si="26"/>
        <v/>
      </c>
      <c r="T106" s="148"/>
      <c r="U106" s="146"/>
      <c r="V106" s="146"/>
      <c r="W106" s="139"/>
      <c r="X106" s="139"/>
      <c r="Y106" s="148"/>
      <c r="Z106" s="138" t="str">
        <f t="shared" si="22"/>
        <v/>
      </c>
      <c r="AA106" s="138" t="str">
        <f t="shared" si="28"/>
        <v/>
      </c>
      <c r="AB106" s="239"/>
      <c r="AC106" s="325"/>
      <c r="AD106" s="325"/>
      <c r="AE106" s="325"/>
      <c r="AF106" s="325"/>
      <c r="AG106" s="325"/>
      <c r="AH106" s="325"/>
      <c r="AI106" s="325"/>
      <c r="AJ106" s="325"/>
      <c r="AK106" s="325"/>
      <c r="AL106" s="325"/>
      <c r="AM106" s="325"/>
      <c r="AN106" s="325"/>
      <c r="AO106" s="325"/>
      <c r="AP106" s="136"/>
      <c r="AQ106" s="136"/>
      <c r="AR106" s="136" t="str">
        <f t="shared" si="23"/>
        <v/>
      </c>
      <c r="AS106" s="136" t="str">
        <f t="shared" si="23"/>
        <v/>
      </c>
      <c r="AT106" s="5" t="str">
        <f t="shared" si="24"/>
        <v/>
      </c>
      <c r="AV106" s="27" t="str">
        <f t="shared" si="35"/>
        <v/>
      </c>
      <c r="AW106" s="27"/>
      <c r="AY106" s="122" t="str">
        <f t="shared" si="25"/>
        <v/>
      </c>
    </row>
    <row r="107" spans="2:51" ht="12.75">
      <c r="B107" s="20" t="str">
        <f t="shared" si="27"/>
        <v/>
      </c>
      <c r="C107" s="5"/>
      <c r="D107" s="5"/>
      <c r="E107" s="5"/>
      <c r="G107" s="5" t="str">
        <f t="shared" si="31"/>
        <v/>
      </c>
      <c r="H107" s="117" t="str">
        <f t="shared" si="29"/>
        <v/>
      </c>
      <c r="I107" s="5" t="str">
        <f t="shared" si="32"/>
        <v/>
      </c>
      <c r="J107" s="5" t="str">
        <f t="shared" si="33"/>
        <v/>
      </c>
      <c r="K107" s="5"/>
      <c r="L107" s="5"/>
      <c r="M107" s="75"/>
      <c r="N107" s="77"/>
      <c r="O107" s="26"/>
      <c r="P107" s="26"/>
      <c r="Q107" s="118" t="str">
        <f t="shared" si="34"/>
        <v/>
      </c>
      <c r="R107" s="153"/>
      <c r="S107" s="138" t="str">
        <f t="shared" si="26"/>
        <v/>
      </c>
      <c r="T107" s="148"/>
      <c r="U107" s="146"/>
      <c r="V107" s="146"/>
      <c r="W107" s="139"/>
      <c r="X107" s="139"/>
      <c r="Y107" s="148"/>
      <c r="Z107" s="138" t="str">
        <f t="shared" si="22"/>
        <v/>
      </c>
      <c r="AA107" s="138" t="str">
        <f t="shared" si="28"/>
        <v/>
      </c>
      <c r="AB107" s="239"/>
      <c r="AC107" s="325"/>
      <c r="AD107" s="325"/>
      <c r="AE107" s="325"/>
      <c r="AF107" s="325"/>
      <c r="AG107" s="325"/>
      <c r="AH107" s="325"/>
      <c r="AI107" s="325"/>
      <c r="AJ107" s="325"/>
      <c r="AK107" s="325"/>
      <c r="AL107" s="325"/>
      <c r="AM107" s="325"/>
      <c r="AN107" s="325"/>
      <c r="AO107" s="325"/>
      <c r="AP107" s="136"/>
      <c r="AQ107" s="136"/>
      <c r="AR107" s="136" t="str">
        <f t="shared" si="23"/>
        <v/>
      </c>
      <c r="AS107" s="136" t="str">
        <f t="shared" si="23"/>
        <v/>
      </c>
      <c r="AT107" s="5" t="str">
        <f t="shared" si="24"/>
        <v/>
      </c>
      <c r="AV107" s="27" t="str">
        <f t="shared" si="35"/>
        <v/>
      </c>
      <c r="AW107" s="27"/>
      <c r="AY107" s="122" t="str">
        <f t="shared" si="25"/>
        <v/>
      </c>
    </row>
    <row r="108" spans="2:51" ht="12.75">
      <c r="B108" s="20" t="str">
        <f t="shared" si="27"/>
        <v/>
      </c>
      <c r="C108" s="5"/>
      <c r="D108" s="5"/>
      <c r="E108" s="5"/>
      <c r="G108" s="5" t="str">
        <f t="shared" si="31"/>
        <v/>
      </c>
      <c r="H108" s="117" t="str">
        <f t="shared" si="29"/>
        <v/>
      </c>
      <c r="I108" s="5" t="str">
        <f t="shared" si="32"/>
        <v/>
      </c>
      <c r="J108" s="5" t="str">
        <f t="shared" si="33"/>
        <v/>
      </c>
      <c r="K108" s="5"/>
      <c r="L108" s="5"/>
      <c r="M108" s="75"/>
      <c r="N108" s="77"/>
      <c r="O108" s="26"/>
      <c r="P108" s="26"/>
      <c r="Q108" s="118" t="str">
        <f t="shared" si="34"/>
        <v/>
      </c>
      <c r="R108" s="153"/>
      <c r="S108" s="138" t="str">
        <f t="shared" si="26"/>
        <v/>
      </c>
      <c r="T108" s="148"/>
      <c r="U108" s="146"/>
      <c r="V108" s="146"/>
      <c r="W108" s="139"/>
      <c r="X108" s="139"/>
      <c r="Y108" s="148"/>
      <c r="Z108" s="138" t="str">
        <f t="shared" si="22"/>
        <v/>
      </c>
      <c r="AA108" s="138" t="str">
        <f t="shared" si="28"/>
        <v/>
      </c>
      <c r="AB108" s="239"/>
      <c r="AC108" s="325"/>
      <c r="AD108" s="325"/>
      <c r="AE108" s="325"/>
      <c r="AF108" s="325"/>
      <c r="AG108" s="325"/>
      <c r="AH108" s="325"/>
      <c r="AI108" s="325"/>
      <c r="AJ108" s="325"/>
      <c r="AK108" s="325"/>
      <c r="AL108" s="325"/>
      <c r="AM108" s="325"/>
      <c r="AN108" s="325"/>
      <c r="AO108" s="325"/>
      <c r="AP108" s="136"/>
      <c r="AQ108" s="136"/>
      <c r="AR108" s="136" t="str">
        <f t="shared" si="23"/>
        <v/>
      </c>
      <c r="AS108" s="136" t="str">
        <f t="shared" si="23"/>
        <v/>
      </c>
      <c r="AT108" s="5" t="str">
        <f t="shared" si="24"/>
        <v/>
      </c>
      <c r="AV108" s="27" t="str">
        <f t="shared" si="35"/>
        <v/>
      </c>
      <c r="AW108" s="27"/>
      <c r="AY108" s="122" t="str">
        <f t="shared" si="25"/>
        <v/>
      </c>
    </row>
    <row r="109" spans="2:51" ht="12.75">
      <c r="B109" s="20" t="str">
        <f t="shared" si="27"/>
        <v/>
      </c>
      <c r="C109" s="5"/>
      <c r="D109" s="5"/>
      <c r="E109" s="5"/>
      <c r="G109" s="5" t="str">
        <f t="shared" si="31"/>
        <v/>
      </c>
      <c r="H109" s="117" t="str">
        <f t="shared" si="29"/>
        <v/>
      </c>
      <c r="I109" s="5" t="str">
        <f t="shared" si="32"/>
        <v/>
      </c>
      <c r="J109" s="5" t="str">
        <f t="shared" si="33"/>
        <v/>
      </c>
      <c r="K109" s="5"/>
      <c r="L109" s="5"/>
      <c r="M109" s="75"/>
      <c r="N109" s="77"/>
      <c r="O109" s="26"/>
      <c r="P109" s="26"/>
      <c r="Q109" s="118" t="str">
        <f t="shared" si="34"/>
        <v/>
      </c>
      <c r="R109" s="153"/>
      <c r="S109" s="138" t="str">
        <f t="shared" si="26"/>
        <v/>
      </c>
      <c r="T109" s="148"/>
      <c r="U109" s="146"/>
      <c r="V109" s="146"/>
      <c r="W109" s="139"/>
      <c r="X109" s="139"/>
      <c r="Y109" s="148"/>
      <c r="Z109" s="138" t="str">
        <f t="shared" si="22"/>
        <v/>
      </c>
      <c r="AA109" s="138" t="str">
        <f t="shared" si="28"/>
        <v/>
      </c>
      <c r="AB109" s="239"/>
      <c r="AC109" s="325"/>
      <c r="AD109" s="325"/>
      <c r="AE109" s="325"/>
      <c r="AF109" s="325"/>
      <c r="AG109" s="325"/>
      <c r="AH109" s="325"/>
      <c r="AI109" s="325"/>
      <c r="AJ109" s="325"/>
      <c r="AK109" s="325"/>
      <c r="AL109" s="325"/>
      <c r="AM109" s="325"/>
      <c r="AN109" s="325"/>
      <c r="AO109" s="325"/>
      <c r="AP109" s="136"/>
      <c r="AQ109" s="136"/>
      <c r="AR109" s="136" t="str">
        <f t="shared" si="23"/>
        <v/>
      </c>
      <c r="AS109" s="136" t="str">
        <f t="shared" si="23"/>
        <v/>
      </c>
      <c r="AT109" s="5" t="str">
        <f t="shared" si="24"/>
        <v/>
      </c>
      <c r="AV109" s="27" t="str">
        <f t="shared" si="35"/>
        <v/>
      </c>
      <c r="AW109" s="27"/>
      <c r="AY109" s="122" t="str">
        <f t="shared" si="25"/>
        <v/>
      </c>
    </row>
    <row r="110" spans="2:51" ht="12.75">
      <c r="B110" s="20" t="str">
        <f t="shared" si="27"/>
        <v/>
      </c>
      <c r="C110" s="5"/>
      <c r="D110" s="5"/>
      <c r="E110" s="5"/>
      <c r="G110" s="5" t="str">
        <f t="shared" si="31"/>
        <v/>
      </c>
      <c r="H110" s="117" t="str">
        <f t="shared" si="29"/>
        <v/>
      </c>
      <c r="I110" s="5" t="str">
        <f t="shared" si="32"/>
        <v/>
      </c>
      <c r="J110" s="5" t="str">
        <f t="shared" si="33"/>
        <v/>
      </c>
      <c r="K110" s="5"/>
      <c r="L110" s="5"/>
      <c r="M110" s="75"/>
      <c r="N110" s="77"/>
      <c r="O110" s="26"/>
      <c r="P110" s="26"/>
      <c r="Q110" s="118" t="str">
        <f t="shared" si="34"/>
        <v/>
      </c>
      <c r="R110" s="153"/>
      <c r="S110" s="138" t="str">
        <f t="shared" si="26"/>
        <v/>
      </c>
      <c r="T110" s="148"/>
      <c r="U110" s="146"/>
      <c r="V110" s="146"/>
      <c r="W110" s="139"/>
      <c r="X110" s="139"/>
      <c r="Y110" s="148"/>
      <c r="Z110" s="138" t="str">
        <f t="shared" si="22"/>
        <v/>
      </c>
      <c r="AA110" s="138" t="str">
        <f t="shared" si="28"/>
        <v/>
      </c>
      <c r="AB110" s="239"/>
      <c r="AC110" s="325"/>
      <c r="AD110" s="325"/>
      <c r="AE110" s="325"/>
      <c r="AF110" s="325"/>
      <c r="AG110" s="325"/>
      <c r="AH110" s="325"/>
      <c r="AI110" s="325"/>
      <c r="AJ110" s="325"/>
      <c r="AK110" s="325"/>
      <c r="AL110" s="325"/>
      <c r="AM110" s="325"/>
      <c r="AN110" s="325"/>
      <c r="AO110" s="325"/>
      <c r="AP110" s="136"/>
      <c r="AQ110" s="136"/>
      <c r="AR110" s="136" t="str">
        <f t="shared" si="23"/>
        <v/>
      </c>
      <c r="AS110" s="136" t="str">
        <f t="shared" si="23"/>
        <v/>
      </c>
      <c r="AT110" s="5" t="str">
        <f t="shared" si="24"/>
        <v/>
      </c>
      <c r="AV110" s="27" t="str">
        <f t="shared" si="35"/>
        <v/>
      </c>
      <c r="AW110" s="27"/>
      <c r="AY110" s="122" t="str">
        <f t="shared" si="25"/>
        <v/>
      </c>
    </row>
    <row r="111" spans="2:51" ht="12.75">
      <c r="B111" s="20" t="str">
        <f t="shared" si="27"/>
        <v/>
      </c>
      <c r="C111" s="5"/>
      <c r="D111" s="5"/>
      <c r="E111" s="5"/>
      <c r="G111" s="5" t="str">
        <f t="shared" si="31"/>
        <v/>
      </c>
      <c r="H111" s="117" t="str">
        <f t="shared" si="29"/>
        <v/>
      </c>
      <c r="I111" s="5" t="str">
        <f t="shared" si="32"/>
        <v/>
      </c>
      <c r="J111" s="5" t="str">
        <f t="shared" si="33"/>
        <v/>
      </c>
      <c r="K111" s="5"/>
      <c r="L111" s="5"/>
      <c r="M111" s="75"/>
      <c r="N111" s="77"/>
      <c r="O111" s="26"/>
      <c r="P111" s="26"/>
      <c r="Q111" s="118" t="str">
        <f t="shared" si="34"/>
        <v/>
      </c>
      <c r="R111" s="153"/>
      <c r="S111" s="138" t="str">
        <f t="shared" si="26"/>
        <v/>
      </c>
      <c r="T111" s="148"/>
      <c r="U111" s="146"/>
      <c r="V111" s="146"/>
      <c r="W111" s="139"/>
      <c r="X111" s="139"/>
      <c r="Y111" s="148"/>
      <c r="Z111" s="138" t="str">
        <f t="shared" si="22"/>
        <v/>
      </c>
      <c r="AA111" s="138" t="str">
        <f t="shared" si="28"/>
        <v/>
      </c>
      <c r="AB111" s="239"/>
      <c r="AC111" s="325"/>
      <c r="AD111" s="325"/>
      <c r="AE111" s="325"/>
      <c r="AF111" s="325"/>
      <c r="AG111" s="325"/>
      <c r="AH111" s="325"/>
      <c r="AI111" s="325"/>
      <c r="AJ111" s="325"/>
      <c r="AK111" s="325"/>
      <c r="AL111" s="325"/>
      <c r="AM111" s="325"/>
      <c r="AN111" s="325"/>
      <c r="AO111" s="325"/>
      <c r="AP111" s="136"/>
      <c r="AQ111" s="136"/>
      <c r="AR111" s="136" t="str">
        <f t="shared" si="23"/>
        <v/>
      </c>
      <c r="AS111" s="136" t="str">
        <f t="shared" si="23"/>
        <v/>
      </c>
      <c r="AT111" s="5" t="str">
        <f t="shared" si="24"/>
        <v/>
      </c>
      <c r="AV111" s="27" t="str">
        <f t="shared" si="35"/>
        <v/>
      </c>
      <c r="AW111" s="27"/>
      <c r="AY111" s="122" t="str">
        <f t="shared" si="25"/>
        <v/>
      </c>
    </row>
    <row r="112" spans="2:51" ht="12.75">
      <c r="B112" s="20" t="str">
        <f t="shared" si="27"/>
        <v/>
      </c>
      <c r="C112" s="5"/>
      <c r="D112" s="5"/>
      <c r="E112" s="5"/>
      <c r="G112" s="5" t="str">
        <f t="shared" si="31"/>
        <v/>
      </c>
      <c r="H112" s="117" t="str">
        <f t="shared" si="29"/>
        <v/>
      </c>
      <c r="I112" s="5" t="str">
        <f t="shared" si="32"/>
        <v/>
      </c>
      <c r="J112" s="5" t="str">
        <f t="shared" si="33"/>
        <v/>
      </c>
      <c r="K112" s="5"/>
      <c r="L112" s="5"/>
      <c r="M112" s="75"/>
      <c r="N112" s="77"/>
      <c r="O112" s="26"/>
      <c r="P112" s="26"/>
      <c r="Q112" s="118" t="str">
        <f t="shared" si="34"/>
        <v/>
      </c>
      <c r="R112" s="153"/>
      <c r="S112" s="138" t="str">
        <f t="shared" si="26"/>
        <v/>
      </c>
      <c r="T112" s="148"/>
      <c r="U112" s="146"/>
      <c r="V112" s="146"/>
      <c r="W112" s="139"/>
      <c r="X112" s="139"/>
      <c r="Y112" s="148"/>
      <c r="Z112" s="138" t="str">
        <f t="shared" si="22"/>
        <v/>
      </c>
      <c r="AA112" s="138" t="str">
        <f t="shared" si="28"/>
        <v/>
      </c>
      <c r="AB112" s="239"/>
      <c r="AC112" s="325"/>
      <c r="AD112" s="325"/>
      <c r="AE112" s="325"/>
      <c r="AF112" s="325"/>
      <c r="AG112" s="325"/>
      <c r="AH112" s="325"/>
      <c r="AI112" s="325"/>
      <c r="AJ112" s="325"/>
      <c r="AK112" s="325"/>
      <c r="AL112" s="325"/>
      <c r="AM112" s="325"/>
      <c r="AN112" s="325"/>
      <c r="AO112" s="325"/>
      <c r="AP112" s="136"/>
      <c r="AQ112" s="136"/>
      <c r="AR112" s="136" t="str">
        <f t="shared" si="23"/>
        <v/>
      </c>
      <c r="AS112" s="136" t="str">
        <f t="shared" si="23"/>
        <v/>
      </c>
      <c r="AT112" s="5" t="str">
        <f t="shared" si="24"/>
        <v/>
      </c>
      <c r="AV112" s="27" t="str">
        <f t="shared" si="35"/>
        <v/>
      </c>
      <c r="AW112" s="27"/>
      <c r="AY112" s="122" t="str">
        <f t="shared" si="25"/>
        <v/>
      </c>
    </row>
    <row r="113" spans="2:51" ht="12.75">
      <c r="B113" s="20" t="str">
        <f t="shared" si="27"/>
        <v/>
      </c>
      <c r="C113" s="5"/>
      <c r="D113" s="5"/>
      <c r="E113" s="5"/>
      <c r="G113" s="5" t="str">
        <f t="shared" si="31"/>
        <v/>
      </c>
      <c r="H113" s="117" t="str">
        <f t="shared" si="29"/>
        <v/>
      </c>
      <c r="I113" s="5" t="str">
        <f t="shared" si="32"/>
        <v/>
      </c>
      <c r="J113" s="5" t="str">
        <f t="shared" si="33"/>
        <v/>
      </c>
      <c r="K113" s="5"/>
      <c r="L113" s="5"/>
      <c r="M113" s="75"/>
      <c r="N113" s="77"/>
      <c r="O113" s="26"/>
      <c r="P113" s="26"/>
      <c r="Q113" s="118" t="str">
        <f t="shared" si="34"/>
        <v/>
      </c>
      <c r="R113" s="153"/>
      <c r="S113" s="138" t="str">
        <f t="shared" si="26"/>
        <v/>
      </c>
      <c r="T113" s="148"/>
      <c r="U113" s="146"/>
      <c r="V113" s="146"/>
      <c r="W113" s="139"/>
      <c r="X113" s="139"/>
      <c r="Y113" s="148"/>
      <c r="Z113" s="138" t="str">
        <f t="shared" si="22"/>
        <v/>
      </c>
      <c r="AA113" s="138" t="str">
        <f t="shared" si="28"/>
        <v/>
      </c>
      <c r="AB113" s="239"/>
      <c r="AC113" s="325"/>
      <c r="AD113" s="325"/>
      <c r="AE113" s="325"/>
      <c r="AF113" s="325"/>
      <c r="AG113" s="325"/>
      <c r="AH113" s="325"/>
      <c r="AI113" s="325"/>
      <c r="AJ113" s="325"/>
      <c r="AK113" s="325"/>
      <c r="AL113" s="325"/>
      <c r="AM113" s="325"/>
      <c r="AN113" s="325"/>
      <c r="AO113" s="325"/>
      <c r="AP113" s="136"/>
      <c r="AQ113" s="136"/>
      <c r="AR113" s="136" t="str">
        <f t="shared" si="23"/>
        <v/>
      </c>
      <c r="AS113" s="136" t="str">
        <f t="shared" si="23"/>
        <v/>
      </c>
      <c r="AT113" s="5" t="str">
        <f t="shared" si="24"/>
        <v/>
      </c>
      <c r="AV113" s="27" t="str">
        <f t="shared" si="35"/>
        <v/>
      </c>
      <c r="AW113" s="27"/>
      <c r="AY113" s="122" t="str">
        <f t="shared" si="25"/>
        <v/>
      </c>
    </row>
    <row r="114" spans="2:51" ht="12.75">
      <c r="B114" s="20" t="str">
        <f t="shared" si="27"/>
        <v/>
      </c>
      <c r="C114" s="5"/>
      <c r="D114" s="5"/>
      <c r="E114" s="5"/>
      <c r="G114" s="5" t="str">
        <f t="shared" si="31"/>
        <v/>
      </c>
      <c r="H114" s="117" t="str">
        <f t="shared" si="29"/>
        <v/>
      </c>
      <c r="I114" s="5" t="str">
        <f t="shared" si="32"/>
        <v/>
      </c>
      <c r="J114" s="5" t="str">
        <f t="shared" si="33"/>
        <v/>
      </c>
      <c r="K114" s="5"/>
      <c r="L114" s="5"/>
      <c r="M114" s="75"/>
      <c r="N114" s="77"/>
      <c r="O114" s="26"/>
      <c r="P114" s="26"/>
      <c r="Q114" s="118" t="str">
        <f t="shared" si="34"/>
        <v/>
      </c>
      <c r="R114" s="153"/>
      <c r="S114" s="138" t="str">
        <f t="shared" si="26"/>
        <v/>
      </c>
      <c r="T114" s="148"/>
      <c r="U114" s="146"/>
      <c r="V114" s="146"/>
      <c r="W114" s="139"/>
      <c r="X114" s="139"/>
      <c r="Y114" s="148"/>
      <c r="Z114" s="138" t="str">
        <f t="shared" si="22"/>
        <v/>
      </c>
      <c r="AA114" s="138" t="str">
        <f t="shared" si="28"/>
        <v/>
      </c>
      <c r="AB114" s="239"/>
      <c r="AC114" s="325"/>
      <c r="AD114" s="325"/>
      <c r="AE114" s="325"/>
      <c r="AF114" s="325"/>
      <c r="AG114" s="325"/>
      <c r="AH114" s="325"/>
      <c r="AI114" s="325"/>
      <c r="AJ114" s="325"/>
      <c r="AK114" s="325"/>
      <c r="AL114" s="325"/>
      <c r="AM114" s="325"/>
      <c r="AN114" s="325"/>
      <c r="AO114" s="325"/>
      <c r="AP114" s="136"/>
      <c r="AQ114" s="136"/>
      <c r="AR114" s="136" t="str">
        <f t="shared" si="23"/>
        <v/>
      </c>
      <c r="AS114" s="136" t="str">
        <f t="shared" si="23"/>
        <v/>
      </c>
      <c r="AT114" s="5" t="str">
        <f t="shared" si="24"/>
        <v/>
      </c>
      <c r="AV114" s="27" t="str">
        <f t="shared" si="35"/>
        <v/>
      </c>
      <c r="AW114" s="27"/>
      <c r="AY114" s="122" t="str">
        <f t="shared" si="25"/>
        <v/>
      </c>
    </row>
    <row r="115" spans="2:51" ht="12.75">
      <c r="B115" s="20" t="str">
        <f t="shared" si="27"/>
        <v/>
      </c>
      <c r="C115" s="5"/>
      <c r="D115" s="5"/>
      <c r="E115" s="5"/>
      <c r="G115" s="5" t="str">
        <f t="shared" si="31"/>
        <v/>
      </c>
      <c r="H115" s="117" t="str">
        <f t="shared" si="29"/>
        <v/>
      </c>
      <c r="I115" s="5" t="str">
        <f t="shared" si="32"/>
        <v/>
      </c>
      <c r="J115" s="5" t="str">
        <f t="shared" si="33"/>
        <v/>
      </c>
      <c r="K115" s="5"/>
      <c r="L115" s="5"/>
      <c r="M115" s="75"/>
      <c r="N115" s="77"/>
      <c r="O115" s="26"/>
      <c r="P115" s="26"/>
      <c r="Q115" s="118" t="str">
        <f t="shared" si="34"/>
        <v/>
      </c>
      <c r="R115" s="153"/>
      <c r="S115" s="138" t="str">
        <f t="shared" si="26"/>
        <v/>
      </c>
      <c r="T115" s="148"/>
      <c r="U115" s="146"/>
      <c r="V115" s="146"/>
      <c r="W115" s="139"/>
      <c r="X115" s="139"/>
      <c r="Y115" s="148"/>
      <c r="Z115" s="138" t="str">
        <f t="shared" si="22"/>
        <v/>
      </c>
      <c r="AA115" s="138" t="str">
        <f t="shared" si="28"/>
        <v/>
      </c>
      <c r="AB115" s="239"/>
      <c r="AC115" s="325"/>
      <c r="AD115" s="325"/>
      <c r="AE115" s="325"/>
      <c r="AF115" s="325"/>
      <c r="AG115" s="325"/>
      <c r="AH115" s="325"/>
      <c r="AI115" s="325"/>
      <c r="AJ115" s="325"/>
      <c r="AK115" s="325"/>
      <c r="AL115" s="325"/>
      <c r="AM115" s="325"/>
      <c r="AN115" s="325"/>
      <c r="AO115" s="325"/>
      <c r="AP115" s="136"/>
      <c r="AQ115" s="136"/>
      <c r="AR115" s="136" t="str">
        <f t="shared" si="23"/>
        <v/>
      </c>
      <c r="AS115" s="136" t="str">
        <f t="shared" si="23"/>
        <v/>
      </c>
      <c r="AT115" s="5" t="str">
        <f t="shared" si="24"/>
        <v/>
      </c>
      <c r="AV115" s="27" t="str">
        <f t="shared" si="35"/>
        <v/>
      </c>
      <c r="AW115" s="27"/>
      <c r="AY115" s="122" t="str">
        <f t="shared" si="25"/>
        <v/>
      </c>
    </row>
    <row r="116" spans="2:51">
      <c r="AT116" s="3" t="str">
        <f t="shared" si="24"/>
        <v/>
      </c>
      <c r="AV116" s="28"/>
      <c r="AW116" s="27"/>
      <c r="AY116" s="122" t="str">
        <f t="shared" si="25"/>
        <v/>
      </c>
    </row>
    <row r="117" spans="2:51">
      <c r="B117" s="11" t="s">
        <v>23</v>
      </c>
      <c r="AV117" s="28"/>
      <c r="AW117" s="27"/>
    </row>
    <row r="118" spans="2:51">
      <c r="B118" s="18" t="s">
        <v>17</v>
      </c>
      <c r="C118" s="22" t="str">
        <f>+"By"&amp;D120</f>
        <v>ByAccountExecutive</v>
      </c>
      <c r="D118" s="23" t="str">
        <f>SUBSTITUTE(SUBSTITUTE(SUBSTITUTE(SUBSTITUTE(SUBSTITUTE(SUBSTITUTE(SUBSTITUTE(C118," ",""),".",""),"&amp;",""),"(",""),")",""),",",""),"/","")&amp;"_"&amp;TRIM(TEXT(C7,"###"))</f>
        <v>ByAccountExecutive_5749</v>
      </c>
      <c r="E118" s="8"/>
      <c r="S118" s="283" t="s">
        <v>906</v>
      </c>
      <c r="AV118" s="27" t="str">
        <f>+" CONSTRAINT ["&amp;D118&amp;"] PRIMARY KEY NONCLUSTERED "</f>
        <v xml:space="preserve"> CONSTRAINT [ByAccountExecutive_5749]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6">IFERROR(INDEX($G$16:$G$115,C120),"")</f>
        <v>AccountExecutive</v>
      </c>
      <c r="E120" s="10" t="s">
        <v>5</v>
      </c>
      <c r="G120" s="5" t="str">
        <f>CHAR(34)&amp;D120&amp;" LIKE "&amp;H120&amp;"%{0}%"&amp;H120&amp;CHAR(34)&amp;","</f>
        <v>"AccountExecutive LIKE '%{0}%'",</v>
      </c>
      <c r="H120" s="3" t="str">
        <f>IF(IFERROR(INDEX($I$16:$I$115,C120),"")="varchar","'","")</f>
        <v>'</v>
      </c>
      <c r="S120" s="282" t="str">
        <f>RIGHT(T2,1)&amp;V3&amp;MID(T2,2,1)&amp;V3&amp;MID(T2,5,1)&amp;LEFT(T2,1)&amp;C7</f>
        <v>EXCXUA5749</v>
      </c>
      <c r="T120" s="282" t="str">
        <f>+C8</f>
        <v>AccountExecutive</v>
      </c>
      <c r="U120" s="282" t="str">
        <f>+D120</f>
        <v>AccountExecutive</v>
      </c>
      <c r="V120" s="239" t="str">
        <f>+C10</f>
        <v>246b1f7c-4321-464f-bf50-221a15dc8fcf</v>
      </c>
      <c r="W120" s="272"/>
      <c r="X120" s="272"/>
      <c r="AV120" s="27" t="str">
        <f t="shared" ref="AV120:AV126" si="37">+IF(D120="","","          ["&amp;D120&amp;"] "&amp;IF(TRIM(E120)="Ascending","ASC","DES")&amp;IF(D121="","",","))</f>
        <v xml:space="preserve">          [AccountExecutive]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87" t="s">
        <v>574</v>
      </c>
      <c r="AV122" s="27" t="str">
        <f t="shared" si="37"/>
        <v/>
      </c>
      <c r="AW122" s="28"/>
    </row>
    <row r="123" spans="2:51">
      <c r="B123" s="20" t="str">
        <f t="shared" si="38"/>
        <v/>
      </c>
      <c r="C123" s="10"/>
      <c r="D123" s="21" t="str">
        <f t="shared" si="36"/>
        <v/>
      </c>
      <c r="E123" s="10"/>
      <c r="G123" s="5"/>
      <c r="S123" s="288" t="s">
        <v>312</v>
      </c>
      <c r="T123" s="288" t="s">
        <v>393</v>
      </c>
      <c r="U123" s="288" t="s">
        <v>394</v>
      </c>
      <c r="V123" s="288" t="s">
        <v>390</v>
      </c>
      <c r="W123" s="288" t="s">
        <v>391</v>
      </c>
      <c r="X123" s="288" t="s">
        <v>392</v>
      </c>
      <c r="Y123" s="288" t="s">
        <v>400</v>
      </c>
      <c r="Z123" s="288" t="s">
        <v>436</v>
      </c>
      <c r="AV123" s="27" t="str">
        <f t="shared" si="37"/>
        <v/>
      </c>
      <c r="AW123" s="28"/>
    </row>
    <row r="124" spans="2:51">
      <c r="B124" s="20" t="str">
        <f t="shared" si="38"/>
        <v/>
      </c>
      <c r="C124" s="10"/>
      <c r="D124" s="21" t="str">
        <f t="shared" si="36"/>
        <v/>
      </c>
      <c r="E124" s="10"/>
      <c r="G124" s="5"/>
      <c r="S124" s="239" t="s">
        <v>914</v>
      </c>
      <c r="T124" s="239" t="s">
        <v>908</v>
      </c>
      <c r="U124" s="239" t="str">
        <f>+E8</f>
        <v>Account Executive</v>
      </c>
      <c r="V124" s="239"/>
      <c r="W124" s="239"/>
      <c r="X124" s="239" t="str">
        <f>"./"&amp;V2</f>
        <v>./EXCXUA5749.html</v>
      </c>
      <c r="Y124" s="239"/>
      <c r="Z124" s="282" t="str">
        <f>+S120</f>
        <v>EXCXUA5749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"246b1f7c-4321-464f-bf50-221a15dc8fcf",</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"AccountExecutive",</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"Account Executive",</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"AccountExecutive,Name,Address1,Address2,Address3,PostCode,City,PhoneBusiness,PhoneHome,EntryBy,EntryDate,Unit,Title,Internet_Address",</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["AccountExecutive"],</v>
      </c>
      <c r="C137" s="122"/>
      <c r="D137" s="122"/>
      <c r="E137" s="122"/>
      <c r="F137" s="122"/>
      <c r="G137" s="122"/>
      <c r="H137" s="122"/>
      <c r="I137" s="122"/>
      <c r="J137" s="122"/>
      <c r="K137" s="122"/>
      <c r="L137" s="122"/>
      <c r="M137" s="122"/>
    </row>
    <row r="138" spans="2:49">
      <c r="B138" s="273" t="str">
        <f>REPT(" ",6)&amp;CHAR(34)&amp;"QueryStr"&amp;CHAR(34)&amp;": "&amp;G120</f>
        <v xml:space="preserve">      "QueryStr": "AccountExecutive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c r="O150" s="14"/>
    </row>
    <row r="151" spans="2:16">
      <c r="B151" s="274"/>
      <c r="C151" s="14"/>
      <c r="D151" s="232"/>
      <c r="E151" s="14"/>
      <c r="F151" s="14"/>
      <c r="G151" s="14"/>
      <c r="H151" s="14"/>
      <c r="I151" s="14"/>
      <c r="J151" s="14"/>
      <c r="K151" s="14"/>
      <c r="L151" s="14"/>
      <c r="M151" s="14"/>
      <c r="N151" s="14"/>
      <c r="O151" s="14"/>
    </row>
    <row r="152" spans="2:16">
      <c r="B152" s="275"/>
      <c r="C152" s="275"/>
      <c r="D152" s="275"/>
      <c r="E152" s="275"/>
      <c r="F152" s="14"/>
      <c r="G152" s="276"/>
      <c r="H152" s="14"/>
      <c r="I152" s="14"/>
      <c r="J152" s="14"/>
      <c r="K152" s="14"/>
      <c r="L152" s="14"/>
      <c r="M152" s="14"/>
      <c r="N152" s="14"/>
      <c r="O152" s="14"/>
      <c r="P152" s="4"/>
    </row>
    <row r="153" spans="2:16">
      <c r="B153" s="277"/>
      <c r="C153" s="277"/>
      <c r="D153" s="278"/>
      <c r="E153" s="14"/>
      <c r="F153" s="14"/>
      <c r="G153" s="14"/>
      <c r="H153" s="14"/>
      <c r="I153" s="14"/>
      <c r="J153" s="14"/>
      <c r="K153" s="14"/>
      <c r="L153" s="14"/>
      <c r="M153" s="14"/>
      <c r="N153" s="14"/>
      <c r="O153" s="14"/>
    </row>
    <row r="154" spans="2:16">
      <c r="B154" s="277"/>
      <c r="C154" s="277"/>
      <c r="D154" s="278"/>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9"/>
      <c r="L161" s="14"/>
      <c r="M161" s="14"/>
      <c r="N161" s="14"/>
      <c r="O161" s="14"/>
    </row>
    <row r="162" spans="2:16">
      <c r="B162" s="14"/>
      <c r="C162" s="14"/>
      <c r="D162" s="14"/>
      <c r="E162" s="14"/>
      <c r="F162" s="14"/>
      <c r="G162" s="14"/>
      <c r="H162" s="14"/>
      <c r="I162" s="14"/>
      <c r="J162" s="14"/>
      <c r="K162" s="280"/>
      <c r="L162" s="14"/>
      <c r="M162" s="14"/>
      <c r="N162" s="14"/>
      <c r="O162" s="14"/>
    </row>
    <row r="163" spans="2:16">
      <c r="K163" s="107"/>
      <c r="L163" s="107"/>
    </row>
    <row r="164" spans="2:16">
      <c r="K164" s="107"/>
      <c r="L164" s="107"/>
      <c r="P164" s="107"/>
    </row>
    <row r="165" spans="2:16">
      <c r="K165" s="107"/>
      <c r="L165" s="107"/>
    </row>
    <row r="166" spans="2:16">
      <c r="K166" s="107"/>
      <c r="L166" s="107"/>
      <c r="O166" s="107"/>
    </row>
    <row r="167" spans="2:16">
      <c r="K167" s="107"/>
    </row>
    <row r="168" spans="2:16">
      <c r="K168" s="107"/>
    </row>
    <row r="169" spans="2:16">
      <c r="K169" s="107"/>
    </row>
    <row r="170" spans="2:16">
      <c r="K170" s="107"/>
      <c r="L170" s="107"/>
    </row>
    <row r="171" spans="2:16">
      <c r="K171" s="107"/>
      <c r="L171" s="107"/>
    </row>
    <row r="172" spans="2:16">
      <c r="K172" s="107"/>
      <c r="L172" s="107"/>
    </row>
    <row r="173" spans="2:16">
      <c r="K173" s="107"/>
      <c r="L173" s="107"/>
      <c r="O173" s="107"/>
    </row>
    <row r="174" spans="2:16">
      <c r="K174" s="107"/>
    </row>
  </sheetData>
  <mergeCells count="1">
    <mergeCell ref="N14:P14"/>
  </mergeCells>
  <dataValidations count="5">
    <dataValidation type="list" showInputMessage="1" showErrorMessage="1" sqref="V16:V115" xr:uid="{83425E92-E519-498D-815F-F879A780F775}">
      <formula1>aFormat</formula1>
    </dataValidation>
    <dataValidation type="list" showInputMessage="1" showErrorMessage="1" sqref="U16:U115" xr:uid="{852BB780-C8C5-4522-9BE9-9128ED40198A}">
      <formula1>aDataType</formula1>
    </dataValidation>
    <dataValidation type="list" showInputMessage="1" showErrorMessage="1" sqref="W16:X115 X2 V6:V7 AL11:AL12 T7" xr:uid="{9D8B96D9-4058-4329-8EB6-DD6DA33222D5}">
      <formula1>aBoolean</formula1>
    </dataValidation>
    <dataValidation type="list" allowBlank="1" showInputMessage="1" showErrorMessage="1" sqref="E6" xr:uid="{B5747627-9AEE-468A-B559-B7047538F5E0}">
      <formula1>#NAME?</formula1>
    </dataValidation>
    <dataValidation type="list" allowBlank="1" showInputMessage="1" showErrorMessage="1" sqref="C6" xr:uid="{81AC4DC3-D230-4E88-9D58-F1C101910743}">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B9969722-B12E-4EA7-A44C-A087AFB6E12B}">
          <x14:formula1>
            <xm:f>Variables!$I$28:$I$35</xm:f>
          </x14:formula1>
          <xm:sqref>T6</xm:sqref>
        </x14:dataValidation>
        <x14:dataValidation type="list" allowBlank="1" showInputMessage="1" showErrorMessage="1" xr:uid="{10D30DAE-C3AA-49B4-8F48-051A63F31F0C}">
          <x14:formula1>
            <xm:f>Variables!$G$6:$G$8</xm:f>
          </x14:formula1>
          <xm:sqref>T5</xm:sqref>
        </x14:dataValidation>
        <x14:dataValidation type="list" allowBlank="1" showInputMessage="1" showErrorMessage="1" xr:uid="{1034DAF5-1CC1-4CB9-BC14-707946055706}">
          <x14:formula1>
            <xm:f>Variables!$G$12:$G$14</xm:f>
          </x14:formula1>
          <xm:sqref>AA16:AA115</xm:sqref>
        </x14:dataValidation>
        <x14:dataValidation type="list" showInputMessage="1" showErrorMessage="1" xr:uid="{87672371-A882-4E8C-AAAD-A3511705A67D}">
          <x14:formula1>
            <xm:f>Variables!$G$17:$G$22</xm:f>
          </x14:formula1>
          <xm:sqref>T8:T10</xm:sqref>
        </x14:dataValidation>
        <x14:dataValidation type="list" allowBlank="1" showInputMessage="1" showErrorMessage="1" xr:uid="{052A7765-2B17-40E2-81C2-E0CE714CAB6A}">
          <x14:formula1>
            <xm:f>Variables!E$28:E$34</xm:f>
          </x14:formula1>
          <xm:sqref>AJ16:AJ115</xm:sqref>
        </x14:dataValidation>
        <x14:dataValidation type="list" allowBlank="1" showInputMessage="1" showErrorMessage="1" xr:uid="{47A2D120-EDD7-4AF7-85AA-34DA94DD6947}">
          <x14:formula1>
            <xm:f>Variables!E$28:E$34</xm:f>
          </x14:formula1>
          <xm:sqref>AM16:AM115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9F3FF-49C0-4361-98A5-C921F996A2F5}">
  <sheetPr codeName="Sheet27">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9.140625" style="134" customWidth="1"/>
    <col min="23" max="23" width="20.85546875" style="134" bestFit="1" customWidth="1"/>
    <col min="24" max="24" width="15.28515625" style="134" customWidth="1"/>
    <col min="25" max="25" width="12.5703125" style="134" customWidth="1"/>
    <col min="26" max="26" width="15"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1.7109375" style="134" customWidth="1"/>
    <col min="46" max="46" width="18.42578125" style="134" bestFit="1" customWidth="1"/>
    <col min="47" max="47" width="1.7109375" style="134"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4"/>
      <c r="AV1" s="13" t="s">
        <v>430</v>
      </c>
    </row>
    <row r="2" spans="2:51">
      <c r="S2" s="255" t="s">
        <v>875</v>
      </c>
      <c r="T2" s="240" t="str" cm="1">
        <f t="array" ref="T2">MID(CELL("filename",A1),FIND("]",CELL("filename",A1))+1,250)</f>
        <v>AGENTFULL</v>
      </c>
      <c r="U2" s="255" t="s">
        <v>874</v>
      </c>
      <c r="V2" s="240" t="str">
        <f>UPPER(RIGHT(T2,1)&amp;V3&amp;MID(T2,2,1)&amp;V3&amp;MID(T2,5,1)&amp;LEFT(T2,1)&amp;C7)&amp;".html"</f>
        <v>LGTA11.html</v>
      </c>
      <c r="W2" s="255" t="s">
        <v>1071</v>
      </c>
      <c r="X2" s="245" t="s">
        <v>367</v>
      </c>
      <c r="AV2" s="27" t="str">
        <f>+"USE "&amp;TRIM(C5)</f>
        <v>USE SIBISDB</v>
      </c>
      <c r="AW2" s="27"/>
    </row>
    <row r="3" spans="2:51">
      <c r="B3" s="221" t="s">
        <v>577</v>
      </c>
      <c r="C3" s="102" t="str">
        <f>+DBTableList!G5</f>
        <v>http://wikran-w10:8081</v>
      </c>
      <c r="D3" s="222" t="s">
        <v>846</v>
      </c>
      <c r="E3" s="5" t="str">
        <f>+DBTableList!$G$4</f>
        <v>CBS</v>
      </c>
      <c r="I3" s="219"/>
      <c r="J3" s="219"/>
      <c r="K3" s="62"/>
      <c r="U3" s="254" t="s">
        <v>877</v>
      </c>
      <c r="V3" s="240" t="str">
        <f>IF(ISERROR(FIND("EntryBy",C11)),"","X")</f>
        <v/>
      </c>
      <c r="AV3" s="27" t="s">
        <v>0</v>
      </c>
      <c r="AW3" s="27"/>
    </row>
    <row r="4" spans="2:51">
      <c r="B4" s="222" t="s">
        <v>854</v>
      </c>
      <c r="C4" s="218" t="str">
        <f>+DBTableList!G6</f>
        <v>pythonLT</v>
      </c>
      <c r="D4" s="105" t="s">
        <v>412</v>
      </c>
      <c r="E4" s="68" t="s">
        <v>407</v>
      </c>
      <c r="S4" s="256" t="s">
        <v>872</v>
      </c>
      <c r="AV4" s="28" t="s">
        <v>1</v>
      </c>
      <c r="AW4" s="27"/>
    </row>
    <row r="5" spans="2:51">
      <c r="B5" s="100" t="s">
        <v>19</v>
      </c>
      <c r="C5" s="101" t="s">
        <v>20</v>
      </c>
      <c r="D5" s="222" t="s">
        <v>408</v>
      </c>
      <c r="E5" s="5" t="str">
        <f>+DBTableList!$G$4</f>
        <v>CBS</v>
      </c>
      <c r="S5" s="241" t="s">
        <v>873</v>
      </c>
      <c r="T5" s="244" t="s">
        <v>569</v>
      </c>
      <c r="U5" s="243" t="s">
        <v>377</v>
      </c>
      <c r="V5" s="240" t="str">
        <f>CHAR(34)&amp;E8&amp;" Info"&amp;CHAR(34)</f>
        <v>"Agent Expand Info"</v>
      </c>
      <c r="W5" s="242"/>
      <c r="X5" s="240"/>
      <c r="AV5" s="28" t="s">
        <v>1</v>
      </c>
      <c r="AW5" s="27"/>
    </row>
    <row r="6" spans="2:51">
      <c r="B6" s="105" t="s">
        <v>10</v>
      </c>
      <c r="C6" s="5" t="s">
        <v>852</v>
      </c>
      <c r="D6" s="100" t="s">
        <v>429</v>
      </c>
      <c r="E6" s="5" t="s">
        <v>424</v>
      </c>
      <c r="S6" s="242" t="s">
        <v>514</v>
      </c>
      <c r="T6" s="245" t="s">
        <v>506</v>
      </c>
      <c r="U6" s="242" t="s">
        <v>507</v>
      </c>
      <c r="V6" s="245" t="s">
        <v>367</v>
      </c>
      <c r="W6" s="242"/>
      <c r="X6" s="240"/>
      <c r="AV6" s="27" t="s">
        <v>2</v>
      </c>
      <c r="AW6" s="27"/>
    </row>
    <row r="7" spans="2:51">
      <c r="B7" s="100" t="s">
        <v>315</v>
      </c>
      <c r="C7" s="17">
        <v>11</v>
      </c>
      <c r="D7" s="100" t="str">
        <f>"LIMIT "&amp;IF(E7=0,"(MAX)","")</f>
        <v>LIMIT (MAX)</v>
      </c>
      <c r="E7" s="17">
        <v>0</v>
      </c>
      <c r="S7" s="242" t="s">
        <v>508</v>
      </c>
      <c r="T7" s="245" t="s">
        <v>379</v>
      </c>
      <c r="U7" s="242" t="s">
        <v>385</v>
      </c>
      <c r="V7" s="245" t="s">
        <v>379</v>
      </c>
      <c r="W7" s="242"/>
      <c r="X7" s="240"/>
      <c r="AV7" s="27" t="s">
        <v>0</v>
      </c>
      <c r="AW7" s="27"/>
    </row>
    <row r="8" spans="2:51">
      <c r="B8" s="215" t="s">
        <v>16</v>
      </c>
      <c r="C8" s="17" t="s">
        <v>992</v>
      </c>
      <c r="D8" s="215" t="s">
        <v>847</v>
      </c>
      <c r="E8" s="17" t="s">
        <v>993</v>
      </c>
      <c r="G8" s="62"/>
      <c r="S8" s="242" t="s">
        <v>509</v>
      </c>
      <c r="T8" s="245" t="s">
        <v>379</v>
      </c>
      <c r="U8" s="242" t="s">
        <v>380</v>
      </c>
      <c r="V8" s="246">
        <v>1000</v>
      </c>
      <c r="W8" s="242"/>
      <c r="X8" s="240"/>
      <c r="AV8" s="28" t="s">
        <v>1</v>
      </c>
      <c r="AW8" s="27"/>
    </row>
    <row r="9" spans="2:51">
      <c r="B9" s="105" t="s">
        <v>409</v>
      </c>
      <c r="C9" s="102" t="str">
        <f>VLOOKUP(E6,Variables!$B$22:$C$25,2,FALSE)</f>
        <v>b18e9f22-2069-4f35-9739-4d7f976335eb</v>
      </c>
      <c r="D9" s="104"/>
      <c r="E9" s="103"/>
      <c r="S9" s="242" t="s">
        <v>510</v>
      </c>
      <c r="T9" s="245" t="s">
        <v>1244</v>
      </c>
      <c r="U9" s="242" t="s">
        <v>378</v>
      </c>
      <c r="V9" s="246">
        <v>525</v>
      </c>
      <c r="W9" s="242"/>
      <c r="X9" s="240"/>
      <c r="AV9" s="27" t="s">
        <v>3</v>
      </c>
      <c r="AW9" s="27"/>
    </row>
    <row r="10" spans="2:51">
      <c r="B10" s="217" t="str">
        <f>HYPERLINK("[http://wikran-w10:8080/Gentoken.html]","TBTOKEN")</f>
        <v>TBTOKEN</v>
      </c>
      <c r="C10" s="102" t="s">
        <v>939</v>
      </c>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http://wikran-w10:8081/pythonLT/A75FCC75-8FB6-4460-B3F6-7070B4437930/ad07071a-8827-42da-8e5d-edbe50e0f565/all</v>
      </c>
      <c r="D12" s="104"/>
      <c r="E12" s="104"/>
      <c r="F12" s="104"/>
      <c r="G12" s="104"/>
      <c r="H12" s="104"/>
      <c r="I12" s="104"/>
      <c r="J12" s="104"/>
      <c r="K12" s="104"/>
      <c r="L12" s="103"/>
      <c r="M12" s="107" t="s">
        <v>1</v>
      </c>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39</v>
      </c>
      <c r="D14" s="3" t="s">
        <v>496</v>
      </c>
      <c r="E14" s="3">
        <f>+C14+15</f>
        <v>54</v>
      </c>
      <c r="G14" s="16" t="s">
        <v>22</v>
      </c>
      <c r="H14" s="131">
        <f>IF(IFERROR(FIND("varchar",E22),0)&gt;0,IF(D22&gt;8000,"max",D22),"")</f>
        <v>30</v>
      </c>
      <c r="M14" s="107" t="s">
        <v>369</v>
      </c>
      <c r="N14" s="489" t="s">
        <v>305</v>
      </c>
      <c r="O14" s="490"/>
      <c r="P14" s="491"/>
      <c r="S14" s="257" t="s">
        <v>871</v>
      </c>
      <c r="T14" s="149" t="s">
        <v>893</v>
      </c>
      <c r="AJ14" s="347">
        <f>COUNTBLANK(AJ16:AJ115)</f>
        <v>99</v>
      </c>
      <c r="AK14" s="30" t="s">
        <v>1044</v>
      </c>
      <c r="AM14" s="347">
        <f>COUNTBLANK(AM16:AM115)</f>
        <v>99</v>
      </c>
      <c r="AN14" s="30" t="s">
        <v>1036</v>
      </c>
      <c r="AO14" s="347">
        <f>+AM14+AJ14</f>
        <v>198</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[dbo].[AgentInfo](</v>
      </c>
      <c r="AW15" s="27"/>
      <c r="AY15" s="122" t="str">
        <f>+"CREATE TABLE "&amp;TRIM(C8)&amp;" ("</f>
        <v>CREATE TABLE AgentInfo (</v>
      </c>
    </row>
    <row r="16" spans="2:51" ht="12.75">
      <c r="B16" s="20">
        <f>IF(C16=0,"",1)</f>
        <v>1</v>
      </c>
      <c r="C16" s="5" t="s">
        <v>861</v>
      </c>
      <c r="D16" s="5">
        <v>8</v>
      </c>
      <c r="E16" s="5" t="s">
        <v>11</v>
      </c>
      <c r="G16" s="5" t="str">
        <f t="shared" ref="G16:G32" si="0">SUBSTITUTE(SUBSTITUTE(SUBSTITUTE(SUBSTITUTE(SUBSTITUTE(SUBSTITUTE(SUBSTITUTE(SUBSTITUTE(SUBSTITUTE(C16," ",""),".",""),"#","No"),"%",""),"(",""),"*",""),"-",""),"/",""),")","")</f>
        <v>Agent</v>
      </c>
      <c r="H16" s="117">
        <f t="shared" ref="H16:H21" si="1">IF(IFERROR(FIND("varchar",E16),0)&gt;0,IF(D16&gt;8000,"max",D16),"")</f>
        <v>8</v>
      </c>
      <c r="I16" s="5" t="str">
        <f t="shared" ref="I16:I45" si="2">IF(E16=0,"",+E16)</f>
        <v>varchar</v>
      </c>
      <c r="J16" s="5" t="str">
        <f t="shared" ref="J16:J45" si="3">IF(C16=0,"",(IF(ISERROR(VLOOKUP(G16,$D$120:$D$127,1,FALSE)),""," NOT")&amp;" NULL"))</f>
        <v xml:space="preserve"> NOT NULL</v>
      </c>
      <c r="K16" s="138" t="s">
        <v>861</v>
      </c>
      <c r="L16" s="5"/>
      <c r="M16" s="75">
        <v>1</v>
      </c>
      <c r="N16" s="77"/>
      <c r="O16" s="26"/>
      <c r="P16" s="26"/>
      <c r="Q16" s="118">
        <f t="shared" ref="Q16:Q45" si="4">IF(M16=0,"",ROW())</f>
        <v>16</v>
      </c>
      <c r="R16" s="153"/>
      <c r="S16" s="138" t="str">
        <f>IF(K16=0,"",K16)</f>
        <v>Agent</v>
      </c>
      <c r="T16" s="148"/>
      <c r="U16" s="146"/>
      <c r="V16" s="146"/>
      <c r="W16" s="139" t="s">
        <v>379</v>
      </c>
      <c r="X16" s="139" t="s">
        <v>367</v>
      </c>
      <c r="Y16" s="148"/>
      <c r="Z16" s="138" t="str">
        <f t="shared" ref="Z16:Z79" si="5">IF(M16&lt;9000,"","false")</f>
        <v/>
      </c>
      <c r="AA16" s="138" t="str">
        <f>IF($C$120=B16,"asc","")</f>
        <v>asc</v>
      </c>
      <c r="AB16" s="239"/>
      <c r="AC16" s="325"/>
      <c r="AD16" s="325"/>
      <c r="AE16" s="325"/>
      <c r="AF16" s="325"/>
      <c r="AG16" s="325"/>
      <c r="AH16" s="325"/>
      <c r="AI16" s="325"/>
      <c r="AJ16" s="325" t="s">
        <v>1028</v>
      </c>
      <c r="AK16" s="325"/>
      <c r="AL16" s="325"/>
      <c r="AM16" s="325"/>
      <c r="AN16" s="325"/>
      <c r="AO16" s="325"/>
      <c r="AP16" s="136"/>
      <c r="AQ16" s="136"/>
      <c r="AR16" s="136" t="str">
        <f t="shared" ref="AR16:AR47" si="6">IF(O16=0,"",ROW())</f>
        <v/>
      </c>
      <c r="AS16" s="136" t="str">
        <f t="shared" ref="AS16:AS47" si="7">IF(P16=0,"",ROW())</f>
        <v/>
      </c>
      <c r="AT16" s="5" t="str">
        <f t="shared" ref="AT16:AT47" si="8">IF(C16="","",C16&amp;IF(B17="","",","))</f>
        <v>Agent,</v>
      </c>
      <c r="AV16" s="27" t="str">
        <f t="shared" ref="AV16:AV35" si="9">IF(G16="","",+"          ["&amp;TRIM(G16)&amp;"] ["&amp;TRIM(I16)&amp;"]"&amp;IF(H16="","","("&amp;H16&amp;")")&amp;" "&amp;TRIM(J16)&amp;IF(G17="","",","))</f>
        <v xml:space="preserve">          [Agent] [varchar](8) NOT NULL,</v>
      </c>
      <c r="AW16" s="27"/>
      <c r="AY16" s="122" t="str">
        <f t="shared" ref="AY16:AY47" si="10">IF(G16="",IF(OR(AY15=");",AY15=""),"",");"),+"          "&amp;TRIM(G16)&amp;" "&amp;UPPER(TRIM(I16))&amp;IF(H16="",""," ("&amp;H16&amp;")")&amp;" "&amp;IF(TRIM(J16)="NOT NULL","PRIMARY KEY UNIQUE NOT NULL",TRIM(J16))&amp;IF(G17="","",","))</f>
        <v xml:space="preserve">          Agent VARCHAR (8) PRIMARY KEY UNIQUE NOT NULL,</v>
      </c>
    </row>
    <row r="17" spans="2:51" ht="12.75">
      <c r="B17" s="20">
        <f>IF(C17=0,"",+B16+1)</f>
        <v>2</v>
      </c>
      <c r="C17" s="5" t="s">
        <v>940</v>
      </c>
      <c r="D17" s="5">
        <v>100</v>
      </c>
      <c r="E17" s="5" t="s">
        <v>11</v>
      </c>
      <c r="G17" s="5" t="str">
        <f t="shared" si="0"/>
        <v>TAXName</v>
      </c>
      <c r="H17" s="117">
        <f t="shared" si="1"/>
        <v>100</v>
      </c>
      <c r="I17" s="5" t="str">
        <f t="shared" si="2"/>
        <v>varchar</v>
      </c>
      <c r="J17" s="5" t="str">
        <f t="shared" si="3"/>
        <v xml:space="preserve"> NULL</v>
      </c>
      <c r="K17" s="138" t="s">
        <v>978</v>
      </c>
      <c r="L17" s="5"/>
      <c r="M17" s="75">
        <v>2</v>
      </c>
      <c r="N17" s="77"/>
      <c r="O17" s="26"/>
      <c r="P17" s="26"/>
      <c r="Q17" s="118">
        <f t="shared" si="4"/>
        <v>17</v>
      </c>
      <c r="R17" s="153"/>
      <c r="S17" s="138" t="str">
        <f t="shared" ref="S17:S80" si="11">IF(K17=0,"",K17)</f>
        <v>TAX Name</v>
      </c>
      <c r="T17" s="148"/>
      <c r="U17" s="146"/>
      <c r="V17" s="146"/>
      <c r="W17" s="139" t="s">
        <v>379</v>
      </c>
      <c r="X17" s="139"/>
      <c r="Y17" s="148"/>
      <c r="Z17" s="138" t="str">
        <f t="shared" si="5"/>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6"/>
        <v/>
      </c>
      <c r="AS17" s="136" t="str">
        <f t="shared" si="7"/>
        <v/>
      </c>
      <c r="AT17" s="5" t="str">
        <f t="shared" si="8"/>
        <v>TAXName,</v>
      </c>
      <c r="AV17" s="27" t="str">
        <f t="shared" si="9"/>
        <v xml:space="preserve">          [TAXName] [varchar](100) NULL,</v>
      </c>
      <c r="AW17" s="27"/>
      <c r="AY17" s="122" t="str">
        <f t="shared" si="10"/>
        <v xml:space="preserve">          TAXName VARCHAR (100) NULL,</v>
      </c>
    </row>
    <row r="18" spans="2:51" ht="12.75">
      <c r="B18" s="20">
        <f t="shared" ref="B18:B81" si="12">IF(C18=0,"",+B17+1)</f>
        <v>3</v>
      </c>
      <c r="C18" s="5" t="s">
        <v>941</v>
      </c>
      <c r="D18" s="5">
        <v>55</v>
      </c>
      <c r="E18" s="5" t="s">
        <v>11</v>
      </c>
      <c r="G18" s="5" t="str">
        <f t="shared" si="0"/>
        <v>TAXAddress1</v>
      </c>
      <c r="H18" s="117">
        <f t="shared" si="1"/>
        <v>55</v>
      </c>
      <c r="I18" s="5" t="str">
        <f t="shared" si="2"/>
        <v>varchar</v>
      </c>
      <c r="J18" s="5" t="str">
        <f t="shared" si="3"/>
        <v xml:space="preserve"> NULL</v>
      </c>
      <c r="K18" s="138" t="s">
        <v>979</v>
      </c>
      <c r="L18" s="5"/>
      <c r="M18" s="75">
        <v>9001</v>
      </c>
      <c r="N18" s="77"/>
      <c r="O18" s="26"/>
      <c r="P18" s="26"/>
      <c r="Q18" s="118">
        <f t="shared" si="4"/>
        <v>18</v>
      </c>
      <c r="R18" s="153"/>
      <c r="S18" s="138" t="str">
        <f t="shared" si="11"/>
        <v>TAX Address1</v>
      </c>
      <c r="T18" s="148"/>
      <c r="U18" s="146"/>
      <c r="V18" s="146"/>
      <c r="W18" s="139"/>
      <c r="X18" s="139"/>
      <c r="Y18" s="148"/>
      <c r="Z18" s="138" t="str">
        <f t="shared" si="5"/>
        <v>false</v>
      </c>
      <c r="AA18" s="138" t="str">
        <f t="shared" ref="AA18:AA81" si="13">IF($C$120=B18,"asc","")</f>
        <v/>
      </c>
      <c r="AB18" s="239"/>
      <c r="AC18" s="325"/>
      <c r="AD18" s="325"/>
      <c r="AE18" s="325"/>
      <c r="AF18" s="325"/>
      <c r="AG18" s="325"/>
      <c r="AH18" s="325"/>
      <c r="AI18" s="325"/>
      <c r="AJ18" s="325"/>
      <c r="AK18" s="325"/>
      <c r="AL18" s="325"/>
      <c r="AM18" s="325"/>
      <c r="AN18" s="325"/>
      <c r="AO18" s="325"/>
      <c r="AP18" s="136"/>
      <c r="AQ18" s="136"/>
      <c r="AR18" s="136" t="str">
        <f t="shared" si="6"/>
        <v/>
      </c>
      <c r="AS18" s="136" t="str">
        <f t="shared" si="7"/>
        <v/>
      </c>
      <c r="AT18" s="5" t="str">
        <f t="shared" si="8"/>
        <v>TAXAddress1,</v>
      </c>
      <c r="AV18" s="27" t="str">
        <f t="shared" si="9"/>
        <v xml:space="preserve">          [TAXAddress1] [varchar](55) NULL,</v>
      </c>
      <c r="AW18" s="27"/>
      <c r="AY18" s="122" t="str">
        <f t="shared" si="10"/>
        <v xml:space="preserve">          TAXAddress1 VARCHAR (55) NULL,</v>
      </c>
    </row>
    <row r="19" spans="2:51" ht="12.75">
      <c r="B19" s="20">
        <f t="shared" si="12"/>
        <v>4</v>
      </c>
      <c r="C19" s="5" t="s">
        <v>942</v>
      </c>
      <c r="D19" s="5">
        <v>55</v>
      </c>
      <c r="E19" s="5" t="s">
        <v>11</v>
      </c>
      <c r="G19" s="5" t="str">
        <f t="shared" si="0"/>
        <v>TAXAddress2</v>
      </c>
      <c r="H19" s="117">
        <f t="shared" si="1"/>
        <v>55</v>
      </c>
      <c r="I19" s="5" t="str">
        <f t="shared" si="2"/>
        <v>varchar</v>
      </c>
      <c r="J19" s="5" t="str">
        <f t="shared" si="3"/>
        <v xml:space="preserve"> NULL</v>
      </c>
      <c r="K19" s="138" t="s">
        <v>980</v>
      </c>
      <c r="L19" s="5"/>
      <c r="M19" s="75">
        <v>9002</v>
      </c>
      <c r="N19" s="77"/>
      <c r="O19" s="26"/>
      <c r="P19" s="26"/>
      <c r="Q19" s="118">
        <f t="shared" si="4"/>
        <v>19</v>
      </c>
      <c r="R19" s="153"/>
      <c r="S19" s="138" t="str">
        <f t="shared" si="11"/>
        <v>TAX Address2</v>
      </c>
      <c r="T19" s="148"/>
      <c r="U19" s="146"/>
      <c r="V19" s="146"/>
      <c r="W19" s="139"/>
      <c r="X19" s="139"/>
      <c r="Y19" s="148"/>
      <c r="Z19" s="138" t="str">
        <f t="shared" si="5"/>
        <v>false</v>
      </c>
      <c r="AA19" s="138" t="str">
        <f t="shared" si="13"/>
        <v/>
      </c>
      <c r="AB19" s="239"/>
      <c r="AC19" s="325"/>
      <c r="AD19" s="325"/>
      <c r="AE19" s="325"/>
      <c r="AF19" s="325"/>
      <c r="AG19" s="325"/>
      <c r="AH19" s="325"/>
      <c r="AI19" s="325"/>
      <c r="AJ19" s="325"/>
      <c r="AK19" s="325"/>
      <c r="AL19" s="325"/>
      <c r="AM19" s="325"/>
      <c r="AN19" s="325"/>
      <c r="AO19" s="325"/>
      <c r="AP19" s="136"/>
      <c r="AQ19" s="136"/>
      <c r="AR19" s="136" t="str">
        <f t="shared" si="6"/>
        <v/>
      </c>
      <c r="AS19" s="136" t="str">
        <f t="shared" si="7"/>
        <v/>
      </c>
      <c r="AT19" s="5" t="str">
        <f t="shared" si="8"/>
        <v>TAXAddress2,</v>
      </c>
      <c r="AV19" s="27" t="str">
        <f t="shared" si="9"/>
        <v xml:space="preserve">          [TAXAddress2] [varchar](55) NULL,</v>
      </c>
      <c r="AW19" s="27"/>
      <c r="AY19" s="122" t="str">
        <f t="shared" si="10"/>
        <v xml:space="preserve">          TAXAddress2 VARCHAR (55) NULL,</v>
      </c>
    </row>
    <row r="20" spans="2:51" ht="12.75">
      <c r="B20" s="20">
        <f t="shared" si="12"/>
        <v>5</v>
      </c>
      <c r="C20" s="5" t="s">
        <v>943</v>
      </c>
      <c r="D20" s="5">
        <v>55</v>
      </c>
      <c r="E20" s="5" t="s">
        <v>11</v>
      </c>
      <c r="G20" s="5" t="str">
        <f t="shared" si="0"/>
        <v>TAXAddress3</v>
      </c>
      <c r="H20" s="117">
        <f t="shared" si="1"/>
        <v>55</v>
      </c>
      <c r="I20" s="5" t="str">
        <f t="shared" si="2"/>
        <v>varchar</v>
      </c>
      <c r="J20" s="5" t="str">
        <f t="shared" si="3"/>
        <v xml:space="preserve"> NULL</v>
      </c>
      <c r="K20" s="138" t="s">
        <v>981</v>
      </c>
      <c r="L20" s="5"/>
      <c r="M20" s="75">
        <v>9003</v>
      </c>
      <c r="N20" s="77"/>
      <c r="O20" s="26"/>
      <c r="P20" s="26"/>
      <c r="Q20" s="118">
        <f t="shared" si="4"/>
        <v>20</v>
      </c>
      <c r="R20" s="153"/>
      <c r="S20" s="138" t="str">
        <f t="shared" si="11"/>
        <v>TAX Address3</v>
      </c>
      <c r="T20" s="148"/>
      <c r="U20" s="146"/>
      <c r="V20" s="146"/>
      <c r="W20" s="139"/>
      <c r="X20" s="139"/>
      <c r="Y20" s="148"/>
      <c r="Z20" s="138" t="str">
        <f t="shared" si="5"/>
        <v>false</v>
      </c>
      <c r="AA20" s="138" t="str">
        <f t="shared" si="13"/>
        <v/>
      </c>
      <c r="AB20" s="239"/>
      <c r="AC20" s="325"/>
      <c r="AD20" s="325"/>
      <c r="AE20" s="325"/>
      <c r="AF20" s="325"/>
      <c r="AG20" s="325"/>
      <c r="AH20" s="325"/>
      <c r="AI20" s="325"/>
      <c r="AJ20" s="325"/>
      <c r="AK20" s="325"/>
      <c r="AL20" s="325"/>
      <c r="AM20" s="325"/>
      <c r="AN20" s="325"/>
      <c r="AO20" s="325"/>
      <c r="AP20" s="136"/>
      <c r="AQ20" s="136"/>
      <c r="AR20" s="136" t="str">
        <f t="shared" si="6"/>
        <v/>
      </c>
      <c r="AS20" s="136" t="str">
        <f t="shared" si="7"/>
        <v/>
      </c>
      <c r="AT20" s="5" t="str">
        <f t="shared" si="8"/>
        <v>TAXAddress3,</v>
      </c>
      <c r="AV20" s="27" t="str">
        <f t="shared" si="9"/>
        <v xml:space="preserve">          [TAXAddress3] [varchar](55) NULL,</v>
      </c>
      <c r="AW20" s="27"/>
      <c r="AY20" s="122" t="str">
        <f t="shared" si="10"/>
        <v xml:space="preserve">          TAXAddress3 VARCHAR (55) NULL,</v>
      </c>
    </row>
    <row r="21" spans="2:51" ht="12.75">
      <c r="B21" s="20">
        <f t="shared" si="12"/>
        <v>6</v>
      </c>
      <c r="C21" s="5" t="s">
        <v>944</v>
      </c>
      <c r="D21" s="5">
        <v>6</v>
      </c>
      <c r="E21" s="5" t="s">
        <v>11</v>
      </c>
      <c r="G21" s="5" t="str">
        <f t="shared" si="0"/>
        <v>TAXPostCode</v>
      </c>
      <c r="H21" s="117">
        <f t="shared" si="1"/>
        <v>6</v>
      </c>
      <c r="I21" s="5" t="str">
        <f t="shared" si="2"/>
        <v>varchar</v>
      </c>
      <c r="J21" s="5" t="str">
        <f t="shared" si="3"/>
        <v xml:space="preserve"> NULL</v>
      </c>
      <c r="K21" s="138" t="s">
        <v>982</v>
      </c>
      <c r="L21" s="5"/>
      <c r="M21" s="75">
        <v>9004</v>
      </c>
      <c r="N21" s="77"/>
      <c r="O21" s="26"/>
      <c r="P21" s="26"/>
      <c r="Q21" s="118">
        <f t="shared" si="4"/>
        <v>21</v>
      </c>
      <c r="R21" s="153"/>
      <c r="S21" s="138" t="str">
        <f t="shared" si="11"/>
        <v>TAX PostCode</v>
      </c>
      <c r="T21" s="148"/>
      <c r="U21" s="146"/>
      <c r="V21" s="146"/>
      <c r="W21" s="139"/>
      <c r="X21" s="139"/>
      <c r="Y21" s="148"/>
      <c r="Z21" s="138" t="str">
        <f t="shared" si="5"/>
        <v>false</v>
      </c>
      <c r="AA21" s="138" t="str">
        <f t="shared" si="13"/>
        <v/>
      </c>
      <c r="AB21" s="239"/>
      <c r="AC21" s="325"/>
      <c r="AD21" s="325"/>
      <c r="AE21" s="325"/>
      <c r="AF21" s="325"/>
      <c r="AG21" s="325"/>
      <c r="AH21" s="325"/>
      <c r="AI21" s="325"/>
      <c r="AJ21" s="325"/>
      <c r="AK21" s="325"/>
      <c r="AL21" s="325"/>
      <c r="AM21" s="325"/>
      <c r="AN21" s="325"/>
      <c r="AO21" s="325"/>
      <c r="AP21" s="136"/>
      <c r="AQ21" s="136"/>
      <c r="AR21" s="136" t="str">
        <f t="shared" si="6"/>
        <v/>
      </c>
      <c r="AS21" s="136" t="str">
        <f t="shared" si="7"/>
        <v/>
      </c>
      <c r="AT21" s="5" t="str">
        <f t="shared" si="8"/>
        <v>TAXPostCode,</v>
      </c>
      <c r="AV21" s="27" t="str">
        <f t="shared" si="9"/>
        <v xml:space="preserve">          [TAXPostCode] [varchar](6) NULL,</v>
      </c>
      <c r="AW21" s="27"/>
      <c r="AY21" s="122" t="str">
        <f t="shared" si="10"/>
        <v xml:space="preserve">          TAXPostCode VARCHAR (6) NULL,</v>
      </c>
    </row>
    <row r="22" spans="2:51" ht="12.75">
      <c r="B22" s="20">
        <f t="shared" si="12"/>
        <v>7</v>
      </c>
      <c r="C22" s="5" t="s">
        <v>945</v>
      </c>
      <c r="D22" s="5">
        <v>30</v>
      </c>
      <c r="E22" s="5" t="s">
        <v>11</v>
      </c>
      <c r="G22" s="5" t="str">
        <f t="shared" si="0"/>
        <v>TAXCity</v>
      </c>
      <c r="H22" s="117">
        <f>IF(IFERROR(FIND("varchar",E22),0)&gt;0,IF(D22&gt;8000,"max",D22),"")</f>
        <v>30</v>
      </c>
      <c r="I22" s="5" t="str">
        <f t="shared" si="2"/>
        <v>varchar</v>
      </c>
      <c r="J22" s="5" t="str">
        <f t="shared" si="3"/>
        <v xml:space="preserve"> NULL</v>
      </c>
      <c r="K22" s="138" t="s">
        <v>983</v>
      </c>
      <c r="L22" s="5"/>
      <c r="M22" s="75">
        <v>9005</v>
      </c>
      <c r="N22" s="77"/>
      <c r="O22" s="26"/>
      <c r="P22" s="26"/>
      <c r="Q22" s="118">
        <f t="shared" si="4"/>
        <v>22</v>
      </c>
      <c r="R22" s="153"/>
      <c r="S22" s="138" t="str">
        <f t="shared" si="11"/>
        <v>TAX City</v>
      </c>
      <c r="T22" s="148"/>
      <c r="U22" s="146"/>
      <c r="V22" s="146"/>
      <c r="W22" s="139"/>
      <c r="X22" s="139"/>
      <c r="Y22" s="148"/>
      <c r="Z22" s="138" t="str">
        <f t="shared" si="5"/>
        <v>false</v>
      </c>
      <c r="AA22" s="138" t="str">
        <f t="shared" si="13"/>
        <v/>
      </c>
      <c r="AB22" s="239"/>
      <c r="AC22" s="325"/>
      <c r="AD22" s="325"/>
      <c r="AE22" s="325"/>
      <c r="AF22" s="325"/>
      <c r="AG22" s="325"/>
      <c r="AH22" s="325"/>
      <c r="AI22" s="325"/>
      <c r="AJ22" s="325"/>
      <c r="AK22" s="325"/>
      <c r="AL22" s="325"/>
      <c r="AM22" s="325"/>
      <c r="AN22" s="325"/>
      <c r="AO22" s="325"/>
      <c r="AP22" s="136"/>
      <c r="AQ22" s="136"/>
      <c r="AR22" s="136" t="str">
        <f t="shared" si="6"/>
        <v/>
      </c>
      <c r="AS22" s="136" t="str">
        <f t="shared" si="7"/>
        <v/>
      </c>
      <c r="AT22" s="5" t="str">
        <f t="shared" si="8"/>
        <v>TAXCity,</v>
      </c>
      <c r="AV22" s="27" t="str">
        <f t="shared" si="9"/>
        <v xml:space="preserve">          [TAXCity] [varchar](30) NULL,</v>
      </c>
      <c r="AW22" s="27"/>
      <c r="AY22" s="122" t="str">
        <f t="shared" si="10"/>
        <v xml:space="preserve">          TAXCity VARCHAR (30) NULL,</v>
      </c>
    </row>
    <row r="23" spans="2:51" ht="12.75">
      <c r="B23" s="20">
        <f t="shared" si="12"/>
        <v>8</v>
      </c>
      <c r="C23" s="5" t="s">
        <v>946</v>
      </c>
      <c r="D23" s="5">
        <v>20</v>
      </c>
      <c r="E23" s="5" t="s">
        <v>11</v>
      </c>
      <c r="G23" s="5" t="str">
        <f t="shared" si="0"/>
        <v>TAXIDNo</v>
      </c>
      <c r="H23" s="117">
        <f t="shared" ref="H23:H86" si="14">IF(IFERROR(FIND("varchar",E23),0)&gt;0,IF(D23&gt;8000,"max",D23),"")</f>
        <v>20</v>
      </c>
      <c r="I23" s="5" t="str">
        <f t="shared" si="2"/>
        <v>varchar</v>
      </c>
      <c r="J23" s="5" t="str">
        <f t="shared" si="3"/>
        <v xml:space="preserve"> NULL</v>
      </c>
      <c r="K23" s="138" t="s">
        <v>984</v>
      </c>
      <c r="L23" s="5"/>
      <c r="M23" s="75">
        <v>3</v>
      </c>
      <c r="N23" s="77"/>
      <c r="O23" s="26"/>
      <c r="P23" s="26"/>
      <c r="Q23" s="118">
        <f t="shared" si="4"/>
        <v>23</v>
      </c>
      <c r="R23" s="153"/>
      <c r="S23" s="138" t="str">
        <f t="shared" si="11"/>
        <v>TAX IDNo</v>
      </c>
      <c r="T23" s="148"/>
      <c r="U23" s="146"/>
      <c r="V23" s="146"/>
      <c r="W23" s="139"/>
      <c r="X23" s="139"/>
      <c r="Y23" s="148"/>
      <c r="Z23" s="138" t="str">
        <f t="shared" si="5"/>
        <v/>
      </c>
      <c r="AA23" s="138" t="str">
        <f t="shared" si="13"/>
        <v/>
      </c>
      <c r="AB23" s="239"/>
      <c r="AC23" s="325"/>
      <c r="AD23" s="325"/>
      <c r="AE23" s="325"/>
      <c r="AF23" s="325"/>
      <c r="AG23" s="325"/>
      <c r="AH23" s="325"/>
      <c r="AI23" s="325"/>
      <c r="AJ23" s="325"/>
      <c r="AK23" s="325"/>
      <c r="AL23" s="325"/>
      <c r="AM23" s="325"/>
      <c r="AN23" s="325"/>
      <c r="AO23" s="325"/>
      <c r="AP23" s="136"/>
      <c r="AQ23" s="136"/>
      <c r="AR23" s="136" t="str">
        <f t="shared" si="6"/>
        <v/>
      </c>
      <c r="AS23" s="136" t="str">
        <f t="shared" si="7"/>
        <v/>
      </c>
      <c r="AT23" s="5" t="str">
        <f t="shared" si="8"/>
        <v>TAXIDNo,</v>
      </c>
      <c r="AV23" s="27" t="str">
        <f t="shared" si="9"/>
        <v xml:space="preserve">          [TAXIDNo] [varchar](20) NULL,</v>
      </c>
      <c r="AW23" s="27"/>
      <c r="AY23" s="122" t="str">
        <f t="shared" si="10"/>
        <v xml:space="preserve">          TAXIDNo VARCHAR (20) NULL,</v>
      </c>
    </row>
    <row r="24" spans="2:51" ht="12.75">
      <c r="B24" s="20">
        <f t="shared" si="12"/>
        <v>9</v>
      </c>
      <c r="C24" s="5" t="s">
        <v>947</v>
      </c>
      <c r="D24" s="5" t="s">
        <v>1</v>
      </c>
      <c r="E24" s="5" t="s">
        <v>12</v>
      </c>
      <c r="G24" s="5" t="str">
        <f t="shared" si="0"/>
        <v>BirthDate</v>
      </c>
      <c r="H24" s="117" t="str">
        <f t="shared" si="14"/>
        <v/>
      </c>
      <c r="I24" s="5" t="str">
        <f t="shared" si="2"/>
        <v>datetime</v>
      </c>
      <c r="J24" s="5" t="str">
        <f t="shared" si="3"/>
        <v xml:space="preserve"> NULL</v>
      </c>
      <c r="K24" s="138" t="s">
        <v>550</v>
      </c>
      <c r="L24" s="5"/>
      <c r="M24" s="75">
        <v>4</v>
      </c>
      <c r="N24" s="77"/>
      <c r="O24" s="26"/>
      <c r="P24" s="26"/>
      <c r="Q24" s="118">
        <f t="shared" si="4"/>
        <v>24</v>
      </c>
      <c r="R24" s="153"/>
      <c r="S24" s="138" t="str">
        <f t="shared" si="11"/>
        <v>Birth Date</v>
      </c>
      <c r="T24" s="148"/>
      <c r="U24" s="146" t="s">
        <v>373</v>
      </c>
      <c r="V24" s="146" t="s">
        <v>433</v>
      </c>
      <c r="W24" s="139"/>
      <c r="X24" s="139"/>
      <c r="Y24" s="148"/>
      <c r="Z24" s="138" t="str">
        <f t="shared" si="5"/>
        <v/>
      </c>
      <c r="AA24" s="138" t="str">
        <f t="shared" si="13"/>
        <v/>
      </c>
      <c r="AB24" s="239"/>
      <c r="AC24" s="325"/>
      <c r="AD24" s="325"/>
      <c r="AE24" s="325"/>
      <c r="AF24" s="325"/>
      <c r="AG24" s="325"/>
      <c r="AH24" s="325"/>
      <c r="AI24" s="325"/>
      <c r="AJ24" s="325"/>
      <c r="AK24" s="325"/>
      <c r="AL24" s="325"/>
      <c r="AM24" s="325"/>
      <c r="AN24" s="325"/>
      <c r="AO24" s="325"/>
      <c r="AP24" s="136"/>
      <c r="AQ24" s="136"/>
      <c r="AR24" s="136" t="str">
        <f t="shared" si="6"/>
        <v/>
      </c>
      <c r="AS24" s="136" t="str">
        <f t="shared" si="7"/>
        <v/>
      </c>
      <c r="AT24" s="5" t="str">
        <f t="shared" si="8"/>
        <v>BirthDate,</v>
      </c>
      <c r="AV24" s="27" t="str">
        <f t="shared" si="9"/>
        <v xml:space="preserve">          [BirthDate] [datetime] NULL,</v>
      </c>
      <c r="AW24" s="27"/>
      <c r="AY24" s="122" t="str">
        <f t="shared" si="10"/>
        <v xml:space="preserve">          BirthDate DATETIME NULL,</v>
      </c>
    </row>
    <row r="25" spans="2:51" ht="12.75">
      <c r="B25" s="20">
        <f t="shared" si="12"/>
        <v>10</v>
      </c>
      <c r="C25" s="5" t="s">
        <v>948</v>
      </c>
      <c r="D25" s="5">
        <v>8</v>
      </c>
      <c r="E25" s="5" t="s">
        <v>11</v>
      </c>
      <c r="G25" s="5" t="str">
        <f t="shared" si="0"/>
        <v>AgentType</v>
      </c>
      <c r="H25" s="117">
        <f t="shared" si="14"/>
        <v>8</v>
      </c>
      <c r="I25" s="5" t="str">
        <f t="shared" si="2"/>
        <v>varchar</v>
      </c>
      <c r="J25" s="5" t="str">
        <f t="shared" si="3"/>
        <v xml:space="preserve"> NULL</v>
      </c>
      <c r="K25" s="138" t="s">
        <v>985</v>
      </c>
      <c r="L25" s="5"/>
      <c r="M25" s="75">
        <v>5</v>
      </c>
      <c r="N25" s="77"/>
      <c r="O25" s="26"/>
      <c r="P25" s="26"/>
      <c r="Q25" s="118">
        <f t="shared" si="4"/>
        <v>25</v>
      </c>
      <c r="R25" s="153"/>
      <c r="S25" s="138" t="str">
        <f t="shared" si="11"/>
        <v>Agent Type</v>
      </c>
      <c r="T25" s="148"/>
      <c r="U25" s="146"/>
      <c r="V25" s="146"/>
      <c r="W25" s="139"/>
      <c r="X25" s="139"/>
      <c r="Y25" s="148"/>
      <c r="Z25" s="138" t="str">
        <f t="shared" si="5"/>
        <v/>
      </c>
      <c r="AA25" s="138" t="str">
        <f t="shared" si="13"/>
        <v/>
      </c>
      <c r="AB25" s="239"/>
      <c r="AC25" s="325"/>
      <c r="AD25" s="325"/>
      <c r="AE25" s="325"/>
      <c r="AF25" s="325"/>
      <c r="AG25" s="325"/>
      <c r="AH25" s="325"/>
      <c r="AI25" s="325"/>
      <c r="AJ25" s="325"/>
      <c r="AK25" s="325"/>
      <c r="AL25" s="325"/>
      <c r="AM25" s="325"/>
      <c r="AN25" s="325"/>
      <c r="AO25" s="325"/>
      <c r="AP25" s="136"/>
      <c r="AQ25" s="136"/>
      <c r="AR25" s="136" t="str">
        <f t="shared" si="6"/>
        <v/>
      </c>
      <c r="AS25" s="136" t="str">
        <f t="shared" si="7"/>
        <v/>
      </c>
      <c r="AT25" s="5" t="str">
        <f t="shared" si="8"/>
        <v>AgentType,</v>
      </c>
      <c r="AV25" s="27" t="str">
        <f t="shared" si="9"/>
        <v xml:space="preserve">          [AgentType] [varchar](8) NULL,</v>
      </c>
      <c r="AW25" s="27"/>
      <c r="AY25" s="122" t="str">
        <f t="shared" si="10"/>
        <v xml:space="preserve">          AgentType VARCHAR (8) NULL,</v>
      </c>
    </row>
    <row r="26" spans="2:51" ht="12.75">
      <c r="B26" s="20">
        <f t="shared" si="12"/>
        <v>11</v>
      </c>
      <c r="C26" s="5" t="s">
        <v>949</v>
      </c>
      <c r="D26" s="5">
        <v>8</v>
      </c>
      <c r="E26" s="5" t="s">
        <v>11</v>
      </c>
      <c r="G26" s="5" t="str">
        <f t="shared" si="0"/>
        <v>AgentLocation</v>
      </c>
      <c r="H26" s="117">
        <f t="shared" si="14"/>
        <v>8</v>
      </c>
      <c r="I26" s="5" t="str">
        <f t="shared" si="2"/>
        <v>varchar</v>
      </c>
      <c r="J26" s="5" t="str">
        <f t="shared" si="3"/>
        <v xml:space="preserve"> NULL</v>
      </c>
      <c r="K26" s="138" t="s">
        <v>986</v>
      </c>
      <c r="L26" s="5"/>
      <c r="M26" s="75">
        <v>6</v>
      </c>
      <c r="N26" s="77"/>
      <c r="O26" s="26"/>
      <c r="P26" s="26"/>
      <c r="Q26" s="118">
        <f t="shared" si="4"/>
        <v>26</v>
      </c>
      <c r="R26" s="153"/>
      <c r="S26" s="138" t="str">
        <f t="shared" si="11"/>
        <v>Agent Location</v>
      </c>
      <c r="T26" s="148"/>
      <c r="U26" s="146"/>
      <c r="V26" s="146"/>
      <c r="W26" s="139"/>
      <c r="X26" s="139"/>
      <c r="Y26" s="148"/>
      <c r="Z26" s="138" t="str">
        <f t="shared" si="5"/>
        <v/>
      </c>
      <c r="AA26" s="138" t="str">
        <f t="shared" si="13"/>
        <v/>
      </c>
      <c r="AB26" s="239"/>
      <c r="AC26" s="325"/>
      <c r="AD26" s="325"/>
      <c r="AE26" s="325"/>
      <c r="AF26" s="325"/>
      <c r="AG26" s="325"/>
      <c r="AH26" s="325"/>
      <c r="AI26" s="325"/>
      <c r="AJ26" s="325"/>
      <c r="AK26" s="325"/>
      <c r="AL26" s="325"/>
      <c r="AM26" s="325"/>
      <c r="AN26" s="325"/>
      <c r="AO26" s="325"/>
      <c r="AP26" s="136"/>
      <c r="AQ26" s="136"/>
      <c r="AR26" s="136" t="str">
        <f t="shared" si="6"/>
        <v/>
      </c>
      <c r="AS26" s="136" t="str">
        <f t="shared" si="7"/>
        <v/>
      </c>
      <c r="AT26" s="5" t="str">
        <f t="shared" si="8"/>
        <v>AgentLocation,</v>
      </c>
      <c r="AV26" s="27" t="str">
        <f t="shared" si="9"/>
        <v xml:space="preserve">          [AgentLocation] [varchar](8) NULL,</v>
      </c>
      <c r="AW26" s="27"/>
      <c r="AY26" s="122" t="str">
        <f t="shared" si="10"/>
        <v xml:space="preserve">          AgentLocation VARCHAR (8) NULL,</v>
      </c>
    </row>
    <row r="27" spans="2:51" ht="12.75">
      <c r="B27" s="20">
        <f t="shared" si="12"/>
        <v>12</v>
      </c>
      <c r="C27" s="5" t="s">
        <v>950</v>
      </c>
      <c r="D27" s="5" t="s">
        <v>1</v>
      </c>
      <c r="E27" s="5" t="s">
        <v>415</v>
      </c>
      <c r="G27" s="5" t="str">
        <f t="shared" si="0"/>
        <v>AgreementFlag</v>
      </c>
      <c r="H27" s="117" t="str">
        <f t="shared" si="14"/>
        <v/>
      </c>
      <c r="I27" s="5" t="str">
        <f t="shared" si="2"/>
        <v>bit</v>
      </c>
      <c r="J27" s="5" t="str">
        <f t="shared" si="3"/>
        <v xml:space="preserve"> NULL</v>
      </c>
      <c r="K27" s="138" t="s">
        <v>987</v>
      </c>
      <c r="L27" s="5"/>
      <c r="M27" s="75">
        <v>9006</v>
      </c>
      <c r="N27" s="77"/>
      <c r="O27" s="26"/>
      <c r="P27" s="26"/>
      <c r="Q27" s="118">
        <f t="shared" si="4"/>
        <v>27</v>
      </c>
      <c r="R27" s="153"/>
      <c r="S27" s="138" t="str">
        <f t="shared" si="11"/>
        <v>Agreement Flag</v>
      </c>
      <c r="T27" s="148"/>
      <c r="U27" s="146"/>
      <c r="V27" s="146"/>
      <c r="W27" s="139"/>
      <c r="X27" s="139"/>
      <c r="Y27" s="148"/>
      <c r="Z27" s="138" t="str">
        <f t="shared" si="5"/>
        <v>false</v>
      </c>
      <c r="AA27" s="138" t="str">
        <f t="shared" si="13"/>
        <v/>
      </c>
      <c r="AB27" s="239"/>
      <c r="AC27" s="325"/>
      <c r="AD27" s="325"/>
      <c r="AE27" s="325"/>
      <c r="AF27" s="325"/>
      <c r="AG27" s="325"/>
      <c r="AH27" s="325"/>
      <c r="AI27" s="325"/>
      <c r="AJ27" s="325"/>
      <c r="AK27" s="325"/>
      <c r="AL27" s="325"/>
      <c r="AM27" s="325"/>
      <c r="AN27" s="325"/>
      <c r="AO27" s="325"/>
      <c r="AP27" s="136"/>
      <c r="AQ27" s="136"/>
      <c r="AR27" s="136" t="str">
        <f t="shared" si="6"/>
        <v/>
      </c>
      <c r="AS27" s="136" t="str">
        <f t="shared" si="7"/>
        <v/>
      </c>
      <c r="AT27" s="5" t="str">
        <f t="shared" si="8"/>
        <v>AgreementFlag,</v>
      </c>
      <c r="AV27" s="27" t="str">
        <f t="shared" si="9"/>
        <v xml:space="preserve">          [AgreementFlag] [bit] NULL,</v>
      </c>
      <c r="AW27" s="27"/>
      <c r="AY27" s="122" t="str">
        <f t="shared" si="10"/>
        <v xml:space="preserve">          AgreementFlag BIT NULL,</v>
      </c>
    </row>
    <row r="28" spans="2:51" ht="12.75">
      <c r="B28" s="20">
        <f t="shared" si="12"/>
        <v>13</v>
      </c>
      <c r="C28" s="5" t="s">
        <v>951</v>
      </c>
      <c r="D28" s="5" t="s">
        <v>1</v>
      </c>
      <c r="E28" s="5" t="s">
        <v>415</v>
      </c>
      <c r="G28" s="5" t="str">
        <f t="shared" si="0"/>
        <v>AgreementStatus</v>
      </c>
      <c r="H28" s="117" t="str">
        <f t="shared" si="14"/>
        <v/>
      </c>
      <c r="I28" s="5" t="str">
        <f t="shared" si="2"/>
        <v>bit</v>
      </c>
      <c r="J28" s="5" t="str">
        <f t="shared" si="3"/>
        <v xml:space="preserve"> NULL</v>
      </c>
      <c r="K28" s="138" t="s">
        <v>988</v>
      </c>
      <c r="L28" s="5"/>
      <c r="M28" s="75">
        <v>9007</v>
      </c>
      <c r="N28" s="77"/>
      <c r="O28" s="26"/>
      <c r="P28" s="26"/>
      <c r="Q28" s="118">
        <f t="shared" si="4"/>
        <v>28</v>
      </c>
      <c r="R28" s="153"/>
      <c r="S28" s="138" t="str">
        <f t="shared" si="11"/>
        <v>Agreement Status</v>
      </c>
      <c r="T28" s="148"/>
      <c r="U28" s="146"/>
      <c r="V28" s="146"/>
      <c r="W28" s="139"/>
      <c r="X28" s="139"/>
      <c r="Y28" s="148"/>
      <c r="Z28" s="138" t="str">
        <f t="shared" si="5"/>
        <v>false</v>
      </c>
      <c r="AA28" s="138" t="str">
        <f t="shared" si="13"/>
        <v/>
      </c>
      <c r="AB28" s="239"/>
      <c r="AC28" s="325"/>
      <c r="AD28" s="325"/>
      <c r="AE28" s="325"/>
      <c r="AF28" s="325"/>
      <c r="AG28" s="325"/>
      <c r="AH28" s="325"/>
      <c r="AI28" s="325"/>
      <c r="AJ28" s="325"/>
      <c r="AK28" s="325"/>
      <c r="AL28" s="325"/>
      <c r="AM28" s="325"/>
      <c r="AN28" s="325"/>
      <c r="AO28" s="325"/>
      <c r="AP28" s="136"/>
      <c r="AQ28" s="136"/>
      <c r="AR28" s="136" t="str">
        <f t="shared" si="6"/>
        <v/>
      </c>
      <c r="AS28" s="136" t="str">
        <f t="shared" si="7"/>
        <v/>
      </c>
      <c r="AT28" s="5" t="str">
        <f t="shared" si="8"/>
        <v>AgreementStatus,</v>
      </c>
      <c r="AV28" s="27" t="str">
        <f t="shared" si="9"/>
        <v xml:space="preserve">          [AgreementStatus] [bit] NULL,</v>
      </c>
      <c r="AW28" s="27"/>
      <c r="AY28" s="122" t="str">
        <f t="shared" si="10"/>
        <v xml:space="preserve">          AgreementStatus BIT NULL,</v>
      </c>
    </row>
    <row r="29" spans="2:51" ht="12.75">
      <c r="B29" s="20">
        <f t="shared" si="12"/>
        <v>14</v>
      </c>
      <c r="C29" s="5" t="s">
        <v>952</v>
      </c>
      <c r="D29" s="5">
        <v>8</v>
      </c>
      <c r="E29" s="5" t="s">
        <v>11</v>
      </c>
      <c r="G29" s="5" t="str">
        <f t="shared" si="0"/>
        <v>AgentStatus</v>
      </c>
      <c r="H29" s="117">
        <f t="shared" si="14"/>
        <v>8</v>
      </c>
      <c r="I29" s="5" t="str">
        <f t="shared" si="2"/>
        <v>varchar</v>
      </c>
      <c r="J29" s="5" t="str">
        <f t="shared" si="3"/>
        <v xml:space="preserve"> NULL</v>
      </c>
      <c r="K29" s="138" t="s">
        <v>989</v>
      </c>
      <c r="L29" s="5"/>
      <c r="M29" s="75">
        <v>7</v>
      </c>
      <c r="N29" s="77"/>
      <c r="O29" s="26"/>
      <c r="P29" s="26"/>
      <c r="Q29" s="118">
        <f t="shared" si="4"/>
        <v>29</v>
      </c>
      <c r="R29" s="153"/>
      <c r="S29" s="138" t="str">
        <f t="shared" si="11"/>
        <v>Agent Status</v>
      </c>
      <c r="T29" s="148"/>
      <c r="U29" s="146"/>
      <c r="V29" s="146"/>
      <c r="W29" s="139"/>
      <c r="X29" s="139"/>
      <c r="Y29" s="148"/>
      <c r="Z29" s="138" t="str">
        <f t="shared" si="5"/>
        <v/>
      </c>
      <c r="AA29" s="138" t="str">
        <f t="shared" si="13"/>
        <v/>
      </c>
      <c r="AB29" s="239"/>
      <c r="AC29" s="325"/>
      <c r="AD29" s="325"/>
      <c r="AE29" s="325"/>
      <c r="AF29" s="325"/>
      <c r="AG29" s="325"/>
      <c r="AH29" s="325"/>
      <c r="AI29" s="325"/>
      <c r="AJ29" s="325"/>
      <c r="AK29" s="325"/>
      <c r="AL29" s="325"/>
      <c r="AM29" s="325" t="s">
        <v>1028</v>
      </c>
      <c r="AN29" s="325"/>
      <c r="AO29" s="325"/>
      <c r="AP29" s="136"/>
      <c r="AQ29" s="136"/>
      <c r="AR29" s="136" t="str">
        <f t="shared" si="6"/>
        <v/>
      </c>
      <c r="AS29" s="136" t="str">
        <f t="shared" si="7"/>
        <v/>
      </c>
      <c r="AT29" s="5" t="str">
        <f t="shared" si="8"/>
        <v>AgentStatus,</v>
      </c>
      <c r="AV29" s="27" t="str">
        <f t="shared" si="9"/>
        <v xml:space="preserve">          [AgentStatus] [varchar](8) NULL,</v>
      </c>
      <c r="AW29" s="27"/>
      <c r="AY29" s="122" t="str">
        <f t="shared" si="10"/>
        <v xml:space="preserve">          AgentStatus VARCHAR (8) NULL,</v>
      </c>
    </row>
    <row r="30" spans="2:51" ht="12.75">
      <c r="B30" s="20">
        <f t="shared" si="12"/>
        <v>15</v>
      </c>
      <c r="C30" s="5" t="s">
        <v>953</v>
      </c>
      <c r="D30" s="5">
        <v>15</v>
      </c>
      <c r="E30" s="5" t="s">
        <v>11</v>
      </c>
      <c r="G30" s="5" t="str">
        <f t="shared" si="0"/>
        <v>AgentCategory</v>
      </c>
      <c r="H30" s="117">
        <f t="shared" si="14"/>
        <v>15</v>
      </c>
      <c r="I30" s="5" t="str">
        <f t="shared" si="2"/>
        <v>varchar</v>
      </c>
      <c r="J30" s="5" t="str">
        <f t="shared" si="3"/>
        <v xml:space="preserve"> NULL</v>
      </c>
      <c r="K30" s="138" t="s">
        <v>990</v>
      </c>
      <c r="L30" s="5"/>
      <c r="M30" s="75">
        <v>9008</v>
      </c>
      <c r="N30" s="77"/>
      <c r="O30" s="26"/>
      <c r="P30" s="26"/>
      <c r="Q30" s="118">
        <f t="shared" si="4"/>
        <v>30</v>
      </c>
      <c r="R30" s="153"/>
      <c r="S30" s="138" t="str">
        <f t="shared" si="11"/>
        <v>Agent Category</v>
      </c>
      <c r="T30" s="148"/>
      <c r="U30" s="146"/>
      <c r="V30" s="146"/>
      <c r="W30" s="139"/>
      <c r="X30" s="139"/>
      <c r="Y30" s="148"/>
      <c r="Z30" s="138" t="str">
        <f t="shared" si="5"/>
        <v>false</v>
      </c>
      <c r="AA30" s="138" t="str">
        <f t="shared" si="13"/>
        <v/>
      </c>
      <c r="AB30" s="239"/>
      <c r="AC30" s="325"/>
      <c r="AD30" s="325"/>
      <c r="AE30" s="325"/>
      <c r="AF30" s="325"/>
      <c r="AG30" s="325"/>
      <c r="AH30" s="325"/>
      <c r="AI30" s="325"/>
      <c r="AJ30" s="325"/>
      <c r="AK30" s="325"/>
      <c r="AL30" s="325"/>
      <c r="AM30" s="325"/>
      <c r="AN30" s="325"/>
      <c r="AO30" s="325"/>
      <c r="AP30" s="136"/>
      <c r="AQ30" s="136"/>
      <c r="AR30" s="136" t="str">
        <f t="shared" si="6"/>
        <v/>
      </c>
      <c r="AS30" s="136" t="str">
        <f t="shared" si="7"/>
        <v/>
      </c>
      <c r="AT30" s="5" t="str">
        <f t="shared" si="8"/>
        <v>AgentCategory,</v>
      </c>
      <c r="AV30" s="27" t="str">
        <f t="shared" si="9"/>
        <v xml:space="preserve">          [AgentCategory] [varchar](15) NULL,</v>
      </c>
      <c r="AW30" s="27"/>
      <c r="AY30" s="122" t="str">
        <f t="shared" si="10"/>
        <v xml:space="preserve">          AgentCategory VARCHAR (15) NULL,</v>
      </c>
    </row>
    <row r="31" spans="2:51" ht="12.75">
      <c r="B31" s="20">
        <f t="shared" si="12"/>
        <v>16</v>
      </c>
      <c r="C31" s="5" t="s">
        <v>954</v>
      </c>
      <c r="D31" s="5">
        <v>100</v>
      </c>
      <c r="E31" s="5" t="s">
        <v>11</v>
      </c>
      <c r="G31" s="5" t="str">
        <f t="shared" si="0"/>
        <v>PaymentInfo</v>
      </c>
      <c r="H31" s="117">
        <f t="shared" si="14"/>
        <v>100</v>
      </c>
      <c r="I31" s="5" t="str">
        <f t="shared" si="2"/>
        <v>varchar</v>
      </c>
      <c r="J31" s="5" t="str">
        <f t="shared" si="3"/>
        <v xml:space="preserve"> NULL</v>
      </c>
      <c r="K31" s="138" t="s">
        <v>991</v>
      </c>
      <c r="L31" s="5"/>
      <c r="M31" s="75">
        <v>9009</v>
      </c>
      <c r="N31" s="77"/>
      <c r="O31" s="26"/>
      <c r="P31" s="26"/>
      <c r="Q31" s="118">
        <f t="shared" si="4"/>
        <v>31</v>
      </c>
      <c r="R31" s="153"/>
      <c r="S31" s="138" t="str">
        <f t="shared" si="11"/>
        <v>Payment Info</v>
      </c>
      <c r="T31" s="148"/>
      <c r="U31" s="146"/>
      <c r="V31" s="146"/>
      <c r="W31" s="139"/>
      <c r="X31" s="139"/>
      <c r="Y31" s="148"/>
      <c r="Z31" s="138" t="str">
        <f t="shared" si="5"/>
        <v>false</v>
      </c>
      <c r="AA31" s="138" t="str">
        <f t="shared" si="13"/>
        <v/>
      </c>
      <c r="AB31" s="239"/>
      <c r="AC31" s="325"/>
      <c r="AD31" s="325"/>
      <c r="AE31" s="325"/>
      <c r="AF31" s="325"/>
      <c r="AG31" s="325"/>
      <c r="AH31" s="325"/>
      <c r="AI31" s="325"/>
      <c r="AJ31" s="325"/>
      <c r="AK31" s="325"/>
      <c r="AL31" s="325"/>
      <c r="AM31" s="325"/>
      <c r="AN31" s="325"/>
      <c r="AO31" s="325"/>
      <c r="AP31" s="136"/>
      <c r="AQ31" s="136"/>
      <c r="AR31" s="136" t="str">
        <f t="shared" si="6"/>
        <v/>
      </c>
      <c r="AS31" s="136" t="str">
        <f t="shared" si="7"/>
        <v/>
      </c>
      <c r="AT31" s="5" t="str">
        <f t="shared" si="8"/>
        <v>PaymentInfo,</v>
      </c>
      <c r="AV31" s="27" t="str">
        <f t="shared" si="9"/>
        <v xml:space="preserve">          [PaymentInfo] [varchar](100) NULL,</v>
      </c>
      <c r="AW31" s="27"/>
      <c r="AY31" s="122" t="str">
        <f t="shared" si="10"/>
        <v xml:space="preserve">          PaymentInfo VARCHAR (100) NULL,</v>
      </c>
    </row>
    <row r="32" spans="2:51" ht="12.75">
      <c r="B32" s="20">
        <f t="shared" si="12"/>
        <v>17</v>
      </c>
      <c r="C32" s="5" t="s">
        <v>955</v>
      </c>
      <c r="D32" s="5">
        <v>100</v>
      </c>
      <c r="E32" s="5" t="s">
        <v>11</v>
      </c>
      <c r="G32" s="5" t="str">
        <f t="shared" si="0"/>
        <v>Remark1</v>
      </c>
      <c r="H32" s="117">
        <f t="shared" si="14"/>
        <v>100</v>
      </c>
      <c r="I32" s="5" t="str">
        <f t="shared" si="2"/>
        <v>varchar</v>
      </c>
      <c r="J32" s="5" t="str">
        <f t="shared" si="3"/>
        <v xml:space="preserve"> NULL</v>
      </c>
      <c r="K32" s="138" t="s">
        <v>955</v>
      </c>
      <c r="L32" s="5"/>
      <c r="M32" s="75">
        <v>9009</v>
      </c>
      <c r="N32" s="77"/>
      <c r="O32" s="26"/>
      <c r="P32" s="26"/>
      <c r="Q32" s="118">
        <f t="shared" si="4"/>
        <v>32</v>
      </c>
      <c r="R32" s="153"/>
      <c r="S32" s="138" t="str">
        <f t="shared" si="11"/>
        <v>Remark1</v>
      </c>
      <c r="T32" s="148"/>
      <c r="U32" s="146"/>
      <c r="V32" s="146"/>
      <c r="W32" s="139"/>
      <c r="X32" s="139"/>
      <c r="Y32" s="148"/>
      <c r="Z32" s="138" t="str">
        <f t="shared" si="5"/>
        <v>false</v>
      </c>
      <c r="AA32" s="138" t="str">
        <f t="shared" si="13"/>
        <v/>
      </c>
      <c r="AB32" s="239"/>
      <c r="AC32" s="325"/>
      <c r="AD32" s="325"/>
      <c r="AE32" s="325"/>
      <c r="AF32" s="325"/>
      <c r="AG32" s="325"/>
      <c r="AH32" s="325"/>
      <c r="AI32" s="325"/>
      <c r="AJ32" s="325"/>
      <c r="AK32" s="325"/>
      <c r="AL32" s="325"/>
      <c r="AM32" s="325"/>
      <c r="AN32" s="325"/>
      <c r="AO32" s="325"/>
      <c r="AP32" s="136"/>
      <c r="AQ32" s="136"/>
      <c r="AR32" s="136" t="str">
        <f t="shared" si="6"/>
        <v/>
      </c>
      <c r="AS32" s="136" t="str">
        <f t="shared" si="7"/>
        <v/>
      </c>
      <c r="AT32" s="5" t="str">
        <f t="shared" si="8"/>
        <v>Remark1,</v>
      </c>
      <c r="AV32" s="27" t="str">
        <f t="shared" si="9"/>
        <v xml:space="preserve">          [Remark1] [varchar](100) NULL,</v>
      </c>
      <c r="AW32" s="27"/>
      <c r="AY32" s="122" t="str">
        <f t="shared" si="10"/>
        <v xml:space="preserve">          Remark1 VARCHAR (100) NULL,</v>
      </c>
    </row>
    <row r="33" spans="2:51" ht="12.75">
      <c r="B33" s="20">
        <f t="shared" si="12"/>
        <v>18</v>
      </c>
      <c r="C33" s="5" t="s">
        <v>956</v>
      </c>
      <c r="D33" s="5">
        <v>100</v>
      </c>
      <c r="E33" s="5" t="s">
        <v>11</v>
      </c>
      <c r="G33" s="5" t="str">
        <f>SUBSTITUTE(SUBSTITUTE(SUBSTITUTE(SUBSTITUTE(SUBSTITUTE(SUBSTITUTE(SUBSTITUTE(SUBSTITUTE(SUBSTITUTE(C33," ",""),".",""),"#","No"),"%",""),"(",""),"*",""),"-",""),"/",""),")","")</f>
        <v>Remark2</v>
      </c>
      <c r="H33" s="117">
        <f t="shared" si="14"/>
        <v>100</v>
      </c>
      <c r="I33" s="5" t="str">
        <f t="shared" si="2"/>
        <v>varchar</v>
      </c>
      <c r="J33" s="5" t="str">
        <f t="shared" si="3"/>
        <v xml:space="preserve"> NULL</v>
      </c>
      <c r="K33" s="138" t="s">
        <v>956</v>
      </c>
      <c r="L33" s="5"/>
      <c r="M33" s="75">
        <v>9009</v>
      </c>
      <c r="N33" s="77"/>
      <c r="O33" s="26"/>
      <c r="P33" s="26"/>
      <c r="Q33" s="118">
        <f t="shared" si="4"/>
        <v>33</v>
      </c>
      <c r="R33" s="153"/>
      <c r="S33" s="138" t="str">
        <f t="shared" si="11"/>
        <v>Remark2</v>
      </c>
      <c r="T33" s="148"/>
      <c r="U33" s="146"/>
      <c r="V33" s="146"/>
      <c r="W33" s="139"/>
      <c r="X33" s="139"/>
      <c r="Y33" s="148"/>
      <c r="Z33" s="138" t="str">
        <f t="shared" si="5"/>
        <v>false</v>
      </c>
      <c r="AA33" s="138" t="str">
        <f t="shared" si="13"/>
        <v/>
      </c>
      <c r="AB33" s="239"/>
      <c r="AC33" s="325"/>
      <c r="AD33" s="325"/>
      <c r="AE33" s="325"/>
      <c r="AF33" s="325"/>
      <c r="AG33" s="325"/>
      <c r="AH33" s="325"/>
      <c r="AI33" s="325"/>
      <c r="AJ33" s="325"/>
      <c r="AK33" s="325"/>
      <c r="AL33" s="325"/>
      <c r="AM33" s="325"/>
      <c r="AN33" s="325"/>
      <c r="AO33" s="325"/>
      <c r="AP33" s="136"/>
      <c r="AQ33" s="136"/>
      <c r="AR33" s="136" t="str">
        <f t="shared" si="6"/>
        <v/>
      </c>
      <c r="AS33" s="136" t="str">
        <f t="shared" si="7"/>
        <v/>
      </c>
      <c r="AT33" s="5" t="str">
        <f t="shared" si="8"/>
        <v>Remark2,</v>
      </c>
      <c r="AV33" s="27" t="str">
        <f t="shared" si="9"/>
        <v xml:space="preserve">          [Remark2] [varchar](100) NULL,</v>
      </c>
      <c r="AW33" s="27"/>
      <c r="AY33" s="122" t="str">
        <f t="shared" si="10"/>
        <v xml:space="preserve">          Remark2 VARCHAR (100) NULL,</v>
      </c>
    </row>
    <row r="34" spans="2:51" ht="12.75">
      <c r="B34" s="20">
        <f t="shared" si="12"/>
        <v>19</v>
      </c>
      <c r="C34" s="5" t="s">
        <v>957</v>
      </c>
      <c r="D34" s="5">
        <v>100</v>
      </c>
      <c r="E34" s="5" t="s">
        <v>11</v>
      </c>
      <c r="G34" s="5" t="str">
        <f>SUBSTITUTE(SUBSTITUTE(SUBSTITUTE(SUBSTITUTE(SUBSTITUTE(SUBSTITUTE(SUBSTITUTE(SUBSTITUTE(SUBSTITUTE(C34," ",""),".",""),"#","No"),"%",""),"(",""),"*",""),"-",""),"/",""),")","")</f>
        <v>Remark3</v>
      </c>
      <c r="H34" s="117">
        <f t="shared" si="14"/>
        <v>100</v>
      </c>
      <c r="I34" s="5" t="str">
        <f t="shared" si="2"/>
        <v>varchar</v>
      </c>
      <c r="J34" s="5" t="str">
        <f t="shared" si="3"/>
        <v xml:space="preserve"> NULL</v>
      </c>
      <c r="K34" s="138" t="s">
        <v>957</v>
      </c>
      <c r="L34" s="5"/>
      <c r="M34" s="75">
        <v>9009</v>
      </c>
      <c r="N34" s="77"/>
      <c r="O34" s="26"/>
      <c r="P34" s="26"/>
      <c r="Q34" s="118">
        <f t="shared" si="4"/>
        <v>34</v>
      </c>
      <c r="R34" s="153"/>
      <c r="S34" s="138" t="str">
        <f t="shared" si="11"/>
        <v>Remark3</v>
      </c>
      <c r="T34" s="148"/>
      <c r="U34" s="146"/>
      <c r="V34" s="146"/>
      <c r="W34" s="139"/>
      <c r="X34" s="139"/>
      <c r="Y34" s="148"/>
      <c r="Z34" s="138" t="str">
        <f t="shared" si="5"/>
        <v>false</v>
      </c>
      <c r="AA34" s="138" t="str">
        <f t="shared" si="13"/>
        <v/>
      </c>
      <c r="AB34" s="239"/>
      <c r="AC34" s="325"/>
      <c r="AD34" s="325"/>
      <c r="AE34" s="325"/>
      <c r="AF34" s="325"/>
      <c r="AG34" s="325"/>
      <c r="AH34" s="325"/>
      <c r="AI34" s="325"/>
      <c r="AJ34" s="325"/>
      <c r="AK34" s="325"/>
      <c r="AL34" s="325"/>
      <c r="AM34" s="325"/>
      <c r="AN34" s="325"/>
      <c r="AO34" s="325"/>
      <c r="AP34" s="136"/>
      <c r="AQ34" s="136"/>
      <c r="AR34" s="136" t="str">
        <f t="shared" si="6"/>
        <v/>
      </c>
      <c r="AS34" s="136" t="str">
        <f t="shared" si="7"/>
        <v/>
      </c>
      <c r="AT34" s="5" t="str">
        <f t="shared" si="8"/>
        <v>Remark3,</v>
      </c>
      <c r="AV34" s="27" t="str">
        <f t="shared" si="9"/>
        <v xml:space="preserve">          [Remark3] [varchar](100) NULL,</v>
      </c>
      <c r="AW34" s="27"/>
      <c r="AY34" s="122" t="str">
        <f t="shared" si="10"/>
        <v xml:space="preserve">          Remark3 VARCHAR (100) NULL,</v>
      </c>
    </row>
    <row r="35" spans="2:51" ht="12.75">
      <c r="B35" s="20">
        <f t="shared" si="12"/>
        <v>20</v>
      </c>
      <c r="C35" s="5" t="s">
        <v>958</v>
      </c>
      <c r="D35" s="5">
        <v>8</v>
      </c>
      <c r="E35" s="5" t="s">
        <v>11</v>
      </c>
      <c r="G35" s="5" t="str">
        <f>SUBSTITUTE(SUBSTITUTE(SUBSTITUTE(SUBSTITUTE(SUBSTITUTE(SUBSTITUTE(SUBSTITUTE(SUBSTITUTE(SUBSTITUTE(C35," ",""),".",""),"#","No"),"%",""),"(",""),"*",""),"-",""),"/",""),")","")</f>
        <v>OwnerAE</v>
      </c>
      <c r="H35" s="117">
        <f t="shared" si="14"/>
        <v>8</v>
      </c>
      <c r="I35" s="5" t="str">
        <f t="shared" si="2"/>
        <v>varchar</v>
      </c>
      <c r="J35" s="5" t="str">
        <f t="shared" si="3"/>
        <v xml:space="preserve"> NULL</v>
      </c>
      <c r="K35" s="138" t="s">
        <v>994</v>
      </c>
      <c r="L35" s="5"/>
      <c r="M35" s="75">
        <v>9009</v>
      </c>
      <c r="N35" s="77"/>
      <c r="O35" s="26"/>
      <c r="P35" s="26"/>
      <c r="Q35" s="118">
        <f t="shared" si="4"/>
        <v>35</v>
      </c>
      <c r="R35" s="153"/>
      <c r="S35" s="138" t="str">
        <f t="shared" si="11"/>
        <v>Owner AE</v>
      </c>
      <c r="T35" s="148"/>
      <c r="U35" s="146"/>
      <c r="V35" s="146"/>
      <c r="W35" s="139"/>
      <c r="X35" s="139"/>
      <c r="Y35" s="148"/>
      <c r="Z35" s="138" t="str">
        <f t="shared" si="5"/>
        <v>false</v>
      </c>
      <c r="AA35" s="138" t="str">
        <f t="shared" si="13"/>
        <v/>
      </c>
      <c r="AB35" s="239"/>
      <c r="AC35" s="325"/>
      <c r="AD35" s="325"/>
      <c r="AE35" s="325"/>
      <c r="AF35" s="325"/>
      <c r="AG35" s="325"/>
      <c r="AH35" s="325"/>
      <c r="AI35" s="325"/>
      <c r="AJ35" s="325"/>
      <c r="AK35" s="325"/>
      <c r="AL35" s="325"/>
      <c r="AM35" s="325"/>
      <c r="AN35" s="325"/>
      <c r="AO35" s="325"/>
      <c r="AP35" s="136"/>
      <c r="AQ35" s="136"/>
      <c r="AR35" s="136" t="str">
        <f t="shared" si="6"/>
        <v/>
      </c>
      <c r="AS35" s="136" t="str">
        <f t="shared" si="7"/>
        <v/>
      </c>
      <c r="AT35" s="5" t="str">
        <f t="shared" si="8"/>
        <v>OwnerAE,</v>
      </c>
      <c r="AV35" s="27" t="str">
        <f t="shared" si="9"/>
        <v xml:space="preserve">          [OwnerAE] [varchar](8) NULL,</v>
      </c>
      <c r="AW35" s="27"/>
      <c r="AY35" s="122" t="str">
        <f t="shared" si="10"/>
        <v xml:space="preserve">          OwnerAE VARCHAR (8) NULL,</v>
      </c>
    </row>
    <row r="36" spans="2:51" ht="12.75">
      <c r="B36" s="20">
        <f t="shared" si="12"/>
        <v>21</v>
      </c>
      <c r="C36" s="5" t="s">
        <v>959</v>
      </c>
      <c r="D36" s="5" t="s">
        <v>1</v>
      </c>
      <c r="E36" s="5" t="s">
        <v>415</v>
      </c>
      <c r="G36" s="5" t="str">
        <f>SUBSTITUTE(SUBSTITUTE(SUBSTITUTE(SUBSTITUTE(SUBSTITUTE(SUBSTITUTE(SUBSTITUTE(SUBSTITUTE(SUBSTITUTE(C36," ",""),".",""),"#","No"),"%",""),"(",""),"*",""),"-",""),"/",""),")","")</f>
        <v>VATType</v>
      </c>
      <c r="H36" s="117" t="str">
        <f t="shared" si="14"/>
        <v/>
      </c>
      <c r="I36" s="5" t="str">
        <f t="shared" si="2"/>
        <v>bit</v>
      </c>
      <c r="J36" s="5" t="str">
        <f t="shared" si="3"/>
        <v xml:space="preserve"> NULL</v>
      </c>
      <c r="K36" s="138" t="s">
        <v>995</v>
      </c>
      <c r="L36" s="5"/>
      <c r="M36" s="75">
        <v>9009</v>
      </c>
      <c r="N36" s="77"/>
      <c r="O36" s="26"/>
      <c r="P36" s="26"/>
      <c r="Q36" s="118">
        <f t="shared" si="4"/>
        <v>36</v>
      </c>
      <c r="R36" s="153"/>
      <c r="S36" s="138" t="str">
        <f t="shared" si="11"/>
        <v>VAT Type</v>
      </c>
      <c r="T36" s="148"/>
      <c r="U36" s="146"/>
      <c r="V36" s="146"/>
      <c r="W36" s="139"/>
      <c r="X36" s="139"/>
      <c r="Y36" s="148"/>
      <c r="Z36" s="138" t="str">
        <f t="shared" si="5"/>
        <v>false</v>
      </c>
      <c r="AA36" s="138" t="str">
        <f t="shared" si="13"/>
        <v/>
      </c>
      <c r="AB36" s="239"/>
      <c r="AC36" s="325"/>
      <c r="AD36" s="325"/>
      <c r="AE36" s="325"/>
      <c r="AF36" s="325"/>
      <c r="AG36" s="325"/>
      <c r="AH36" s="325"/>
      <c r="AI36" s="325"/>
      <c r="AJ36" s="325"/>
      <c r="AK36" s="325"/>
      <c r="AL36" s="325"/>
      <c r="AM36" s="325"/>
      <c r="AN36" s="325"/>
      <c r="AO36" s="325"/>
      <c r="AP36" s="136"/>
      <c r="AQ36" s="136"/>
      <c r="AR36" s="136" t="str">
        <f t="shared" si="6"/>
        <v/>
      </c>
      <c r="AS36" s="136" t="str">
        <f t="shared" si="7"/>
        <v/>
      </c>
      <c r="AT36" s="5" t="str">
        <f t="shared" si="8"/>
        <v>VATType,</v>
      </c>
      <c r="AV36" s="27" t="str">
        <f>IF(G36="","",+"          ["&amp;TRIM(G36)&amp;"] ["&amp;TRIM(I36)&amp;"]"&amp;IF(H36="","","("&amp;H36&amp;")")&amp;" "&amp;TRIM(J36)&amp;IF(G46="","",","))</f>
        <v xml:space="preserve">          [VATType] [bit] NULL,</v>
      </c>
      <c r="AW36" s="27"/>
      <c r="AY36" s="122" t="str">
        <f t="shared" si="10"/>
        <v xml:space="preserve">          VATType BIT NULL,</v>
      </c>
    </row>
    <row r="37" spans="2:51" ht="12.75">
      <c r="B37" s="20">
        <f t="shared" si="12"/>
        <v>22</v>
      </c>
      <c r="C37" s="5" t="s">
        <v>960</v>
      </c>
      <c r="D37" s="5" t="s">
        <v>1</v>
      </c>
      <c r="E37" s="5" t="s">
        <v>415</v>
      </c>
      <c r="G37" s="5" t="str">
        <f t="shared" ref="G37:G45" si="15">SUBSTITUTE(SUBSTITUTE(SUBSTITUTE(SUBSTITUTE(SUBSTITUTE(SUBSTITUTE(SUBSTITUTE(SUBSTITUTE(SUBSTITUTE(C37," ",""),".",""),"#","No"),"%",""),"(",""),"*",""),"-",""),"/",""),")","")</f>
        <v>WHTFlag</v>
      </c>
      <c r="H37" s="117" t="str">
        <f t="shared" si="14"/>
        <v/>
      </c>
      <c r="I37" s="5" t="str">
        <f t="shared" si="2"/>
        <v>bit</v>
      </c>
      <c r="J37" s="5" t="str">
        <f t="shared" si="3"/>
        <v xml:space="preserve"> NULL</v>
      </c>
      <c r="K37" s="138" t="s">
        <v>996</v>
      </c>
      <c r="L37" s="5"/>
      <c r="M37" s="75">
        <v>9009</v>
      </c>
      <c r="N37" s="77"/>
      <c r="O37" s="26"/>
      <c r="P37" s="26"/>
      <c r="Q37" s="118">
        <f t="shared" si="4"/>
        <v>37</v>
      </c>
      <c r="R37" s="153"/>
      <c r="S37" s="138" t="str">
        <f t="shared" si="11"/>
        <v>WHT Flag</v>
      </c>
      <c r="T37" s="148"/>
      <c r="U37" s="146"/>
      <c r="V37" s="146"/>
      <c r="W37" s="139"/>
      <c r="X37" s="139"/>
      <c r="Y37" s="148"/>
      <c r="Z37" s="138" t="str">
        <f t="shared" si="5"/>
        <v>false</v>
      </c>
      <c r="AA37" s="138" t="str">
        <f t="shared" si="13"/>
        <v/>
      </c>
      <c r="AB37" s="239"/>
      <c r="AC37" s="325"/>
      <c r="AD37" s="325"/>
      <c r="AE37" s="325"/>
      <c r="AF37" s="325"/>
      <c r="AG37" s="325"/>
      <c r="AH37" s="325"/>
      <c r="AI37" s="325"/>
      <c r="AJ37" s="325"/>
      <c r="AK37" s="325"/>
      <c r="AL37" s="325"/>
      <c r="AM37" s="325"/>
      <c r="AN37" s="325"/>
      <c r="AO37" s="325"/>
      <c r="AP37" s="136"/>
      <c r="AQ37" s="136"/>
      <c r="AR37" s="136" t="str">
        <f t="shared" si="6"/>
        <v/>
      </c>
      <c r="AS37" s="136" t="str">
        <f t="shared" si="7"/>
        <v/>
      </c>
      <c r="AT37" s="5" t="str">
        <f t="shared" si="8"/>
        <v>WHTFlag,</v>
      </c>
      <c r="AV37" s="27" t="str">
        <f>IF(G37="","",+"          ["&amp;TRIM(G37)&amp;"] ["&amp;TRIM(I37)&amp;"]"&amp;IF(H37="","","("&amp;H37&amp;")")&amp;" "&amp;TRIM(J37)&amp;IF(G38="","",","))</f>
        <v xml:space="preserve">          [WHTFlag] [bit] NULL,</v>
      </c>
      <c r="AW37" s="27"/>
      <c r="AY37" s="122" t="str">
        <f t="shared" si="10"/>
        <v xml:space="preserve">          WHTFlag BIT NULL,</v>
      </c>
    </row>
    <row r="38" spans="2:51" ht="12.75">
      <c r="B38" s="20">
        <f t="shared" si="12"/>
        <v>23</v>
      </c>
      <c r="C38" s="5" t="s">
        <v>961</v>
      </c>
      <c r="D38" s="5">
        <v>5</v>
      </c>
      <c r="E38" s="5" t="s">
        <v>11</v>
      </c>
      <c r="G38" s="5" t="str">
        <f t="shared" si="15"/>
        <v>WHTCode</v>
      </c>
      <c r="H38" s="117">
        <f t="shared" si="14"/>
        <v>5</v>
      </c>
      <c r="I38" s="5" t="str">
        <f t="shared" si="2"/>
        <v>varchar</v>
      </c>
      <c r="J38" s="5" t="str">
        <f t="shared" si="3"/>
        <v xml:space="preserve"> NULL</v>
      </c>
      <c r="K38" s="138" t="s">
        <v>997</v>
      </c>
      <c r="L38" s="5"/>
      <c r="M38" s="75">
        <v>9009</v>
      </c>
      <c r="N38" s="77"/>
      <c r="O38" s="26"/>
      <c r="P38" s="26"/>
      <c r="Q38" s="118">
        <f t="shared" si="4"/>
        <v>38</v>
      </c>
      <c r="R38" s="153"/>
      <c r="S38" s="138" t="str">
        <f t="shared" si="11"/>
        <v>WHT Code</v>
      </c>
      <c r="T38" s="148"/>
      <c r="U38" s="146"/>
      <c r="V38" s="146"/>
      <c r="W38" s="139"/>
      <c r="X38" s="139"/>
      <c r="Y38" s="148"/>
      <c r="Z38" s="138" t="str">
        <f t="shared" si="5"/>
        <v>false</v>
      </c>
      <c r="AA38" s="138" t="str">
        <f t="shared" si="13"/>
        <v/>
      </c>
      <c r="AB38" s="239"/>
      <c r="AC38" s="325"/>
      <c r="AD38" s="325"/>
      <c r="AE38" s="325"/>
      <c r="AF38" s="325"/>
      <c r="AG38" s="325"/>
      <c r="AH38" s="325"/>
      <c r="AI38" s="325"/>
      <c r="AJ38" s="325"/>
      <c r="AK38" s="325"/>
      <c r="AL38" s="325"/>
      <c r="AM38" s="325"/>
      <c r="AN38" s="325"/>
      <c r="AO38" s="325"/>
      <c r="AP38" s="136"/>
      <c r="AQ38" s="136"/>
      <c r="AR38" s="136" t="str">
        <f t="shared" si="6"/>
        <v/>
      </c>
      <c r="AS38" s="136" t="str">
        <f t="shared" si="7"/>
        <v/>
      </c>
      <c r="AT38" s="5" t="str">
        <f t="shared" si="8"/>
        <v>WHTCode,</v>
      </c>
      <c r="AV38" s="27" t="str">
        <f>IF(G38="","",+"          ["&amp;TRIM(G38)&amp;"] ["&amp;TRIM(I38)&amp;"]"&amp;IF(H38="","","("&amp;H38&amp;")")&amp;" "&amp;TRIM(J38)&amp;IF(G39="","",","))</f>
        <v xml:space="preserve">          [WHTCode] [varchar](5) NULL,</v>
      </c>
      <c r="AW38" s="27"/>
      <c r="AY38" s="122" t="str">
        <f t="shared" si="10"/>
        <v xml:space="preserve">          WHTCode VARCHAR (5) NULL,</v>
      </c>
    </row>
    <row r="39" spans="2:51" ht="12.75">
      <c r="B39" s="20">
        <f t="shared" si="12"/>
        <v>24</v>
      </c>
      <c r="C39" s="5" t="s">
        <v>962</v>
      </c>
      <c r="D39" s="5">
        <v>50</v>
      </c>
      <c r="E39" s="5" t="s">
        <v>11</v>
      </c>
      <c r="G39" s="5" t="str">
        <f t="shared" si="15"/>
        <v>Branch</v>
      </c>
      <c r="H39" s="117">
        <f t="shared" si="14"/>
        <v>50</v>
      </c>
      <c r="I39" s="5" t="str">
        <f t="shared" si="2"/>
        <v>varchar</v>
      </c>
      <c r="J39" s="5" t="str">
        <f t="shared" si="3"/>
        <v xml:space="preserve"> NULL</v>
      </c>
      <c r="K39" s="138" t="s">
        <v>962</v>
      </c>
      <c r="L39" s="5"/>
      <c r="M39" s="75">
        <v>9009</v>
      </c>
      <c r="N39" s="77"/>
      <c r="O39" s="26"/>
      <c r="P39" s="26"/>
      <c r="Q39" s="118">
        <f t="shared" si="4"/>
        <v>39</v>
      </c>
      <c r="R39" s="153"/>
      <c r="S39" s="138" t="str">
        <f t="shared" si="11"/>
        <v>Branch</v>
      </c>
      <c r="T39" s="148"/>
      <c r="U39" s="146"/>
      <c r="V39" s="146"/>
      <c r="W39" s="139"/>
      <c r="X39" s="139"/>
      <c r="Y39" s="148"/>
      <c r="Z39" s="138" t="str">
        <f t="shared" si="5"/>
        <v>false</v>
      </c>
      <c r="AA39" s="138" t="str">
        <f t="shared" si="13"/>
        <v/>
      </c>
      <c r="AB39" s="239"/>
      <c r="AC39" s="325"/>
      <c r="AD39" s="325"/>
      <c r="AE39" s="325"/>
      <c r="AF39" s="325"/>
      <c r="AG39" s="325"/>
      <c r="AH39" s="325"/>
      <c r="AI39" s="325"/>
      <c r="AJ39" s="325"/>
      <c r="AK39" s="325"/>
      <c r="AL39" s="325"/>
      <c r="AM39" s="325"/>
      <c r="AN39" s="325"/>
      <c r="AO39" s="325"/>
      <c r="AP39" s="136"/>
      <c r="AQ39" s="136"/>
      <c r="AR39" s="136" t="str">
        <f t="shared" si="6"/>
        <v/>
      </c>
      <c r="AS39" s="136" t="str">
        <f t="shared" si="7"/>
        <v/>
      </c>
      <c r="AT39" s="5" t="str">
        <f t="shared" si="8"/>
        <v>Branch,</v>
      </c>
      <c r="AV39" s="27" t="str">
        <f>IF(G39="","",+"          ["&amp;TRIM(G39)&amp;"] ["&amp;TRIM(I39)&amp;"]"&amp;IF(H39="","","("&amp;H39&amp;")")&amp;" "&amp;TRIM(J39)&amp;IF(G69="","",","))</f>
        <v xml:space="preserve">          [Branch] [varchar](50) NULL</v>
      </c>
      <c r="AW39" s="27"/>
      <c r="AY39" s="122" t="str">
        <f t="shared" si="10"/>
        <v xml:space="preserve">          Branch VARCHAR (50) NULL,</v>
      </c>
    </row>
    <row r="40" spans="2:51" ht="12.75">
      <c r="B40" s="20">
        <f t="shared" si="12"/>
        <v>25</v>
      </c>
      <c r="C40" s="5" t="s">
        <v>963</v>
      </c>
      <c r="D40" s="5">
        <v>5</v>
      </c>
      <c r="E40" s="5" t="s">
        <v>11</v>
      </c>
      <c r="G40" s="5" t="str">
        <f t="shared" si="15"/>
        <v>PSBankCode</v>
      </c>
      <c r="H40" s="117">
        <f t="shared" si="14"/>
        <v>5</v>
      </c>
      <c r="I40" s="5" t="str">
        <f t="shared" si="2"/>
        <v>varchar</v>
      </c>
      <c r="J40" s="5" t="str">
        <f t="shared" si="3"/>
        <v xml:space="preserve"> NULL</v>
      </c>
      <c r="K40" s="138" t="s">
        <v>998</v>
      </c>
      <c r="L40" s="5"/>
      <c r="M40" s="75">
        <v>9009</v>
      </c>
      <c r="N40" s="77"/>
      <c r="O40" s="26"/>
      <c r="P40" s="26"/>
      <c r="Q40" s="118">
        <f t="shared" si="4"/>
        <v>40</v>
      </c>
      <c r="R40" s="153"/>
      <c r="S40" s="138" t="str">
        <f t="shared" si="11"/>
        <v>PS Bank Code</v>
      </c>
      <c r="T40" s="148"/>
      <c r="U40" s="146"/>
      <c r="V40" s="146"/>
      <c r="W40" s="139"/>
      <c r="X40" s="139"/>
      <c r="Y40" s="148"/>
      <c r="Z40" s="138" t="str">
        <f t="shared" si="5"/>
        <v>false</v>
      </c>
      <c r="AA40" s="138" t="str">
        <f t="shared" si="13"/>
        <v/>
      </c>
      <c r="AB40" s="239"/>
      <c r="AC40" s="325"/>
      <c r="AD40" s="325"/>
      <c r="AE40" s="325"/>
      <c r="AF40" s="325"/>
      <c r="AG40" s="325"/>
      <c r="AH40" s="325"/>
      <c r="AI40" s="325"/>
      <c r="AJ40" s="325"/>
      <c r="AK40" s="325"/>
      <c r="AL40" s="325"/>
      <c r="AM40" s="325"/>
      <c r="AN40" s="325"/>
      <c r="AO40" s="325"/>
      <c r="AP40" s="136"/>
      <c r="AQ40" s="136"/>
      <c r="AR40" s="136" t="str">
        <f t="shared" si="6"/>
        <v/>
      </c>
      <c r="AS40" s="136" t="str">
        <f t="shared" si="7"/>
        <v/>
      </c>
      <c r="AT40" s="5" t="str">
        <f t="shared" si="8"/>
        <v>PSBankCode,</v>
      </c>
      <c r="AV40" s="27" t="str">
        <f>IF(G40="","",+"          ["&amp;TRIM(G40)&amp;"] ["&amp;TRIM(I40)&amp;"]"&amp;IF(H40="","","("&amp;H40&amp;")")&amp;" "&amp;TRIM(J40)&amp;IF(G68="","",","))</f>
        <v xml:space="preserve">          [PSBankCode] [varchar](5) NULL</v>
      </c>
      <c r="AW40" s="27"/>
      <c r="AY40" s="122" t="str">
        <f t="shared" si="10"/>
        <v xml:space="preserve">          PSBankCode VARCHAR (5) NULL,</v>
      </c>
    </row>
    <row r="41" spans="2:51" ht="12.75">
      <c r="B41" s="20">
        <f t="shared" si="12"/>
        <v>26</v>
      </c>
      <c r="C41" s="5" t="s">
        <v>964</v>
      </c>
      <c r="D41" s="5">
        <v>5</v>
      </c>
      <c r="E41" s="5" t="s">
        <v>11</v>
      </c>
      <c r="G41" s="5" t="str">
        <f t="shared" si="15"/>
        <v>PSBankKey</v>
      </c>
      <c r="H41" s="117">
        <f t="shared" si="14"/>
        <v>5</v>
      </c>
      <c r="I41" s="5" t="str">
        <f t="shared" si="2"/>
        <v>varchar</v>
      </c>
      <c r="J41" s="5" t="str">
        <f t="shared" si="3"/>
        <v xml:space="preserve"> NULL</v>
      </c>
      <c r="K41" s="138" t="s">
        <v>999</v>
      </c>
      <c r="L41" s="5"/>
      <c r="M41" s="75">
        <v>9009</v>
      </c>
      <c r="N41" s="77"/>
      <c r="O41" s="26"/>
      <c r="P41" s="26"/>
      <c r="Q41" s="118">
        <f t="shared" si="4"/>
        <v>41</v>
      </c>
      <c r="R41" s="153"/>
      <c r="S41" s="138" t="str">
        <f t="shared" si="11"/>
        <v>PS Bank Key</v>
      </c>
      <c r="T41" s="148"/>
      <c r="U41" s="146"/>
      <c r="V41" s="146"/>
      <c r="W41" s="139"/>
      <c r="X41" s="139"/>
      <c r="Y41" s="148"/>
      <c r="Z41" s="138" t="str">
        <f t="shared" si="5"/>
        <v>false</v>
      </c>
      <c r="AA41" s="138" t="str">
        <f t="shared" si="13"/>
        <v/>
      </c>
      <c r="AB41" s="239"/>
      <c r="AC41" s="325"/>
      <c r="AD41" s="325"/>
      <c r="AE41" s="325"/>
      <c r="AF41" s="325"/>
      <c r="AG41" s="325"/>
      <c r="AH41" s="325"/>
      <c r="AI41" s="325"/>
      <c r="AJ41" s="325"/>
      <c r="AK41" s="325"/>
      <c r="AL41" s="325"/>
      <c r="AM41" s="325"/>
      <c r="AN41" s="325"/>
      <c r="AO41" s="325"/>
      <c r="AP41" s="136"/>
      <c r="AQ41" s="136"/>
      <c r="AR41" s="136" t="str">
        <f t="shared" si="6"/>
        <v/>
      </c>
      <c r="AS41" s="136" t="str">
        <f t="shared" si="7"/>
        <v/>
      </c>
      <c r="AT41" s="5" t="str">
        <f t="shared" si="8"/>
        <v>PSBankKey,</v>
      </c>
      <c r="AV41" s="27" t="str">
        <f>IF(G41="","",+"          ["&amp;TRIM(G41)&amp;"] ["&amp;TRIM(I41)&amp;"]"&amp;IF(H41="","","("&amp;H41&amp;")")&amp;" "&amp;TRIM(J41)&amp;IF(G42="","",","))</f>
        <v xml:space="preserve">          [PSBankKey] [varchar](5) NULL,</v>
      </c>
      <c r="AW41" s="27"/>
      <c r="AY41" s="122" t="str">
        <f t="shared" si="10"/>
        <v xml:space="preserve">          PSBankKey VARCHAR (5) NULL,</v>
      </c>
    </row>
    <row r="42" spans="2:51" ht="12.75">
      <c r="B42" s="20">
        <f t="shared" si="12"/>
        <v>27</v>
      </c>
      <c r="C42" s="5" t="s">
        <v>965</v>
      </c>
      <c r="D42" s="5">
        <v>3</v>
      </c>
      <c r="E42" s="5" t="s">
        <v>11</v>
      </c>
      <c r="G42" s="5" t="str">
        <f t="shared" si="15"/>
        <v>PSPayMethod</v>
      </c>
      <c r="H42" s="117">
        <f t="shared" si="14"/>
        <v>3</v>
      </c>
      <c r="I42" s="5" t="str">
        <f t="shared" si="2"/>
        <v>varchar</v>
      </c>
      <c r="J42" s="5" t="str">
        <f>IF(C42=0,"",(IF(ISERROR(VLOOKUP(G42,$D$120:$D$127,1,FALSE)),""," NOT")&amp;" NULL"))</f>
        <v xml:space="preserve"> NULL</v>
      </c>
      <c r="K42" s="138" t="s">
        <v>1000</v>
      </c>
      <c r="L42" s="5"/>
      <c r="M42" s="75">
        <v>9009</v>
      </c>
      <c r="N42" s="77"/>
      <c r="O42" s="26"/>
      <c r="P42" s="26"/>
      <c r="Q42" s="118">
        <f t="shared" si="4"/>
        <v>42</v>
      </c>
      <c r="R42" s="153"/>
      <c r="S42" s="138" t="str">
        <f t="shared" si="11"/>
        <v>PS Pay Method</v>
      </c>
      <c r="T42" s="148"/>
      <c r="U42" s="146"/>
      <c r="V42" s="146"/>
      <c r="W42" s="139"/>
      <c r="X42" s="139"/>
      <c r="Y42" s="148"/>
      <c r="Z42" s="138" t="str">
        <f t="shared" si="5"/>
        <v>false</v>
      </c>
      <c r="AA42" s="138" t="str">
        <f t="shared" si="13"/>
        <v/>
      </c>
      <c r="AB42" s="239"/>
      <c r="AC42" s="325"/>
      <c r="AD42" s="325"/>
      <c r="AE42" s="325"/>
      <c r="AF42" s="325"/>
      <c r="AG42" s="325"/>
      <c r="AH42" s="325"/>
      <c r="AI42" s="325"/>
      <c r="AJ42" s="325"/>
      <c r="AK42" s="325"/>
      <c r="AL42" s="325"/>
      <c r="AM42" s="325"/>
      <c r="AN42" s="325"/>
      <c r="AO42" s="325"/>
      <c r="AP42" s="136"/>
      <c r="AQ42" s="136"/>
      <c r="AR42" s="136" t="str">
        <f t="shared" si="6"/>
        <v/>
      </c>
      <c r="AS42" s="136" t="str">
        <f t="shared" si="7"/>
        <v/>
      </c>
      <c r="AT42" s="5" t="str">
        <f t="shared" si="8"/>
        <v>PSPayMethod,</v>
      </c>
      <c r="AV42" s="27" t="str">
        <f>IF(G42="","",+"          ["&amp;TRIM(G42)&amp;"] ["&amp;TRIM(I42)&amp;"]"&amp;IF(H42="","","("&amp;H42&amp;")")&amp;" "&amp;TRIM(J42)&amp;IF(G45="","",","))</f>
        <v xml:space="preserve">          [PSPayMethod] [varchar](3) NULL,</v>
      </c>
      <c r="AW42" s="27"/>
      <c r="AY42" s="122" t="str">
        <f t="shared" si="10"/>
        <v xml:space="preserve">          PSPayMethod VARCHAR (3) NULL,</v>
      </c>
    </row>
    <row r="43" spans="2:51" ht="12.75">
      <c r="B43" s="20">
        <f t="shared" si="12"/>
        <v>28</v>
      </c>
      <c r="C43" s="5" t="s">
        <v>966</v>
      </c>
      <c r="D43" s="5">
        <v>2</v>
      </c>
      <c r="E43" s="5" t="s">
        <v>11</v>
      </c>
      <c r="G43" s="5" t="str">
        <f t="shared" si="15"/>
        <v>PayGroup</v>
      </c>
      <c r="H43" s="117">
        <f t="shared" si="14"/>
        <v>2</v>
      </c>
      <c r="I43" s="5" t="str">
        <f t="shared" si="2"/>
        <v>varchar</v>
      </c>
      <c r="J43" s="5" t="str">
        <f t="shared" si="3"/>
        <v xml:space="preserve"> NULL</v>
      </c>
      <c r="K43" s="138" t="s">
        <v>1001</v>
      </c>
      <c r="L43" s="5"/>
      <c r="M43" s="75">
        <v>9009</v>
      </c>
      <c r="N43" s="77"/>
      <c r="O43" s="26"/>
      <c r="P43" s="26"/>
      <c r="Q43" s="118">
        <f t="shared" si="4"/>
        <v>43</v>
      </c>
      <c r="R43" s="153"/>
      <c r="S43" s="138" t="str">
        <f t="shared" si="11"/>
        <v>Pay Group</v>
      </c>
      <c r="T43" s="148"/>
      <c r="U43" s="146"/>
      <c r="V43" s="146"/>
      <c r="W43" s="139"/>
      <c r="X43" s="139"/>
      <c r="Y43" s="148"/>
      <c r="Z43" s="138" t="str">
        <f t="shared" si="5"/>
        <v>false</v>
      </c>
      <c r="AA43" s="138" t="str">
        <f t="shared" si="13"/>
        <v/>
      </c>
      <c r="AB43" s="239"/>
      <c r="AC43" s="325"/>
      <c r="AD43" s="325"/>
      <c r="AE43" s="325"/>
      <c r="AF43" s="325"/>
      <c r="AG43" s="325"/>
      <c r="AH43" s="325"/>
      <c r="AI43" s="325"/>
      <c r="AJ43" s="325"/>
      <c r="AK43" s="325"/>
      <c r="AL43" s="325"/>
      <c r="AM43" s="325"/>
      <c r="AN43" s="325"/>
      <c r="AO43" s="325"/>
      <c r="AP43" s="136"/>
      <c r="AQ43" s="136"/>
      <c r="AR43" s="136" t="str">
        <f t="shared" si="6"/>
        <v/>
      </c>
      <c r="AS43" s="136" t="str">
        <f t="shared" si="7"/>
        <v/>
      </c>
      <c r="AT43" s="5" t="str">
        <f t="shared" si="8"/>
        <v>PayGroup,</v>
      </c>
      <c r="AV43" s="27" t="str">
        <f>IF(G43="","",+"          ["&amp;TRIM(G43)&amp;"] ["&amp;TRIM(I43)&amp;"]"&amp;IF(H43="","","("&amp;H43&amp;")")&amp;" "&amp;TRIM(J43)&amp;IF(G44="","",","))</f>
        <v xml:space="preserve">          [PayGroup] [varchar](2) NULL,</v>
      </c>
      <c r="AW43" s="27"/>
      <c r="AY43" s="122" t="str">
        <f t="shared" si="10"/>
        <v xml:space="preserve">          PayGroup VARCHAR (2) NULL,</v>
      </c>
    </row>
    <row r="44" spans="2:51" ht="12.75">
      <c r="B44" s="20">
        <f t="shared" si="12"/>
        <v>29</v>
      </c>
      <c r="C44" s="5" t="s">
        <v>967</v>
      </c>
      <c r="D44" s="5">
        <v>5</v>
      </c>
      <c r="E44" s="5" t="s">
        <v>11</v>
      </c>
      <c r="G44" s="5" t="str">
        <f t="shared" si="15"/>
        <v>AgentBank</v>
      </c>
      <c r="H44" s="117">
        <f t="shared" si="14"/>
        <v>5</v>
      </c>
      <c r="I44" s="5" t="str">
        <f t="shared" si="2"/>
        <v>varchar</v>
      </c>
      <c r="J44" s="5" t="str">
        <f t="shared" si="3"/>
        <v xml:space="preserve"> NULL</v>
      </c>
      <c r="K44" s="138" t="s">
        <v>1002</v>
      </c>
      <c r="L44" s="5"/>
      <c r="M44" s="75">
        <v>9009</v>
      </c>
      <c r="N44" s="77"/>
      <c r="O44" s="26"/>
      <c r="P44" s="26"/>
      <c r="Q44" s="118">
        <f t="shared" si="4"/>
        <v>44</v>
      </c>
      <c r="R44" s="153"/>
      <c r="S44" s="138" t="str">
        <f t="shared" si="11"/>
        <v>Agent Bank</v>
      </c>
      <c r="T44" s="148"/>
      <c r="U44" s="146"/>
      <c r="V44" s="146"/>
      <c r="W44" s="139"/>
      <c r="X44" s="139"/>
      <c r="Y44" s="148"/>
      <c r="Z44" s="138" t="str">
        <f t="shared" si="5"/>
        <v>false</v>
      </c>
      <c r="AA44" s="138" t="str">
        <f t="shared" si="13"/>
        <v/>
      </c>
      <c r="AB44" s="239"/>
      <c r="AC44" s="325"/>
      <c r="AD44" s="325"/>
      <c r="AE44" s="325"/>
      <c r="AF44" s="325"/>
      <c r="AG44" s="325"/>
      <c r="AH44" s="325"/>
      <c r="AI44" s="325"/>
      <c r="AJ44" s="325"/>
      <c r="AK44" s="325"/>
      <c r="AL44" s="325"/>
      <c r="AM44" s="325"/>
      <c r="AN44" s="325"/>
      <c r="AO44" s="325"/>
      <c r="AP44" s="136"/>
      <c r="AQ44" s="136"/>
      <c r="AR44" s="136" t="str">
        <f t="shared" si="6"/>
        <v/>
      </c>
      <c r="AS44" s="136" t="str">
        <f t="shared" si="7"/>
        <v/>
      </c>
      <c r="AT44" s="5" t="str">
        <f t="shared" si="8"/>
        <v>AgentBank,</v>
      </c>
      <c r="AV44" s="27" t="str">
        <f>IF(G44="","",+"          ["&amp;TRIM(G44)&amp;"] ["&amp;TRIM(I44)&amp;"]"&amp;IF(H44="","","("&amp;H44&amp;")")&amp;" "&amp;TRIM(J44)&amp;IF(G45="","",","))</f>
        <v xml:space="preserve">          [AgentBank] [varchar](5) NULL,</v>
      </c>
      <c r="AW44" s="27"/>
      <c r="AY44" s="122" t="str">
        <f t="shared" si="10"/>
        <v xml:space="preserve">          AgentBank VARCHAR (5) NULL,</v>
      </c>
    </row>
    <row r="45" spans="2:51" ht="12.75">
      <c r="B45" s="20">
        <f t="shared" si="12"/>
        <v>30</v>
      </c>
      <c r="C45" s="5" t="s">
        <v>968</v>
      </c>
      <c r="D45" s="5">
        <v>15</v>
      </c>
      <c r="E45" s="5" t="s">
        <v>11</v>
      </c>
      <c r="G45" s="5" t="str">
        <f t="shared" si="15"/>
        <v>AgentBankAcct</v>
      </c>
      <c r="H45" s="117">
        <f t="shared" si="14"/>
        <v>15</v>
      </c>
      <c r="I45" s="5" t="str">
        <f t="shared" si="2"/>
        <v>varchar</v>
      </c>
      <c r="J45" s="5" t="str">
        <f t="shared" si="3"/>
        <v xml:space="preserve"> NULL</v>
      </c>
      <c r="K45" s="138" t="s">
        <v>1003</v>
      </c>
      <c r="L45" s="5"/>
      <c r="M45" s="75">
        <v>9009</v>
      </c>
      <c r="N45" s="77"/>
      <c r="O45" s="26"/>
      <c r="P45" s="26"/>
      <c r="Q45" s="118">
        <f t="shared" si="4"/>
        <v>45</v>
      </c>
      <c r="R45" s="153"/>
      <c r="S45" s="138" t="str">
        <f t="shared" si="11"/>
        <v>Agent Bank Acct</v>
      </c>
      <c r="T45" s="148"/>
      <c r="U45" s="146"/>
      <c r="V45" s="146"/>
      <c r="W45" s="139"/>
      <c r="X45" s="139"/>
      <c r="Y45" s="148"/>
      <c r="Z45" s="138" t="str">
        <f t="shared" si="5"/>
        <v>false</v>
      </c>
      <c r="AA45" s="138" t="str">
        <f t="shared" si="13"/>
        <v/>
      </c>
      <c r="AB45" s="239"/>
      <c r="AC45" s="325"/>
      <c r="AD45" s="325"/>
      <c r="AE45" s="325"/>
      <c r="AF45" s="325"/>
      <c r="AG45" s="325"/>
      <c r="AH45" s="325"/>
      <c r="AI45" s="325"/>
      <c r="AJ45" s="325"/>
      <c r="AK45" s="325"/>
      <c r="AL45" s="325"/>
      <c r="AM45" s="325"/>
      <c r="AN45" s="325"/>
      <c r="AO45" s="325"/>
      <c r="AP45" s="136"/>
      <c r="AQ45" s="136"/>
      <c r="AR45" s="136" t="str">
        <f t="shared" si="6"/>
        <v/>
      </c>
      <c r="AS45" s="136" t="str">
        <f t="shared" si="7"/>
        <v/>
      </c>
      <c r="AT45" s="5" t="str">
        <f t="shared" si="8"/>
        <v>AgentBankAcct,</v>
      </c>
      <c r="AV45" s="27" t="str">
        <f>IF(G45="","",+"          ["&amp;TRIM(G45)&amp;"] ["&amp;TRIM(I45)&amp;"]"&amp;IF(H45="","","("&amp;H45&amp;")")&amp;" "&amp;TRIM(J45)&amp;IF(G54="","",","))</f>
        <v xml:space="preserve">          [AgentBankAcct] [varchar](15) NULL,</v>
      </c>
      <c r="AW45" s="27"/>
      <c r="AY45" s="122" t="str">
        <f t="shared" si="10"/>
        <v xml:space="preserve">          AgentBankAcct VARCHAR (15) NULL,</v>
      </c>
    </row>
    <row r="46" spans="2:51" ht="12.75">
      <c r="B46" s="20">
        <f t="shared" si="12"/>
        <v>31</v>
      </c>
      <c r="C46" s="5" t="s">
        <v>969</v>
      </c>
      <c r="D46" s="5">
        <v>50</v>
      </c>
      <c r="E46" s="5" t="s">
        <v>11</v>
      </c>
      <c r="G46" s="5" t="str">
        <f>SUBSTITUTE(SUBSTITUTE(SUBSTITUTE(SUBSTITUTE(SUBSTITUTE(SUBSTITUTE(SUBSTITUTE(SUBSTITUTE(SUBSTITUTE(C46," ",""),".",""),"#","No"),"%",""),"(",""),"*",""),"-",""),"/",""),")","")</f>
        <v>AgentBankBranch</v>
      </c>
      <c r="H46" s="117">
        <f t="shared" si="14"/>
        <v>50</v>
      </c>
      <c r="I46" s="5" t="str">
        <f>IF(E46=0,"",+E46)</f>
        <v>varchar</v>
      </c>
      <c r="J46" s="5" t="str">
        <f>IF(C46=0,"",(IF(ISERROR(VLOOKUP(G46,$D$120:$D$127,1,FALSE)),""," NOT")&amp;" NULL"))</f>
        <v xml:space="preserve"> NULL</v>
      </c>
      <c r="K46" s="138" t="s">
        <v>1004</v>
      </c>
      <c r="L46" s="5"/>
      <c r="M46" s="75">
        <v>9009</v>
      </c>
      <c r="N46" s="77"/>
      <c r="O46" s="26"/>
      <c r="P46" s="26"/>
      <c r="Q46" s="118">
        <f>IF(M46=0,"",ROW())</f>
        <v>46</v>
      </c>
      <c r="R46" s="153"/>
      <c r="S46" s="138" t="str">
        <f t="shared" si="11"/>
        <v>Agent Bank Branch</v>
      </c>
      <c r="T46" s="148"/>
      <c r="U46" s="146"/>
      <c r="V46" s="146"/>
      <c r="W46" s="139"/>
      <c r="X46" s="139"/>
      <c r="Y46" s="148"/>
      <c r="Z46" s="138" t="str">
        <f t="shared" si="5"/>
        <v>false</v>
      </c>
      <c r="AA46" s="138" t="str">
        <f t="shared" si="13"/>
        <v/>
      </c>
      <c r="AB46" s="239"/>
      <c r="AC46" s="325"/>
      <c r="AD46" s="325"/>
      <c r="AE46" s="325"/>
      <c r="AF46" s="325"/>
      <c r="AG46" s="325"/>
      <c r="AH46" s="325"/>
      <c r="AI46" s="325"/>
      <c r="AJ46" s="325"/>
      <c r="AK46" s="325"/>
      <c r="AL46" s="325"/>
      <c r="AM46" s="325"/>
      <c r="AN46" s="325"/>
      <c r="AO46" s="325"/>
      <c r="AP46" s="136"/>
      <c r="AQ46" s="136"/>
      <c r="AR46" s="136" t="str">
        <f t="shared" si="6"/>
        <v/>
      </c>
      <c r="AS46" s="136" t="str">
        <f t="shared" si="7"/>
        <v/>
      </c>
      <c r="AT46" s="5" t="str">
        <f t="shared" si="8"/>
        <v>AgentBankBranch,</v>
      </c>
      <c r="AV46" s="27" t="str">
        <f>IF(G46="","",+"          ["&amp;TRIM(G46)&amp;"] ["&amp;TRIM(I46)&amp;"]"&amp;IF(H46="","","("&amp;H46&amp;")")&amp;" "&amp;TRIM(J46)&amp;IF(G47="","",","))</f>
        <v xml:space="preserve">          [AgentBankBranch] [varchar](50) NULL,</v>
      </c>
      <c r="AW46" s="27"/>
      <c r="AY46" s="122" t="str">
        <f t="shared" si="10"/>
        <v xml:space="preserve">          AgentBankBranch VARCHAR (50) NULL,</v>
      </c>
    </row>
    <row r="47" spans="2:51" ht="12.75">
      <c r="B47" s="20">
        <f t="shared" si="12"/>
        <v>32</v>
      </c>
      <c r="C47" s="5" t="s">
        <v>970</v>
      </c>
      <c r="D47" s="5">
        <v>50</v>
      </c>
      <c r="E47" s="5" t="s">
        <v>11</v>
      </c>
      <c r="G47" s="5" t="str">
        <f>SUBSTITUTE(SUBSTITUTE(SUBSTITUTE(SUBSTITUTE(SUBSTITUTE(SUBSTITUTE(SUBSTITUTE(SUBSTITUTE(SUBSTITUTE(C47," ",""),".",""),"#","No"),"%",""),"(",""),"*",""),"-",""),"/",""),")","")</f>
        <v>WHTForm</v>
      </c>
      <c r="H47" s="117">
        <f t="shared" si="14"/>
        <v>50</v>
      </c>
      <c r="I47" s="5" t="str">
        <f>IF(E47=0,"",+E47)</f>
        <v>varchar</v>
      </c>
      <c r="J47" s="5" t="str">
        <f>IF(C47=0,"",(IF(ISERROR(VLOOKUP(G47,$D$120:$D$127,1,FALSE)),""," NOT")&amp;" NULL"))</f>
        <v xml:space="preserve"> NULL</v>
      </c>
      <c r="K47" s="138" t="s">
        <v>1005</v>
      </c>
      <c r="L47" s="5"/>
      <c r="M47" s="75">
        <v>9009</v>
      </c>
      <c r="N47" s="77"/>
      <c r="O47" s="26"/>
      <c r="P47" s="26"/>
      <c r="Q47" s="118">
        <f>IF(M47=0,"",ROW())</f>
        <v>47</v>
      </c>
      <c r="R47" s="153"/>
      <c r="S47" s="138" t="str">
        <f t="shared" si="11"/>
        <v>WHT Form</v>
      </c>
      <c r="T47" s="148"/>
      <c r="U47" s="146"/>
      <c r="V47" s="146"/>
      <c r="W47" s="139"/>
      <c r="X47" s="139"/>
      <c r="Y47" s="148"/>
      <c r="Z47" s="138" t="str">
        <f t="shared" si="5"/>
        <v>false</v>
      </c>
      <c r="AA47" s="138" t="str">
        <f t="shared" si="13"/>
        <v/>
      </c>
      <c r="AB47" s="239"/>
      <c r="AC47" s="325"/>
      <c r="AD47" s="325"/>
      <c r="AE47" s="325"/>
      <c r="AF47" s="325"/>
      <c r="AG47" s="325"/>
      <c r="AH47" s="325"/>
      <c r="AI47" s="325"/>
      <c r="AJ47" s="325"/>
      <c r="AK47" s="325"/>
      <c r="AL47" s="325"/>
      <c r="AM47" s="325"/>
      <c r="AN47" s="325"/>
      <c r="AO47" s="325"/>
      <c r="AP47" s="136"/>
      <c r="AQ47" s="136"/>
      <c r="AR47" s="136" t="str">
        <f t="shared" si="6"/>
        <v/>
      </c>
      <c r="AS47" s="136" t="str">
        <f t="shared" si="7"/>
        <v/>
      </c>
      <c r="AT47" s="5" t="str">
        <f t="shared" si="8"/>
        <v>WHTForm,</v>
      </c>
      <c r="AV47" s="27" t="str">
        <f>IF(G47="","",+"          ["&amp;TRIM(G47)&amp;"] ["&amp;TRIM(I47)&amp;"]"&amp;IF(H47="","","("&amp;H47&amp;")")&amp;" "&amp;TRIM(J47)&amp;IF(G48="","",","))</f>
        <v xml:space="preserve">          [WHTForm] [varchar](50) NULL,</v>
      </c>
      <c r="AW47" s="27"/>
      <c r="AY47" s="122" t="str">
        <f t="shared" si="10"/>
        <v xml:space="preserve">          WHTForm VARCHAR (50) NULL,</v>
      </c>
    </row>
    <row r="48" spans="2:51" ht="12.75">
      <c r="B48" s="20">
        <f t="shared" si="12"/>
        <v>33</v>
      </c>
      <c r="C48" s="5" t="s">
        <v>971</v>
      </c>
      <c r="D48" s="5">
        <v>100</v>
      </c>
      <c r="E48" s="5" t="s">
        <v>11</v>
      </c>
      <c r="G48" s="5" t="str">
        <f>SUBSTITUTE(SUBSTITUTE(SUBSTITUTE(SUBSTITUTE(SUBSTITUTE(SUBSTITUTE(SUBSTITUTE(SUBSTITUTE(SUBSTITUTE(C48," ",""),".",""),"#","No"),"%",""),"(",""),"*",""),"-",""),"/",""),")","")</f>
        <v>ChqName</v>
      </c>
      <c r="H48" s="117">
        <f t="shared" si="14"/>
        <v>100</v>
      </c>
      <c r="I48" s="5" t="str">
        <f>IF(E48=0,"",+E48)</f>
        <v>varchar</v>
      </c>
      <c r="J48" s="5" t="str">
        <f>IF(C48=0,"",(IF(ISERROR(VLOOKUP(G48,$D$120:$D$127,1,FALSE)),""," NOT")&amp;" NULL"))</f>
        <v xml:space="preserve"> NULL</v>
      </c>
      <c r="K48" s="138" t="s">
        <v>1006</v>
      </c>
      <c r="L48" s="5"/>
      <c r="M48" s="75">
        <v>9009</v>
      </c>
      <c r="N48" s="77"/>
      <c r="O48" s="26"/>
      <c r="P48" s="26"/>
      <c r="Q48" s="118">
        <f>IF(M48=0,"",ROW())</f>
        <v>48</v>
      </c>
      <c r="R48" s="153"/>
      <c r="S48" s="138" t="str">
        <f t="shared" si="11"/>
        <v>Chq Name</v>
      </c>
      <c r="T48" s="148"/>
      <c r="U48" s="146"/>
      <c r="V48" s="146"/>
      <c r="W48" s="139"/>
      <c r="X48" s="139"/>
      <c r="Y48" s="148"/>
      <c r="Z48" s="138" t="str">
        <f t="shared" si="5"/>
        <v>false</v>
      </c>
      <c r="AA48" s="138" t="str">
        <f t="shared" si="13"/>
        <v/>
      </c>
      <c r="AB48" s="239"/>
      <c r="AC48" s="325"/>
      <c r="AD48" s="325"/>
      <c r="AE48" s="325"/>
      <c r="AF48" s="325"/>
      <c r="AG48" s="325"/>
      <c r="AH48" s="325"/>
      <c r="AI48" s="325"/>
      <c r="AJ48" s="325"/>
      <c r="AK48" s="325"/>
      <c r="AL48" s="325"/>
      <c r="AM48" s="325"/>
      <c r="AN48" s="325"/>
      <c r="AO48" s="325"/>
      <c r="AP48" s="136"/>
      <c r="AQ48" s="136"/>
      <c r="AR48" s="136" t="str">
        <f t="shared" ref="AR48:AR79" si="16">IF(O48=0,"",ROW())</f>
        <v/>
      </c>
      <c r="AS48" s="136" t="str">
        <f t="shared" ref="AS48:AS79" si="17">IF(P48=0,"",ROW())</f>
        <v/>
      </c>
      <c r="AT48" s="5" t="str">
        <f t="shared" ref="AT48:AT79" si="18">IF(C48="","",C48&amp;IF(B49="","",","))</f>
        <v>ChqName,</v>
      </c>
      <c r="AV48" s="27" t="str">
        <f>IF(G48="","",+"          ["&amp;TRIM(G48)&amp;"] ["&amp;TRIM(I48)&amp;"]"&amp;IF(H48="","","("&amp;H48&amp;")")&amp;" "&amp;TRIM(J48)&amp;IF(G96="","",","))</f>
        <v xml:space="preserve">          [ChqName] [varchar](100) NULL</v>
      </c>
      <c r="AW48" s="27"/>
      <c r="AY48" s="122" t="str">
        <f t="shared" ref="AY48:AY79" si="19">IF(G48="",IF(OR(AY47=");",AY47=""),"",");"),+"          "&amp;TRIM(G48)&amp;" "&amp;UPPER(TRIM(I48))&amp;IF(H48="",""," ("&amp;H48&amp;")")&amp;" "&amp;IF(TRIM(J48)="NOT NULL","PRIMARY KEY UNIQUE NOT NULL",TRIM(J48))&amp;IF(G49="","",","))</f>
        <v xml:space="preserve">          ChqName VARCHAR (100) NULL,</v>
      </c>
    </row>
    <row r="49" spans="2:51" ht="12.75">
      <c r="B49" s="20">
        <f t="shared" si="12"/>
        <v>34</v>
      </c>
      <c r="C49" s="5" t="s">
        <v>972</v>
      </c>
      <c r="D49" s="5">
        <v>255</v>
      </c>
      <c r="E49" s="5" t="s">
        <v>11</v>
      </c>
      <c r="G49" s="5" t="str">
        <f>SUBSTITUTE(SUBSTITUTE(SUBSTITUTE(SUBSTITUTE(SUBSTITUTE(SUBSTITUTE(SUBSTITUTE(SUBSTITUTE(SUBSTITUTE(C49," ",""),".",""),"#","No"),"%",""),"(",""),"*",""),"-",""),"/",""),")","")</f>
        <v>AgreementDetail1</v>
      </c>
      <c r="H49" s="117">
        <f t="shared" si="14"/>
        <v>255</v>
      </c>
      <c r="I49" s="5" t="str">
        <f>IF(E49=0,"",+E49)</f>
        <v>varchar</v>
      </c>
      <c r="J49" s="5" t="str">
        <f>IF(C49=0,"",(IF(ISERROR(VLOOKUP(G49,$D$120:$D$127,1,FALSE)),""," NOT")&amp;" NULL"))</f>
        <v xml:space="preserve"> NULL</v>
      </c>
      <c r="K49" s="138" t="s">
        <v>1007</v>
      </c>
      <c r="L49" s="5"/>
      <c r="M49" s="75">
        <v>9009</v>
      </c>
      <c r="N49" s="77"/>
      <c r="O49" s="26"/>
      <c r="P49" s="26"/>
      <c r="Q49" s="118">
        <f>IF(M49=0,"",ROW())</f>
        <v>49</v>
      </c>
      <c r="R49" s="153"/>
      <c r="S49" s="138" t="str">
        <f t="shared" si="11"/>
        <v>Agreement Detail1</v>
      </c>
      <c r="T49" s="148"/>
      <c r="U49" s="146"/>
      <c r="V49" s="146"/>
      <c r="W49" s="139"/>
      <c r="X49" s="139"/>
      <c r="Y49" s="148"/>
      <c r="Z49" s="138" t="str">
        <f t="shared" si="5"/>
        <v>false</v>
      </c>
      <c r="AA49" s="138" t="str">
        <f t="shared" si="13"/>
        <v/>
      </c>
      <c r="AB49" s="239"/>
      <c r="AC49" s="325"/>
      <c r="AD49" s="325"/>
      <c r="AE49" s="325"/>
      <c r="AF49" s="325"/>
      <c r="AG49" s="325"/>
      <c r="AH49" s="325"/>
      <c r="AI49" s="325"/>
      <c r="AJ49" s="325"/>
      <c r="AK49" s="325"/>
      <c r="AL49" s="325"/>
      <c r="AM49" s="325"/>
      <c r="AN49" s="325"/>
      <c r="AO49" s="325"/>
      <c r="AP49" s="136"/>
      <c r="AQ49" s="136"/>
      <c r="AR49" s="136" t="str">
        <f t="shared" si="16"/>
        <v/>
      </c>
      <c r="AS49" s="136" t="str">
        <f t="shared" si="17"/>
        <v/>
      </c>
      <c r="AT49" s="5" t="str">
        <f t="shared" si="18"/>
        <v>AgreementDetail1,</v>
      </c>
      <c r="AV49" s="27" t="str">
        <f>IF(G49="","",+"          ["&amp;TRIM(G49)&amp;"] ["&amp;TRIM(I49)&amp;"]"&amp;IF(H49="","","("&amp;H49&amp;")")&amp;" "&amp;TRIM(J49)&amp;IF(G95="","",","))</f>
        <v xml:space="preserve">          [AgreementDetail1] [varchar](255) NULL</v>
      </c>
      <c r="AW49" s="27"/>
      <c r="AY49" s="122" t="str">
        <f t="shared" si="19"/>
        <v xml:space="preserve">          AgreementDetail1 VARCHAR (255) NULL,</v>
      </c>
    </row>
    <row r="50" spans="2:51" ht="12.75">
      <c r="B50" s="20">
        <f t="shared" si="12"/>
        <v>35</v>
      </c>
      <c r="C50" s="5" t="s">
        <v>973</v>
      </c>
      <c r="D50" s="5">
        <v>255</v>
      </c>
      <c r="E50" s="5" t="s">
        <v>11</v>
      </c>
      <c r="G50" s="5" t="str">
        <f t="shared" ref="G50:G93" si="20">SUBSTITUTE(SUBSTITUTE(SUBSTITUTE(SUBSTITUTE(SUBSTITUTE(SUBSTITUTE(SUBSTITUTE(SUBSTITUTE(SUBSTITUTE(C50," ",""),".",""),"#","No"),"%",""),"(",""),"*",""),"-",""),"/",""),")","")</f>
        <v>AgreementDetail2</v>
      </c>
      <c r="H50" s="117">
        <f t="shared" si="14"/>
        <v>255</v>
      </c>
      <c r="I50" s="5" t="str">
        <f t="shared" ref="I50:I93" si="21">IF(E50=0,"",+E50)</f>
        <v>varchar</v>
      </c>
      <c r="J50" s="5" t="str">
        <f t="shared" ref="J50:J93" si="22">IF(C50=0,"",(IF(ISERROR(VLOOKUP(G50,$D$120:$D$127,1,FALSE)),""," NOT")&amp;" NULL"))</f>
        <v xml:space="preserve"> NULL</v>
      </c>
      <c r="K50" s="138" t="s">
        <v>1008</v>
      </c>
      <c r="L50" s="5"/>
      <c r="M50" s="75">
        <v>9009</v>
      </c>
      <c r="N50" s="77"/>
      <c r="O50" s="26"/>
      <c r="P50" s="26"/>
      <c r="Q50" s="118">
        <f t="shared" ref="Q50:Q93" si="23">IF(M50=0,"",ROW())</f>
        <v>50</v>
      </c>
      <c r="R50" s="153"/>
      <c r="S50" s="138" t="str">
        <f t="shared" si="11"/>
        <v>Agreement Detail2</v>
      </c>
      <c r="T50" s="148"/>
      <c r="U50" s="146"/>
      <c r="V50" s="146"/>
      <c r="W50" s="139"/>
      <c r="X50" s="139"/>
      <c r="Y50" s="148"/>
      <c r="Z50" s="138" t="str">
        <f t="shared" si="5"/>
        <v>false</v>
      </c>
      <c r="AA50" s="138" t="str">
        <f t="shared" si="13"/>
        <v/>
      </c>
      <c r="AB50" s="239"/>
      <c r="AC50" s="325"/>
      <c r="AD50" s="325"/>
      <c r="AE50" s="325"/>
      <c r="AF50" s="325"/>
      <c r="AG50" s="325"/>
      <c r="AH50" s="325"/>
      <c r="AI50" s="325"/>
      <c r="AJ50" s="325"/>
      <c r="AK50" s="325"/>
      <c r="AL50" s="325"/>
      <c r="AM50" s="325"/>
      <c r="AN50" s="325"/>
      <c r="AO50" s="325"/>
      <c r="AP50" s="136"/>
      <c r="AQ50" s="136"/>
      <c r="AR50" s="136" t="str">
        <f t="shared" si="16"/>
        <v/>
      </c>
      <c r="AS50" s="136" t="str">
        <f t="shared" si="17"/>
        <v/>
      </c>
      <c r="AT50" s="5" t="str">
        <f t="shared" si="18"/>
        <v>AgreementDetail2,</v>
      </c>
      <c r="AV50" s="27" t="str">
        <f>IF(G50="","",+"          ["&amp;TRIM(G50)&amp;"] ["&amp;TRIM(I50)&amp;"]"&amp;IF(H50="","","("&amp;H50&amp;")")&amp;" "&amp;TRIM(J50)&amp;IF(G51="","",","))</f>
        <v xml:space="preserve">          [AgreementDetail2] [varchar](255) NULL,</v>
      </c>
      <c r="AW50" s="27"/>
      <c r="AY50" s="122" t="str">
        <f t="shared" si="19"/>
        <v xml:space="preserve">          AgreementDetail2 VARCHAR (255) NULL,</v>
      </c>
    </row>
    <row r="51" spans="2:51" ht="12.75">
      <c r="B51" s="20">
        <f t="shared" si="12"/>
        <v>36</v>
      </c>
      <c r="C51" s="5" t="s">
        <v>974</v>
      </c>
      <c r="D51" s="5">
        <v>255</v>
      </c>
      <c r="E51" s="5" t="s">
        <v>11</v>
      </c>
      <c r="G51" s="5" t="str">
        <f t="shared" si="20"/>
        <v>AgreementDetail3</v>
      </c>
      <c r="H51" s="117">
        <f t="shared" si="14"/>
        <v>255</v>
      </c>
      <c r="I51" s="5" t="str">
        <f t="shared" si="21"/>
        <v>varchar</v>
      </c>
      <c r="J51" s="5" t="str">
        <f t="shared" si="22"/>
        <v xml:space="preserve"> NULL</v>
      </c>
      <c r="K51" s="138" t="s">
        <v>1009</v>
      </c>
      <c r="L51" s="5"/>
      <c r="M51" s="75">
        <v>9009</v>
      </c>
      <c r="N51" s="77"/>
      <c r="O51" s="26"/>
      <c r="P51" s="26"/>
      <c r="Q51" s="118">
        <f t="shared" si="23"/>
        <v>51</v>
      </c>
      <c r="R51" s="153"/>
      <c r="S51" s="138" t="str">
        <f t="shared" si="11"/>
        <v>Agreement Detail3</v>
      </c>
      <c r="T51" s="148"/>
      <c r="U51" s="146"/>
      <c r="V51" s="146"/>
      <c r="W51" s="139"/>
      <c r="X51" s="139"/>
      <c r="Y51" s="148"/>
      <c r="Z51" s="138" t="str">
        <f t="shared" si="5"/>
        <v>false</v>
      </c>
      <c r="AA51" s="138" t="str">
        <f t="shared" si="13"/>
        <v/>
      </c>
      <c r="AB51" s="239"/>
      <c r="AC51" s="325"/>
      <c r="AD51" s="325"/>
      <c r="AE51" s="325"/>
      <c r="AF51" s="325"/>
      <c r="AG51" s="325"/>
      <c r="AH51" s="325"/>
      <c r="AI51" s="325"/>
      <c r="AJ51" s="325"/>
      <c r="AK51" s="325"/>
      <c r="AL51" s="325"/>
      <c r="AM51" s="325"/>
      <c r="AN51" s="325"/>
      <c r="AO51" s="325"/>
      <c r="AP51" s="136"/>
      <c r="AQ51" s="136"/>
      <c r="AR51" s="136" t="str">
        <f t="shared" si="16"/>
        <v/>
      </c>
      <c r="AS51" s="136" t="str">
        <f t="shared" si="17"/>
        <v/>
      </c>
      <c r="AT51" s="5" t="str">
        <f t="shared" si="18"/>
        <v>AgreementDetail3,</v>
      </c>
      <c r="AV51" s="27" t="str">
        <f>IF(G51="","",+"          ["&amp;TRIM(G51)&amp;"] ["&amp;TRIM(I51)&amp;"]"&amp;IF(H51="","","("&amp;H51&amp;")")&amp;" "&amp;TRIM(J51)&amp;IF(G54="","",","))</f>
        <v xml:space="preserve">          [AgreementDetail3] [varchar](255) NULL,</v>
      </c>
      <c r="AW51" s="27"/>
      <c r="AY51" s="122" t="str">
        <f t="shared" si="19"/>
        <v xml:space="preserve">          AgreementDetail3 VARCHAR (255) NULL,</v>
      </c>
    </row>
    <row r="52" spans="2:51" ht="12.75">
      <c r="B52" s="20">
        <f t="shared" si="12"/>
        <v>37</v>
      </c>
      <c r="C52" s="5" t="s">
        <v>975</v>
      </c>
      <c r="D52" s="5" t="s">
        <v>1</v>
      </c>
      <c r="E52" s="5" t="s">
        <v>12</v>
      </c>
      <c r="G52" s="5" t="str">
        <f t="shared" si="20"/>
        <v>AgreementGenDate</v>
      </c>
      <c r="H52" s="117" t="str">
        <f t="shared" si="14"/>
        <v/>
      </c>
      <c r="I52" s="5" t="str">
        <f t="shared" si="21"/>
        <v>datetime</v>
      </c>
      <c r="J52" s="5" t="str">
        <f t="shared" si="22"/>
        <v xml:space="preserve"> NULL</v>
      </c>
      <c r="K52" s="138" t="s">
        <v>1010</v>
      </c>
      <c r="L52" s="5"/>
      <c r="M52" s="75">
        <v>9009</v>
      </c>
      <c r="N52" s="77"/>
      <c r="O52" s="26"/>
      <c r="P52" s="26"/>
      <c r="Q52" s="118">
        <f t="shared" si="23"/>
        <v>52</v>
      </c>
      <c r="R52" s="153"/>
      <c r="S52" s="138" t="str">
        <f t="shared" si="11"/>
        <v>Agreement GenDate</v>
      </c>
      <c r="T52" s="148"/>
      <c r="U52" s="146" t="s">
        <v>373</v>
      </c>
      <c r="V52" s="146" t="s">
        <v>433</v>
      </c>
      <c r="W52" s="139"/>
      <c r="X52" s="139"/>
      <c r="Y52" s="148"/>
      <c r="Z52" s="138" t="str">
        <f t="shared" si="5"/>
        <v>false</v>
      </c>
      <c r="AA52" s="138" t="str">
        <f t="shared" si="13"/>
        <v/>
      </c>
      <c r="AB52" s="239"/>
      <c r="AC52" s="325"/>
      <c r="AD52" s="325"/>
      <c r="AE52" s="325"/>
      <c r="AF52" s="325"/>
      <c r="AG52" s="325"/>
      <c r="AH52" s="325"/>
      <c r="AI52" s="325"/>
      <c r="AJ52" s="325"/>
      <c r="AK52" s="325"/>
      <c r="AL52" s="325"/>
      <c r="AM52" s="325"/>
      <c r="AN52" s="325"/>
      <c r="AO52" s="325"/>
      <c r="AP52" s="136"/>
      <c r="AQ52" s="136"/>
      <c r="AR52" s="136" t="str">
        <f t="shared" si="16"/>
        <v/>
      </c>
      <c r="AS52" s="136" t="str">
        <f t="shared" si="17"/>
        <v/>
      </c>
      <c r="AT52" s="5" t="str">
        <f t="shared" si="18"/>
        <v>AgreementGenDate,</v>
      </c>
      <c r="AV52" s="27" t="str">
        <f>IF(G52="","",+"          ["&amp;TRIM(G52)&amp;"] ["&amp;TRIM(I52)&amp;"]"&amp;IF(H52="","","("&amp;H52&amp;")")&amp;" "&amp;TRIM(J52)&amp;IF(G53="","",","))</f>
        <v xml:space="preserve">          [AgreementGenDate] [datetime] NULL,</v>
      </c>
      <c r="AW52" s="27"/>
      <c r="AY52" s="122" t="str">
        <f t="shared" si="19"/>
        <v xml:space="preserve">          AgreementGenDate DATETIME NULL,</v>
      </c>
    </row>
    <row r="53" spans="2:51" ht="12.75">
      <c r="B53" s="20">
        <f t="shared" si="12"/>
        <v>38</v>
      </c>
      <c r="C53" s="5" t="s">
        <v>976</v>
      </c>
      <c r="D53" s="5" t="s">
        <v>1</v>
      </c>
      <c r="E53" s="5" t="s">
        <v>12</v>
      </c>
      <c r="G53" s="5" t="str">
        <f t="shared" si="20"/>
        <v>AgreementEffDate</v>
      </c>
      <c r="H53" s="117" t="str">
        <f t="shared" si="14"/>
        <v/>
      </c>
      <c r="I53" s="5" t="str">
        <f t="shared" si="21"/>
        <v>datetime</v>
      </c>
      <c r="J53" s="5" t="str">
        <f t="shared" si="22"/>
        <v xml:space="preserve"> NULL</v>
      </c>
      <c r="K53" s="138" t="s">
        <v>1011</v>
      </c>
      <c r="L53" s="5"/>
      <c r="M53" s="75">
        <v>9009</v>
      </c>
      <c r="N53" s="77"/>
      <c r="O53" s="26"/>
      <c r="P53" s="26"/>
      <c r="Q53" s="118">
        <f t="shared" si="23"/>
        <v>53</v>
      </c>
      <c r="R53" s="153"/>
      <c r="S53" s="138" t="str">
        <f t="shared" si="11"/>
        <v>Agreement EffDate</v>
      </c>
      <c r="T53" s="148"/>
      <c r="U53" s="146" t="s">
        <v>373</v>
      </c>
      <c r="V53" s="146" t="s">
        <v>433</v>
      </c>
      <c r="W53" s="139"/>
      <c r="X53" s="139"/>
      <c r="Y53" s="148"/>
      <c r="Z53" s="138" t="str">
        <f t="shared" si="5"/>
        <v>false</v>
      </c>
      <c r="AA53" s="138" t="str">
        <f t="shared" si="13"/>
        <v/>
      </c>
      <c r="AB53" s="239"/>
      <c r="AC53" s="325"/>
      <c r="AD53" s="325"/>
      <c r="AE53" s="325"/>
      <c r="AF53" s="325"/>
      <c r="AG53" s="325"/>
      <c r="AH53" s="325"/>
      <c r="AI53" s="325"/>
      <c r="AJ53" s="325"/>
      <c r="AK53" s="325"/>
      <c r="AL53" s="325"/>
      <c r="AM53" s="325"/>
      <c r="AN53" s="325"/>
      <c r="AO53" s="325"/>
      <c r="AP53" s="136"/>
      <c r="AQ53" s="136"/>
      <c r="AR53" s="136" t="str">
        <f t="shared" si="16"/>
        <v/>
      </c>
      <c r="AS53" s="136" t="str">
        <f t="shared" si="17"/>
        <v/>
      </c>
      <c r="AT53" s="5" t="str">
        <f t="shared" si="18"/>
        <v>AgreementEffDate,</v>
      </c>
      <c r="AV53" s="27" t="str">
        <f>IF(G53="","",+"          ["&amp;TRIM(G53)&amp;"] ["&amp;TRIM(I53)&amp;"]"&amp;IF(H53="","","("&amp;H53&amp;")")&amp;" "&amp;TRIM(J53)&amp;IF(G54="","",","))</f>
        <v xml:space="preserve">          [AgreementEffDate] [datetime] NULL,</v>
      </c>
      <c r="AW53" s="27"/>
      <c r="AY53" s="122" t="str">
        <f t="shared" si="19"/>
        <v xml:space="preserve">          AgreementEffDate DATETIME NULL,</v>
      </c>
    </row>
    <row r="54" spans="2:51" ht="12.75">
      <c r="B54" s="20">
        <f t="shared" si="12"/>
        <v>39</v>
      </c>
      <c r="C54" s="5" t="s">
        <v>977</v>
      </c>
      <c r="D54" s="5" t="s">
        <v>1</v>
      </c>
      <c r="E54" s="5" t="s">
        <v>12</v>
      </c>
      <c r="G54" s="5" t="str">
        <f t="shared" si="20"/>
        <v>AgreementExpDate</v>
      </c>
      <c r="H54" s="117" t="str">
        <f t="shared" si="14"/>
        <v/>
      </c>
      <c r="I54" s="5" t="str">
        <f t="shared" si="21"/>
        <v>datetime</v>
      </c>
      <c r="J54" s="5" t="str">
        <f t="shared" si="22"/>
        <v xml:space="preserve"> NULL</v>
      </c>
      <c r="K54" s="138" t="s">
        <v>1012</v>
      </c>
      <c r="L54" s="5"/>
      <c r="M54" s="75">
        <v>9009</v>
      </c>
      <c r="N54" s="77"/>
      <c r="O54" s="26"/>
      <c r="P54" s="26"/>
      <c r="Q54" s="118">
        <f t="shared" si="23"/>
        <v>54</v>
      </c>
      <c r="R54" s="153"/>
      <c r="S54" s="138" t="str">
        <f t="shared" si="11"/>
        <v>Agreement ExpDate</v>
      </c>
      <c r="T54" s="148"/>
      <c r="U54" s="146" t="s">
        <v>373</v>
      </c>
      <c r="V54" s="146" t="s">
        <v>433</v>
      </c>
      <c r="W54" s="139"/>
      <c r="X54" s="139"/>
      <c r="Y54" s="148"/>
      <c r="Z54" s="138" t="str">
        <f t="shared" si="5"/>
        <v>false</v>
      </c>
      <c r="AA54" s="138" t="str">
        <f t="shared" si="13"/>
        <v/>
      </c>
      <c r="AB54" s="239"/>
      <c r="AC54" s="325"/>
      <c r="AD54" s="325"/>
      <c r="AE54" s="325"/>
      <c r="AF54" s="325"/>
      <c r="AG54" s="325"/>
      <c r="AH54" s="325"/>
      <c r="AI54" s="325"/>
      <c r="AJ54" s="325"/>
      <c r="AK54" s="325"/>
      <c r="AL54" s="325"/>
      <c r="AM54" s="325"/>
      <c r="AN54" s="325"/>
      <c r="AO54" s="325"/>
      <c r="AP54" s="136"/>
      <c r="AQ54" s="136"/>
      <c r="AR54" s="136" t="str">
        <f t="shared" si="16"/>
        <v/>
      </c>
      <c r="AS54" s="136" t="str">
        <f t="shared" si="17"/>
        <v/>
      </c>
      <c r="AT54" s="5" t="str">
        <f t="shared" si="18"/>
        <v>AgreementExpDate</v>
      </c>
      <c r="AV54" s="27" t="str">
        <f>IF(G54="","",+"          ["&amp;TRIM(G54)&amp;"] ["&amp;TRIM(I54)&amp;"]"&amp;IF(H54="","","("&amp;H54&amp;")")&amp;" "&amp;TRIM(J54)&amp;IF(G63="","",","))</f>
        <v xml:space="preserve">          [AgreementExpDate] [datetime] NULL</v>
      </c>
      <c r="AW54" s="27"/>
      <c r="AY54" s="122" t="str">
        <f t="shared" si="19"/>
        <v xml:space="preserve">          AgreementExpDate DATETIME NULL</v>
      </c>
    </row>
    <row r="55" spans="2:51" ht="12.75">
      <c r="B55" s="20" t="str">
        <f t="shared" si="12"/>
        <v/>
      </c>
      <c r="C55" s="5"/>
      <c r="D55" s="5"/>
      <c r="E55" s="5"/>
      <c r="G55" s="5" t="str">
        <f t="shared" si="20"/>
        <v/>
      </c>
      <c r="H55" s="117" t="str">
        <f t="shared" si="14"/>
        <v/>
      </c>
      <c r="I55" s="5" t="str">
        <f t="shared" si="21"/>
        <v/>
      </c>
      <c r="J55" s="5" t="str">
        <f t="shared" si="22"/>
        <v/>
      </c>
      <c r="K55" s="138"/>
      <c r="L55" s="5"/>
      <c r="M55" s="75"/>
      <c r="N55" s="77"/>
      <c r="O55" s="26"/>
      <c r="P55" s="26"/>
      <c r="Q55" s="118" t="str">
        <f t="shared" si="23"/>
        <v/>
      </c>
      <c r="R55" s="153"/>
      <c r="S55" s="138" t="str">
        <f t="shared" si="11"/>
        <v/>
      </c>
      <c r="T55" s="148"/>
      <c r="U55" s="146"/>
      <c r="V55" s="146"/>
      <c r="W55" s="139"/>
      <c r="X55" s="139"/>
      <c r="Y55" s="148"/>
      <c r="Z55" s="138" t="str">
        <f t="shared" si="5"/>
        <v/>
      </c>
      <c r="AA55" s="138" t="str">
        <f t="shared" si="13"/>
        <v/>
      </c>
      <c r="AB55" s="239"/>
      <c r="AC55" s="325"/>
      <c r="AD55" s="325"/>
      <c r="AE55" s="325"/>
      <c r="AF55" s="325"/>
      <c r="AG55" s="325"/>
      <c r="AH55" s="325"/>
      <c r="AI55" s="325"/>
      <c r="AJ55" s="325"/>
      <c r="AK55" s="325"/>
      <c r="AL55" s="325"/>
      <c r="AM55" s="325"/>
      <c r="AN55" s="325"/>
      <c r="AO55" s="325"/>
      <c r="AP55" s="136"/>
      <c r="AQ55" s="136"/>
      <c r="AR55" s="136" t="str">
        <f t="shared" si="16"/>
        <v/>
      </c>
      <c r="AS55" s="136" t="str">
        <f t="shared" si="17"/>
        <v/>
      </c>
      <c r="AT55" s="5" t="str">
        <f t="shared" si="18"/>
        <v/>
      </c>
      <c r="AV55" s="27" t="str">
        <f>IF(G55="","",+"          ["&amp;TRIM(G55)&amp;"] ["&amp;TRIM(I55)&amp;"]"&amp;IF(H55="","","("&amp;H55&amp;")")&amp;" "&amp;TRIM(J55)&amp;IF(G56="","",","))</f>
        <v/>
      </c>
      <c r="AW55" s="27"/>
      <c r="AY55" s="122" t="str">
        <f t="shared" si="19"/>
        <v>);</v>
      </c>
    </row>
    <row r="56" spans="2:51" ht="12.75">
      <c r="B56" s="20" t="str">
        <f t="shared" si="12"/>
        <v/>
      </c>
      <c r="C56" s="5"/>
      <c r="D56" s="5"/>
      <c r="E56" s="5"/>
      <c r="G56" s="5" t="str">
        <f t="shared" si="20"/>
        <v/>
      </c>
      <c r="H56" s="117" t="str">
        <f t="shared" si="14"/>
        <v/>
      </c>
      <c r="I56" s="5" t="str">
        <f t="shared" si="21"/>
        <v/>
      </c>
      <c r="J56" s="5" t="str">
        <f t="shared" si="22"/>
        <v/>
      </c>
      <c r="K56" s="138"/>
      <c r="L56" s="5"/>
      <c r="M56" s="75"/>
      <c r="N56" s="77"/>
      <c r="O56" s="26"/>
      <c r="P56" s="26"/>
      <c r="Q56" s="118" t="str">
        <f t="shared" si="23"/>
        <v/>
      </c>
      <c r="R56" s="153"/>
      <c r="S56" s="138" t="str">
        <f t="shared" si="11"/>
        <v/>
      </c>
      <c r="T56" s="148"/>
      <c r="U56" s="146"/>
      <c r="V56" s="146"/>
      <c r="W56" s="139"/>
      <c r="X56" s="139"/>
      <c r="Y56" s="148"/>
      <c r="Z56" s="138" t="str">
        <f t="shared" si="5"/>
        <v/>
      </c>
      <c r="AA56" s="138" t="str">
        <f t="shared" si="13"/>
        <v/>
      </c>
      <c r="AB56" s="239"/>
      <c r="AC56" s="325"/>
      <c r="AD56" s="325"/>
      <c r="AE56" s="325"/>
      <c r="AF56" s="325"/>
      <c r="AG56" s="325"/>
      <c r="AH56" s="325"/>
      <c r="AI56" s="325"/>
      <c r="AJ56" s="325"/>
      <c r="AK56" s="325"/>
      <c r="AL56" s="325"/>
      <c r="AM56" s="325"/>
      <c r="AN56" s="325"/>
      <c r="AO56" s="325"/>
      <c r="AP56" s="136"/>
      <c r="AQ56" s="136"/>
      <c r="AR56" s="136" t="str">
        <f t="shared" si="16"/>
        <v/>
      </c>
      <c r="AS56" s="136" t="str">
        <f t="shared" si="17"/>
        <v/>
      </c>
      <c r="AT56" s="5" t="str">
        <f t="shared" si="18"/>
        <v/>
      </c>
      <c r="AV56" s="27" t="str">
        <f>IF(G56="","",+"          ["&amp;TRIM(G56)&amp;"] ["&amp;TRIM(I56)&amp;"]"&amp;IF(H56="","","("&amp;H56&amp;")")&amp;" "&amp;TRIM(J56)&amp;IF(G62="","",","))</f>
        <v/>
      </c>
      <c r="AW56" s="27"/>
      <c r="AY56" s="122" t="str">
        <f t="shared" si="19"/>
        <v/>
      </c>
    </row>
    <row r="57" spans="2:51" ht="12.75">
      <c r="B57" s="20" t="str">
        <f t="shared" si="12"/>
        <v/>
      </c>
      <c r="C57" s="5"/>
      <c r="D57" s="5"/>
      <c r="E57" s="5"/>
      <c r="G57" s="5" t="str">
        <f t="shared" si="20"/>
        <v/>
      </c>
      <c r="H57" s="117" t="str">
        <f t="shared" si="14"/>
        <v/>
      </c>
      <c r="I57" s="5" t="str">
        <f t="shared" si="21"/>
        <v/>
      </c>
      <c r="J57" s="5" t="str">
        <f t="shared" si="22"/>
        <v/>
      </c>
      <c r="K57" s="138"/>
      <c r="L57" s="5"/>
      <c r="M57" s="75"/>
      <c r="N57" s="77"/>
      <c r="O57" s="26"/>
      <c r="P57" s="26"/>
      <c r="Q57" s="118" t="str">
        <f t="shared" si="23"/>
        <v/>
      </c>
      <c r="R57" s="153"/>
      <c r="S57" s="138" t="str">
        <f t="shared" si="11"/>
        <v/>
      </c>
      <c r="T57" s="148"/>
      <c r="U57" s="146"/>
      <c r="V57" s="146"/>
      <c r="W57" s="139"/>
      <c r="X57" s="139"/>
      <c r="Y57" s="148"/>
      <c r="Z57" s="138" t="str">
        <f t="shared" si="5"/>
        <v/>
      </c>
      <c r="AA57" s="138" t="str">
        <f t="shared" si="13"/>
        <v/>
      </c>
      <c r="AB57" s="239"/>
      <c r="AC57" s="325"/>
      <c r="AD57" s="325"/>
      <c r="AE57" s="325"/>
      <c r="AF57" s="325"/>
      <c r="AG57" s="325"/>
      <c r="AH57" s="325"/>
      <c r="AI57" s="325"/>
      <c r="AJ57" s="325"/>
      <c r="AK57" s="325"/>
      <c r="AL57" s="325"/>
      <c r="AM57" s="325"/>
      <c r="AN57" s="325"/>
      <c r="AO57" s="325"/>
      <c r="AP57" s="136"/>
      <c r="AQ57" s="136"/>
      <c r="AR57" s="136" t="str">
        <f t="shared" si="16"/>
        <v/>
      </c>
      <c r="AS57" s="136" t="str">
        <f t="shared" si="17"/>
        <v/>
      </c>
      <c r="AT57" s="5" t="str">
        <f t="shared" si="18"/>
        <v/>
      </c>
      <c r="AV57" s="27" t="str">
        <f>IF(G57="","",+"          ["&amp;TRIM(G57)&amp;"] ["&amp;TRIM(I57)&amp;"]"&amp;IF(H57="","","("&amp;H57&amp;")")&amp;" "&amp;TRIM(J57)&amp;IF(G58="","",","))</f>
        <v/>
      </c>
      <c r="AW57" s="27"/>
      <c r="AY57" s="122" t="str">
        <f t="shared" si="19"/>
        <v/>
      </c>
    </row>
    <row r="58" spans="2:51" ht="12.75">
      <c r="B58" s="20" t="str">
        <f t="shared" si="12"/>
        <v/>
      </c>
      <c r="C58" s="5"/>
      <c r="D58" s="5"/>
      <c r="E58" s="5"/>
      <c r="G58" s="5" t="str">
        <f t="shared" si="20"/>
        <v/>
      </c>
      <c r="H58" s="117" t="str">
        <f t="shared" si="14"/>
        <v/>
      </c>
      <c r="I58" s="5" t="str">
        <f t="shared" si="21"/>
        <v/>
      </c>
      <c r="J58" s="5" t="str">
        <f t="shared" si="22"/>
        <v/>
      </c>
      <c r="K58" s="138"/>
      <c r="L58" s="5"/>
      <c r="M58" s="75"/>
      <c r="N58" s="77"/>
      <c r="O58" s="26"/>
      <c r="P58" s="26"/>
      <c r="Q58" s="118" t="str">
        <f t="shared" si="23"/>
        <v/>
      </c>
      <c r="R58" s="153"/>
      <c r="S58" s="138" t="str">
        <f t="shared" si="11"/>
        <v/>
      </c>
      <c r="T58" s="148"/>
      <c r="U58" s="146"/>
      <c r="V58" s="146"/>
      <c r="W58" s="139"/>
      <c r="X58" s="139"/>
      <c r="Y58" s="148"/>
      <c r="Z58" s="138" t="str">
        <f t="shared" si="5"/>
        <v/>
      </c>
      <c r="AA58" s="138" t="str">
        <f t="shared" si="13"/>
        <v/>
      </c>
      <c r="AB58" s="239"/>
      <c r="AC58" s="325"/>
      <c r="AD58" s="325"/>
      <c r="AE58" s="325"/>
      <c r="AF58" s="325"/>
      <c r="AG58" s="325"/>
      <c r="AH58" s="325"/>
      <c r="AI58" s="325"/>
      <c r="AJ58" s="325"/>
      <c r="AK58" s="325"/>
      <c r="AL58" s="325"/>
      <c r="AM58" s="325"/>
      <c r="AN58" s="325"/>
      <c r="AO58" s="325"/>
      <c r="AP58" s="136"/>
      <c r="AQ58" s="136"/>
      <c r="AR58" s="136" t="str">
        <f t="shared" si="16"/>
        <v/>
      </c>
      <c r="AS58" s="136" t="str">
        <f t="shared" si="17"/>
        <v/>
      </c>
      <c r="AT58" s="5" t="str">
        <f t="shared" si="18"/>
        <v/>
      </c>
      <c r="AV58" s="27" t="str">
        <f>IF(G58="","",+"          ["&amp;TRIM(G58)&amp;"] ["&amp;TRIM(I58)&amp;"]"&amp;IF(H58="","","("&amp;H58&amp;")")&amp;" "&amp;TRIM(J58)&amp;IF(G61="","",","))</f>
        <v/>
      </c>
      <c r="AW58" s="27"/>
      <c r="AY58" s="122" t="str">
        <f t="shared" si="19"/>
        <v/>
      </c>
    </row>
    <row r="59" spans="2:51" ht="12.75">
      <c r="B59" s="20" t="str">
        <f t="shared" si="12"/>
        <v/>
      </c>
      <c r="C59" s="5"/>
      <c r="D59" s="5"/>
      <c r="E59" s="5"/>
      <c r="G59" s="5" t="str">
        <f t="shared" si="20"/>
        <v/>
      </c>
      <c r="H59" s="117" t="str">
        <f t="shared" si="14"/>
        <v/>
      </c>
      <c r="I59" s="5" t="str">
        <f t="shared" si="21"/>
        <v/>
      </c>
      <c r="J59" s="5" t="str">
        <f t="shared" si="22"/>
        <v/>
      </c>
      <c r="K59" s="138"/>
      <c r="L59" s="5"/>
      <c r="M59" s="75"/>
      <c r="N59" s="77"/>
      <c r="O59" s="26"/>
      <c r="P59" s="26"/>
      <c r="Q59" s="118" t="str">
        <f t="shared" si="23"/>
        <v/>
      </c>
      <c r="R59" s="153"/>
      <c r="S59" s="138" t="str">
        <f t="shared" si="11"/>
        <v/>
      </c>
      <c r="T59" s="148"/>
      <c r="U59" s="146"/>
      <c r="V59" s="146"/>
      <c r="W59" s="139"/>
      <c r="X59" s="139"/>
      <c r="Y59" s="148"/>
      <c r="Z59" s="138" t="str">
        <f t="shared" si="5"/>
        <v/>
      </c>
      <c r="AA59" s="138" t="str">
        <f t="shared" si="13"/>
        <v/>
      </c>
      <c r="AB59" s="239"/>
      <c r="AC59" s="325"/>
      <c r="AD59" s="325"/>
      <c r="AE59" s="325"/>
      <c r="AF59" s="325"/>
      <c r="AG59" s="325"/>
      <c r="AH59" s="325"/>
      <c r="AI59" s="325"/>
      <c r="AJ59" s="325"/>
      <c r="AK59" s="325"/>
      <c r="AL59" s="325"/>
      <c r="AM59" s="325"/>
      <c r="AN59" s="325"/>
      <c r="AO59" s="325"/>
      <c r="AP59" s="136"/>
      <c r="AQ59" s="136"/>
      <c r="AR59" s="136" t="str">
        <f t="shared" si="16"/>
        <v/>
      </c>
      <c r="AS59" s="136" t="str">
        <f t="shared" si="17"/>
        <v/>
      </c>
      <c r="AT59" s="5" t="str">
        <f t="shared" si="18"/>
        <v/>
      </c>
      <c r="AV59" s="27" t="str">
        <f t="shared" ref="AV59:AV64" si="24">IF(G59="","",+"          ["&amp;TRIM(G59)&amp;"] ["&amp;TRIM(I59)&amp;"]"&amp;IF(H59="","","("&amp;H59&amp;")")&amp;" "&amp;TRIM(J59)&amp;IF(G60="","",","))</f>
        <v/>
      </c>
      <c r="AW59" s="27"/>
      <c r="AY59" s="122" t="str">
        <f t="shared" si="19"/>
        <v/>
      </c>
    </row>
    <row r="60" spans="2:51" ht="12.75">
      <c r="B60" s="20" t="str">
        <f t="shared" si="12"/>
        <v/>
      </c>
      <c r="C60" s="5"/>
      <c r="D60" s="5"/>
      <c r="E60" s="5"/>
      <c r="G60" s="5" t="str">
        <f t="shared" si="20"/>
        <v/>
      </c>
      <c r="H60" s="117" t="str">
        <f t="shared" si="14"/>
        <v/>
      </c>
      <c r="I60" s="5" t="str">
        <f t="shared" si="21"/>
        <v/>
      </c>
      <c r="J60" s="5" t="str">
        <f t="shared" si="22"/>
        <v/>
      </c>
      <c r="K60" s="138"/>
      <c r="L60" s="5"/>
      <c r="M60" s="75"/>
      <c r="N60" s="77"/>
      <c r="O60" s="26"/>
      <c r="P60" s="26"/>
      <c r="Q60" s="118" t="str">
        <f t="shared" si="23"/>
        <v/>
      </c>
      <c r="R60" s="153"/>
      <c r="S60" s="138" t="str">
        <f t="shared" si="11"/>
        <v/>
      </c>
      <c r="T60" s="148"/>
      <c r="U60" s="146"/>
      <c r="V60" s="146"/>
      <c r="W60" s="139"/>
      <c r="X60" s="139"/>
      <c r="Y60" s="148"/>
      <c r="Z60" s="138" t="str">
        <f t="shared" si="5"/>
        <v/>
      </c>
      <c r="AA60" s="138" t="str">
        <f t="shared" si="13"/>
        <v/>
      </c>
      <c r="AB60" s="239"/>
      <c r="AC60" s="325"/>
      <c r="AD60" s="325"/>
      <c r="AE60" s="325"/>
      <c r="AF60" s="325"/>
      <c r="AG60" s="325"/>
      <c r="AH60" s="325"/>
      <c r="AI60" s="325"/>
      <c r="AJ60" s="325"/>
      <c r="AK60" s="325"/>
      <c r="AL60" s="325"/>
      <c r="AM60" s="325"/>
      <c r="AN60" s="325"/>
      <c r="AO60" s="325"/>
      <c r="AP60" s="136"/>
      <c r="AQ60" s="136"/>
      <c r="AR60" s="136" t="str">
        <f t="shared" si="16"/>
        <v/>
      </c>
      <c r="AS60" s="136" t="str">
        <f t="shared" si="17"/>
        <v/>
      </c>
      <c r="AT60" s="5" t="str">
        <f t="shared" si="18"/>
        <v/>
      </c>
      <c r="AV60" s="27" t="str">
        <f t="shared" si="24"/>
        <v/>
      </c>
      <c r="AW60" s="27"/>
      <c r="AY60" s="122" t="str">
        <f t="shared" si="19"/>
        <v/>
      </c>
    </row>
    <row r="61" spans="2:51" ht="12.75">
      <c r="B61" s="20" t="str">
        <f t="shared" si="12"/>
        <v/>
      </c>
      <c r="C61" s="5"/>
      <c r="D61" s="5"/>
      <c r="E61" s="5"/>
      <c r="G61" s="5" t="str">
        <f t="shared" si="20"/>
        <v/>
      </c>
      <c r="H61" s="117" t="str">
        <f t="shared" si="14"/>
        <v/>
      </c>
      <c r="I61" s="5" t="str">
        <f t="shared" si="21"/>
        <v/>
      </c>
      <c r="J61" s="5" t="str">
        <f t="shared" si="22"/>
        <v/>
      </c>
      <c r="K61" s="138"/>
      <c r="L61" s="5"/>
      <c r="M61" s="75"/>
      <c r="N61" s="77"/>
      <c r="O61" s="26"/>
      <c r="P61" s="26"/>
      <c r="Q61" s="118" t="str">
        <f t="shared" si="23"/>
        <v/>
      </c>
      <c r="R61" s="153"/>
      <c r="S61" s="138" t="str">
        <f t="shared" si="11"/>
        <v/>
      </c>
      <c r="T61" s="148"/>
      <c r="U61" s="146"/>
      <c r="V61" s="146"/>
      <c r="W61" s="139"/>
      <c r="X61" s="139"/>
      <c r="Y61" s="148"/>
      <c r="Z61" s="138" t="str">
        <f t="shared" si="5"/>
        <v/>
      </c>
      <c r="AA61" s="138" t="str">
        <f t="shared" si="13"/>
        <v/>
      </c>
      <c r="AB61" s="239"/>
      <c r="AC61" s="325"/>
      <c r="AD61" s="325"/>
      <c r="AE61" s="325"/>
      <c r="AF61" s="325"/>
      <c r="AG61" s="325"/>
      <c r="AH61" s="325"/>
      <c r="AI61" s="325"/>
      <c r="AJ61" s="325"/>
      <c r="AK61" s="325"/>
      <c r="AL61" s="325"/>
      <c r="AM61" s="325"/>
      <c r="AN61" s="325"/>
      <c r="AO61" s="325"/>
      <c r="AP61" s="136"/>
      <c r="AQ61" s="136"/>
      <c r="AR61" s="136" t="str">
        <f t="shared" si="16"/>
        <v/>
      </c>
      <c r="AS61" s="136" t="str">
        <f t="shared" si="17"/>
        <v/>
      </c>
      <c r="AT61" s="5" t="str">
        <f t="shared" si="18"/>
        <v/>
      </c>
      <c r="AV61" s="27" t="str">
        <f t="shared" si="24"/>
        <v/>
      </c>
      <c r="AW61" s="27"/>
      <c r="AY61" s="122" t="str">
        <f t="shared" si="19"/>
        <v/>
      </c>
    </row>
    <row r="62" spans="2:51" ht="12.75">
      <c r="B62" s="20" t="str">
        <f t="shared" si="12"/>
        <v/>
      </c>
      <c r="C62" s="5"/>
      <c r="D62" s="5"/>
      <c r="E62" s="5"/>
      <c r="G62" s="5" t="str">
        <f t="shared" si="20"/>
        <v/>
      </c>
      <c r="H62" s="117" t="str">
        <f t="shared" si="14"/>
        <v/>
      </c>
      <c r="I62" s="5" t="str">
        <f t="shared" si="21"/>
        <v/>
      </c>
      <c r="J62" s="5" t="str">
        <f t="shared" si="22"/>
        <v/>
      </c>
      <c r="K62" s="138"/>
      <c r="L62" s="5"/>
      <c r="M62" s="75"/>
      <c r="N62" s="77"/>
      <c r="O62" s="26"/>
      <c r="P62" s="26"/>
      <c r="Q62" s="118" t="str">
        <f t="shared" si="23"/>
        <v/>
      </c>
      <c r="R62" s="153"/>
      <c r="S62" s="138" t="str">
        <f t="shared" si="11"/>
        <v/>
      </c>
      <c r="T62" s="148"/>
      <c r="U62" s="146"/>
      <c r="V62" s="146"/>
      <c r="W62" s="139"/>
      <c r="X62" s="139"/>
      <c r="Y62" s="148"/>
      <c r="Z62" s="138" t="str">
        <f t="shared" si="5"/>
        <v/>
      </c>
      <c r="AA62" s="138" t="str">
        <f t="shared" si="13"/>
        <v/>
      </c>
      <c r="AB62" s="239"/>
      <c r="AC62" s="325"/>
      <c r="AD62" s="325"/>
      <c r="AE62" s="325"/>
      <c r="AF62" s="325"/>
      <c r="AG62" s="325"/>
      <c r="AH62" s="325"/>
      <c r="AI62" s="325"/>
      <c r="AJ62" s="325"/>
      <c r="AK62" s="325"/>
      <c r="AL62" s="325"/>
      <c r="AM62" s="325"/>
      <c r="AN62" s="325"/>
      <c r="AO62" s="325"/>
      <c r="AP62" s="136"/>
      <c r="AQ62" s="136"/>
      <c r="AR62" s="136" t="str">
        <f t="shared" si="16"/>
        <v/>
      </c>
      <c r="AS62" s="136" t="str">
        <f t="shared" si="17"/>
        <v/>
      </c>
      <c r="AT62" s="5" t="str">
        <f t="shared" si="18"/>
        <v/>
      </c>
      <c r="AV62" s="27" t="str">
        <f t="shared" si="24"/>
        <v/>
      </c>
      <c r="AW62" s="27"/>
      <c r="AY62" s="122" t="str">
        <f t="shared" si="19"/>
        <v/>
      </c>
    </row>
    <row r="63" spans="2:51" ht="12.75">
      <c r="B63" s="20" t="str">
        <f t="shared" si="12"/>
        <v/>
      </c>
      <c r="C63" s="5"/>
      <c r="D63" s="5"/>
      <c r="E63" s="5"/>
      <c r="G63" s="5" t="str">
        <f t="shared" si="20"/>
        <v/>
      </c>
      <c r="H63" s="117" t="str">
        <f t="shared" si="14"/>
        <v/>
      </c>
      <c r="I63" s="5" t="str">
        <f t="shared" si="21"/>
        <v/>
      </c>
      <c r="J63" s="5" t="str">
        <f t="shared" si="22"/>
        <v/>
      </c>
      <c r="K63" s="138"/>
      <c r="L63" s="5"/>
      <c r="M63" s="75"/>
      <c r="N63" s="77"/>
      <c r="O63" s="26"/>
      <c r="P63" s="26"/>
      <c r="Q63" s="118" t="str">
        <f t="shared" si="23"/>
        <v/>
      </c>
      <c r="R63" s="153"/>
      <c r="S63" s="138" t="str">
        <f t="shared" si="11"/>
        <v/>
      </c>
      <c r="T63" s="148"/>
      <c r="U63" s="146"/>
      <c r="V63" s="146"/>
      <c r="W63" s="139"/>
      <c r="X63" s="139"/>
      <c r="Y63" s="148"/>
      <c r="Z63" s="138" t="str">
        <f t="shared" si="5"/>
        <v/>
      </c>
      <c r="AA63" s="138" t="str">
        <f t="shared" si="13"/>
        <v/>
      </c>
      <c r="AB63" s="239"/>
      <c r="AC63" s="325"/>
      <c r="AD63" s="325"/>
      <c r="AE63" s="325"/>
      <c r="AF63" s="325"/>
      <c r="AG63" s="325"/>
      <c r="AH63" s="325"/>
      <c r="AI63" s="325"/>
      <c r="AJ63" s="325"/>
      <c r="AK63" s="325"/>
      <c r="AL63" s="325"/>
      <c r="AM63" s="325"/>
      <c r="AN63" s="325"/>
      <c r="AO63" s="325"/>
      <c r="AP63" s="136"/>
      <c r="AQ63" s="136"/>
      <c r="AR63" s="136" t="str">
        <f t="shared" si="16"/>
        <v/>
      </c>
      <c r="AS63" s="136" t="str">
        <f t="shared" si="17"/>
        <v/>
      </c>
      <c r="AT63" s="5" t="str">
        <f t="shared" si="18"/>
        <v/>
      </c>
      <c r="AV63" s="27" t="str">
        <f t="shared" si="24"/>
        <v/>
      </c>
      <c r="AW63" s="27"/>
      <c r="AY63" s="122" t="str">
        <f t="shared" si="19"/>
        <v/>
      </c>
    </row>
    <row r="64" spans="2:51" ht="12.75">
      <c r="B64" s="20" t="str">
        <f t="shared" si="12"/>
        <v/>
      </c>
      <c r="C64" s="5"/>
      <c r="D64" s="5"/>
      <c r="E64" s="5"/>
      <c r="G64" s="5" t="str">
        <f t="shared" si="20"/>
        <v/>
      </c>
      <c r="H64" s="117" t="str">
        <f t="shared" si="14"/>
        <v/>
      </c>
      <c r="I64" s="5" t="str">
        <f t="shared" si="21"/>
        <v/>
      </c>
      <c r="J64" s="5" t="str">
        <f t="shared" si="22"/>
        <v/>
      </c>
      <c r="K64" s="138"/>
      <c r="L64" s="5"/>
      <c r="M64" s="75"/>
      <c r="N64" s="77"/>
      <c r="O64" s="26"/>
      <c r="P64" s="26"/>
      <c r="Q64" s="118" t="str">
        <f t="shared" si="23"/>
        <v/>
      </c>
      <c r="R64" s="153"/>
      <c r="S64" s="138" t="str">
        <f t="shared" si="11"/>
        <v/>
      </c>
      <c r="T64" s="148"/>
      <c r="U64" s="146"/>
      <c r="V64" s="146"/>
      <c r="W64" s="139"/>
      <c r="X64" s="139"/>
      <c r="Y64" s="148"/>
      <c r="Z64" s="138" t="str">
        <f t="shared" si="5"/>
        <v/>
      </c>
      <c r="AA64" s="138" t="str">
        <f t="shared" si="13"/>
        <v/>
      </c>
      <c r="AB64" s="239"/>
      <c r="AC64" s="325"/>
      <c r="AD64" s="325"/>
      <c r="AE64" s="325"/>
      <c r="AF64" s="325"/>
      <c r="AG64" s="325"/>
      <c r="AH64" s="325"/>
      <c r="AI64" s="325"/>
      <c r="AJ64" s="325"/>
      <c r="AK64" s="325"/>
      <c r="AL64" s="325"/>
      <c r="AM64" s="325"/>
      <c r="AN64" s="325"/>
      <c r="AO64" s="325"/>
      <c r="AP64" s="136"/>
      <c r="AQ64" s="136"/>
      <c r="AR64" s="136" t="str">
        <f t="shared" si="16"/>
        <v/>
      </c>
      <c r="AS64" s="136" t="str">
        <f t="shared" si="17"/>
        <v/>
      </c>
      <c r="AT64" s="5" t="str">
        <f t="shared" si="18"/>
        <v/>
      </c>
      <c r="AV64" s="27" t="str">
        <f t="shared" si="24"/>
        <v/>
      </c>
      <c r="AW64" s="27"/>
      <c r="AY64" s="122" t="str">
        <f t="shared" si="19"/>
        <v/>
      </c>
    </row>
    <row r="65" spans="2:51" ht="12.75">
      <c r="B65" s="20" t="str">
        <f t="shared" si="12"/>
        <v/>
      </c>
      <c r="C65" s="5"/>
      <c r="D65" s="5"/>
      <c r="E65" s="5"/>
      <c r="G65" s="5" t="str">
        <f t="shared" si="20"/>
        <v/>
      </c>
      <c r="H65" s="117" t="str">
        <f t="shared" si="14"/>
        <v/>
      </c>
      <c r="I65" s="5" t="str">
        <f t="shared" si="21"/>
        <v/>
      </c>
      <c r="J65" s="5" t="str">
        <f t="shared" si="22"/>
        <v/>
      </c>
      <c r="K65" s="138"/>
      <c r="L65" s="5"/>
      <c r="M65" s="75"/>
      <c r="N65" s="77"/>
      <c r="O65" s="26"/>
      <c r="P65" s="26"/>
      <c r="Q65" s="118" t="str">
        <f t="shared" si="23"/>
        <v/>
      </c>
      <c r="R65" s="153"/>
      <c r="S65" s="138" t="str">
        <f t="shared" si="11"/>
        <v/>
      </c>
      <c r="T65" s="148"/>
      <c r="U65" s="146"/>
      <c r="V65" s="146"/>
      <c r="W65" s="139"/>
      <c r="X65" s="139"/>
      <c r="Y65" s="148"/>
      <c r="Z65" s="138" t="str">
        <f t="shared" si="5"/>
        <v/>
      </c>
      <c r="AA65" s="138" t="str">
        <f t="shared" si="13"/>
        <v/>
      </c>
      <c r="AB65" s="239"/>
      <c r="AC65" s="325"/>
      <c r="AD65" s="325"/>
      <c r="AE65" s="325"/>
      <c r="AF65" s="325"/>
      <c r="AG65" s="325"/>
      <c r="AH65" s="325"/>
      <c r="AI65" s="325"/>
      <c r="AJ65" s="325"/>
      <c r="AK65" s="325"/>
      <c r="AL65" s="325"/>
      <c r="AM65" s="325"/>
      <c r="AN65" s="325"/>
      <c r="AO65" s="325"/>
      <c r="AP65" s="136"/>
      <c r="AQ65" s="136"/>
      <c r="AR65" s="136" t="str">
        <f t="shared" si="16"/>
        <v/>
      </c>
      <c r="AS65" s="136" t="str">
        <f t="shared" si="17"/>
        <v/>
      </c>
      <c r="AT65" s="5" t="str">
        <f t="shared" si="18"/>
        <v/>
      </c>
      <c r="AV65" s="27" t="str">
        <f>IF(G65="","",+"          ["&amp;TRIM(G65)&amp;"] ["&amp;TRIM(I65)&amp;"]"&amp;IF(H65="","","("&amp;H65&amp;")")&amp;" "&amp;TRIM(J65)&amp;IF(G68="","",","))</f>
        <v/>
      </c>
      <c r="AW65" s="27"/>
      <c r="AY65" s="122" t="str">
        <f t="shared" si="19"/>
        <v/>
      </c>
    </row>
    <row r="66" spans="2:51" ht="12.75">
      <c r="B66" s="20" t="str">
        <f t="shared" si="12"/>
        <v/>
      </c>
      <c r="C66" s="5"/>
      <c r="D66" s="5"/>
      <c r="E66" s="5"/>
      <c r="G66" s="5" t="str">
        <f t="shared" si="20"/>
        <v/>
      </c>
      <c r="H66" s="117" t="str">
        <f t="shared" si="14"/>
        <v/>
      </c>
      <c r="I66" s="5" t="str">
        <f t="shared" si="21"/>
        <v/>
      </c>
      <c r="J66" s="5" t="str">
        <f t="shared" si="22"/>
        <v/>
      </c>
      <c r="K66" s="138"/>
      <c r="L66" s="5"/>
      <c r="M66" s="75"/>
      <c r="N66" s="77"/>
      <c r="O66" s="26"/>
      <c r="P66" s="26"/>
      <c r="Q66" s="118" t="str">
        <f t="shared" si="23"/>
        <v/>
      </c>
      <c r="R66" s="153"/>
      <c r="S66" s="138" t="str">
        <f t="shared" si="11"/>
        <v/>
      </c>
      <c r="T66" s="148"/>
      <c r="U66" s="146"/>
      <c r="V66" s="146"/>
      <c r="W66" s="139"/>
      <c r="X66" s="139"/>
      <c r="Y66" s="148"/>
      <c r="Z66" s="138" t="str">
        <f t="shared" si="5"/>
        <v/>
      </c>
      <c r="AA66" s="138" t="str">
        <f t="shared" si="13"/>
        <v/>
      </c>
      <c r="AB66" s="239"/>
      <c r="AC66" s="325"/>
      <c r="AD66" s="325"/>
      <c r="AE66" s="325"/>
      <c r="AF66" s="325"/>
      <c r="AG66" s="325"/>
      <c r="AH66" s="325"/>
      <c r="AI66" s="325"/>
      <c r="AJ66" s="325"/>
      <c r="AK66" s="325"/>
      <c r="AL66" s="325"/>
      <c r="AM66" s="325"/>
      <c r="AN66" s="325"/>
      <c r="AO66" s="325"/>
      <c r="AP66" s="136"/>
      <c r="AQ66" s="136"/>
      <c r="AR66" s="136" t="str">
        <f t="shared" si="16"/>
        <v/>
      </c>
      <c r="AS66" s="136" t="str">
        <f t="shared" si="17"/>
        <v/>
      </c>
      <c r="AT66" s="5" t="str">
        <f t="shared" si="18"/>
        <v/>
      </c>
      <c r="AV66" s="27" t="str">
        <f>IF(G66="","",+"          ["&amp;TRIM(G66)&amp;"] ["&amp;TRIM(I66)&amp;"]"&amp;IF(H66="","","("&amp;H66&amp;")")&amp;" "&amp;TRIM(J66)&amp;IF(G67="","",","))</f>
        <v/>
      </c>
      <c r="AW66" s="27"/>
      <c r="AY66" s="122" t="str">
        <f t="shared" si="19"/>
        <v/>
      </c>
    </row>
    <row r="67" spans="2:51" ht="12.75">
      <c r="B67" s="20" t="str">
        <f t="shared" si="12"/>
        <v/>
      </c>
      <c r="C67" s="5"/>
      <c r="D67" s="5"/>
      <c r="E67" s="5"/>
      <c r="G67" s="5" t="str">
        <f t="shared" si="20"/>
        <v/>
      </c>
      <c r="H67" s="117" t="str">
        <f t="shared" si="14"/>
        <v/>
      </c>
      <c r="I67" s="5" t="str">
        <f t="shared" si="21"/>
        <v/>
      </c>
      <c r="J67" s="5" t="str">
        <f t="shared" si="22"/>
        <v/>
      </c>
      <c r="K67" s="138"/>
      <c r="L67" s="5"/>
      <c r="M67" s="75"/>
      <c r="N67" s="77"/>
      <c r="O67" s="26"/>
      <c r="P67" s="26"/>
      <c r="Q67" s="118" t="str">
        <f t="shared" si="23"/>
        <v/>
      </c>
      <c r="R67" s="153"/>
      <c r="S67" s="138" t="str">
        <f t="shared" si="11"/>
        <v/>
      </c>
      <c r="T67" s="148"/>
      <c r="U67" s="146"/>
      <c r="V67" s="146"/>
      <c r="W67" s="139"/>
      <c r="X67" s="139"/>
      <c r="Y67" s="148"/>
      <c r="Z67" s="138" t="str">
        <f t="shared" si="5"/>
        <v/>
      </c>
      <c r="AA67" s="138" t="str">
        <f t="shared" si="13"/>
        <v/>
      </c>
      <c r="AB67" s="239"/>
      <c r="AC67" s="325"/>
      <c r="AD67" s="325"/>
      <c r="AE67" s="325"/>
      <c r="AF67" s="325"/>
      <c r="AG67" s="325"/>
      <c r="AH67" s="325"/>
      <c r="AI67" s="325"/>
      <c r="AJ67" s="325"/>
      <c r="AK67" s="325"/>
      <c r="AL67" s="325"/>
      <c r="AM67" s="325"/>
      <c r="AN67" s="325"/>
      <c r="AO67" s="325"/>
      <c r="AP67" s="136"/>
      <c r="AQ67" s="136"/>
      <c r="AR67" s="136" t="str">
        <f t="shared" si="16"/>
        <v/>
      </c>
      <c r="AS67" s="136" t="str">
        <f t="shared" si="17"/>
        <v/>
      </c>
      <c r="AT67" s="5" t="str">
        <f t="shared" si="18"/>
        <v/>
      </c>
      <c r="AV67" s="27" t="str">
        <f>IF(G67="","",+"          ["&amp;TRIM(G67)&amp;"] ["&amp;TRIM(I67)&amp;"]"&amp;IF(H67="","","("&amp;H67&amp;")")&amp;" "&amp;TRIM(J67)&amp;IF(G68="","",","))</f>
        <v/>
      </c>
      <c r="AW67" s="27"/>
      <c r="AY67" s="122" t="str">
        <f t="shared" si="19"/>
        <v/>
      </c>
    </row>
    <row r="68" spans="2:51" ht="12.75">
      <c r="B68" s="20" t="str">
        <f t="shared" si="12"/>
        <v/>
      </c>
      <c r="C68" s="5"/>
      <c r="D68" s="5"/>
      <c r="E68" s="5"/>
      <c r="G68" s="5" t="str">
        <f t="shared" si="20"/>
        <v/>
      </c>
      <c r="H68" s="117" t="str">
        <f t="shared" si="14"/>
        <v/>
      </c>
      <c r="I68" s="5" t="str">
        <f t="shared" si="21"/>
        <v/>
      </c>
      <c r="J68" s="5" t="str">
        <f t="shared" si="22"/>
        <v/>
      </c>
      <c r="K68" s="138"/>
      <c r="L68" s="5"/>
      <c r="M68" s="75"/>
      <c r="N68" s="77"/>
      <c r="O68" s="26"/>
      <c r="P68" s="26"/>
      <c r="Q68" s="118" t="str">
        <f t="shared" si="23"/>
        <v/>
      </c>
      <c r="R68" s="153"/>
      <c r="S68" s="138" t="str">
        <f t="shared" si="11"/>
        <v/>
      </c>
      <c r="T68" s="148"/>
      <c r="U68" s="146"/>
      <c r="V68" s="146"/>
      <c r="W68" s="139"/>
      <c r="X68" s="139"/>
      <c r="Y68" s="148"/>
      <c r="Z68" s="138" t="str">
        <f t="shared" si="5"/>
        <v/>
      </c>
      <c r="AA68" s="138" t="str">
        <f t="shared" si="13"/>
        <v/>
      </c>
      <c r="AB68" s="239"/>
      <c r="AC68" s="325"/>
      <c r="AD68" s="325"/>
      <c r="AE68" s="325"/>
      <c r="AF68" s="325"/>
      <c r="AG68" s="325"/>
      <c r="AH68" s="325"/>
      <c r="AI68" s="325"/>
      <c r="AJ68" s="325"/>
      <c r="AK68" s="325"/>
      <c r="AL68" s="325"/>
      <c r="AM68" s="325"/>
      <c r="AN68" s="325"/>
      <c r="AO68" s="325"/>
      <c r="AP68" s="136"/>
      <c r="AQ68" s="136"/>
      <c r="AR68" s="136" t="str">
        <f t="shared" si="16"/>
        <v/>
      </c>
      <c r="AS68" s="136" t="str">
        <f t="shared" si="17"/>
        <v/>
      </c>
      <c r="AT68" s="5" t="str">
        <f t="shared" si="18"/>
        <v/>
      </c>
      <c r="AV68" s="27" t="str">
        <f>IF(G68="","",+"          ["&amp;TRIM(G68)&amp;"] ["&amp;TRIM(I68)&amp;"]"&amp;IF(H68="","","("&amp;H68&amp;")")&amp;" "&amp;TRIM(J68)&amp;IF(G95="","",","))</f>
        <v/>
      </c>
      <c r="AW68" s="27"/>
      <c r="AY68" s="122" t="str">
        <f t="shared" si="19"/>
        <v/>
      </c>
    </row>
    <row r="69" spans="2:51" ht="12.75">
      <c r="B69" s="20" t="str">
        <f t="shared" si="12"/>
        <v/>
      </c>
      <c r="C69" s="5"/>
      <c r="D69" s="5"/>
      <c r="E69" s="5"/>
      <c r="G69" s="5" t="str">
        <f t="shared" si="20"/>
        <v/>
      </c>
      <c r="H69" s="117" t="str">
        <f t="shared" si="14"/>
        <v/>
      </c>
      <c r="I69" s="5" t="str">
        <f t="shared" si="21"/>
        <v/>
      </c>
      <c r="J69" s="5" t="str">
        <f t="shared" si="22"/>
        <v/>
      </c>
      <c r="K69" s="138"/>
      <c r="L69" s="5"/>
      <c r="M69" s="75"/>
      <c r="N69" s="77"/>
      <c r="O69" s="26"/>
      <c r="P69" s="26"/>
      <c r="Q69" s="118" t="str">
        <f t="shared" si="23"/>
        <v/>
      </c>
      <c r="R69" s="153"/>
      <c r="S69" s="138" t="str">
        <f t="shared" si="11"/>
        <v/>
      </c>
      <c r="T69" s="148"/>
      <c r="U69" s="146"/>
      <c r="V69" s="146"/>
      <c r="W69" s="139"/>
      <c r="X69" s="139"/>
      <c r="Y69" s="148"/>
      <c r="Z69" s="138" t="str">
        <f t="shared" si="5"/>
        <v/>
      </c>
      <c r="AA69" s="138" t="str">
        <f t="shared" si="13"/>
        <v/>
      </c>
      <c r="AB69" s="239"/>
      <c r="AC69" s="325"/>
      <c r="AD69" s="325"/>
      <c r="AE69" s="325"/>
      <c r="AF69" s="325"/>
      <c r="AG69" s="325"/>
      <c r="AH69" s="325"/>
      <c r="AI69" s="325"/>
      <c r="AJ69" s="325"/>
      <c r="AK69" s="325"/>
      <c r="AL69" s="325"/>
      <c r="AM69" s="325"/>
      <c r="AN69" s="325"/>
      <c r="AO69" s="325"/>
      <c r="AP69" s="136"/>
      <c r="AQ69" s="136"/>
      <c r="AR69" s="136" t="str">
        <f t="shared" si="16"/>
        <v/>
      </c>
      <c r="AS69" s="136" t="str">
        <f t="shared" si="17"/>
        <v/>
      </c>
      <c r="AT69" s="5" t="str">
        <f t="shared" si="18"/>
        <v/>
      </c>
      <c r="AV69" s="27" t="str">
        <f>IF(G69="","",+"          ["&amp;TRIM(G69)&amp;"] ["&amp;TRIM(I69)&amp;"]"&amp;IF(H69="","","("&amp;H69&amp;")")&amp;" "&amp;TRIM(J69)&amp;IF(G70="","",","))</f>
        <v/>
      </c>
      <c r="AW69" s="27"/>
      <c r="AY69" s="122" t="str">
        <f t="shared" si="19"/>
        <v/>
      </c>
    </row>
    <row r="70" spans="2:51" ht="12.75">
      <c r="B70" s="20" t="str">
        <f t="shared" si="12"/>
        <v/>
      </c>
      <c r="C70" s="5"/>
      <c r="D70" s="5"/>
      <c r="E70" s="5"/>
      <c r="G70" s="5" t="str">
        <f t="shared" si="20"/>
        <v/>
      </c>
      <c r="H70" s="117" t="str">
        <f t="shared" si="14"/>
        <v/>
      </c>
      <c r="I70" s="5" t="str">
        <f t="shared" si="21"/>
        <v/>
      </c>
      <c r="J70" s="5" t="str">
        <f t="shared" si="22"/>
        <v/>
      </c>
      <c r="K70" s="138"/>
      <c r="L70" s="5"/>
      <c r="M70" s="75"/>
      <c r="N70" s="77"/>
      <c r="O70" s="26"/>
      <c r="P70" s="26"/>
      <c r="Q70" s="118" t="str">
        <f t="shared" si="23"/>
        <v/>
      </c>
      <c r="R70" s="153"/>
      <c r="S70" s="138" t="str">
        <f t="shared" si="11"/>
        <v/>
      </c>
      <c r="T70" s="148"/>
      <c r="U70" s="146"/>
      <c r="V70" s="146"/>
      <c r="W70" s="139"/>
      <c r="X70" s="139"/>
      <c r="Y70" s="148"/>
      <c r="Z70" s="138" t="str">
        <f t="shared" si="5"/>
        <v/>
      </c>
      <c r="AA70" s="138" t="str">
        <f t="shared" si="13"/>
        <v/>
      </c>
      <c r="AB70" s="239"/>
      <c r="AC70" s="325"/>
      <c r="AD70" s="325"/>
      <c r="AE70" s="325"/>
      <c r="AF70" s="325"/>
      <c r="AG70" s="325"/>
      <c r="AH70" s="325"/>
      <c r="AI70" s="325"/>
      <c r="AJ70" s="325"/>
      <c r="AK70" s="325"/>
      <c r="AL70" s="325"/>
      <c r="AM70" s="325"/>
      <c r="AN70" s="325"/>
      <c r="AO70" s="325"/>
      <c r="AP70" s="136"/>
      <c r="AQ70" s="136"/>
      <c r="AR70" s="136" t="str">
        <f t="shared" si="16"/>
        <v/>
      </c>
      <c r="AS70" s="136" t="str">
        <f t="shared" si="17"/>
        <v/>
      </c>
      <c r="AT70" s="5" t="str">
        <f t="shared" si="18"/>
        <v/>
      </c>
      <c r="AV70" s="27" t="str">
        <f>IF(G70="","",+"          ["&amp;TRIM(G70)&amp;"] ["&amp;TRIM(I70)&amp;"]"&amp;IF(H70="","","("&amp;H70&amp;")")&amp;" "&amp;TRIM(J70)&amp;IF(G94="","",","))</f>
        <v/>
      </c>
      <c r="AW70" s="27"/>
      <c r="AY70" s="122" t="str">
        <f t="shared" si="19"/>
        <v/>
      </c>
    </row>
    <row r="71" spans="2:51" ht="12.75">
      <c r="B71" s="20" t="str">
        <f t="shared" si="12"/>
        <v/>
      </c>
      <c r="C71" s="5"/>
      <c r="D71" s="5"/>
      <c r="E71" s="5"/>
      <c r="G71" s="5" t="str">
        <f t="shared" si="20"/>
        <v/>
      </c>
      <c r="H71" s="117" t="str">
        <f t="shared" si="14"/>
        <v/>
      </c>
      <c r="I71" s="5" t="str">
        <f t="shared" si="21"/>
        <v/>
      </c>
      <c r="J71" s="5" t="str">
        <f t="shared" si="22"/>
        <v/>
      </c>
      <c r="K71" s="138"/>
      <c r="L71" s="5"/>
      <c r="M71" s="75"/>
      <c r="N71" s="77"/>
      <c r="O71" s="26"/>
      <c r="P71" s="26"/>
      <c r="Q71" s="118" t="str">
        <f t="shared" si="23"/>
        <v/>
      </c>
      <c r="R71" s="153"/>
      <c r="S71" s="138" t="str">
        <f t="shared" si="11"/>
        <v/>
      </c>
      <c r="T71" s="148"/>
      <c r="U71" s="146"/>
      <c r="V71" s="146"/>
      <c r="W71" s="139"/>
      <c r="X71" s="139"/>
      <c r="Y71" s="148"/>
      <c r="Z71" s="138" t="str">
        <f t="shared" si="5"/>
        <v/>
      </c>
      <c r="AA71" s="138" t="str">
        <f t="shared" si="13"/>
        <v/>
      </c>
      <c r="AB71" s="239"/>
      <c r="AC71" s="325"/>
      <c r="AD71" s="325"/>
      <c r="AE71" s="325"/>
      <c r="AF71" s="325"/>
      <c r="AG71" s="325"/>
      <c r="AH71" s="325"/>
      <c r="AI71" s="325"/>
      <c r="AJ71" s="325"/>
      <c r="AK71" s="325"/>
      <c r="AL71" s="325"/>
      <c r="AM71" s="325"/>
      <c r="AN71" s="325"/>
      <c r="AO71" s="325"/>
      <c r="AP71" s="136"/>
      <c r="AQ71" s="136"/>
      <c r="AR71" s="136" t="str">
        <f t="shared" si="16"/>
        <v/>
      </c>
      <c r="AS71" s="136" t="str">
        <f t="shared" si="17"/>
        <v/>
      </c>
      <c r="AT71" s="5" t="str">
        <f t="shared" si="18"/>
        <v/>
      </c>
      <c r="AV71" s="27" t="str">
        <f>IF(G71="","",+"          ["&amp;TRIM(G71)&amp;"] ["&amp;TRIM(I71)&amp;"]"&amp;IF(H71="","","("&amp;H71&amp;")")&amp;" "&amp;TRIM(J71)&amp;IF(G72="","",","))</f>
        <v/>
      </c>
      <c r="AW71" s="27"/>
      <c r="AY71" s="122" t="str">
        <f t="shared" si="19"/>
        <v/>
      </c>
    </row>
    <row r="72" spans="2:51" ht="12.75">
      <c r="B72" s="20" t="str">
        <f t="shared" si="12"/>
        <v/>
      </c>
      <c r="C72" s="5"/>
      <c r="D72" s="5"/>
      <c r="E72" s="5"/>
      <c r="G72" s="5" t="str">
        <f t="shared" si="20"/>
        <v/>
      </c>
      <c r="H72" s="117" t="str">
        <f t="shared" si="14"/>
        <v/>
      </c>
      <c r="I72" s="5" t="str">
        <f t="shared" si="21"/>
        <v/>
      </c>
      <c r="J72" s="5" t="str">
        <f t="shared" si="22"/>
        <v/>
      </c>
      <c r="K72" s="138"/>
      <c r="L72" s="5"/>
      <c r="M72" s="75"/>
      <c r="N72" s="77"/>
      <c r="O72" s="26"/>
      <c r="P72" s="26"/>
      <c r="Q72" s="118" t="str">
        <f t="shared" si="23"/>
        <v/>
      </c>
      <c r="R72" s="153"/>
      <c r="S72" s="138" t="str">
        <f t="shared" si="11"/>
        <v/>
      </c>
      <c r="T72" s="148"/>
      <c r="U72" s="146"/>
      <c r="V72" s="146"/>
      <c r="W72" s="139"/>
      <c r="X72" s="139"/>
      <c r="Y72" s="148"/>
      <c r="Z72" s="138" t="str">
        <f t="shared" si="5"/>
        <v/>
      </c>
      <c r="AA72" s="138" t="str">
        <f t="shared" si="13"/>
        <v/>
      </c>
      <c r="AB72" s="239"/>
      <c r="AC72" s="325"/>
      <c r="AD72" s="325"/>
      <c r="AE72" s="325"/>
      <c r="AF72" s="325"/>
      <c r="AG72" s="325"/>
      <c r="AH72" s="325"/>
      <c r="AI72" s="325"/>
      <c r="AJ72" s="325"/>
      <c r="AK72" s="325"/>
      <c r="AL72" s="325"/>
      <c r="AM72" s="325"/>
      <c r="AN72" s="325"/>
      <c r="AO72" s="325"/>
      <c r="AP72" s="136"/>
      <c r="AQ72" s="136"/>
      <c r="AR72" s="136" t="str">
        <f t="shared" si="16"/>
        <v/>
      </c>
      <c r="AS72" s="136" t="str">
        <f t="shared" si="17"/>
        <v/>
      </c>
      <c r="AT72" s="5" t="str">
        <f t="shared" si="18"/>
        <v/>
      </c>
      <c r="AV72" s="27" t="str">
        <f>IF(G72="","",+"          ["&amp;TRIM(G72)&amp;"] ["&amp;TRIM(I72)&amp;"]"&amp;IF(H72="","","("&amp;H72&amp;")")&amp;" "&amp;TRIM(J72)&amp;IF(G75="","",","))</f>
        <v/>
      </c>
      <c r="AW72" s="27"/>
      <c r="AY72" s="122" t="str">
        <f t="shared" si="19"/>
        <v/>
      </c>
    </row>
    <row r="73" spans="2:51" ht="12.75">
      <c r="B73" s="20" t="str">
        <f t="shared" si="12"/>
        <v/>
      </c>
      <c r="C73" s="5"/>
      <c r="D73" s="5"/>
      <c r="E73" s="5"/>
      <c r="G73" s="5" t="str">
        <f t="shared" si="20"/>
        <v/>
      </c>
      <c r="H73" s="117" t="str">
        <f t="shared" si="14"/>
        <v/>
      </c>
      <c r="I73" s="5" t="str">
        <f t="shared" si="21"/>
        <v/>
      </c>
      <c r="J73" s="5" t="str">
        <f t="shared" si="22"/>
        <v/>
      </c>
      <c r="K73" s="138"/>
      <c r="L73" s="5"/>
      <c r="M73" s="75"/>
      <c r="N73" s="77"/>
      <c r="O73" s="26"/>
      <c r="P73" s="26"/>
      <c r="Q73" s="118" t="str">
        <f t="shared" si="23"/>
        <v/>
      </c>
      <c r="R73" s="153"/>
      <c r="S73" s="138" t="str">
        <f t="shared" si="11"/>
        <v/>
      </c>
      <c r="T73" s="148"/>
      <c r="U73" s="146"/>
      <c r="V73" s="146"/>
      <c r="W73" s="139"/>
      <c r="X73" s="139"/>
      <c r="Y73" s="148"/>
      <c r="Z73" s="138" t="str">
        <f t="shared" si="5"/>
        <v/>
      </c>
      <c r="AA73" s="138" t="str">
        <f t="shared" si="13"/>
        <v/>
      </c>
      <c r="AB73" s="239"/>
      <c r="AC73" s="325"/>
      <c r="AD73" s="325"/>
      <c r="AE73" s="325"/>
      <c r="AF73" s="325"/>
      <c r="AG73" s="325"/>
      <c r="AH73" s="325"/>
      <c r="AI73" s="325"/>
      <c r="AJ73" s="325"/>
      <c r="AK73" s="325"/>
      <c r="AL73" s="325"/>
      <c r="AM73" s="325"/>
      <c r="AN73" s="325"/>
      <c r="AO73" s="325"/>
      <c r="AP73" s="136"/>
      <c r="AQ73" s="136"/>
      <c r="AR73" s="136" t="str">
        <f t="shared" si="16"/>
        <v/>
      </c>
      <c r="AS73" s="136" t="str">
        <f t="shared" si="17"/>
        <v/>
      </c>
      <c r="AT73" s="5" t="str">
        <f t="shared" si="18"/>
        <v/>
      </c>
      <c r="AV73" s="27" t="str">
        <f>IF(G73="","",+"          ["&amp;TRIM(G73)&amp;"] ["&amp;TRIM(I73)&amp;"]"&amp;IF(H73="","","("&amp;H73&amp;")")&amp;" "&amp;TRIM(J73)&amp;IF(G74="","",","))</f>
        <v/>
      </c>
      <c r="AW73" s="27"/>
      <c r="AY73" s="122" t="str">
        <f t="shared" si="19"/>
        <v/>
      </c>
    </row>
    <row r="74" spans="2:51" ht="12.75">
      <c r="B74" s="20" t="str">
        <f t="shared" si="12"/>
        <v/>
      </c>
      <c r="C74" s="5"/>
      <c r="D74" s="5"/>
      <c r="E74" s="5"/>
      <c r="G74" s="5" t="str">
        <f t="shared" si="20"/>
        <v/>
      </c>
      <c r="H74" s="117" t="str">
        <f t="shared" si="14"/>
        <v/>
      </c>
      <c r="I74" s="5" t="str">
        <f t="shared" si="21"/>
        <v/>
      </c>
      <c r="J74" s="5" t="str">
        <f t="shared" si="22"/>
        <v/>
      </c>
      <c r="K74" s="138"/>
      <c r="L74" s="5"/>
      <c r="M74" s="75"/>
      <c r="N74" s="77"/>
      <c r="O74" s="26"/>
      <c r="P74" s="26"/>
      <c r="Q74" s="118" t="str">
        <f t="shared" si="23"/>
        <v/>
      </c>
      <c r="R74" s="153"/>
      <c r="S74" s="138" t="str">
        <f t="shared" si="11"/>
        <v/>
      </c>
      <c r="T74" s="148"/>
      <c r="U74" s="146"/>
      <c r="V74" s="146"/>
      <c r="W74" s="139"/>
      <c r="X74" s="139"/>
      <c r="Y74" s="148"/>
      <c r="Z74" s="138" t="str">
        <f t="shared" si="5"/>
        <v/>
      </c>
      <c r="AA74" s="138" t="str">
        <f t="shared" si="13"/>
        <v/>
      </c>
      <c r="AB74" s="239"/>
      <c r="AC74" s="325"/>
      <c r="AD74" s="325"/>
      <c r="AE74" s="325"/>
      <c r="AF74" s="325"/>
      <c r="AG74" s="325"/>
      <c r="AH74" s="325"/>
      <c r="AI74" s="325"/>
      <c r="AJ74" s="325"/>
      <c r="AK74" s="325"/>
      <c r="AL74" s="325"/>
      <c r="AM74" s="325"/>
      <c r="AN74" s="325"/>
      <c r="AO74" s="325"/>
      <c r="AP74" s="136"/>
      <c r="AQ74" s="136"/>
      <c r="AR74" s="136" t="str">
        <f t="shared" si="16"/>
        <v/>
      </c>
      <c r="AS74" s="136" t="str">
        <f t="shared" si="17"/>
        <v/>
      </c>
      <c r="AT74" s="5" t="str">
        <f t="shared" si="18"/>
        <v/>
      </c>
      <c r="AV74" s="27" t="str">
        <f>IF(G74="","",+"          ["&amp;TRIM(G74)&amp;"] ["&amp;TRIM(I74)&amp;"]"&amp;IF(H74="","","("&amp;H74&amp;")")&amp;" "&amp;TRIM(J74)&amp;IF(G75="","",","))</f>
        <v/>
      </c>
      <c r="AW74" s="27"/>
      <c r="AY74" s="122" t="str">
        <f t="shared" si="19"/>
        <v/>
      </c>
    </row>
    <row r="75" spans="2:51" ht="12.75">
      <c r="B75" s="20" t="str">
        <f t="shared" si="12"/>
        <v/>
      </c>
      <c r="C75" s="5"/>
      <c r="D75" s="5"/>
      <c r="E75" s="5"/>
      <c r="G75" s="5" t="str">
        <f t="shared" si="20"/>
        <v/>
      </c>
      <c r="H75" s="117" t="str">
        <f t="shared" si="14"/>
        <v/>
      </c>
      <c r="I75" s="5" t="str">
        <f t="shared" si="21"/>
        <v/>
      </c>
      <c r="J75" s="5" t="str">
        <f t="shared" si="22"/>
        <v/>
      </c>
      <c r="K75" s="138"/>
      <c r="L75" s="5"/>
      <c r="M75" s="75"/>
      <c r="N75" s="77"/>
      <c r="O75" s="26"/>
      <c r="P75" s="26"/>
      <c r="Q75" s="118" t="str">
        <f t="shared" si="23"/>
        <v/>
      </c>
      <c r="R75" s="153"/>
      <c r="S75" s="138" t="str">
        <f t="shared" si="11"/>
        <v/>
      </c>
      <c r="T75" s="148"/>
      <c r="U75" s="146"/>
      <c r="V75" s="146"/>
      <c r="W75" s="139"/>
      <c r="X75" s="139"/>
      <c r="Y75" s="148"/>
      <c r="Z75" s="138" t="str">
        <f t="shared" si="5"/>
        <v/>
      </c>
      <c r="AA75" s="138" t="str">
        <f t="shared" si="13"/>
        <v/>
      </c>
      <c r="AB75" s="239"/>
      <c r="AC75" s="325"/>
      <c r="AD75" s="325"/>
      <c r="AE75" s="325"/>
      <c r="AF75" s="325"/>
      <c r="AG75" s="325"/>
      <c r="AH75" s="325"/>
      <c r="AI75" s="325"/>
      <c r="AJ75" s="325"/>
      <c r="AK75" s="325"/>
      <c r="AL75" s="325"/>
      <c r="AM75" s="325"/>
      <c r="AN75" s="325"/>
      <c r="AO75" s="325"/>
      <c r="AP75" s="136"/>
      <c r="AQ75" s="136"/>
      <c r="AR75" s="136" t="str">
        <f t="shared" si="16"/>
        <v/>
      </c>
      <c r="AS75" s="136" t="str">
        <f t="shared" si="17"/>
        <v/>
      </c>
      <c r="AT75" s="5" t="str">
        <f t="shared" si="18"/>
        <v/>
      </c>
      <c r="AV75" s="27" t="str">
        <f>IF(G75="","",+"          ["&amp;TRIM(G75)&amp;"] ["&amp;TRIM(I75)&amp;"]"&amp;IF(H75="","","("&amp;H75&amp;")")&amp;" "&amp;TRIM(J75)&amp;IF(G94="","",","))</f>
        <v/>
      </c>
      <c r="AW75" s="27"/>
      <c r="AY75" s="122" t="str">
        <f t="shared" si="19"/>
        <v/>
      </c>
    </row>
    <row r="76" spans="2:51" ht="12.75">
      <c r="B76" s="20" t="str">
        <f t="shared" si="12"/>
        <v/>
      </c>
      <c r="C76" s="5"/>
      <c r="D76" s="5"/>
      <c r="E76" s="5"/>
      <c r="G76" s="5" t="str">
        <f t="shared" si="20"/>
        <v/>
      </c>
      <c r="H76" s="117" t="str">
        <f t="shared" si="14"/>
        <v/>
      </c>
      <c r="I76" s="5" t="str">
        <f t="shared" si="21"/>
        <v/>
      </c>
      <c r="J76" s="5" t="str">
        <f t="shared" si="22"/>
        <v/>
      </c>
      <c r="K76" s="138"/>
      <c r="L76" s="5"/>
      <c r="M76" s="75"/>
      <c r="N76" s="77"/>
      <c r="O76" s="26"/>
      <c r="P76" s="26"/>
      <c r="Q76" s="118" t="str">
        <f t="shared" si="23"/>
        <v/>
      </c>
      <c r="R76" s="153"/>
      <c r="S76" s="138" t="str">
        <f t="shared" si="11"/>
        <v/>
      </c>
      <c r="T76" s="148"/>
      <c r="U76" s="146"/>
      <c r="V76" s="146"/>
      <c r="W76" s="139"/>
      <c r="X76" s="139"/>
      <c r="Y76" s="148"/>
      <c r="Z76" s="138" t="str">
        <f t="shared" si="5"/>
        <v/>
      </c>
      <c r="AA76" s="138" t="str">
        <f t="shared" si="13"/>
        <v/>
      </c>
      <c r="AB76" s="239"/>
      <c r="AC76" s="325"/>
      <c r="AD76" s="325"/>
      <c r="AE76" s="325"/>
      <c r="AF76" s="325"/>
      <c r="AG76" s="325"/>
      <c r="AH76" s="325"/>
      <c r="AI76" s="325"/>
      <c r="AJ76" s="325"/>
      <c r="AK76" s="325"/>
      <c r="AL76" s="325"/>
      <c r="AM76" s="325"/>
      <c r="AN76" s="325"/>
      <c r="AO76" s="325"/>
      <c r="AP76" s="136"/>
      <c r="AQ76" s="136"/>
      <c r="AR76" s="136" t="str">
        <f t="shared" si="16"/>
        <v/>
      </c>
      <c r="AS76" s="136" t="str">
        <f t="shared" si="17"/>
        <v/>
      </c>
      <c r="AT76" s="5" t="str">
        <f t="shared" si="18"/>
        <v/>
      </c>
      <c r="AV76" s="27" t="str">
        <f>IF(G76="","",+"          ["&amp;TRIM(G76)&amp;"] ["&amp;TRIM(I76)&amp;"]"&amp;IF(H76="","","("&amp;H76&amp;")")&amp;" "&amp;TRIM(J76)&amp;IF(G77="","",","))</f>
        <v/>
      </c>
      <c r="AW76" s="27"/>
      <c r="AY76" s="122" t="str">
        <f t="shared" si="19"/>
        <v/>
      </c>
    </row>
    <row r="77" spans="2:51" ht="12.75">
      <c r="B77" s="20" t="str">
        <f t="shared" si="12"/>
        <v/>
      </c>
      <c r="C77" s="5"/>
      <c r="D77" s="5"/>
      <c r="E77" s="5"/>
      <c r="G77" s="5" t="str">
        <f t="shared" si="20"/>
        <v/>
      </c>
      <c r="H77" s="117" t="str">
        <f t="shared" si="14"/>
        <v/>
      </c>
      <c r="I77" s="5" t="str">
        <f t="shared" si="21"/>
        <v/>
      </c>
      <c r="J77" s="5" t="str">
        <f t="shared" si="22"/>
        <v/>
      </c>
      <c r="K77" s="138"/>
      <c r="L77" s="5"/>
      <c r="M77" s="75"/>
      <c r="N77" s="77"/>
      <c r="O77" s="26"/>
      <c r="P77" s="26"/>
      <c r="Q77" s="118" t="str">
        <f t="shared" si="23"/>
        <v/>
      </c>
      <c r="R77" s="153"/>
      <c r="S77" s="138" t="str">
        <f t="shared" si="11"/>
        <v/>
      </c>
      <c r="T77" s="148"/>
      <c r="U77" s="146"/>
      <c r="V77" s="146"/>
      <c r="W77" s="139"/>
      <c r="X77" s="139"/>
      <c r="Y77" s="148"/>
      <c r="Z77" s="138" t="str">
        <f t="shared" si="5"/>
        <v/>
      </c>
      <c r="AA77" s="138" t="str">
        <f t="shared" si="13"/>
        <v/>
      </c>
      <c r="AB77" s="239"/>
      <c r="AC77" s="325"/>
      <c r="AD77" s="325"/>
      <c r="AE77" s="325"/>
      <c r="AF77" s="325"/>
      <c r="AG77" s="325"/>
      <c r="AH77" s="325"/>
      <c r="AI77" s="325"/>
      <c r="AJ77" s="325"/>
      <c r="AK77" s="325"/>
      <c r="AL77" s="325"/>
      <c r="AM77" s="325"/>
      <c r="AN77" s="325"/>
      <c r="AO77" s="325"/>
      <c r="AP77" s="136"/>
      <c r="AQ77" s="136"/>
      <c r="AR77" s="136" t="str">
        <f t="shared" si="16"/>
        <v/>
      </c>
      <c r="AS77" s="136" t="str">
        <f t="shared" si="17"/>
        <v/>
      </c>
      <c r="AT77" s="5" t="str">
        <f t="shared" si="18"/>
        <v/>
      </c>
      <c r="AV77" s="27" t="str">
        <f>IF(G77="","",+"          ["&amp;TRIM(G77)&amp;"] ["&amp;TRIM(I77)&amp;"]"&amp;IF(H77="","","("&amp;H77&amp;")")&amp;" "&amp;TRIM(J77)&amp;IF(G78="","",","))</f>
        <v/>
      </c>
      <c r="AW77" s="27"/>
      <c r="AY77" s="122" t="str">
        <f t="shared" si="19"/>
        <v/>
      </c>
    </row>
    <row r="78" spans="2:51" ht="12.75">
      <c r="B78" s="20" t="str">
        <f t="shared" si="12"/>
        <v/>
      </c>
      <c r="C78" s="5"/>
      <c r="D78" s="5"/>
      <c r="E78" s="5"/>
      <c r="G78" s="5" t="str">
        <f t="shared" si="20"/>
        <v/>
      </c>
      <c r="H78" s="117" t="str">
        <f t="shared" si="14"/>
        <v/>
      </c>
      <c r="I78" s="5" t="str">
        <f t="shared" si="21"/>
        <v/>
      </c>
      <c r="J78" s="5" t="str">
        <f t="shared" si="22"/>
        <v/>
      </c>
      <c r="K78" s="138"/>
      <c r="L78" s="5"/>
      <c r="M78" s="75"/>
      <c r="N78" s="77"/>
      <c r="O78" s="26"/>
      <c r="P78" s="26"/>
      <c r="Q78" s="118" t="str">
        <f t="shared" si="23"/>
        <v/>
      </c>
      <c r="R78" s="153"/>
      <c r="S78" s="138" t="str">
        <f t="shared" si="11"/>
        <v/>
      </c>
      <c r="T78" s="148"/>
      <c r="U78" s="146"/>
      <c r="V78" s="146"/>
      <c r="W78" s="139"/>
      <c r="X78" s="139"/>
      <c r="Y78" s="148"/>
      <c r="Z78" s="138" t="str">
        <f t="shared" si="5"/>
        <v/>
      </c>
      <c r="AA78" s="138" t="str">
        <f t="shared" si="13"/>
        <v/>
      </c>
      <c r="AB78" s="239"/>
      <c r="AC78" s="325"/>
      <c r="AD78" s="325"/>
      <c r="AE78" s="325"/>
      <c r="AF78" s="325"/>
      <c r="AG78" s="325"/>
      <c r="AH78" s="325"/>
      <c r="AI78" s="325"/>
      <c r="AJ78" s="325"/>
      <c r="AK78" s="325"/>
      <c r="AL78" s="325"/>
      <c r="AM78" s="325"/>
      <c r="AN78" s="325"/>
      <c r="AO78" s="325"/>
      <c r="AP78" s="136"/>
      <c r="AQ78" s="136"/>
      <c r="AR78" s="136" t="str">
        <f t="shared" si="16"/>
        <v/>
      </c>
      <c r="AS78" s="136" t="str">
        <f t="shared" si="17"/>
        <v/>
      </c>
      <c r="AT78" s="5" t="str">
        <f t="shared" si="18"/>
        <v/>
      </c>
      <c r="AV78" s="27" t="str">
        <f>IF(G78="","",+"          ["&amp;TRIM(G78)&amp;"] ["&amp;TRIM(I78)&amp;"]"&amp;IF(H78="","","("&amp;H78&amp;")")&amp;" "&amp;TRIM(J78)&amp;IF(G93="","",","))</f>
        <v/>
      </c>
      <c r="AW78" s="27"/>
      <c r="AY78" s="122" t="str">
        <f t="shared" si="19"/>
        <v/>
      </c>
    </row>
    <row r="79" spans="2:51" ht="12.75">
      <c r="B79" s="20" t="str">
        <f t="shared" si="12"/>
        <v/>
      </c>
      <c r="C79" s="5"/>
      <c r="D79" s="5"/>
      <c r="E79" s="5"/>
      <c r="G79" s="5" t="str">
        <f t="shared" si="20"/>
        <v/>
      </c>
      <c r="H79" s="117" t="str">
        <f t="shared" si="14"/>
        <v/>
      </c>
      <c r="I79" s="5" t="str">
        <f t="shared" si="21"/>
        <v/>
      </c>
      <c r="J79" s="5" t="str">
        <f t="shared" si="22"/>
        <v/>
      </c>
      <c r="K79" s="138"/>
      <c r="L79" s="5"/>
      <c r="M79" s="75"/>
      <c r="N79" s="77"/>
      <c r="O79" s="26"/>
      <c r="P79" s="26"/>
      <c r="Q79" s="118" t="str">
        <f t="shared" si="23"/>
        <v/>
      </c>
      <c r="R79" s="153"/>
      <c r="S79" s="138" t="str">
        <f t="shared" si="11"/>
        <v/>
      </c>
      <c r="T79" s="148"/>
      <c r="U79" s="146"/>
      <c r="V79" s="146"/>
      <c r="W79" s="139"/>
      <c r="X79" s="139"/>
      <c r="Y79" s="148"/>
      <c r="Z79" s="138" t="str">
        <f t="shared" si="5"/>
        <v/>
      </c>
      <c r="AA79" s="138" t="str">
        <f t="shared" si="13"/>
        <v/>
      </c>
      <c r="AB79" s="239"/>
      <c r="AC79" s="325"/>
      <c r="AD79" s="325"/>
      <c r="AE79" s="325"/>
      <c r="AF79" s="325"/>
      <c r="AG79" s="325"/>
      <c r="AH79" s="325"/>
      <c r="AI79" s="325"/>
      <c r="AJ79" s="325"/>
      <c r="AK79" s="325"/>
      <c r="AL79" s="325"/>
      <c r="AM79" s="325"/>
      <c r="AN79" s="325"/>
      <c r="AO79" s="325"/>
      <c r="AP79" s="136"/>
      <c r="AQ79" s="136"/>
      <c r="AR79" s="136" t="str">
        <f t="shared" si="16"/>
        <v/>
      </c>
      <c r="AS79" s="136" t="str">
        <f t="shared" si="17"/>
        <v/>
      </c>
      <c r="AT79" s="5" t="str">
        <f t="shared" si="18"/>
        <v/>
      </c>
      <c r="AV79" s="27" t="str">
        <f>IF(G79="","",+"          ["&amp;TRIM(G79)&amp;"] ["&amp;TRIM(I79)&amp;"]"&amp;IF(H79="","","("&amp;H79&amp;")")&amp;" "&amp;TRIM(J79)&amp;IF(G80="","",","))</f>
        <v/>
      </c>
      <c r="AW79" s="27"/>
      <c r="AY79" s="122" t="str">
        <f t="shared" si="19"/>
        <v/>
      </c>
    </row>
    <row r="80" spans="2:51" ht="12.75">
      <c r="B80" s="20" t="str">
        <f t="shared" si="12"/>
        <v/>
      </c>
      <c r="C80" s="5"/>
      <c r="D80" s="5"/>
      <c r="E80" s="5"/>
      <c r="G80" s="5" t="str">
        <f t="shared" si="20"/>
        <v/>
      </c>
      <c r="H80" s="117" t="str">
        <f t="shared" si="14"/>
        <v/>
      </c>
      <c r="I80" s="5" t="str">
        <f t="shared" si="21"/>
        <v/>
      </c>
      <c r="J80" s="5" t="str">
        <f t="shared" si="22"/>
        <v/>
      </c>
      <c r="K80" s="138"/>
      <c r="L80" s="5"/>
      <c r="M80" s="75"/>
      <c r="N80" s="77"/>
      <c r="O80" s="26"/>
      <c r="P80" s="26"/>
      <c r="Q80" s="118" t="str">
        <f t="shared" si="23"/>
        <v/>
      </c>
      <c r="R80" s="153"/>
      <c r="S80" s="138" t="str">
        <f t="shared" si="11"/>
        <v/>
      </c>
      <c r="T80" s="148"/>
      <c r="U80" s="146"/>
      <c r="V80" s="146"/>
      <c r="W80" s="139"/>
      <c r="X80" s="139"/>
      <c r="Y80" s="148"/>
      <c r="Z80" s="138" t="str">
        <f t="shared" ref="Z80:Z115" si="25">IF(M80&lt;9000,"","false")</f>
        <v/>
      </c>
      <c r="AA80" s="138" t="str">
        <f t="shared" si="13"/>
        <v/>
      </c>
      <c r="AB80" s="239"/>
      <c r="AC80" s="325"/>
      <c r="AD80" s="325"/>
      <c r="AE80" s="325"/>
      <c r="AF80" s="325"/>
      <c r="AG80" s="325"/>
      <c r="AH80" s="325"/>
      <c r="AI80" s="325"/>
      <c r="AJ80" s="325"/>
      <c r="AK80" s="325"/>
      <c r="AL80" s="325"/>
      <c r="AM80" s="325"/>
      <c r="AN80" s="325"/>
      <c r="AO80" s="325"/>
      <c r="AP80" s="136"/>
      <c r="AQ80" s="136"/>
      <c r="AR80" s="136" t="str">
        <f t="shared" ref="AR80:AR115" si="26">IF(O80=0,"",ROW())</f>
        <v/>
      </c>
      <c r="AS80" s="136" t="str">
        <f t="shared" ref="AS80:AS115" si="27">IF(P80=0,"",ROW())</f>
        <v/>
      </c>
      <c r="AT80" s="5" t="str">
        <f t="shared" ref="AT80:AT116" si="28">IF(C80="","",C80&amp;IF(B81="","",","))</f>
        <v/>
      </c>
      <c r="AV80" s="27" t="str">
        <f>IF(G80="","",+"          ["&amp;TRIM(G80)&amp;"] ["&amp;TRIM(I80)&amp;"]"&amp;IF(H80="","","("&amp;H80&amp;")")&amp;" "&amp;TRIM(J80)&amp;IF(G83="","",","))</f>
        <v/>
      </c>
      <c r="AW80" s="27"/>
      <c r="AY80" s="122" t="str">
        <f t="shared" ref="AY80:AY116" si="29">IF(G80="",IF(OR(AY79=");",AY79=""),"",");"),+"          "&amp;TRIM(G80)&amp;" "&amp;UPPER(TRIM(I80))&amp;IF(H80="",""," ("&amp;H80&amp;")")&amp;" "&amp;IF(TRIM(J80)="NOT NULL","PRIMARY KEY UNIQUE NOT NULL",TRIM(J80))&amp;IF(G81="","",","))</f>
        <v/>
      </c>
    </row>
    <row r="81" spans="2:51" ht="12.75">
      <c r="B81" s="20" t="str">
        <f t="shared" si="12"/>
        <v/>
      </c>
      <c r="C81" s="5"/>
      <c r="D81" s="5"/>
      <c r="E81" s="5"/>
      <c r="G81" s="5" t="str">
        <f t="shared" si="20"/>
        <v/>
      </c>
      <c r="H81" s="117" t="str">
        <f t="shared" si="14"/>
        <v/>
      </c>
      <c r="I81" s="5" t="str">
        <f t="shared" si="21"/>
        <v/>
      </c>
      <c r="J81" s="5" t="str">
        <f t="shared" si="22"/>
        <v/>
      </c>
      <c r="K81" s="138"/>
      <c r="L81" s="5"/>
      <c r="M81" s="75"/>
      <c r="N81" s="77"/>
      <c r="O81" s="26"/>
      <c r="P81" s="26"/>
      <c r="Q81" s="118" t="str">
        <f t="shared" si="23"/>
        <v/>
      </c>
      <c r="R81" s="153"/>
      <c r="S81" s="138" t="str">
        <f t="shared" ref="S81:S115" si="30">IF(K81=0,"",K81)</f>
        <v/>
      </c>
      <c r="T81" s="148"/>
      <c r="U81" s="146"/>
      <c r="V81" s="146"/>
      <c r="W81" s="139"/>
      <c r="X81" s="139"/>
      <c r="Y81" s="148"/>
      <c r="Z81" s="138" t="str">
        <f t="shared" si="25"/>
        <v/>
      </c>
      <c r="AA81" s="138" t="str">
        <f t="shared" si="13"/>
        <v/>
      </c>
      <c r="AB81" s="239"/>
      <c r="AC81" s="325"/>
      <c r="AD81" s="325"/>
      <c r="AE81" s="325"/>
      <c r="AF81" s="325"/>
      <c r="AG81" s="325"/>
      <c r="AH81" s="325"/>
      <c r="AI81" s="325"/>
      <c r="AJ81" s="325"/>
      <c r="AK81" s="325"/>
      <c r="AL81" s="325"/>
      <c r="AM81" s="325"/>
      <c r="AN81" s="325"/>
      <c r="AO81" s="325"/>
      <c r="AP81" s="136"/>
      <c r="AQ81" s="136"/>
      <c r="AR81" s="136" t="str">
        <f t="shared" si="26"/>
        <v/>
      </c>
      <c r="AS81" s="136" t="str">
        <f t="shared" si="27"/>
        <v/>
      </c>
      <c r="AT81" s="5" t="str">
        <f t="shared" si="28"/>
        <v/>
      </c>
      <c r="AV81" s="27" t="str">
        <f>IF(G81="","",+"          ["&amp;TRIM(G81)&amp;"] ["&amp;TRIM(I81)&amp;"]"&amp;IF(H81="","","("&amp;H81&amp;")")&amp;" "&amp;TRIM(J81)&amp;IF(G82="","",","))</f>
        <v/>
      </c>
      <c r="AW81" s="27"/>
      <c r="AY81" s="122" t="str">
        <f t="shared" si="29"/>
        <v/>
      </c>
    </row>
    <row r="82" spans="2:51" ht="12.75">
      <c r="B82" s="20" t="str">
        <f t="shared" ref="B82:B115" si="31">IF(C82=0,"",+B81+1)</f>
        <v/>
      </c>
      <c r="C82" s="5"/>
      <c r="D82" s="5"/>
      <c r="E82" s="5"/>
      <c r="G82" s="5" t="str">
        <f t="shared" si="20"/>
        <v/>
      </c>
      <c r="H82" s="117" t="str">
        <f t="shared" si="14"/>
        <v/>
      </c>
      <c r="I82" s="5" t="str">
        <f t="shared" si="21"/>
        <v/>
      </c>
      <c r="J82" s="5" t="str">
        <f t="shared" si="22"/>
        <v/>
      </c>
      <c r="K82" s="138"/>
      <c r="L82" s="5"/>
      <c r="M82" s="75"/>
      <c r="N82" s="77"/>
      <c r="O82" s="26"/>
      <c r="P82" s="26"/>
      <c r="Q82" s="118" t="str">
        <f t="shared" si="23"/>
        <v/>
      </c>
      <c r="R82" s="153"/>
      <c r="S82" s="138" t="str">
        <f t="shared" si="30"/>
        <v/>
      </c>
      <c r="T82" s="148"/>
      <c r="U82" s="146"/>
      <c r="V82" s="146"/>
      <c r="W82" s="139"/>
      <c r="X82" s="139"/>
      <c r="Y82" s="148"/>
      <c r="Z82" s="138" t="str">
        <f t="shared" si="25"/>
        <v/>
      </c>
      <c r="AA82" s="138" t="str">
        <f t="shared" ref="AA82:AA115" si="32">IF($C$120=B82,"asc","")</f>
        <v/>
      </c>
      <c r="AB82" s="239"/>
      <c r="AC82" s="325"/>
      <c r="AD82" s="325"/>
      <c r="AE82" s="325"/>
      <c r="AF82" s="325"/>
      <c r="AG82" s="325"/>
      <c r="AH82" s="325"/>
      <c r="AI82" s="325"/>
      <c r="AJ82" s="325"/>
      <c r="AK82" s="325"/>
      <c r="AL82" s="325"/>
      <c r="AM82" s="325"/>
      <c r="AN82" s="325"/>
      <c r="AO82" s="325"/>
      <c r="AP82" s="136"/>
      <c r="AQ82" s="136"/>
      <c r="AR82" s="136" t="str">
        <f t="shared" si="26"/>
        <v/>
      </c>
      <c r="AS82" s="136" t="str">
        <f t="shared" si="27"/>
        <v/>
      </c>
      <c r="AT82" s="5" t="str">
        <f t="shared" si="28"/>
        <v/>
      </c>
      <c r="AV82" s="27" t="str">
        <f>IF(G82="","",+"          ["&amp;TRIM(G82)&amp;"] ["&amp;TRIM(I82)&amp;"]"&amp;IF(H82="","","("&amp;H82&amp;")")&amp;" "&amp;TRIM(J82)&amp;IF(G83="","",","))</f>
        <v/>
      </c>
      <c r="AW82" s="27"/>
      <c r="AY82" s="122" t="str">
        <f t="shared" si="29"/>
        <v/>
      </c>
    </row>
    <row r="83" spans="2:51" ht="12.75">
      <c r="B83" s="20" t="str">
        <f t="shared" si="31"/>
        <v/>
      </c>
      <c r="C83" s="5"/>
      <c r="D83" s="5"/>
      <c r="E83" s="5"/>
      <c r="G83" s="5" t="str">
        <f t="shared" si="20"/>
        <v/>
      </c>
      <c r="H83" s="117" t="str">
        <f t="shared" si="14"/>
        <v/>
      </c>
      <c r="I83" s="5" t="str">
        <f t="shared" si="21"/>
        <v/>
      </c>
      <c r="J83" s="5" t="str">
        <f t="shared" si="22"/>
        <v/>
      </c>
      <c r="K83" s="138"/>
      <c r="L83" s="5"/>
      <c r="M83" s="75"/>
      <c r="N83" s="77"/>
      <c r="O83" s="26"/>
      <c r="P83" s="26"/>
      <c r="Q83" s="118" t="str">
        <f t="shared" si="23"/>
        <v/>
      </c>
      <c r="R83" s="153"/>
      <c r="S83" s="138" t="str">
        <f t="shared" si="30"/>
        <v/>
      </c>
      <c r="T83" s="148"/>
      <c r="U83" s="146"/>
      <c r="V83" s="146"/>
      <c r="W83" s="139"/>
      <c r="X83" s="139"/>
      <c r="Y83" s="148"/>
      <c r="Z83" s="138" t="str">
        <f t="shared" si="25"/>
        <v/>
      </c>
      <c r="AA83" s="138" t="str">
        <f t="shared" si="32"/>
        <v/>
      </c>
      <c r="AB83" s="239"/>
      <c r="AC83" s="325"/>
      <c r="AD83" s="325"/>
      <c r="AE83" s="325"/>
      <c r="AF83" s="325"/>
      <c r="AG83" s="325"/>
      <c r="AH83" s="325"/>
      <c r="AI83" s="325"/>
      <c r="AJ83" s="325"/>
      <c r="AK83" s="325"/>
      <c r="AL83" s="325"/>
      <c r="AM83" s="325"/>
      <c r="AN83" s="325"/>
      <c r="AO83" s="325"/>
      <c r="AP83" s="136"/>
      <c r="AQ83" s="136"/>
      <c r="AR83" s="136" t="str">
        <f t="shared" si="26"/>
        <v/>
      </c>
      <c r="AS83" s="136" t="str">
        <f t="shared" si="27"/>
        <v/>
      </c>
      <c r="AT83" s="5" t="str">
        <f t="shared" si="28"/>
        <v/>
      </c>
      <c r="AV83" s="27" t="str">
        <f>IF(G83="","",+"          ["&amp;TRIM(G83)&amp;"] ["&amp;TRIM(I83)&amp;"]"&amp;IF(H83="","","("&amp;H83&amp;")")&amp;" "&amp;TRIM(J83)&amp;IF(G93="","",","))</f>
        <v/>
      </c>
      <c r="AW83" s="27"/>
      <c r="AY83" s="122" t="str">
        <f t="shared" si="29"/>
        <v/>
      </c>
    </row>
    <row r="84" spans="2:51" ht="12.75">
      <c r="B84" s="20" t="str">
        <f t="shared" si="31"/>
        <v/>
      </c>
      <c r="C84" s="5"/>
      <c r="D84" s="5"/>
      <c r="E84" s="5"/>
      <c r="G84" s="5" t="str">
        <f t="shared" si="20"/>
        <v/>
      </c>
      <c r="H84" s="117" t="str">
        <f t="shared" si="14"/>
        <v/>
      </c>
      <c r="I84" s="5" t="str">
        <f t="shared" si="21"/>
        <v/>
      </c>
      <c r="J84" s="5" t="str">
        <f t="shared" si="22"/>
        <v/>
      </c>
      <c r="K84" s="138"/>
      <c r="L84" s="5"/>
      <c r="M84" s="75"/>
      <c r="N84" s="77"/>
      <c r="O84" s="26"/>
      <c r="P84" s="26"/>
      <c r="Q84" s="118" t="str">
        <f t="shared" si="23"/>
        <v/>
      </c>
      <c r="R84" s="153"/>
      <c r="S84" s="138" t="str">
        <f t="shared" si="30"/>
        <v/>
      </c>
      <c r="T84" s="148"/>
      <c r="U84" s="146"/>
      <c r="V84" s="146"/>
      <c r="W84" s="139"/>
      <c r="X84" s="139"/>
      <c r="Y84" s="148"/>
      <c r="Z84" s="138" t="str">
        <f t="shared" si="25"/>
        <v/>
      </c>
      <c r="AA84" s="138" t="str">
        <f t="shared" si="32"/>
        <v/>
      </c>
      <c r="AB84" s="239"/>
      <c r="AC84" s="325"/>
      <c r="AD84" s="325"/>
      <c r="AE84" s="325"/>
      <c r="AF84" s="325"/>
      <c r="AG84" s="325"/>
      <c r="AH84" s="325"/>
      <c r="AI84" s="325"/>
      <c r="AJ84" s="325"/>
      <c r="AK84" s="325"/>
      <c r="AL84" s="325"/>
      <c r="AM84" s="325"/>
      <c r="AN84" s="325"/>
      <c r="AO84" s="325"/>
      <c r="AP84" s="136"/>
      <c r="AQ84" s="136"/>
      <c r="AR84" s="136" t="str">
        <f t="shared" si="26"/>
        <v/>
      </c>
      <c r="AS84" s="136" t="str">
        <f t="shared" si="27"/>
        <v/>
      </c>
      <c r="AT84" s="5" t="str">
        <f t="shared" si="28"/>
        <v/>
      </c>
      <c r="AV84" s="27" t="str">
        <f>IF(G84="","",+"          ["&amp;TRIM(G84)&amp;"] ["&amp;TRIM(I84)&amp;"]"&amp;IF(H84="","","("&amp;H84&amp;")")&amp;" "&amp;TRIM(J84)&amp;IF(G85="","",","))</f>
        <v/>
      </c>
      <c r="AW84" s="27"/>
      <c r="AY84" s="122" t="str">
        <f t="shared" si="29"/>
        <v/>
      </c>
    </row>
    <row r="85" spans="2:51" ht="12.75">
      <c r="B85" s="20" t="str">
        <f t="shared" si="31"/>
        <v/>
      </c>
      <c r="C85" s="5"/>
      <c r="D85" s="5"/>
      <c r="E85" s="5"/>
      <c r="G85" s="5" t="str">
        <f t="shared" si="20"/>
        <v/>
      </c>
      <c r="H85" s="117" t="str">
        <f t="shared" si="14"/>
        <v/>
      </c>
      <c r="I85" s="5" t="str">
        <f t="shared" si="21"/>
        <v/>
      </c>
      <c r="J85" s="5" t="str">
        <f t="shared" si="22"/>
        <v/>
      </c>
      <c r="K85" s="138"/>
      <c r="L85" s="5"/>
      <c r="M85" s="75"/>
      <c r="N85" s="77"/>
      <c r="O85" s="26"/>
      <c r="P85" s="26"/>
      <c r="Q85" s="118" t="str">
        <f t="shared" si="23"/>
        <v/>
      </c>
      <c r="R85" s="153"/>
      <c r="S85" s="138" t="str">
        <f t="shared" si="30"/>
        <v/>
      </c>
      <c r="T85" s="148"/>
      <c r="U85" s="146"/>
      <c r="V85" s="146"/>
      <c r="W85" s="139"/>
      <c r="X85" s="139"/>
      <c r="Y85" s="148"/>
      <c r="Z85" s="138" t="str">
        <f t="shared" si="25"/>
        <v/>
      </c>
      <c r="AA85" s="138" t="str">
        <f t="shared" si="32"/>
        <v/>
      </c>
      <c r="AB85" s="239"/>
      <c r="AC85" s="325"/>
      <c r="AD85" s="325"/>
      <c r="AE85" s="325"/>
      <c r="AF85" s="325"/>
      <c r="AG85" s="325"/>
      <c r="AH85" s="325"/>
      <c r="AI85" s="325"/>
      <c r="AJ85" s="325"/>
      <c r="AK85" s="325"/>
      <c r="AL85" s="325"/>
      <c r="AM85" s="325"/>
      <c r="AN85" s="325"/>
      <c r="AO85" s="325"/>
      <c r="AP85" s="136"/>
      <c r="AQ85" s="136"/>
      <c r="AR85" s="136" t="str">
        <f t="shared" si="26"/>
        <v/>
      </c>
      <c r="AS85" s="136" t="str">
        <f t="shared" si="27"/>
        <v/>
      </c>
      <c r="AT85" s="5" t="str">
        <f t="shared" si="28"/>
        <v/>
      </c>
      <c r="AV85" s="27" t="str">
        <f>IF(G85="","",+"          ["&amp;TRIM(G85)&amp;"] ["&amp;TRIM(I85)&amp;"]"&amp;IF(H85="","","("&amp;H85&amp;")")&amp;" "&amp;TRIM(J85)&amp;IF(G86="","",","))</f>
        <v/>
      </c>
      <c r="AW85" s="27"/>
      <c r="AY85" s="122" t="str">
        <f t="shared" si="29"/>
        <v/>
      </c>
    </row>
    <row r="86" spans="2:51" ht="12.75">
      <c r="B86" s="20" t="str">
        <f t="shared" si="31"/>
        <v/>
      </c>
      <c r="C86" s="5"/>
      <c r="D86" s="5"/>
      <c r="E86" s="5"/>
      <c r="G86" s="5" t="str">
        <f t="shared" si="20"/>
        <v/>
      </c>
      <c r="H86" s="117" t="str">
        <f t="shared" si="14"/>
        <v/>
      </c>
      <c r="I86" s="5" t="str">
        <f t="shared" si="21"/>
        <v/>
      </c>
      <c r="J86" s="5" t="str">
        <f t="shared" si="22"/>
        <v/>
      </c>
      <c r="K86" s="138"/>
      <c r="L86" s="5"/>
      <c r="M86" s="75"/>
      <c r="N86" s="77"/>
      <c r="O86" s="26"/>
      <c r="P86" s="26"/>
      <c r="Q86" s="118" t="str">
        <f t="shared" si="23"/>
        <v/>
      </c>
      <c r="R86" s="153"/>
      <c r="S86" s="138" t="str">
        <f t="shared" si="30"/>
        <v/>
      </c>
      <c r="T86" s="148"/>
      <c r="U86" s="146"/>
      <c r="V86" s="146"/>
      <c r="W86" s="139"/>
      <c r="X86" s="139"/>
      <c r="Y86" s="148"/>
      <c r="Z86" s="138" t="str">
        <f t="shared" si="25"/>
        <v/>
      </c>
      <c r="AA86" s="138" t="str">
        <f t="shared" si="32"/>
        <v/>
      </c>
      <c r="AB86" s="239"/>
      <c r="AC86" s="325"/>
      <c r="AD86" s="325"/>
      <c r="AE86" s="325"/>
      <c r="AF86" s="325"/>
      <c r="AG86" s="325"/>
      <c r="AH86" s="325"/>
      <c r="AI86" s="325"/>
      <c r="AJ86" s="325"/>
      <c r="AK86" s="325"/>
      <c r="AL86" s="325"/>
      <c r="AM86" s="325"/>
      <c r="AN86" s="325"/>
      <c r="AO86" s="325"/>
      <c r="AP86" s="136"/>
      <c r="AQ86" s="136"/>
      <c r="AR86" s="136" t="str">
        <f t="shared" si="26"/>
        <v/>
      </c>
      <c r="AS86" s="136" t="str">
        <f t="shared" si="27"/>
        <v/>
      </c>
      <c r="AT86" s="5" t="str">
        <f t="shared" si="28"/>
        <v/>
      </c>
      <c r="AV86" s="27" t="str">
        <f>IF(G86="","",+"          ["&amp;TRIM(G86)&amp;"] ["&amp;TRIM(I86)&amp;"]"&amp;IF(H86="","","("&amp;H86&amp;")")&amp;" "&amp;TRIM(J86)&amp;IF(G87="","",","))</f>
        <v/>
      </c>
      <c r="AW86" s="27"/>
      <c r="AY86" s="122" t="str">
        <f t="shared" si="29"/>
        <v/>
      </c>
    </row>
    <row r="87" spans="2:51" ht="12.75">
      <c r="B87" s="20" t="str">
        <f t="shared" si="31"/>
        <v/>
      </c>
      <c r="C87" s="5"/>
      <c r="D87" s="5"/>
      <c r="E87" s="5"/>
      <c r="G87" s="5" t="str">
        <f t="shared" si="20"/>
        <v/>
      </c>
      <c r="H87" s="117" t="str">
        <f t="shared" ref="H87:H115" si="33">IF(IFERROR(FIND("varchar",E87),0)&gt;0,IF(D87&gt;8000,"max",D87),"")</f>
        <v/>
      </c>
      <c r="I87" s="5" t="str">
        <f t="shared" si="21"/>
        <v/>
      </c>
      <c r="J87" s="5" t="str">
        <f t="shared" si="22"/>
        <v/>
      </c>
      <c r="K87" s="138"/>
      <c r="L87" s="5"/>
      <c r="M87" s="75"/>
      <c r="N87" s="77"/>
      <c r="O87" s="26"/>
      <c r="P87" s="26"/>
      <c r="Q87" s="118" t="str">
        <f t="shared" si="23"/>
        <v/>
      </c>
      <c r="R87" s="153"/>
      <c r="S87" s="138" t="str">
        <f t="shared" si="30"/>
        <v/>
      </c>
      <c r="T87" s="148"/>
      <c r="U87" s="146"/>
      <c r="V87" s="146"/>
      <c r="W87" s="139"/>
      <c r="X87" s="139"/>
      <c r="Y87" s="148"/>
      <c r="Z87" s="138" t="str">
        <f t="shared" si="25"/>
        <v/>
      </c>
      <c r="AA87" s="138" t="str">
        <f t="shared" si="32"/>
        <v/>
      </c>
      <c r="AB87" s="239"/>
      <c r="AC87" s="325"/>
      <c r="AD87" s="325"/>
      <c r="AE87" s="325"/>
      <c r="AF87" s="325"/>
      <c r="AG87" s="325"/>
      <c r="AH87" s="325"/>
      <c r="AI87" s="325"/>
      <c r="AJ87" s="325"/>
      <c r="AK87" s="325"/>
      <c r="AL87" s="325"/>
      <c r="AM87" s="325"/>
      <c r="AN87" s="325"/>
      <c r="AO87" s="325"/>
      <c r="AP87" s="136"/>
      <c r="AQ87" s="136"/>
      <c r="AR87" s="136" t="str">
        <f t="shared" si="26"/>
        <v/>
      </c>
      <c r="AS87" s="136" t="str">
        <f t="shared" si="27"/>
        <v/>
      </c>
      <c r="AT87" s="5" t="str">
        <f t="shared" si="28"/>
        <v/>
      </c>
      <c r="AV87" s="27" t="str">
        <f>IF(G87="","",+"          ["&amp;TRIM(G87)&amp;"] ["&amp;TRIM(I87)&amp;"]"&amp;IF(H87="","","("&amp;H87&amp;")")&amp;" "&amp;TRIM(J87)&amp;IF(G93="","",","))</f>
        <v/>
      </c>
      <c r="AW87" s="27"/>
      <c r="AY87" s="122" t="str">
        <f t="shared" si="29"/>
        <v/>
      </c>
    </row>
    <row r="88" spans="2:51" ht="12.75">
      <c r="B88" s="20" t="str">
        <f t="shared" si="31"/>
        <v/>
      </c>
      <c r="C88" s="5"/>
      <c r="D88" s="5"/>
      <c r="E88" s="5"/>
      <c r="G88" s="5" t="str">
        <f t="shared" si="20"/>
        <v/>
      </c>
      <c r="H88" s="117" t="str">
        <f t="shared" si="33"/>
        <v/>
      </c>
      <c r="I88" s="5" t="str">
        <f t="shared" si="21"/>
        <v/>
      </c>
      <c r="J88" s="5" t="str">
        <f t="shared" si="22"/>
        <v/>
      </c>
      <c r="K88" s="138"/>
      <c r="L88" s="5"/>
      <c r="M88" s="75"/>
      <c r="N88" s="77"/>
      <c r="O88" s="26"/>
      <c r="P88" s="26"/>
      <c r="Q88" s="118" t="str">
        <f t="shared" si="23"/>
        <v/>
      </c>
      <c r="R88" s="153"/>
      <c r="S88" s="138" t="str">
        <f t="shared" si="30"/>
        <v/>
      </c>
      <c r="T88" s="148"/>
      <c r="U88" s="146"/>
      <c r="V88" s="146"/>
      <c r="W88" s="139"/>
      <c r="X88" s="139"/>
      <c r="Y88" s="148"/>
      <c r="Z88" s="138" t="str">
        <f t="shared" si="25"/>
        <v/>
      </c>
      <c r="AA88" s="138" t="str">
        <f t="shared" si="32"/>
        <v/>
      </c>
      <c r="AB88" s="239"/>
      <c r="AC88" s="325"/>
      <c r="AD88" s="325"/>
      <c r="AE88" s="325"/>
      <c r="AF88" s="325"/>
      <c r="AG88" s="325"/>
      <c r="AH88" s="325"/>
      <c r="AI88" s="325"/>
      <c r="AJ88" s="325"/>
      <c r="AK88" s="325"/>
      <c r="AL88" s="325"/>
      <c r="AM88" s="325"/>
      <c r="AN88" s="325"/>
      <c r="AO88" s="325"/>
      <c r="AP88" s="136"/>
      <c r="AQ88" s="136"/>
      <c r="AR88" s="136" t="str">
        <f t="shared" si="26"/>
        <v/>
      </c>
      <c r="AS88" s="136" t="str">
        <f t="shared" si="27"/>
        <v/>
      </c>
      <c r="AT88" s="5" t="str">
        <f t="shared" si="28"/>
        <v/>
      </c>
      <c r="AV88" s="27" t="str">
        <f>IF(G88="","",+"          ["&amp;TRIM(G88)&amp;"] ["&amp;TRIM(I88)&amp;"]"&amp;IF(H88="","","("&amp;H88&amp;")")&amp;" "&amp;TRIM(J88)&amp;IF(G89="","",","))</f>
        <v/>
      </c>
      <c r="AW88" s="27"/>
      <c r="AY88" s="122" t="str">
        <f t="shared" si="29"/>
        <v/>
      </c>
    </row>
    <row r="89" spans="2:51" ht="12.75">
      <c r="B89" s="20" t="str">
        <f t="shared" si="31"/>
        <v/>
      </c>
      <c r="C89" s="5"/>
      <c r="D89" s="5"/>
      <c r="E89" s="5"/>
      <c r="G89" s="5" t="str">
        <f t="shared" si="20"/>
        <v/>
      </c>
      <c r="H89" s="117" t="str">
        <f t="shared" si="33"/>
        <v/>
      </c>
      <c r="I89" s="5" t="str">
        <f t="shared" si="21"/>
        <v/>
      </c>
      <c r="J89" s="5" t="str">
        <f t="shared" si="22"/>
        <v/>
      </c>
      <c r="K89" s="138"/>
      <c r="L89" s="5"/>
      <c r="M89" s="75"/>
      <c r="N89" s="77"/>
      <c r="O89" s="26"/>
      <c r="P89" s="26"/>
      <c r="Q89" s="118" t="str">
        <f t="shared" si="23"/>
        <v/>
      </c>
      <c r="R89" s="153"/>
      <c r="S89" s="138" t="str">
        <f t="shared" si="30"/>
        <v/>
      </c>
      <c r="T89" s="148"/>
      <c r="U89" s="146"/>
      <c r="V89" s="146"/>
      <c r="W89" s="139"/>
      <c r="X89" s="139"/>
      <c r="Y89" s="148"/>
      <c r="Z89" s="138" t="str">
        <f t="shared" si="25"/>
        <v/>
      </c>
      <c r="AA89" s="138" t="str">
        <f t="shared" si="32"/>
        <v/>
      </c>
      <c r="AB89" s="239"/>
      <c r="AC89" s="325"/>
      <c r="AD89" s="325"/>
      <c r="AE89" s="325"/>
      <c r="AF89" s="325"/>
      <c r="AG89" s="325"/>
      <c r="AH89" s="325"/>
      <c r="AI89" s="325"/>
      <c r="AJ89" s="325"/>
      <c r="AK89" s="325"/>
      <c r="AL89" s="325"/>
      <c r="AM89" s="325"/>
      <c r="AN89" s="325"/>
      <c r="AO89" s="325"/>
      <c r="AP89" s="136"/>
      <c r="AQ89" s="136"/>
      <c r="AR89" s="136" t="str">
        <f t="shared" si="26"/>
        <v/>
      </c>
      <c r="AS89" s="136" t="str">
        <f t="shared" si="27"/>
        <v/>
      </c>
      <c r="AT89" s="5" t="str">
        <f t="shared" si="28"/>
        <v/>
      </c>
      <c r="AV89" s="27" t="str">
        <f>IF(G89="","",+"          ["&amp;TRIM(G89)&amp;"] ["&amp;TRIM(I89)&amp;"]"&amp;IF(H89="","","("&amp;H89&amp;")")&amp;" "&amp;TRIM(J89)&amp;IF(G92="","",","))</f>
        <v/>
      </c>
      <c r="AW89" s="27"/>
      <c r="AY89" s="122" t="str">
        <f t="shared" si="29"/>
        <v/>
      </c>
    </row>
    <row r="90" spans="2:51" ht="12.75">
      <c r="B90" s="20" t="str">
        <f t="shared" si="31"/>
        <v/>
      </c>
      <c r="C90" s="5"/>
      <c r="D90" s="5"/>
      <c r="E90" s="5"/>
      <c r="G90" s="5" t="str">
        <f t="shared" si="20"/>
        <v/>
      </c>
      <c r="H90" s="117" t="str">
        <f t="shared" si="33"/>
        <v/>
      </c>
      <c r="I90" s="5" t="str">
        <f t="shared" si="21"/>
        <v/>
      </c>
      <c r="J90" s="5" t="str">
        <f t="shared" si="22"/>
        <v/>
      </c>
      <c r="K90" s="138"/>
      <c r="L90" s="5"/>
      <c r="M90" s="75"/>
      <c r="N90" s="77"/>
      <c r="O90" s="26"/>
      <c r="P90" s="26"/>
      <c r="Q90" s="118" t="str">
        <f t="shared" si="23"/>
        <v/>
      </c>
      <c r="R90" s="153"/>
      <c r="S90" s="138" t="str">
        <f t="shared" si="30"/>
        <v/>
      </c>
      <c r="T90" s="148"/>
      <c r="U90" s="146"/>
      <c r="V90" s="146"/>
      <c r="W90" s="139"/>
      <c r="X90" s="139"/>
      <c r="Y90" s="148"/>
      <c r="Z90" s="138" t="str">
        <f t="shared" si="25"/>
        <v/>
      </c>
      <c r="AA90" s="138" t="str">
        <f t="shared" si="32"/>
        <v/>
      </c>
      <c r="AB90" s="239"/>
      <c r="AC90" s="325"/>
      <c r="AD90" s="325"/>
      <c r="AE90" s="325"/>
      <c r="AF90" s="325"/>
      <c r="AG90" s="325"/>
      <c r="AH90" s="325"/>
      <c r="AI90" s="325"/>
      <c r="AJ90" s="325"/>
      <c r="AK90" s="325"/>
      <c r="AL90" s="325"/>
      <c r="AM90" s="325"/>
      <c r="AN90" s="325"/>
      <c r="AO90" s="325"/>
      <c r="AP90" s="136"/>
      <c r="AQ90" s="136"/>
      <c r="AR90" s="136" t="str">
        <f t="shared" si="26"/>
        <v/>
      </c>
      <c r="AS90" s="136" t="str">
        <f t="shared" si="27"/>
        <v/>
      </c>
      <c r="AT90" s="5" t="str">
        <f t="shared" si="28"/>
        <v/>
      </c>
      <c r="AV90" s="27" t="str">
        <f t="shared" ref="AV90:AV95" si="34">IF(G90="","",+"          ["&amp;TRIM(G90)&amp;"] ["&amp;TRIM(I90)&amp;"]"&amp;IF(H90="","","("&amp;H90&amp;")")&amp;" "&amp;TRIM(J90)&amp;IF(G91="","",","))</f>
        <v/>
      </c>
      <c r="AW90" s="27"/>
      <c r="AY90" s="122" t="str">
        <f t="shared" si="29"/>
        <v/>
      </c>
    </row>
    <row r="91" spans="2:51" ht="12.75">
      <c r="B91" s="20" t="str">
        <f t="shared" si="31"/>
        <v/>
      </c>
      <c r="C91" s="5"/>
      <c r="D91" s="5"/>
      <c r="E91" s="5"/>
      <c r="G91" s="5" t="str">
        <f t="shared" si="20"/>
        <v/>
      </c>
      <c r="H91" s="117" t="str">
        <f t="shared" si="33"/>
        <v/>
      </c>
      <c r="I91" s="5" t="str">
        <f t="shared" si="21"/>
        <v/>
      </c>
      <c r="J91" s="5" t="str">
        <f t="shared" si="22"/>
        <v/>
      </c>
      <c r="K91" s="138"/>
      <c r="L91" s="5"/>
      <c r="M91" s="75"/>
      <c r="N91" s="77"/>
      <c r="O91" s="26"/>
      <c r="P91" s="26"/>
      <c r="Q91" s="118" t="str">
        <f t="shared" si="23"/>
        <v/>
      </c>
      <c r="R91" s="153"/>
      <c r="S91" s="138" t="str">
        <f t="shared" si="30"/>
        <v/>
      </c>
      <c r="T91" s="148"/>
      <c r="U91" s="146"/>
      <c r="V91" s="146"/>
      <c r="W91" s="139"/>
      <c r="X91" s="139"/>
      <c r="Y91" s="148"/>
      <c r="Z91" s="138" t="str">
        <f t="shared" si="25"/>
        <v/>
      </c>
      <c r="AA91" s="138" t="str">
        <f t="shared" si="32"/>
        <v/>
      </c>
      <c r="AB91" s="239"/>
      <c r="AC91" s="325"/>
      <c r="AD91" s="325"/>
      <c r="AE91" s="325"/>
      <c r="AF91" s="325"/>
      <c r="AG91" s="325"/>
      <c r="AH91" s="325"/>
      <c r="AI91" s="325"/>
      <c r="AJ91" s="325"/>
      <c r="AK91" s="325"/>
      <c r="AL91" s="325"/>
      <c r="AM91" s="325"/>
      <c r="AN91" s="325"/>
      <c r="AO91" s="325"/>
      <c r="AP91" s="136"/>
      <c r="AQ91" s="136"/>
      <c r="AR91" s="136" t="str">
        <f t="shared" si="26"/>
        <v/>
      </c>
      <c r="AS91" s="136" t="str">
        <f t="shared" si="27"/>
        <v/>
      </c>
      <c r="AT91" s="5" t="str">
        <f t="shared" si="28"/>
        <v/>
      </c>
      <c r="AV91" s="27" t="str">
        <f t="shared" si="34"/>
        <v/>
      </c>
      <c r="AW91" s="27"/>
      <c r="AY91" s="122" t="str">
        <f t="shared" si="29"/>
        <v/>
      </c>
    </row>
    <row r="92" spans="2:51" ht="12.75">
      <c r="B92" s="20" t="str">
        <f t="shared" si="31"/>
        <v/>
      </c>
      <c r="C92" s="5"/>
      <c r="D92" s="5"/>
      <c r="E92" s="5"/>
      <c r="G92" s="5" t="str">
        <f t="shared" si="20"/>
        <v/>
      </c>
      <c r="H92" s="117" t="str">
        <f t="shared" si="33"/>
        <v/>
      </c>
      <c r="I92" s="5" t="str">
        <f t="shared" si="21"/>
        <v/>
      </c>
      <c r="J92" s="5" t="str">
        <f t="shared" si="22"/>
        <v/>
      </c>
      <c r="K92" s="138"/>
      <c r="L92" s="5"/>
      <c r="M92" s="75"/>
      <c r="N92" s="77"/>
      <c r="O92" s="26"/>
      <c r="P92" s="26"/>
      <c r="Q92" s="118" t="str">
        <f t="shared" si="23"/>
        <v/>
      </c>
      <c r="R92" s="153"/>
      <c r="S92" s="138" t="str">
        <f t="shared" si="30"/>
        <v/>
      </c>
      <c r="T92" s="148"/>
      <c r="U92" s="146"/>
      <c r="V92" s="146"/>
      <c r="W92" s="139"/>
      <c r="X92" s="139"/>
      <c r="Y92" s="148"/>
      <c r="Z92" s="138" t="str">
        <f t="shared" si="25"/>
        <v/>
      </c>
      <c r="AA92" s="138" t="str">
        <f t="shared" si="32"/>
        <v/>
      </c>
      <c r="AB92" s="239"/>
      <c r="AC92" s="325"/>
      <c r="AD92" s="325"/>
      <c r="AE92" s="325"/>
      <c r="AF92" s="325"/>
      <c r="AG92" s="325"/>
      <c r="AH92" s="325"/>
      <c r="AI92" s="325"/>
      <c r="AJ92" s="325"/>
      <c r="AK92" s="325"/>
      <c r="AL92" s="325"/>
      <c r="AM92" s="325"/>
      <c r="AN92" s="325"/>
      <c r="AO92" s="325"/>
      <c r="AP92" s="136"/>
      <c r="AQ92" s="136"/>
      <c r="AR92" s="136" t="str">
        <f t="shared" si="26"/>
        <v/>
      </c>
      <c r="AS92" s="136" t="str">
        <f t="shared" si="27"/>
        <v/>
      </c>
      <c r="AT92" s="5" t="str">
        <f t="shared" si="28"/>
        <v/>
      </c>
      <c r="AV92" s="27" t="str">
        <f t="shared" si="34"/>
        <v/>
      </c>
      <c r="AW92" s="27"/>
      <c r="AY92" s="122" t="str">
        <f t="shared" si="29"/>
        <v/>
      </c>
    </row>
    <row r="93" spans="2:51" ht="12.75">
      <c r="B93" s="20" t="str">
        <f t="shared" si="31"/>
        <v/>
      </c>
      <c r="C93" s="5"/>
      <c r="D93" s="5"/>
      <c r="E93" s="5"/>
      <c r="G93" s="5" t="str">
        <f t="shared" si="20"/>
        <v/>
      </c>
      <c r="H93" s="117" t="str">
        <f t="shared" si="33"/>
        <v/>
      </c>
      <c r="I93" s="5" t="str">
        <f t="shared" si="21"/>
        <v/>
      </c>
      <c r="J93" s="5" t="str">
        <f t="shared" si="22"/>
        <v/>
      </c>
      <c r="K93" s="138"/>
      <c r="L93" s="5"/>
      <c r="M93" s="75"/>
      <c r="N93" s="77"/>
      <c r="O93" s="26"/>
      <c r="P93" s="26"/>
      <c r="Q93" s="118" t="str">
        <f t="shared" si="23"/>
        <v/>
      </c>
      <c r="R93" s="153"/>
      <c r="S93" s="138" t="str">
        <f t="shared" si="30"/>
        <v/>
      </c>
      <c r="T93" s="148"/>
      <c r="U93" s="146"/>
      <c r="V93" s="146"/>
      <c r="W93" s="139"/>
      <c r="X93" s="139"/>
      <c r="Y93" s="148"/>
      <c r="Z93" s="138" t="str">
        <f t="shared" si="25"/>
        <v/>
      </c>
      <c r="AA93" s="138" t="str">
        <f t="shared" si="32"/>
        <v/>
      </c>
      <c r="AB93" s="239"/>
      <c r="AC93" s="325"/>
      <c r="AD93" s="325"/>
      <c r="AE93" s="325"/>
      <c r="AF93" s="325"/>
      <c r="AG93" s="325"/>
      <c r="AH93" s="325"/>
      <c r="AI93" s="325"/>
      <c r="AJ93" s="325"/>
      <c r="AK93" s="325"/>
      <c r="AL93" s="325"/>
      <c r="AM93" s="325"/>
      <c r="AN93" s="325"/>
      <c r="AO93" s="325"/>
      <c r="AP93" s="136"/>
      <c r="AQ93" s="136"/>
      <c r="AR93" s="136" t="str">
        <f t="shared" si="26"/>
        <v/>
      </c>
      <c r="AS93" s="136" t="str">
        <f t="shared" si="27"/>
        <v/>
      </c>
      <c r="AT93" s="5" t="str">
        <f t="shared" si="28"/>
        <v/>
      </c>
      <c r="AV93" s="27" t="str">
        <f t="shared" si="34"/>
        <v/>
      </c>
      <c r="AW93" s="27"/>
      <c r="AY93" s="122" t="str">
        <f t="shared" si="29"/>
        <v/>
      </c>
    </row>
    <row r="94" spans="2:51" ht="12.75">
      <c r="B94" s="20" t="str">
        <f t="shared" si="31"/>
        <v/>
      </c>
      <c r="C94" s="5"/>
      <c r="D94" s="5"/>
      <c r="E94" s="5"/>
      <c r="G94" s="5" t="str">
        <f>SUBSTITUTE(SUBSTITUTE(SUBSTITUTE(SUBSTITUTE(SUBSTITUTE(SUBSTITUTE(SUBSTITUTE(SUBSTITUTE(SUBSTITUTE(C94," ",""),".",""),"#","No"),"%",""),"(",""),"*",""),"-",""),"/",""),")","")</f>
        <v/>
      </c>
      <c r="H94" s="117" t="str">
        <f t="shared" si="33"/>
        <v/>
      </c>
      <c r="I94" s="5" t="str">
        <f>IF(E94=0,"",+E94)</f>
        <v/>
      </c>
      <c r="J94" s="5" t="str">
        <f>IF(C94=0,"",(IF(ISERROR(VLOOKUP(G94,$D$120:$D$127,1,FALSE)),""," NOT")&amp;" NULL"))</f>
        <v/>
      </c>
      <c r="K94" s="138"/>
      <c r="L94" s="5"/>
      <c r="M94" s="75"/>
      <c r="N94" s="77"/>
      <c r="O94" s="26"/>
      <c r="P94" s="26"/>
      <c r="Q94" s="118" t="str">
        <f>IF(M94=0,"",ROW())</f>
        <v/>
      </c>
      <c r="R94" s="153"/>
      <c r="S94" s="138" t="str">
        <f t="shared" si="30"/>
        <v/>
      </c>
      <c r="T94" s="148"/>
      <c r="U94" s="146"/>
      <c r="V94" s="146"/>
      <c r="W94" s="139"/>
      <c r="X94" s="139"/>
      <c r="Y94" s="148"/>
      <c r="Z94" s="138" t="str">
        <f t="shared" si="25"/>
        <v/>
      </c>
      <c r="AA94" s="138" t="str">
        <f t="shared" si="32"/>
        <v/>
      </c>
      <c r="AB94" s="239"/>
      <c r="AC94" s="325"/>
      <c r="AD94" s="325"/>
      <c r="AE94" s="325"/>
      <c r="AF94" s="325"/>
      <c r="AG94" s="325"/>
      <c r="AH94" s="325"/>
      <c r="AI94" s="325"/>
      <c r="AJ94" s="325"/>
      <c r="AK94" s="325"/>
      <c r="AL94" s="325"/>
      <c r="AM94" s="325"/>
      <c r="AN94" s="325"/>
      <c r="AO94" s="325"/>
      <c r="AP94" s="136"/>
      <c r="AQ94" s="136"/>
      <c r="AR94" s="136" t="str">
        <f t="shared" si="26"/>
        <v/>
      </c>
      <c r="AS94" s="136" t="str">
        <f t="shared" si="27"/>
        <v/>
      </c>
      <c r="AT94" s="5" t="str">
        <f t="shared" si="28"/>
        <v/>
      </c>
      <c r="AV94" s="27" t="str">
        <f t="shared" si="34"/>
        <v/>
      </c>
      <c r="AW94" s="27"/>
      <c r="AY94" s="122" t="str">
        <f t="shared" si="29"/>
        <v/>
      </c>
    </row>
    <row r="95" spans="2:51" ht="12.75">
      <c r="B95" s="20" t="str">
        <f t="shared" si="31"/>
        <v/>
      </c>
      <c r="C95" s="5"/>
      <c r="D95" s="5"/>
      <c r="E95" s="5"/>
      <c r="G95" s="5" t="str">
        <f>SUBSTITUTE(SUBSTITUTE(SUBSTITUTE(SUBSTITUTE(SUBSTITUTE(SUBSTITUTE(SUBSTITUTE(SUBSTITUTE(SUBSTITUTE(C95," ",""),".",""),"#","No"),"%",""),"(",""),"*",""),"-",""),"/",""),")","")</f>
        <v/>
      </c>
      <c r="H95" s="117" t="str">
        <f t="shared" si="33"/>
        <v/>
      </c>
      <c r="I95" s="5" t="str">
        <f>IF(E95=0,"",+E95)</f>
        <v/>
      </c>
      <c r="J95" s="5" t="str">
        <f>IF(C95=0,"",(IF(ISERROR(VLOOKUP(G95,$D$120:$D$127,1,FALSE)),""," NOT")&amp;" NULL"))</f>
        <v/>
      </c>
      <c r="K95" s="138"/>
      <c r="L95" s="5"/>
      <c r="M95" s="75"/>
      <c r="N95" s="77"/>
      <c r="O95" s="26"/>
      <c r="P95" s="26"/>
      <c r="Q95" s="118" t="str">
        <f>IF(M95=0,"",ROW())</f>
        <v/>
      </c>
      <c r="R95" s="153"/>
      <c r="S95" s="138" t="str">
        <f t="shared" si="30"/>
        <v/>
      </c>
      <c r="T95" s="148"/>
      <c r="U95" s="146"/>
      <c r="V95" s="146"/>
      <c r="W95" s="139"/>
      <c r="X95" s="139"/>
      <c r="Y95" s="148"/>
      <c r="Z95" s="138" t="str">
        <f t="shared" si="25"/>
        <v/>
      </c>
      <c r="AA95" s="138" t="str">
        <f t="shared" si="32"/>
        <v/>
      </c>
      <c r="AB95" s="239"/>
      <c r="AC95" s="325"/>
      <c r="AD95" s="325"/>
      <c r="AE95" s="325"/>
      <c r="AF95" s="325"/>
      <c r="AG95" s="325"/>
      <c r="AH95" s="325"/>
      <c r="AI95" s="325"/>
      <c r="AJ95" s="325"/>
      <c r="AK95" s="325"/>
      <c r="AL95" s="325"/>
      <c r="AM95" s="325"/>
      <c r="AN95" s="325"/>
      <c r="AO95" s="325"/>
      <c r="AP95" s="136"/>
      <c r="AQ95" s="136"/>
      <c r="AR95" s="136" t="str">
        <f t="shared" si="26"/>
        <v/>
      </c>
      <c r="AS95" s="136" t="str">
        <f t="shared" si="27"/>
        <v/>
      </c>
      <c r="AT95" s="5" t="str">
        <f t="shared" si="28"/>
        <v/>
      </c>
      <c r="AV95" s="27" t="str">
        <f t="shared" si="34"/>
        <v/>
      </c>
      <c r="AW95" s="27"/>
      <c r="AY95" s="122" t="str">
        <f t="shared" si="29"/>
        <v/>
      </c>
    </row>
    <row r="96" spans="2:51" ht="12.75">
      <c r="B96" s="20" t="str">
        <f t="shared" si="31"/>
        <v/>
      </c>
      <c r="C96" s="5"/>
      <c r="D96" s="5"/>
      <c r="E96" s="5"/>
      <c r="G96" s="5" t="str">
        <f>SUBSTITUTE(SUBSTITUTE(SUBSTITUTE(SUBSTITUTE(SUBSTITUTE(SUBSTITUTE(SUBSTITUTE(SUBSTITUTE(SUBSTITUTE(C96," ",""),".",""),"#","No"),"%",""),"(",""),"*",""),"-",""),"/",""),")","")</f>
        <v/>
      </c>
      <c r="H96" s="117" t="str">
        <f t="shared" si="33"/>
        <v/>
      </c>
      <c r="I96" s="5" t="str">
        <f>IF(E96=0,"",+E96)</f>
        <v/>
      </c>
      <c r="J96" s="5" t="str">
        <f>IF(C96=0,"",(IF(ISERROR(VLOOKUP(G96,$D$120:$D$127,1,FALSE)),""," NOT")&amp;" NULL"))</f>
        <v/>
      </c>
      <c r="K96" s="138"/>
      <c r="L96" s="5"/>
      <c r="M96" s="75"/>
      <c r="N96" s="77"/>
      <c r="O96" s="26"/>
      <c r="P96" s="26"/>
      <c r="Q96" s="118" t="str">
        <f>IF(M96=0,"",ROW())</f>
        <v/>
      </c>
      <c r="R96" s="153"/>
      <c r="S96" s="138" t="str">
        <f t="shared" si="30"/>
        <v/>
      </c>
      <c r="T96" s="148"/>
      <c r="U96" s="146"/>
      <c r="V96" s="146"/>
      <c r="W96" s="139"/>
      <c r="X96" s="139"/>
      <c r="Y96" s="148"/>
      <c r="Z96" s="138" t="str">
        <f t="shared" si="25"/>
        <v/>
      </c>
      <c r="AA96" s="138" t="str">
        <f t="shared" si="32"/>
        <v/>
      </c>
      <c r="AB96" s="239"/>
      <c r="AC96" s="325"/>
      <c r="AD96" s="325"/>
      <c r="AE96" s="325"/>
      <c r="AF96" s="325"/>
      <c r="AG96" s="325"/>
      <c r="AH96" s="325"/>
      <c r="AI96" s="325"/>
      <c r="AJ96" s="325"/>
      <c r="AK96" s="325"/>
      <c r="AL96" s="325"/>
      <c r="AM96" s="325"/>
      <c r="AN96" s="325"/>
      <c r="AO96" s="325"/>
      <c r="AP96" s="136"/>
      <c r="AQ96" s="136"/>
      <c r="AR96" s="136" t="str">
        <f t="shared" si="26"/>
        <v/>
      </c>
      <c r="AS96" s="136" t="str">
        <f t="shared" si="27"/>
        <v/>
      </c>
      <c r="AT96" s="5" t="str">
        <f t="shared" si="28"/>
        <v/>
      </c>
      <c r="AV96" s="27" t="str">
        <f>IF(G96="","",+"          ["&amp;TRIM(G96)&amp;"] ["&amp;TRIM(I96)&amp;"]"&amp;IF(H96="","","("&amp;H96&amp;")")&amp;" "&amp;TRIM(J96)&amp;IF(G108="","",","))</f>
        <v/>
      </c>
      <c r="AW96" s="27"/>
      <c r="AY96" s="122" t="str">
        <f t="shared" si="29"/>
        <v/>
      </c>
    </row>
    <row r="97" spans="2:51" ht="12.75">
      <c r="B97" s="20" t="str">
        <f t="shared" si="31"/>
        <v/>
      </c>
      <c r="C97" s="5"/>
      <c r="D97" s="5"/>
      <c r="E97" s="5"/>
      <c r="G97" s="5" t="str">
        <f t="shared" ref="G97:G115" si="35">SUBSTITUTE(SUBSTITUTE(SUBSTITUTE(SUBSTITUTE(SUBSTITUTE(SUBSTITUTE(SUBSTITUTE(SUBSTITUTE(SUBSTITUTE(C97," ",""),".",""),"#","No"),"%",""),"(",""),"*",""),"-",""),"/",""),")","")</f>
        <v/>
      </c>
      <c r="H97" s="117" t="str">
        <f t="shared" si="33"/>
        <v/>
      </c>
      <c r="I97" s="5" t="str">
        <f t="shared" ref="I97:I115" si="36">IF(E97=0,"",+E97)</f>
        <v/>
      </c>
      <c r="J97" s="5" t="str">
        <f t="shared" ref="J97:J115" si="37">IF(C97=0,"",(IF(ISERROR(VLOOKUP(G97,$D$120:$D$127,1,FALSE)),""," NOT")&amp;" NULL"))</f>
        <v/>
      </c>
      <c r="K97" s="138"/>
      <c r="L97" s="5"/>
      <c r="M97" s="75"/>
      <c r="N97" s="77"/>
      <c r="O97" s="26"/>
      <c r="P97" s="26"/>
      <c r="Q97" s="118" t="str">
        <f t="shared" ref="Q97:Q115" si="38">IF(M97=0,"",ROW())</f>
        <v/>
      </c>
      <c r="R97" s="153"/>
      <c r="S97" s="138" t="str">
        <f t="shared" si="30"/>
        <v/>
      </c>
      <c r="T97" s="148"/>
      <c r="U97" s="146"/>
      <c r="V97" s="146"/>
      <c r="W97" s="139"/>
      <c r="X97" s="139"/>
      <c r="Y97" s="148"/>
      <c r="Z97" s="138" t="str">
        <f t="shared" si="25"/>
        <v/>
      </c>
      <c r="AA97" s="138" t="str">
        <f t="shared" si="32"/>
        <v/>
      </c>
      <c r="AB97" s="239"/>
      <c r="AC97" s="325"/>
      <c r="AD97" s="325"/>
      <c r="AE97" s="325"/>
      <c r="AF97" s="325"/>
      <c r="AG97" s="325"/>
      <c r="AH97" s="325"/>
      <c r="AI97" s="325"/>
      <c r="AJ97" s="325"/>
      <c r="AK97" s="325"/>
      <c r="AL97" s="325"/>
      <c r="AM97" s="325"/>
      <c r="AN97" s="325"/>
      <c r="AO97" s="325"/>
      <c r="AP97" s="136"/>
      <c r="AQ97" s="136"/>
      <c r="AR97" s="136" t="str">
        <f t="shared" si="26"/>
        <v/>
      </c>
      <c r="AS97" s="136" t="str">
        <f t="shared" si="27"/>
        <v/>
      </c>
      <c r="AT97" s="5" t="str">
        <f t="shared" si="28"/>
        <v/>
      </c>
      <c r="AV97" s="27" t="str">
        <f>IF(G97="","",+"          ["&amp;TRIM(G97)&amp;"] ["&amp;TRIM(I97)&amp;"]"&amp;IF(H97="","","("&amp;H97&amp;")")&amp;" "&amp;TRIM(J97)&amp;IF(G98="","",","))</f>
        <v/>
      </c>
      <c r="AW97" s="27"/>
      <c r="AY97" s="122" t="str">
        <f t="shared" si="29"/>
        <v/>
      </c>
    </row>
    <row r="98" spans="2:51" ht="12.75">
      <c r="B98" s="20" t="str">
        <f t="shared" si="31"/>
        <v/>
      </c>
      <c r="C98" s="5"/>
      <c r="D98" s="5"/>
      <c r="E98" s="5"/>
      <c r="G98" s="5" t="str">
        <f t="shared" si="35"/>
        <v/>
      </c>
      <c r="H98" s="117" t="str">
        <f t="shared" si="33"/>
        <v/>
      </c>
      <c r="I98" s="5" t="str">
        <f t="shared" si="36"/>
        <v/>
      </c>
      <c r="J98" s="5" t="str">
        <f t="shared" si="37"/>
        <v/>
      </c>
      <c r="K98" s="138"/>
      <c r="L98" s="5"/>
      <c r="M98" s="75"/>
      <c r="N98" s="77"/>
      <c r="O98" s="26"/>
      <c r="P98" s="26"/>
      <c r="Q98" s="118" t="str">
        <f t="shared" si="38"/>
        <v/>
      </c>
      <c r="R98" s="153"/>
      <c r="S98" s="138" t="str">
        <f t="shared" si="30"/>
        <v/>
      </c>
      <c r="T98" s="148"/>
      <c r="U98" s="146"/>
      <c r="V98" s="146"/>
      <c r="W98" s="139"/>
      <c r="X98" s="139"/>
      <c r="Y98" s="148"/>
      <c r="Z98" s="138" t="str">
        <f t="shared" si="25"/>
        <v/>
      </c>
      <c r="AA98" s="138" t="str">
        <f t="shared" si="32"/>
        <v/>
      </c>
      <c r="AB98" s="239"/>
      <c r="AC98" s="325"/>
      <c r="AD98" s="325"/>
      <c r="AE98" s="325"/>
      <c r="AF98" s="325"/>
      <c r="AG98" s="325"/>
      <c r="AH98" s="325"/>
      <c r="AI98" s="325"/>
      <c r="AJ98" s="325"/>
      <c r="AK98" s="325"/>
      <c r="AL98" s="325"/>
      <c r="AM98" s="325"/>
      <c r="AN98" s="325"/>
      <c r="AO98" s="325"/>
      <c r="AP98" s="136"/>
      <c r="AQ98" s="136"/>
      <c r="AR98" s="136" t="str">
        <f t="shared" si="26"/>
        <v/>
      </c>
      <c r="AS98" s="136" t="str">
        <f t="shared" si="27"/>
        <v/>
      </c>
      <c r="AT98" s="5" t="str">
        <f t="shared" si="28"/>
        <v/>
      </c>
      <c r="AV98" s="27" t="str">
        <f>IF(G98="","",+"          ["&amp;TRIM(G98)&amp;"] ["&amp;TRIM(I98)&amp;"]"&amp;IF(H98="","","("&amp;H98&amp;")")&amp;" "&amp;TRIM(J98)&amp;IF(G107="","",","))</f>
        <v/>
      </c>
      <c r="AW98" s="27"/>
      <c r="AY98" s="122" t="str">
        <f t="shared" si="29"/>
        <v/>
      </c>
    </row>
    <row r="99" spans="2:51" ht="12.75">
      <c r="B99" s="20" t="str">
        <f t="shared" si="31"/>
        <v/>
      </c>
      <c r="C99" s="5"/>
      <c r="D99" s="5"/>
      <c r="E99" s="5"/>
      <c r="G99" s="5" t="str">
        <f t="shared" si="35"/>
        <v/>
      </c>
      <c r="H99" s="117" t="str">
        <f t="shared" si="33"/>
        <v/>
      </c>
      <c r="I99" s="5" t="str">
        <f t="shared" si="36"/>
        <v/>
      </c>
      <c r="J99" s="5" t="str">
        <f t="shared" si="37"/>
        <v/>
      </c>
      <c r="K99" s="138"/>
      <c r="L99" s="5"/>
      <c r="M99" s="75"/>
      <c r="N99" s="77"/>
      <c r="O99" s="26"/>
      <c r="P99" s="26"/>
      <c r="Q99" s="118" t="str">
        <f t="shared" si="38"/>
        <v/>
      </c>
      <c r="R99" s="153"/>
      <c r="S99" s="138" t="str">
        <f t="shared" si="30"/>
        <v/>
      </c>
      <c r="T99" s="148"/>
      <c r="U99" s="146"/>
      <c r="V99" s="146"/>
      <c r="W99" s="139"/>
      <c r="X99" s="139"/>
      <c r="Y99" s="148"/>
      <c r="Z99" s="138" t="str">
        <f t="shared" si="25"/>
        <v/>
      </c>
      <c r="AA99" s="138" t="str">
        <f t="shared" si="32"/>
        <v/>
      </c>
      <c r="AB99" s="239"/>
      <c r="AC99" s="325"/>
      <c r="AD99" s="325"/>
      <c r="AE99" s="325"/>
      <c r="AF99" s="325"/>
      <c r="AG99" s="325"/>
      <c r="AH99" s="325"/>
      <c r="AI99" s="325"/>
      <c r="AJ99" s="325"/>
      <c r="AK99" s="325"/>
      <c r="AL99" s="325"/>
      <c r="AM99" s="325"/>
      <c r="AN99" s="325"/>
      <c r="AO99" s="325"/>
      <c r="AP99" s="136"/>
      <c r="AQ99" s="136"/>
      <c r="AR99" s="136" t="str">
        <f t="shared" si="26"/>
        <v/>
      </c>
      <c r="AS99" s="136" t="str">
        <f t="shared" si="27"/>
        <v/>
      </c>
      <c r="AT99" s="5" t="str">
        <f t="shared" si="28"/>
        <v/>
      </c>
      <c r="AV99" s="27" t="str">
        <f>IF(G99="","",+"          ["&amp;TRIM(G99)&amp;"] ["&amp;TRIM(I99)&amp;"]"&amp;IF(H99="","","("&amp;H99&amp;")")&amp;" "&amp;TRIM(J99)&amp;IF(G106="","",","))</f>
        <v/>
      </c>
      <c r="AW99" s="27"/>
      <c r="AY99" s="122" t="str">
        <f t="shared" si="29"/>
        <v/>
      </c>
    </row>
    <row r="100" spans="2:51" ht="12.75">
      <c r="B100" s="20" t="str">
        <f t="shared" si="31"/>
        <v/>
      </c>
      <c r="C100" s="5"/>
      <c r="D100" s="5"/>
      <c r="E100" s="5"/>
      <c r="G100" s="5" t="str">
        <f t="shared" si="35"/>
        <v/>
      </c>
      <c r="H100" s="117" t="str">
        <f t="shared" si="33"/>
        <v/>
      </c>
      <c r="I100" s="5" t="str">
        <f t="shared" si="36"/>
        <v/>
      </c>
      <c r="J100" s="5" t="str">
        <f t="shared" si="37"/>
        <v/>
      </c>
      <c r="K100" s="138"/>
      <c r="L100" s="5"/>
      <c r="M100" s="75"/>
      <c r="N100" s="77"/>
      <c r="O100" s="26"/>
      <c r="P100" s="26"/>
      <c r="Q100" s="118" t="str">
        <f t="shared" si="38"/>
        <v/>
      </c>
      <c r="R100" s="153"/>
      <c r="S100" s="138" t="str">
        <f t="shared" si="30"/>
        <v/>
      </c>
      <c r="T100" s="148"/>
      <c r="U100" s="146"/>
      <c r="V100" s="146"/>
      <c r="W100" s="139"/>
      <c r="X100" s="139"/>
      <c r="Y100" s="148"/>
      <c r="Z100" s="138" t="str">
        <f t="shared" si="25"/>
        <v/>
      </c>
      <c r="AA100" s="138" t="str">
        <f t="shared" si="32"/>
        <v/>
      </c>
      <c r="AB100" s="239"/>
      <c r="AC100" s="325"/>
      <c r="AD100" s="325"/>
      <c r="AE100" s="325"/>
      <c r="AF100" s="325"/>
      <c r="AG100" s="325"/>
      <c r="AH100" s="325"/>
      <c r="AI100" s="325"/>
      <c r="AJ100" s="325"/>
      <c r="AK100" s="325"/>
      <c r="AL100" s="325"/>
      <c r="AM100" s="325"/>
      <c r="AN100" s="325"/>
      <c r="AO100" s="325"/>
      <c r="AP100" s="136"/>
      <c r="AQ100" s="136"/>
      <c r="AR100" s="136" t="str">
        <f t="shared" si="26"/>
        <v/>
      </c>
      <c r="AS100" s="136" t="str">
        <f t="shared" si="27"/>
        <v/>
      </c>
      <c r="AT100" s="5" t="str">
        <f t="shared" si="28"/>
        <v/>
      </c>
      <c r="AV100" s="27" t="str">
        <f>IF(G100="","",+"          ["&amp;TRIM(G100)&amp;"] ["&amp;TRIM(I100)&amp;"]"&amp;IF(H100="","","("&amp;H100&amp;")")&amp;" "&amp;TRIM(J100)&amp;IF(G101="","",","))</f>
        <v/>
      </c>
      <c r="AW100" s="27"/>
      <c r="AY100" s="122" t="str">
        <f t="shared" si="29"/>
        <v/>
      </c>
    </row>
    <row r="101" spans="2:51" ht="12.75">
      <c r="B101" s="20" t="str">
        <f t="shared" si="31"/>
        <v/>
      </c>
      <c r="C101" s="5"/>
      <c r="D101" s="5"/>
      <c r="E101" s="5"/>
      <c r="G101" s="5" t="str">
        <f t="shared" si="35"/>
        <v/>
      </c>
      <c r="H101" s="117" t="str">
        <f t="shared" si="33"/>
        <v/>
      </c>
      <c r="I101" s="5" t="str">
        <f t="shared" si="36"/>
        <v/>
      </c>
      <c r="J101" s="5" t="str">
        <f t="shared" si="37"/>
        <v/>
      </c>
      <c r="K101" s="138"/>
      <c r="L101" s="5"/>
      <c r="M101" s="75"/>
      <c r="N101" s="77"/>
      <c r="O101" s="26"/>
      <c r="P101" s="26"/>
      <c r="Q101" s="118" t="str">
        <f t="shared" si="38"/>
        <v/>
      </c>
      <c r="R101" s="153"/>
      <c r="S101" s="138" t="str">
        <f t="shared" si="30"/>
        <v/>
      </c>
      <c r="T101" s="148"/>
      <c r="U101" s="146"/>
      <c r="V101" s="146"/>
      <c r="W101" s="139"/>
      <c r="X101" s="139"/>
      <c r="Y101" s="148"/>
      <c r="Z101" s="138" t="str">
        <f t="shared" si="25"/>
        <v/>
      </c>
      <c r="AA101" s="138" t="str">
        <f t="shared" si="32"/>
        <v/>
      </c>
      <c r="AB101" s="239"/>
      <c r="AC101" s="325"/>
      <c r="AD101" s="325"/>
      <c r="AE101" s="325"/>
      <c r="AF101" s="325"/>
      <c r="AG101" s="325"/>
      <c r="AH101" s="325"/>
      <c r="AI101" s="325"/>
      <c r="AJ101" s="325"/>
      <c r="AK101" s="325"/>
      <c r="AL101" s="325"/>
      <c r="AM101" s="325"/>
      <c r="AN101" s="325"/>
      <c r="AO101" s="325"/>
      <c r="AP101" s="136"/>
      <c r="AQ101" s="136"/>
      <c r="AR101" s="136" t="str">
        <f t="shared" si="26"/>
        <v/>
      </c>
      <c r="AS101" s="136" t="str">
        <f t="shared" si="27"/>
        <v/>
      </c>
      <c r="AT101" s="5" t="str">
        <f t="shared" si="28"/>
        <v/>
      </c>
      <c r="AV101" s="27" t="str">
        <f>IF(G101="","",+"          ["&amp;TRIM(G101)&amp;"] ["&amp;TRIM(I101)&amp;"]"&amp;IF(H101="","","("&amp;H101&amp;")")&amp;" "&amp;TRIM(J101)&amp;IF(G102="","",","))</f>
        <v/>
      </c>
      <c r="AW101" s="27"/>
      <c r="AY101" s="122" t="str">
        <f t="shared" si="29"/>
        <v/>
      </c>
    </row>
    <row r="102" spans="2:51" ht="12.75">
      <c r="B102" s="20" t="str">
        <f t="shared" si="31"/>
        <v/>
      </c>
      <c r="C102" s="5"/>
      <c r="D102" s="5"/>
      <c r="E102" s="5"/>
      <c r="G102" s="5" t="str">
        <f t="shared" si="35"/>
        <v/>
      </c>
      <c r="H102" s="117" t="str">
        <f t="shared" si="33"/>
        <v/>
      </c>
      <c r="I102" s="5" t="str">
        <f t="shared" si="36"/>
        <v/>
      </c>
      <c r="J102" s="5" t="str">
        <f t="shared" si="37"/>
        <v/>
      </c>
      <c r="K102" s="138"/>
      <c r="L102" s="5"/>
      <c r="M102" s="75"/>
      <c r="N102" s="77"/>
      <c r="O102" s="26"/>
      <c r="P102" s="26"/>
      <c r="Q102" s="118" t="str">
        <f t="shared" si="38"/>
        <v/>
      </c>
      <c r="R102" s="153"/>
      <c r="S102" s="138" t="str">
        <f t="shared" si="30"/>
        <v/>
      </c>
      <c r="T102" s="148"/>
      <c r="U102" s="146"/>
      <c r="V102" s="146"/>
      <c r="W102" s="139"/>
      <c r="X102" s="139"/>
      <c r="Y102" s="148"/>
      <c r="Z102" s="138" t="str">
        <f t="shared" si="25"/>
        <v/>
      </c>
      <c r="AA102" s="138" t="str">
        <f t="shared" si="32"/>
        <v/>
      </c>
      <c r="AB102" s="239"/>
      <c r="AC102" s="325"/>
      <c r="AD102" s="325"/>
      <c r="AE102" s="325"/>
      <c r="AF102" s="325"/>
      <c r="AG102" s="325"/>
      <c r="AH102" s="325"/>
      <c r="AI102" s="325"/>
      <c r="AJ102" s="325"/>
      <c r="AK102" s="325"/>
      <c r="AL102" s="325"/>
      <c r="AM102" s="325"/>
      <c r="AN102" s="325"/>
      <c r="AO102" s="325"/>
      <c r="AP102" s="136"/>
      <c r="AQ102" s="136"/>
      <c r="AR102" s="136" t="str">
        <f t="shared" si="26"/>
        <v/>
      </c>
      <c r="AS102" s="136" t="str">
        <f t="shared" si="27"/>
        <v/>
      </c>
      <c r="AT102" s="5" t="str">
        <f t="shared" si="28"/>
        <v/>
      </c>
      <c r="AV102" s="27" t="str">
        <f>IF(G102="","",+"          ["&amp;TRIM(G102)&amp;"] ["&amp;TRIM(I102)&amp;"]"&amp;IF(H102="","","("&amp;H102&amp;")")&amp;" "&amp;TRIM(J102)&amp;IF(G103="","",","))</f>
        <v/>
      </c>
      <c r="AW102" s="27"/>
      <c r="AY102" s="122" t="str">
        <f t="shared" si="29"/>
        <v/>
      </c>
    </row>
    <row r="103" spans="2:51" ht="12.75">
      <c r="B103" s="20" t="str">
        <f t="shared" si="31"/>
        <v/>
      </c>
      <c r="C103" s="5"/>
      <c r="D103" s="5"/>
      <c r="E103" s="5"/>
      <c r="G103" s="5" t="str">
        <f t="shared" si="35"/>
        <v/>
      </c>
      <c r="H103" s="117" t="str">
        <f t="shared" si="33"/>
        <v/>
      </c>
      <c r="I103" s="5" t="str">
        <f t="shared" si="36"/>
        <v/>
      </c>
      <c r="J103" s="5" t="str">
        <f t="shared" si="37"/>
        <v/>
      </c>
      <c r="K103" s="138"/>
      <c r="L103" s="5"/>
      <c r="M103" s="75"/>
      <c r="N103" s="77"/>
      <c r="O103" s="26"/>
      <c r="P103" s="26"/>
      <c r="Q103" s="118" t="str">
        <f t="shared" si="38"/>
        <v/>
      </c>
      <c r="R103" s="153"/>
      <c r="S103" s="138" t="str">
        <f t="shared" si="30"/>
        <v/>
      </c>
      <c r="T103" s="148"/>
      <c r="U103" s="146"/>
      <c r="V103" s="146"/>
      <c r="W103" s="139"/>
      <c r="X103" s="139"/>
      <c r="Y103" s="148"/>
      <c r="Z103" s="138" t="str">
        <f t="shared" si="25"/>
        <v/>
      </c>
      <c r="AA103" s="138" t="str">
        <f t="shared" si="32"/>
        <v/>
      </c>
      <c r="AB103" s="239"/>
      <c r="AC103" s="325"/>
      <c r="AD103" s="325"/>
      <c r="AE103" s="325"/>
      <c r="AF103" s="325"/>
      <c r="AG103" s="325"/>
      <c r="AH103" s="325"/>
      <c r="AI103" s="325"/>
      <c r="AJ103" s="325"/>
      <c r="AK103" s="325"/>
      <c r="AL103" s="325"/>
      <c r="AM103" s="325"/>
      <c r="AN103" s="325"/>
      <c r="AO103" s="325"/>
      <c r="AP103" s="136"/>
      <c r="AQ103" s="136"/>
      <c r="AR103" s="136" t="str">
        <f t="shared" si="26"/>
        <v/>
      </c>
      <c r="AS103" s="136" t="str">
        <f t="shared" si="27"/>
        <v/>
      </c>
      <c r="AT103" s="5" t="str">
        <f t="shared" si="28"/>
        <v/>
      </c>
      <c r="AV103" s="27" t="str">
        <f>IF(G103="","",+"          ["&amp;TRIM(G103)&amp;"] ["&amp;TRIM(I103)&amp;"]"&amp;IF(H103="","","("&amp;H103&amp;")")&amp;" "&amp;TRIM(J103)&amp;IF(G106="","",","))</f>
        <v/>
      </c>
      <c r="AW103" s="27"/>
      <c r="AY103" s="122" t="str">
        <f t="shared" si="29"/>
        <v/>
      </c>
    </row>
    <row r="104" spans="2:51" ht="12.75">
      <c r="B104" s="20" t="str">
        <f t="shared" si="31"/>
        <v/>
      </c>
      <c r="C104" s="5"/>
      <c r="D104" s="5"/>
      <c r="E104" s="5"/>
      <c r="G104" s="5" t="str">
        <f t="shared" si="35"/>
        <v/>
      </c>
      <c r="H104" s="117" t="str">
        <f t="shared" si="33"/>
        <v/>
      </c>
      <c r="I104" s="5" t="str">
        <f t="shared" si="36"/>
        <v/>
      </c>
      <c r="J104" s="5" t="str">
        <f t="shared" si="37"/>
        <v/>
      </c>
      <c r="K104" s="138"/>
      <c r="L104" s="5"/>
      <c r="M104" s="75"/>
      <c r="N104" s="77"/>
      <c r="O104" s="26"/>
      <c r="P104" s="26"/>
      <c r="Q104" s="118" t="str">
        <f t="shared" si="38"/>
        <v/>
      </c>
      <c r="R104" s="153"/>
      <c r="S104" s="138" t="str">
        <f t="shared" si="30"/>
        <v/>
      </c>
      <c r="T104" s="148"/>
      <c r="U104" s="146"/>
      <c r="V104" s="146"/>
      <c r="W104" s="139"/>
      <c r="X104" s="139"/>
      <c r="Y104" s="148"/>
      <c r="Z104" s="138" t="str">
        <f t="shared" si="25"/>
        <v/>
      </c>
      <c r="AA104" s="138" t="str">
        <f t="shared" si="32"/>
        <v/>
      </c>
      <c r="AB104" s="239"/>
      <c r="AC104" s="325"/>
      <c r="AD104" s="325"/>
      <c r="AE104" s="325"/>
      <c r="AF104" s="325"/>
      <c r="AG104" s="325"/>
      <c r="AH104" s="325"/>
      <c r="AI104" s="325"/>
      <c r="AJ104" s="325"/>
      <c r="AK104" s="325"/>
      <c r="AL104" s="325"/>
      <c r="AM104" s="325"/>
      <c r="AN104" s="325"/>
      <c r="AO104" s="325"/>
      <c r="AP104" s="136"/>
      <c r="AQ104" s="136"/>
      <c r="AR104" s="136" t="str">
        <f t="shared" si="26"/>
        <v/>
      </c>
      <c r="AS104" s="136" t="str">
        <f t="shared" si="27"/>
        <v/>
      </c>
      <c r="AT104" s="5" t="str">
        <f t="shared" si="28"/>
        <v/>
      </c>
      <c r="AV104" s="27" t="str">
        <f t="shared" ref="AV104:AV115" si="39">IF(G104="","",+"          ["&amp;TRIM(G104)&amp;"] ["&amp;TRIM(I104)&amp;"]"&amp;IF(H104="","","("&amp;H104&amp;")")&amp;" "&amp;TRIM(J104)&amp;IF(G105="","",","))</f>
        <v/>
      </c>
      <c r="AW104" s="27"/>
      <c r="AY104" s="122" t="str">
        <f t="shared" si="29"/>
        <v/>
      </c>
    </row>
    <row r="105" spans="2:51" ht="12.75">
      <c r="B105" s="20" t="str">
        <f t="shared" si="31"/>
        <v/>
      </c>
      <c r="C105" s="5"/>
      <c r="D105" s="5"/>
      <c r="E105" s="5"/>
      <c r="G105" s="5" t="str">
        <f t="shared" si="35"/>
        <v/>
      </c>
      <c r="H105" s="117" t="str">
        <f t="shared" si="33"/>
        <v/>
      </c>
      <c r="I105" s="5" t="str">
        <f t="shared" si="36"/>
        <v/>
      </c>
      <c r="J105" s="5" t="str">
        <f t="shared" si="37"/>
        <v/>
      </c>
      <c r="K105" s="138"/>
      <c r="L105" s="5"/>
      <c r="M105" s="75"/>
      <c r="N105" s="77"/>
      <c r="O105" s="26"/>
      <c r="P105" s="26"/>
      <c r="Q105" s="118" t="str">
        <f t="shared" si="38"/>
        <v/>
      </c>
      <c r="R105" s="153"/>
      <c r="S105" s="138" t="str">
        <f t="shared" si="30"/>
        <v/>
      </c>
      <c r="T105" s="148"/>
      <c r="U105" s="146"/>
      <c r="V105" s="146"/>
      <c r="W105" s="139"/>
      <c r="X105" s="139"/>
      <c r="Y105" s="148"/>
      <c r="Z105" s="138" t="str">
        <f t="shared" si="25"/>
        <v/>
      </c>
      <c r="AA105" s="138" t="str">
        <f t="shared" si="32"/>
        <v/>
      </c>
      <c r="AB105" s="239"/>
      <c r="AC105" s="325"/>
      <c r="AD105" s="325"/>
      <c r="AE105" s="325"/>
      <c r="AF105" s="325"/>
      <c r="AG105" s="325"/>
      <c r="AH105" s="325"/>
      <c r="AI105" s="325"/>
      <c r="AJ105" s="325"/>
      <c r="AK105" s="325"/>
      <c r="AL105" s="325"/>
      <c r="AM105" s="325"/>
      <c r="AN105" s="325"/>
      <c r="AO105" s="325"/>
      <c r="AP105" s="136"/>
      <c r="AQ105" s="136"/>
      <c r="AR105" s="136" t="str">
        <f t="shared" si="26"/>
        <v/>
      </c>
      <c r="AS105" s="136" t="str">
        <f t="shared" si="27"/>
        <v/>
      </c>
      <c r="AT105" s="5" t="str">
        <f t="shared" si="28"/>
        <v/>
      </c>
      <c r="AV105" s="27" t="str">
        <f t="shared" si="39"/>
        <v/>
      </c>
      <c r="AW105" s="27"/>
      <c r="AY105" s="122" t="str">
        <f t="shared" si="29"/>
        <v/>
      </c>
    </row>
    <row r="106" spans="2:51" ht="12.75">
      <c r="B106" s="20" t="str">
        <f t="shared" si="31"/>
        <v/>
      </c>
      <c r="C106" s="5"/>
      <c r="D106" s="5"/>
      <c r="E106" s="5"/>
      <c r="G106" s="5" t="str">
        <f t="shared" si="35"/>
        <v/>
      </c>
      <c r="H106" s="117" t="str">
        <f t="shared" si="33"/>
        <v/>
      </c>
      <c r="I106" s="5" t="str">
        <f t="shared" si="36"/>
        <v/>
      </c>
      <c r="J106" s="5" t="str">
        <f t="shared" si="37"/>
        <v/>
      </c>
      <c r="K106" s="138"/>
      <c r="L106" s="5"/>
      <c r="M106" s="75"/>
      <c r="N106" s="77"/>
      <c r="O106" s="26"/>
      <c r="P106" s="26"/>
      <c r="Q106" s="118" t="str">
        <f t="shared" si="38"/>
        <v/>
      </c>
      <c r="R106" s="153"/>
      <c r="S106" s="138" t="str">
        <f t="shared" si="30"/>
        <v/>
      </c>
      <c r="T106" s="148"/>
      <c r="U106" s="146"/>
      <c r="V106" s="146"/>
      <c r="W106" s="139"/>
      <c r="X106" s="139"/>
      <c r="Y106" s="148"/>
      <c r="Z106" s="138" t="str">
        <f t="shared" si="25"/>
        <v/>
      </c>
      <c r="AA106" s="138" t="str">
        <f t="shared" si="32"/>
        <v/>
      </c>
      <c r="AB106" s="239"/>
      <c r="AC106" s="325"/>
      <c r="AD106" s="325"/>
      <c r="AE106" s="325"/>
      <c r="AF106" s="325"/>
      <c r="AG106" s="325"/>
      <c r="AH106" s="325"/>
      <c r="AI106" s="325"/>
      <c r="AJ106" s="325"/>
      <c r="AK106" s="325"/>
      <c r="AL106" s="325"/>
      <c r="AM106" s="325"/>
      <c r="AN106" s="325"/>
      <c r="AO106" s="325"/>
      <c r="AP106" s="136"/>
      <c r="AQ106" s="136"/>
      <c r="AR106" s="136" t="str">
        <f t="shared" si="26"/>
        <v/>
      </c>
      <c r="AS106" s="136" t="str">
        <f t="shared" si="27"/>
        <v/>
      </c>
      <c r="AT106" s="5" t="str">
        <f t="shared" si="28"/>
        <v/>
      </c>
      <c r="AV106" s="27" t="str">
        <f t="shared" si="39"/>
        <v/>
      </c>
      <c r="AW106" s="27"/>
      <c r="AY106" s="122" t="str">
        <f t="shared" si="29"/>
        <v/>
      </c>
    </row>
    <row r="107" spans="2:51" ht="12.75">
      <c r="B107" s="20" t="str">
        <f t="shared" si="31"/>
        <v/>
      </c>
      <c r="C107" s="5"/>
      <c r="D107" s="5"/>
      <c r="E107" s="5"/>
      <c r="G107" s="5" t="str">
        <f t="shared" si="35"/>
        <v/>
      </c>
      <c r="H107" s="117" t="str">
        <f t="shared" si="33"/>
        <v/>
      </c>
      <c r="I107" s="5" t="str">
        <f t="shared" si="36"/>
        <v/>
      </c>
      <c r="J107" s="5" t="str">
        <f t="shared" si="37"/>
        <v/>
      </c>
      <c r="K107" s="138"/>
      <c r="L107" s="5"/>
      <c r="M107" s="75"/>
      <c r="N107" s="77"/>
      <c r="O107" s="26"/>
      <c r="P107" s="26"/>
      <c r="Q107" s="118" t="str">
        <f t="shared" si="38"/>
        <v/>
      </c>
      <c r="R107" s="153"/>
      <c r="S107" s="138" t="str">
        <f t="shared" si="30"/>
        <v/>
      </c>
      <c r="T107" s="148"/>
      <c r="U107" s="146"/>
      <c r="V107" s="146"/>
      <c r="W107" s="139"/>
      <c r="X107" s="139"/>
      <c r="Y107" s="148"/>
      <c r="Z107" s="138" t="str">
        <f t="shared" si="25"/>
        <v/>
      </c>
      <c r="AA107" s="138" t="str">
        <f t="shared" si="32"/>
        <v/>
      </c>
      <c r="AB107" s="239"/>
      <c r="AC107" s="325"/>
      <c r="AD107" s="325"/>
      <c r="AE107" s="325"/>
      <c r="AF107" s="325"/>
      <c r="AG107" s="325"/>
      <c r="AH107" s="325"/>
      <c r="AI107" s="325"/>
      <c r="AJ107" s="325"/>
      <c r="AK107" s="325"/>
      <c r="AL107" s="325"/>
      <c r="AM107" s="325"/>
      <c r="AN107" s="325"/>
      <c r="AO107" s="325"/>
      <c r="AP107" s="136"/>
      <c r="AQ107" s="136"/>
      <c r="AR107" s="136" t="str">
        <f t="shared" si="26"/>
        <v/>
      </c>
      <c r="AS107" s="136" t="str">
        <f t="shared" si="27"/>
        <v/>
      </c>
      <c r="AT107" s="5" t="str">
        <f t="shared" si="28"/>
        <v/>
      </c>
      <c r="AV107" s="27" t="str">
        <f t="shared" si="39"/>
        <v/>
      </c>
      <c r="AW107" s="27"/>
      <c r="AY107" s="122" t="str">
        <f t="shared" si="29"/>
        <v/>
      </c>
    </row>
    <row r="108" spans="2:51" ht="12.75">
      <c r="B108" s="20" t="str">
        <f t="shared" si="31"/>
        <v/>
      </c>
      <c r="C108" s="5"/>
      <c r="D108" s="5"/>
      <c r="E108" s="5"/>
      <c r="G108" s="5" t="str">
        <f t="shared" si="35"/>
        <v/>
      </c>
      <c r="H108" s="117" t="str">
        <f t="shared" si="33"/>
        <v/>
      </c>
      <c r="I108" s="5" t="str">
        <f t="shared" si="36"/>
        <v/>
      </c>
      <c r="J108" s="5" t="str">
        <f t="shared" si="37"/>
        <v/>
      </c>
      <c r="K108" s="138"/>
      <c r="L108" s="5"/>
      <c r="M108" s="75"/>
      <c r="N108" s="77"/>
      <c r="O108" s="26"/>
      <c r="P108" s="26"/>
      <c r="Q108" s="118" t="str">
        <f t="shared" si="38"/>
        <v/>
      </c>
      <c r="R108" s="153"/>
      <c r="S108" s="138" t="str">
        <f t="shared" si="30"/>
        <v/>
      </c>
      <c r="T108" s="148"/>
      <c r="U108" s="146"/>
      <c r="V108" s="146"/>
      <c r="W108" s="139"/>
      <c r="X108" s="139"/>
      <c r="Y108" s="148"/>
      <c r="Z108" s="138" t="str">
        <f t="shared" si="25"/>
        <v/>
      </c>
      <c r="AA108" s="138" t="str">
        <f t="shared" si="32"/>
        <v/>
      </c>
      <c r="AB108" s="239"/>
      <c r="AC108" s="325"/>
      <c r="AD108" s="325"/>
      <c r="AE108" s="325"/>
      <c r="AF108" s="325"/>
      <c r="AG108" s="325"/>
      <c r="AH108" s="325"/>
      <c r="AI108" s="325"/>
      <c r="AJ108" s="325"/>
      <c r="AK108" s="325"/>
      <c r="AL108" s="325"/>
      <c r="AM108" s="325"/>
      <c r="AN108" s="325"/>
      <c r="AO108" s="325"/>
      <c r="AP108" s="136"/>
      <c r="AQ108" s="136"/>
      <c r="AR108" s="136" t="str">
        <f t="shared" si="26"/>
        <v/>
      </c>
      <c r="AS108" s="136" t="str">
        <f t="shared" si="27"/>
        <v/>
      </c>
      <c r="AT108" s="5" t="str">
        <f t="shared" si="28"/>
        <v/>
      </c>
      <c r="AV108" s="27" t="str">
        <f t="shared" si="39"/>
        <v/>
      </c>
      <c r="AW108" s="27"/>
      <c r="AY108" s="122" t="str">
        <f t="shared" si="29"/>
        <v/>
      </c>
    </row>
    <row r="109" spans="2:51" ht="12.75">
      <c r="B109" s="20" t="str">
        <f t="shared" si="31"/>
        <v/>
      </c>
      <c r="C109" s="5"/>
      <c r="D109" s="5"/>
      <c r="E109" s="5"/>
      <c r="G109" s="5" t="str">
        <f t="shared" si="35"/>
        <v/>
      </c>
      <c r="H109" s="117" t="str">
        <f t="shared" si="33"/>
        <v/>
      </c>
      <c r="I109" s="5" t="str">
        <f t="shared" si="36"/>
        <v/>
      </c>
      <c r="J109" s="5" t="str">
        <f t="shared" si="37"/>
        <v/>
      </c>
      <c r="K109" s="138"/>
      <c r="L109" s="5"/>
      <c r="M109" s="75"/>
      <c r="N109" s="77"/>
      <c r="O109" s="26"/>
      <c r="P109" s="26"/>
      <c r="Q109" s="118" t="str">
        <f t="shared" si="38"/>
        <v/>
      </c>
      <c r="R109" s="153"/>
      <c r="S109" s="138" t="str">
        <f t="shared" si="30"/>
        <v/>
      </c>
      <c r="T109" s="148"/>
      <c r="U109" s="146"/>
      <c r="V109" s="146"/>
      <c r="W109" s="139"/>
      <c r="X109" s="139"/>
      <c r="Y109" s="148"/>
      <c r="Z109" s="138" t="str">
        <f t="shared" si="25"/>
        <v/>
      </c>
      <c r="AA109" s="138" t="str">
        <f t="shared" si="32"/>
        <v/>
      </c>
      <c r="AB109" s="239"/>
      <c r="AC109" s="325"/>
      <c r="AD109" s="325"/>
      <c r="AE109" s="325"/>
      <c r="AF109" s="325"/>
      <c r="AG109" s="325"/>
      <c r="AH109" s="325"/>
      <c r="AI109" s="325"/>
      <c r="AJ109" s="325"/>
      <c r="AK109" s="325"/>
      <c r="AL109" s="325"/>
      <c r="AM109" s="325"/>
      <c r="AN109" s="325"/>
      <c r="AO109" s="325"/>
      <c r="AP109" s="136"/>
      <c r="AQ109" s="136"/>
      <c r="AR109" s="136" t="str">
        <f t="shared" si="26"/>
        <v/>
      </c>
      <c r="AS109" s="136" t="str">
        <f t="shared" si="27"/>
        <v/>
      </c>
      <c r="AT109" s="5" t="str">
        <f t="shared" si="28"/>
        <v/>
      </c>
      <c r="AV109" s="27" t="str">
        <f t="shared" si="39"/>
        <v/>
      </c>
      <c r="AW109" s="27"/>
      <c r="AY109" s="122" t="str">
        <f t="shared" si="29"/>
        <v/>
      </c>
    </row>
    <row r="110" spans="2:51" ht="12.75">
      <c r="B110" s="20" t="str">
        <f t="shared" si="31"/>
        <v/>
      </c>
      <c r="C110" s="5"/>
      <c r="D110" s="5"/>
      <c r="E110" s="5"/>
      <c r="G110" s="5" t="str">
        <f t="shared" si="35"/>
        <v/>
      </c>
      <c r="H110" s="117" t="str">
        <f t="shared" si="33"/>
        <v/>
      </c>
      <c r="I110" s="5" t="str">
        <f t="shared" si="36"/>
        <v/>
      </c>
      <c r="J110" s="5" t="str">
        <f t="shared" si="37"/>
        <v/>
      </c>
      <c r="K110" s="138"/>
      <c r="L110" s="5"/>
      <c r="M110" s="75"/>
      <c r="N110" s="77"/>
      <c r="O110" s="26"/>
      <c r="P110" s="26"/>
      <c r="Q110" s="118" t="str">
        <f t="shared" si="38"/>
        <v/>
      </c>
      <c r="R110" s="153"/>
      <c r="S110" s="138" t="str">
        <f t="shared" si="30"/>
        <v/>
      </c>
      <c r="T110" s="148"/>
      <c r="U110" s="146"/>
      <c r="V110" s="146"/>
      <c r="W110" s="139"/>
      <c r="X110" s="139"/>
      <c r="Y110" s="148"/>
      <c r="Z110" s="138" t="str">
        <f t="shared" si="25"/>
        <v/>
      </c>
      <c r="AA110" s="138" t="str">
        <f t="shared" si="32"/>
        <v/>
      </c>
      <c r="AB110" s="239"/>
      <c r="AC110" s="325"/>
      <c r="AD110" s="325"/>
      <c r="AE110" s="325"/>
      <c r="AF110" s="325"/>
      <c r="AG110" s="325"/>
      <c r="AH110" s="325"/>
      <c r="AI110" s="325"/>
      <c r="AJ110" s="325"/>
      <c r="AK110" s="325"/>
      <c r="AL110" s="325"/>
      <c r="AM110" s="325"/>
      <c r="AN110" s="325"/>
      <c r="AO110" s="325"/>
      <c r="AP110" s="136"/>
      <c r="AQ110" s="136"/>
      <c r="AR110" s="136" t="str">
        <f t="shared" si="26"/>
        <v/>
      </c>
      <c r="AS110" s="136" t="str">
        <f t="shared" si="27"/>
        <v/>
      </c>
      <c r="AT110" s="5" t="str">
        <f t="shared" si="28"/>
        <v/>
      </c>
      <c r="AV110" s="27" t="str">
        <f t="shared" si="39"/>
        <v/>
      </c>
      <c r="AW110" s="27"/>
      <c r="AY110" s="122" t="str">
        <f t="shared" si="29"/>
        <v/>
      </c>
    </row>
    <row r="111" spans="2:51" ht="12.75">
      <c r="B111" s="20" t="str">
        <f t="shared" si="31"/>
        <v/>
      </c>
      <c r="C111" s="5"/>
      <c r="D111" s="5"/>
      <c r="E111" s="5"/>
      <c r="G111" s="5" t="str">
        <f t="shared" si="35"/>
        <v/>
      </c>
      <c r="H111" s="117" t="str">
        <f t="shared" si="33"/>
        <v/>
      </c>
      <c r="I111" s="5" t="str">
        <f t="shared" si="36"/>
        <v/>
      </c>
      <c r="J111" s="5" t="str">
        <f t="shared" si="37"/>
        <v/>
      </c>
      <c r="K111" s="138"/>
      <c r="L111" s="5"/>
      <c r="M111" s="75"/>
      <c r="N111" s="77"/>
      <c r="O111" s="26"/>
      <c r="P111" s="26"/>
      <c r="Q111" s="118" t="str">
        <f t="shared" si="38"/>
        <v/>
      </c>
      <c r="R111" s="153"/>
      <c r="S111" s="138" t="str">
        <f t="shared" si="30"/>
        <v/>
      </c>
      <c r="T111" s="148"/>
      <c r="U111" s="146"/>
      <c r="V111" s="146"/>
      <c r="W111" s="139"/>
      <c r="X111" s="139"/>
      <c r="Y111" s="148"/>
      <c r="Z111" s="138" t="str">
        <f t="shared" si="25"/>
        <v/>
      </c>
      <c r="AA111" s="138" t="str">
        <f t="shared" si="32"/>
        <v/>
      </c>
      <c r="AB111" s="239"/>
      <c r="AC111" s="325"/>
      <c r="AD111" s="325"/>
      <c r="AE111" s="325"/>
      <c r="AF111" s="325"/>
      <c r="AG111" s="325"/>
      <c r="AH111" s="325"/>
      <c r="AI111" s="325"/>
      <c r="AJ111" s="325"/>
      <c r="AK111" s="325"/>
      <c r="AL111" s="325"/>
      <c r="AM111" s="325"/>
      <c r="AN111" s="325"/>
      <c r="AO111" s="325"/>
      <c r="AP111" s="136"/>
      <c r="AQ111" s="136"/>
      <c r="AR111" s="136" t="str">
        <f t="shared" si="26"/>
        <v/>
      </c>
      <c r="AS111" s="136" t="str">
        <f t="shared" si="27"/>
        <v/>
      </c>
      <c r="AT111" s="5" t="str">
        <f t="shared" si="28"/>
        <v/>
      </c>
      <c r="AV111" s="27" t="str">
        <f t="shared" si="39"/>
        <v/>
      </c>
      <c r="AW111" s="27"/>
      <c r="AY111" s="122" t="str">
        <f t="shared" si="29"/>
        <v/>
      </c>
    </row>
    <row r="112" spans="2:51" ht="12.75">
      <c r="B112" s="20" t="str">
        <f t="shared" si="31"/>
        <v/>
      </c>
      <c r="C112" s="5"/>
      <c r="D112" s="5"/>
      <c r="E112" s="5"/>
      <c r="G112" s="5" t="str">
        <f t="shared" si="35"/>
        <v/>
      </c>
      <c r="H112" s="117" t="str">
        <f t="shared" si="33"/>
        <v/>
      </c>
      <c r="I112" s="5" t="str">
        <f t="shared" si="36"/>
        <v/>
      </c>
      <c r="J112" s="5" t="str">
        <f t="shared" si="37"/>
        <v/>
      </c>
      <c r="K112" s="138"/>
      <c r="L112" s="5"/>
      <c r="M112" s="75"/>
      <c r="N112" s="77"/>
      <c r="O112" s="26"/>
      <c r="P112" s="26"/>
      <c r="Q112" s="118" t="str">
        <f t="shared" si="38"/>
        <v/>
      </c>
      <c r="R112" s="153"/>
      <c r="S112" s="138" t="str">
        <f t="shared" si="30"/>
        <v/>
      </c>
      <c r="T112" s="148"/>
      <c r="U112" s="146"/>
      <c r="V112" s="146"/>
      <c r="W112" s="139"/>
      <c r="X112" s="139"/>
      <c r="Y112" s="148"/>
      <c r="Z112" s="138" t="str">
        <f t="shared" si="25"/>
        <v/>
      </c>
      <c r="AA112" s="138" t="str">
        <f t="shared" si="32"/>
        <v/>
      </c>
      <c r="AB112" s="239"/>
      <c r="AC112" s="325"/>
      <c r="AD112" s="325"/>
      <c r="AE112" s="325"/>
      <c r="AF112" s="325"/>
      <c r="AG112" s="325"/>
      <c r="AH112" s="325"/>
      <c r="AI112" s="325"/>
      <c r="AJ112" s="325"/>
      <c r="AK112" s="325"/>
      <c r="AL112" s="325"/>
      <c r="AM112" s="325"/>
      <c r="AN112" s="325"/>
      <c r="AO112" s="325"/>
      <c r="AP112" s="136"/>
      <c r="AQ112" s="136"/>
      <c r="AR112" s="136" t="str">
        <f t="shared" si="26"/>
        <v/>
      </c>
      <c r="AS112" s="136" t="str">
        <f t="shared" si="27"/>
        <v/>
      </c>
      <c r="AT112" s="5" t="str">
        <f t="shared" si="28"/>
        <v/>
      </c>
      <c r="AV112" s="27" t="str">
        <f t="shared" si="39"/>
        <v/>
      </c>
      <c r="AW112" s="27"/>
      <c r="AY112" s="122" t="str">
        <f t="shared" si="29"/>
        <v/>
      </c>
    </row>
    <row r="113" spans="2:51" ht="12.75">
      <c r="B113" s="20" t="str">
        <f t="shared" si="31"/>
        <v/>
      </c>
      <c r="C113" s="5"/>
      <c r="D113" s="5"/>
      <c r="E113" s="5"/>
      <c r="G113" s="5" t="str">
        <f t="shared" si="35"/>
        <v/>
      </c>
      <c r="H113" s="117" t="str">
        <f t="shared" si="33"/>
        <v/>
      </c>
      <c r="I113" s="5" t="str">
        <f t="shared" si="36"/>
        <v/>
      </c>
      <c r="J113" s="5" t="str">
        <f t="shared" si="37"/>
        <v/>
      </c>
      <c r="K113" s="138"/>
      <c r="L113" s="5"/>
      <c r="M113" s="75"/>
      <c r="N113" s="77"/>
      <c r="O113" s="26"/>
      <c r="P113" s="26"/>
      <c r="Q113" s="118" t="str">
        <f t="shared" si="38"/>
        <v/>
      </c>
      <c r="R113" s="153"/>
      <c r="S113" s="138" t="str">
        <f t="shared" si="30"/>
        <v/>
      </c>
      <c r="T113" s="148"/>
      <c r="U113" s="146"/>
      <c r="V113" s="146"/>
      <c r="W113" s="139"/>
      <c r="X113" s="139"/>
      <c r="Y113" s="148"/>
      <c r="Z113" s="138" t="str">
        <f t="shared" si="25"/>
        <v/>
      </c>
      <c r="AA113" s="138" t="str">
        <f t="shared" si="32"/>
        <v/>
      </c>
      <c r="AB113" s="239"/>
      <c r="AC113" s="325"/>
      <c r="AD113" s="325"/>
      <c r="AE113" s="325"/>
      <c r="AF113" s="325"/>
      <c r="AG113" s="325"/>
      <c r="AH113" s="325"/>
      <c r="AI113" s="325"/>
      <c r="AJ113" s="325"/>
      <c r="AK113" s="325"/>
      <c r="AL113" s="325"/>
      <c r="AM113" s="325"/>
      <c r="AN113" s="325"/>
      <c r="AO113" s="325"/>
      <c r="AP113" s="136"/>
      <c r="AQ113" s="136"/>
      <c r="AR113" s="136" t="str">
        <f t="shared" si="26"/>
        <v/>
      </c>
      <c r="AS113" s="136" t="str">
        <f t="shared" si="27"/>
        <v/>
      </c>
      <c r="AT113" s="5" t="str">
        <f t="shared" si="28"/>
        <v/>
      </c>
      <c r="AV113" s="27" t="str">
        <f t="shared" si="39"/>
        <v/>
      </c>
      <c r="AW113" s="27"/>
      <c r="AY113" s="122" t="str">
        <f t="shared" si="29"/>
        <v/>
      </c>
    </row>
    <row r="114" spans="2:51" ht="12.75">
      <c r="B114" s="20" t="str">
        <f t="shared" si="31"/>
        <v/>
      </c>
      <c r="C114" s="5"/>
      <c r="D114" s="5"/>
      <c r="E114" s="5"/>
      <c r="G114" s="5" t="str">
        <f t="shared" si="35"/>
        <v/>
      </c>
      <c r="H114" s="117" t="str">
        <f t="shared" si="33"/>
        <v/>
      </c>
      <c r="I114" s="5" t="str">
        <f t="shared" si="36"/>
        <v/>
      </c>
      <c r="J114" s="5" t="str">
        <f t="shared" si="37"/>
        <v/>
      </c>
      <c r="K114" s="138"/>
      <c r="L114" s="5"/>
      <c r="M114" s="75"/>
      <c r="N114" s="77"/>
      <c r="O114" s="26"/>
      <c r="P114" s="26"/>
      <c r="Q114" s="118" t="str">
        <f t="shared" si="38"/>
        <v/>
      </c>
      <c r="R114" s="153"/>
      <c r="S114" s="138" t="str">
        <f t="shared" si="30"/>
        <v/>
      </c>
      <c r="T114" s="148"/>
      <c r="U114" s="146"/>
      <c r="V114" s="146"/>
      <c r="W114" s="139"/>
      <c r="X114" s="139"/>
      <c r="Y114" s="148"/>
      <c r="Z114" s="138" t="str">
        <f t="shared" si="25"/>
        <v/>
      </c>
      <c r="AA114" s="138" t="str">
        <f t="shared" si="32"/>
        <v/>
      </c>
      <c r="AB114" s="239"/>
      <c r="AC114" s="325"/>
      <c r="AD114" s="325"/>
      <c r="AE114" s="325"/>
      <c r="AF114" s="325"/>
      <c r="AG114" s="325"/>
      <c r="AH114" s="325"/>
      <c r="AI114" s="325"/>
      <c r="AJ114" s="325"/>
      <c r="AK114" s="325"/>
      <c r="AL114" s="325"/>
      <c r="AM114" s="325"/>
      <c r="AN114" s="325"/>
      <c r="AO114" s="325"/>
      <c r="AP114" s="136"/>
      <c r="AQ114" s="136"/>
      <c r="AR114" s="136" t="str">
        <f t="shared" si="26"/>
        <v/>
      </c>
      <c r="AS114" s="136" t="str">
        <f t="shared" si="27"/>
        <v/>
      </c>
      <c r="AT114" s="5" t="str">
        <f t="shared" si="28"/>
        <v/>
      </c>
      <c r="AV114" s="27" t="str">
        <f t="shared" si="39"/>
        <v/>
      </c>
      <c r="AW114" s="27"/>
      <c r="AY114" s="122" t="str">
        <f t="shared" si="29"/>
        <v/>
      </c>
    </row>
    <row r="115" spans="2:51" ht="12.75">
      <c r="B115" s="20" t="str">
        <f t="shared" si="31"/>
        <v/>
      </c>
      <c r="C115" s="5"/>
      <c r="D115" s="5"/>
      <c r="E115" s="5"/>
      <c r="G115" s="5" t="str">
        <f t="shared" si="35"/>
        <v/>
      </c>
      <c r="H115" s="117" t="str">
        <f t="shared" si="33"/>
        <v/>
      </c>
      <c r="I115" s="5" t="str">
        <f t="shared" si="36"/>
        <v/>
      </c>
      <c r="J115" s="5" t="str">
        <f t="shared" si="37"/>
        <v/>
      </c>
      <c r="K115" s="138"/>
      <c r="L115" s="5"/>
      <c r="M115" s="75"/>
      <c r="N115" s="77"/>
      <c r="O115" s="26"/>
      <c r="P115" s="26"/>
      <c r="Q115" s="118" t="str">
        <f t="shared" si="38"/>
        <v/>
      </c>
      <c r="R115" s="153"/>
      <c r="S115" s="138" t="str">
        <f t="shared" si="30"/>
        <v/>
      </c>
      <c r="T115" s="148"/>
      <c r="U115" s="146"/>
      <c r="V115" s="146"/>
      <c r="W115" s="139"/>
      <c r="X115" s="139"/>
      <c r="Y115" s="148"/>
      <c r="Z115" s="138" t="str">
        <f t="shared" si="25"/>
        <v/>
      </c>
      <c r="AA115" s="138" t="str">
        <f t="shared" si="32"/>
        <v/>
      </c>
      <c r="AB115" s="239"/>
      <c r="AC115" s="325"/>
      <c r="AD115" s="325"/>
      <c r="AE115" s="325"/>
      <c r="AF115" s="325"/>
      <c r="AG115" s="325"/>
      <c r="AH115" s="325"/>
      <c r="AI115" s="325"/>
      <c r="AJ115" s="325"/>
      <c r="AK115" s="325"/>
      <c r="AL115" s="325"/>
      <c r="AM115" s="325"/>
      <c r="AN115" s="325"/>
      <c r="AO115" s="325"/>
      <c r="AP115" s="136"/>
      <c r="AQ115" s="136"/>
      <c r="AR115" s="136" t="str">
        <f t="shared" si="26"/>
        <v/>
      </c>
      <c r="AS115" s="136" t="str">
        <f t="shared" si="27"/>
        <v/>
      </c>
      <c r="AT115" s="5" t="str">
        <f t="shared" si="28"/>
        <v/>
      </c>
      <c r="AV115" s="27" t="str">
        <f t="shared" si="39"/>
        <v/>
      </c>
      <c r="AW115" s="27"/>
      <c r="AY115" s="122" t="str">
        <f t="shared" si="29"/>
        <v/>
      </c>
    </row>
    <row r="116" spans="2:51">
      <c r="AT116" s="3" t="str">
        <f t="shared" si="28"/>
        <v/>
      </c>
      <c r="AV116" s="28"/>
      <c r="AW116" s="27"/>
      <c r="AY116" s="122" t="str">
        <f t="shared" si="29"/>
        <v/>
      </c>
    </row>
    <row r="117" spans="2:51">
      <c r="B117" s="11" t="s">
        <v>23</v>
      </c>
      <c r="AV117" s="28"/>
      <c r="AW117" s="27"/>
    </row>
    <row r="118" spans="2:51">
      <c r="B118" s="18" t="s">
        <v>17</v>
      </c>
      <c r="C118" s="22" t="str">
        <f>+"By"&amp;D120</f>
        <v>ByAgent</v>
      </c>
      <c r="D118" s="23" t="str">
        <f>SUBSTITUTE(SUBSTITUTE(SUBSTITUTE(SUBSTITUTE(SUBSTITUTE(SUBSTITUTE(SUBSTITUTE(C118," ",""),".",""),"&amp;",""),"(",""),")",""),",",""),"/","")&amp;"_"&amp;TRIM(TEXT(C7,"###"))</f>
        <v>ByAgent_11</v>
      </c>
      <c r="E118" s="8"/>
      <c r="S118" s="283" t="s">
        <v>906</v>
      </c>
      <c r="AV118" s="27" t="str">
        <f>+" CONSTRAINT ["&amp;D118&amp;"] PRIMARY KEY NONCLUSTERED "</f>
        <v xml:space="preserve"> CONSTRAINT [ByAgent_11]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40">IFERROR(INDEX($G$16:$G$115,C120),"")</f>
        <v>Agent</v>
      </c>
      <c r="E120" s="10" t="s">
        <v>5</v>
      </c>
      <c r="G120" s="5" t="str">
        <f>CHAR(34)&amp;D120&amp;" LIKE "&amp;H120&amp;"%{0}%"&amp;H120&amp;CHAR(34)&amp;","</f>
        <v>"Agent LIKE '%{0}%'",</v>
      </c>
      <c r="H120" s="3" t="str">
        <f>IF(IFERROR(INDEX($I$16:$I$115,C120),"")="varchar","'","")</f>
        <v>'</v>
      </c>
      <c r="S120" s="282" t="str">
        <f>RIGHT(T2,1)&amp;V3&amp;MID(T2,2,1)&amp;V3&amp;MID(T2,5,1)&amp;LEFT(T2,1)&amp;C7</f>
        <v>LGTA11</v>
      </c>
      <c r="T120" s="282" t="str">
        <f>+C8</f>
        <v>AgentInfo</v>
      </c>
      <c r="U120" s="282" t="str">
        <f>+D120</f>
        <v>Agent</v>
      </c>
      <c r="V120" s="239" t="str">
        <f>+C10</f>
        <v>ad07071a-8827-42da-8e5d-edbe50e0f565</v>
      </c>
      <c r="W120" s="272"/>
      <c r="X120" s="272"/>
      <c r="AV120" s="27" t="str">
        <f t="shared" ref="AV120:AV126" si="41">+IF(D120="","","          ["&amp;D120&amp;"] "&amp;IF(TRIM(E120)="Ascending","ASC","DES")&amp;IF(D121="","",","))</f>
        <v xml:space="preserve">          [Agent] ASC</v>
      </c>
      <c r="AW120" s="28"/>
    </row>
    <row r="121" spans="2:51">
      <c r="B121" s="20" t="str">
        <f>IF(C121=0,"",+B120+1)</f>
        <v/>
      </c>
      <c r="C121" s="10"/>
      <c r="D121" s="21" t="str">
        <f t="shared" si="40"/>
        <v/>
      </c>
      <c r="E121" s="10"/>
      <c r="G121" s="5"/>
      <c r="AV121" s="27" t="str">
        <f t="shared" si="41"/>
        <v/>
      </c>
      <c r="AW121" s="28"/>
    </row>
    <row r="122" spans="2:51">
      <c r="B122" s="20" t="str">
        <f t="shared" ref="B122:B127" si="42">IF(C122=0,"",+B121+1)</f>
        <v/>
      </c>
      <c r="C122" s="10"/>
      <c r="D122" s="21" t="str">
        <f t="shared" si="40"/>
        <v/>
      </c>
      <c r="E122" s="10"/>
      <c r="G122" s="5"/>
      <c r="S122" s="287" t="s">
        <v>574</v>
      </c>
      <c r="AV122" s="27" t="str">
        <f t="shared" si="41"/>
        <v/>
      </c>
      <c r="AW122" s="28"/>
    </row>
    <row r="123" spans="2:51">
      <c r="B123" s="20" t="str">
        <f t="shared" si="42"/>
        <v/>
      </c>
      <c r="C123" s="10"/>
      <c r="D123" s="21" t="str">
        <f t="shared" si="40"/>
        <v/>
      </c>
      <c r="E123" s="10"/>
      <c r="G123" s="5"/>
      <c r="S123" s="288" t="s">
        <v>312</v>
      </c>
      <c r="T123" s="288" t="s">
        <v>393</v>
      </c>
      <c r="U123" s="288" t="s">
        <v>394</v>
      </c>
      <c r="V123" s="288" t="s">
        <v>390</v>
      </c>
      <c r="W123" s="288" t="s">
        <v>391</v>
      </c>
      <c r="X123" s="288" t="s">
        <v>392</v>
      </c>
      <c r="Y123" s="288" t="s">
        <v>400</v>
      </c>
      <c r="Z123" s="288" t="s">
        <v>436</v>
      </c>
      <c r="AV123" s="27" t="str">
        <f t="shared" si="41"/>
        <v/>
      </c>
      <c r="AW123" s="28"/>
    </row>
    <row r="124" spans="2:51">
      <c r="B124" s="20" t="str">
        <f t="shared" si="42"/>
        <v/>
      </c>
      <c r="C124" s="10"/>
      <c r="D124" s="21" t="str">
        <f t="shared" si="40"/>
        <v/>
      </c>
      <c r="E124" s="10"/>
      <c r="G124" s="5"/>
      <c r="S124" s="239" t="s">
        <v>1015</v>
      </c>
      <c r="T124" s="239" t="s">
        <v>908</v>
      </c>
      <c r="U124" s="239" t="str">
        <f>+E8</f>
        <v>Agent Expand</v>
      </c>
      <c r="V124" s="239"/>
      <c r="W124" s="239" t="s">
        <v>1013</v>
      </c>
      <c r="X124" s="239" t="str">
        <f>"./"&amp;V2</f>
        <v>./LGTA11.html</v>
      </c>
      <c r="Y124" s="239" t="s">
        <v>1014</v>
      </c>
      <c r="Z124" s="282" t="str">
        <f>+S120</f>
        <v>LGTA11</v>
      </c>
      <c r="AV124" s="27" t="str">
        <f t="shared" si="41"/>
        <v/>
      </c>
      <c r="AW124" s="28"/>
    </row>
    <row r="125" spans="2:51">
      <c r="B125" s="20" t="str">
        <f t="shared" si="42"/>
        <v/>
      </c>
      <c r="C125" s="10"/>
      <c r="D125" s="21" t="str">
        <f t="shared" si="40"/>
        <v/>
      </c>
      <c r="E125" s="10"/>
      <c r="G125" s="5"/>
      <c r="AV125" s="27" t="str">
        <f t="shared" si="41"/>
        <v/>
      </c>
      <c r="AW125" s="28"/>
    </row>
    <row r="126" spans="2:51">
      <c r="B126" s="20" t="str">
        <f t="shared" si="42"/>
        <v/>
      </c>
      <c r="C126" s="10"/>
      <c r="D126" s="21" t="str">
        <f t="shared" si="40"/>
        <v/>
      </c>
      <c r="E126" s="10"/>
      <c r="G126" s="5"/>
      <c r="AV126" s="27" t="str">
        <f t="shared" si="41"/>
        <v/>
      </c>
      <c r="AW126" s="28"/>
    </row>
    <row r="127" spans="2:51">
      <c r="B127" s="20" t="str">
        <f t="shared" si="42"/>
        <v/>
      </c>
      <c r="C127" s="19"/>
      <c r="D127" s="21" t="str">
        <f t="shared" si="40"/>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"ad07071a-8827-42da-8e5d-edbe50e0f565",</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"AgentInfo",</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"Agent Expand",</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["Agent"],</v>
      </c>
      <c r="C137" s="122"/>
      <c r="D137" s="122"/>
      <c r="E137" s="122"/>
      <c r="F137" s="122"/>
      <c r="G137" s="122"/>
      <c r="H137" s="122"/>
      <c r="I137" s="122"/>
      <c r="J137" s="122"/>
      <c r="K137" s="122"/>
      <c r="L137" s="122"/>
      <c r="M137" s="122"/>
    </row>
    <row r="138" spans="2:49">
      <c r="B138" s="273" t="str">
        <f>REPT(" ",6)&amp;CHAR(34)&amp;"QueryStr"&amp;CHAR(34)&amp;": "&amp;G120</f>
        <v xml:space="preserve">      "QueryStr": "Agent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REPT(" ",6)&amp;CHAR(34)&amp;"EntryDate"&amp;CHAR(34)&amp;": "&amp;CHAR(34)&amp;TEXT(NOW(),"DD/MM/YYYY")&amp;CHAR(34)&amp;","</f>
        <v xml:space="preserve">      "EntryDate": "30/04/2021",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c r="O150" s="14"/>
    </row>
    <row r="151" spans="2:16">
      <c r="B151" s="274"/>
      <c r="C151" s="14"/>
      <c r="D151" s="232"/>
      <c r="E151" s="14"/>
      <c r="F151" s="14"/>
      <c r="G151" s="14"/>
      <c r="H151" s="14"/>
      <c r="I151" s="14"/>
      <c r="J151" s="14"/>
      <c r="K151" s="14"/>
      <c r="L151" s="14"/>
      <c r="M151" s="14"/>
      <c r="N151" s="14"/>
      <c r="O151" s="14"/>
    </row>
    <row r="152" spans="2:16">
      <c r="B152" s="275"/>
      <c r="C152" s="275"/>
      <c r="D152" s="275"/>
      <c r="E152" s="275"/>
      <c r="F152" s="14"/>
      <c r="G152" s="276"/>
      <c r="H152" s="14"/>
      <c r="I152" s="14"/>
      <c r="J152" s="14"/>
      <c r="K152" s="14"/>
      <c r="L152" s="14"/>
      <c r="M152" s="14"/>
      <c r="N152" s="14"/>
      <c r="O152" s="14"/>
      <c r="P152" s="4"/>
    </row>
    <row r="153" spans="2:16">
      <c r="B153" s="277"/>
      <c r="C153" s="277"/>
      <c r="D153" s="278"/>
      <c r="E153" s="14"/>
      <c r="F153" s="14"/>
      <c r="G153" s="14"/>
      <c r="H153" s="14"/>
      <c r="I153" s="14"/>
      <c r="J153" s="14"/>
      <c r="K153" s="14"/>
      <c r="L153" s="14"/>
      <c r="M153" s="14"/>
      <c r="N153" s="14"/>
      <c r="O153" s="14"/>
    </row>
    <row r="154" spans="2:16">
      <c r="B154" s="277"/>
      <c r="C154" s="277"/>
      <c r="D154" s="278"/>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9"/>
      <c r="L161" s="14"/>
      <c r="M161" s="14"/>
      <c r="N161" s="14"/>
      <c r="O161" s="14"/>
    </row>
    <row r="162" spans="2:16">
      <c r="B162" s="14"/>
      <c r="C162" s="14"/>
      <c r="D162" s="14"/>
      <c r="E162" s="14"/>
      <c r="F162" s="14"/>
      <c r="G162" s="14"/>
      <c r="H162" s="14"/>
      <c r="I162" s="14"/>
      <c r="J162" s="14"/>
      <c r="K162" s="280"/>
      <c r="L162" s="14"/>
      <c r="M162" s="14"/>
      <c r="N162" s="14"/>
      <c r="O162" s="14"/>
    </row>
    <row r="163" spans="2:16">
      <c r="K163" s="107"/>
      <c r="L163" s="107"/>
    </row>
    <row r="164" spans="2:16">
      <c r="K164" s="107"/>
      <c r="L164" s="107"/>
      <c r="P164" s="107"/>
    </row>
    <row r="165" spans="2:16">
      <c r="K165" s="107"/>
      <c r="L165" s="107"/>
    </row>
    <row r="166" spans="2:16">
      <c r="K166" s="107"/>
      <c r="L166" s="107"/>
      <c r="O166" s="107"/>
    </row>
    <row r="167" spans="2:16">
      <c r="K167" s="107"/>
    </row>
    <row r="168" spans="2:16">
      <c r="K168" s="107"/>
    </row>
    <row r="169" spans="2:16">
      <c r="K169" s="107"/>
    </row>
    <row r="170" spans="2:16">
      <c r="K170" s="107"/>
      <c r="L170" s="107"/>
    </row>
    <row r="171" spans="2:16">
      <c r="K171" s="107"/>
      <c r="L171" s="107"/>
    </row>
    <row r="172" spans="2:16">
      <c r="K172" s="107"/>
      <c r="L172" s="107"/>
    </row>
    <row r="173" spans="2:16">
      <c r="K173" s="107"/>
      <c r="L173" s="107"/>
      <c r="O173" s="107"/>
    </row>
    <row r="174" spans="2:16">
      <c r="K174" s="107"/>
    </row>
  </sheetData>
  <mergeCells count="1">
    <mergeCell ref="N14:P14"/>
  </mergeCells>
  <dataValidations count="5">
    <dataValidation type="list" showInputMessage="1" showErrorMessage="1" sqref="V16:V115" xr:uid="{85795C55-C39D-459D-8EF2-D9942BD5783D}">
      <formula1>aFormat</formula1>
    </dataValidation>
    <dataValidation type="list" showInputMessage="1" showErrorMessage="1" sqref="U16:U115" xr:uid="{51729CAC-5E75-4DCE-AA7A-DB2383AFD567}">
      <formula1>aDataType</formula1>
    </dataValidation>
    <dataValidation type="list" showInputMessage="1" showErrorMessage="1" sqref="W16:X115 X2 V6:V7 AL11:AL12 T7" xr:uid="{3F45CAED-BDC2-412B-8CAD-6799C97F549A}">
      <formula1>aBoolean</formula1>
    </dataValidation>
    <dataValidation type="list" allowBlank="1" showInputMessage="1" showErrorMessage="1" sqref="E6" xr:uid="{38113247-D701-4A5B-A5D2-4C4A80AB6F5D}">
      <formula1>#NAME?</formula1>
    </dataValidation>
    <dataValidation type="list" allowBlank="1" showInputMessage="1" showErrorMessage="1" sqref="C6" xr:uid="{617226A1-D870-4376-996F-08C2B53C6FF2}">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DDA7589-5192-4F56-B783-8F5F37BEE9E7}">
          <x14:formula1>
            <xm:f>Variables!$I$28:$I$35</xm:f>
          </x14:formula1>
          <xm:sqref>T6</xm:sqref>
        </x14:dataValidation>
        <x14:dataValidation type="list" allowBlank="1" showInputMessage="1" showErrorMessage="1" xr:uid="{9511AA52-62D2-46EF-BB85-0C1CFA2F694A}">
          <x14:formula1>
            <xm:f>Variables!$G$6:$G$8</xm:f>
          </x14:formula1>
          <xm:sqref>T5</xm:sqref>
        </x14:dataValidation>
        <x14:dataValidation type="list" allowBlank="1" showInputMessage="1" showErrorMessage="1" xr:uid="{C7A07383-1D46-476A-BCC9-5E659D4AECBA}">
          <x14:formula1>
            <xm:f>Variables!$G$12:$G$14</xm:f>
          </x14:formula1>
          <xm:sqref>AA16:AA115</xm:sqref>
        </x14:dataValidation>
        <x14:dataValidation type="list" showInputMessage="1" showErrorMessage="1" xr:uid="{FFA090EF-BDFD-463E-BF72-4A2D83EB15C9}">
          <x14:formula1>
            <xm:f>Variables!$G$17:$G$22</xm:f>
          </x14:formula1>
          <xm:sqref>T8:T10</xm:sqref>
        </x14:dataValidation>
        <x14:dataValidation type="list" allowBlank="1" showInputMessage="1" showErrorMessage="1" xr:uid="{BE270046-DE35-40FA-BD53-28B890E4CFB6}">
          <x14:formula1>
            <xm:f>Variables!E$28:E$34</xm:f>
          </x14:formula1>
          <xm:sqref>AJ16:AJ115</xm:sqref>
        </x14:dataValidation>
        <x14:dataValidation type="list" allowBlank="1" showInputMessage="1" showErrorMessage="1" xr:uid="{606CF2AD-44B4-4A9E-90ED-B2EBC3DB8EB5}">
          <x14:formula1>
            <xm:f>Variables!E$28:E$34</xm:f>
          </x14:formula1>
          <xm:sqref>AM16:AM115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8B588-2942-4515-899E-FB58281B0A4F}">
  <sheetPr codeName="Sheet21">
    <tabColor theme="4" tint="0.79998168889431442"/>
  </sheetPr>
  <dimension ref="B1:AY174"/>
  <sheetViews>
    <sheetView showGridLines="0" showRowColHeaders="0" workbookViewId="0">
      <pane xSplit="6" ySplit="15" topLeftCell="G16" activePane="bottomRight" state="frozen"/>
      <selection pane="topRight" activeCell="G1" sqref="G1"/>
      <selection pane="bottomLeft" activeCell="A16" sqref="A16"/>
      <selection pane="bottomRight" activeCell="L8" sqref="L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51" bestFit="1" customWidth="1"/>
    <col min="19" max="19" width="18.5703125" style="134" bestFit="1" customWidth="1"/>
    <col min="20" max="20" width="14.85546875" style="134" bestFit="1" customWidth="1"/>
    <col min="21" max="21" width="14.7109375" style="134" bestFit="1" customWidth="1"/>
    <col min="22" max="22" width="19.140625" style="134" customWidth="1"/>
    <col min="23" max="23" width="13.5703125" style="134" bestFit="1" customWidth="1"/>
    <col min="24" max="24" width="15.28515625" style="134" customWidth="1"/>
    <col min="25" max="25" width="12.5703125" style="134" customWidth="1"/>
    <col min="26" max="26" width="15" style="143" customWidth="1"/>
    <col min="27" max="27" width="8.7109375" style="143" bestFit="1" customWidth="1"/>
    <col min="28" max="35" width="1.7109375" style="134" customWidth="1"/>
    <col min="36" max="36" width="11.5703125" style="134" bestFit="1" customWidth="1"/>
    <col min="37" max="37" width="20.28515625" bestFit="1" customWidth="1"/>
    <col min="38" max="38" width="12.42578125" style="134" bestFit="1" customWidth="1"/>
    <col min="39" max="39" width="11.5703125" style="134" bestFit="1" customWidth="1"/>
    <col min="40" max="40" width="12.42578125" style="134" bestFit="1" customWidth="1"/>
    <col min="41" max="41" width="10.7109375" bestFit="1" customWidth="1"/>
    <col min="42" max="45" width="2.7109375" style="134" customWidth="1"/>
    <col min="46" max="46" width="18.42578125" style="134" bestFit="1" customWidth="1"/>
    <col min="47" max="47" width="3.42578125" style="134"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4"/>
      <c r="AV1" s="13" t="s">
        <v>430</v>
      </c>
    </row>
    <row r="2" spans="2:51">
      <c r="S2" s="255" t="s">
        <v>875</v>
      </c>
      <c r="T2" s="240" t="str" cm="1">
        <f t="array" aca="1" ref="T2" ca="1">MID(CELL("filename",A1),FIND("]",CELL("filename",A1))+1,250)</f>
        <v>NEXTNUMBER</v>
      </c>
      <c r="U2" s="255" t="s">
        <v>874</v>
      </c>
      <c r="V2" s="240" t="str">
        <f ca="1">UPPER(RIGHT(T2,1)&amp;V3&amp;MID(T2,2,1)&amp;V3&amp;MID(T2,5,1)&amp;LEFT(T2,1)&amp;C7)&amp;".html"</f>
        <v>RENN1515.html</v>
      </c>
      <c r="W2" s="255" t="s">
        <v>1071</v>
      </c>
      <c r="X2" s="245" t="s">
        <v>379</v>
      </c>
      <c r="AV2" s="27" t="str">
        <f>+"USE "&amp;TRIM(C5)</f>
        <v>USE SIBISDB</v>
      </c>
      <c r="AW2" s="27"/>
    </row>
    <row r="3" spans="2:51">
      <c r="B3" s="247" t="s">
        <v>577</v>
      </c>
      <c r="C3" s="102" t="str">
        <f>+DBTableList!G5</f>
        <v>http://wikran-w10:8081</v>
      </c>
      <c r="D3" s="248" t="s">
        <v>846</v>
      </c>
      <c r="E3" s="5" t="str">
        <f>+DBTableList!$G$4</f>
        <v>CBS</v>
      </c>
      <c r="I3" s="219"/>
      <c r="J3" s="219"/>
      <c r="K3" s="62"/>
      <c r="U3" s="254" t="s">
        <v>877</v>
      </c>
      <c r="V3" s="240" t="str">
        <f>IF(ISERROR(FIND("EntryBy",C11)),"","X")</f>
        <v/>
      </c>
      <c r="AV3" s="27" t="s">
        <v>0</v>
      </c>
      <c r="AW3" s="27"/>
    </row>
    <row r="4" spans="2:51">
      <c r="B4" s="248" t="s">
        <v>854</v>
      </c>
      <c r="C4" s="218" t="str">
        <f>+DBTableList!G6</f>
        <v>pythonLT</v>
      </c>
      <c r="D4" s="250" t="s">
        <v>412</v>
      </c>
      <c r="E4" s="68" t="s">
        <v>407</v>
      </c>
      <c r="S4" s="256" t="s">
        <v>872</v>
      </c>
      <c r="AV4" s="28" t="s">
        <v>1</v>
      </c>
      <c r="AW4" s="27"/>
    </row>
    <row r="5" spans="2:51">
      <c r="B5" s="249" t="s">
        <v>19</v>
      </c>
      <c r="C5" s="101" t="s">
        <v>20</v>
      </c>
      <c r="D5" s="248" t="s">
        <v>408</v>
      </c>
      <c r="E5" s="5" t="str">
        <f>+DBTableList!$G$4</f>
        <v>CBS</v>
      </c>
      <c r="S5" s="241" t="s">
        <v>873</v>
      </c>
      <c r="T5" s="244" t="s">
        <v>569</v>
      </c>
      <c r="U5" s="243" t="s">
        <v>377</v>
      </c>
      <c r="V5" s="240" t="str">
        <f>CHAR(34)&amp;E8&amp;" Info"&amp;CHAR(34)</f>
        <v>"Next Number Info"</v>
      </c>
      <c r="W5" s="242" t="s">
        <v>1436</v>
      </c>
      <c r="X5" s="240" t="s">
        <v>1435</v>
      </c>
      <c r="AV5" s="28" t="s">
        <v>1</v>
      </c>
      <c r="AW5" s="27"/>
    </row>
    <row r="6" spans="2:51">
      <c r="B6" s="250" t="s">
        <v>10</v>
      </c>
      <c r="C6" s="5" t="s">
        <v>852</v>
      </c>
      <c r="D6" s="249" t="s">
        <v>429</v>
      </c>
      <c r="E6" s="5" t="s">
        <v>424</v>
      </c>
      <c r="S6" s="242" t="s">
        <v>514</v>
      </c>
      <c r="T6" s="245" t="s">
        <v>506</v>
      </c>
      <c r="U6" s="242" t="s">
        <v>507</v>
      </c>
      <c r="V6" s="245" t="s">
        <v>367</v>
      </c>
      <c r="W6" s="242" t="s">
        <v>1434</v>
      </c>
      <c r="X6" s="245" t="s">
        <v>367</v>
      </c>
      <c r="AV6" s="27" t="s">
        <v>2</v>
      </c>
      <c r="AW6" s="27"/>
    </row>
    <row r="7" spans="2:51">
      <c r="B7" s="249" t="s">
        <v>315</v>
      </c>
      <c r="C7" s="17">
        <v>1515</v>
      </c>
      <c r="D7" s="249" t="str">
        <f>"LIMIT "&amp;IF(E7=0,"(MAX)","")</f>
        <v>LIMIT (MAX)</v>
      </c>
      <c r="E7" s="17">
        <v>0</v>
      </c>
      <c r="I7" s="450"/>
      <c r="S7" s="242" t="s">
        <v>508</v>
      </c>
      <c r="T7" s="245" t="s">
        <v>379</v>
      </c>
      <c r="U7" s="242" t="s">
        <v>385</v>
      </c>
      <c r="V7" s="245" t="s">
        <v>379</v>
      </c>
      <c r="W7" s="242" t="s">
        <v>1444</v>
      </c>
      <c r="X7" s="240">
        <v>2</v>
      </c>
      <c r="AV7" s="27" t="s">
        <v>0</v>
      </c>
      <c r="AW7" s="27"/>
    </row>
    <row r="8" spans="2:51">
      <c r="B8" s="215" t="s">
        <v>16</v>
      </c>
      <c r="C8" s="17" t="s">
        <v>1409</v>
      </c>
      <c r="D8" s="215" t="s">
        <v>847</v>
      </c>
      <c r="E8" s="17" t="s">
        <v>1410</v>
      </c>
      <c r="G8" s="62"/>
      <c r="S8" s="242" t="s">
        <v>509</v>
      </c>
      <c r="T8" s="245" t="s">
        <v>379</v>
      </c>
      <c r="U8" s="242" t="s">
        <v>380</v>
      </c>
      <c r="V8" s="246">
        <v>1000</v>
      </c>
      <c r="W8" s="242"/>
      <c r="X8" s="240"/>
      <c r="AV8" s="28" t="s">
        <v>1</v>
      </c>
      <c r="AW8" s="27"/>
    </row>
    <row r="9" spans="2:51">
      <c r="B9" s="250" t="s">
        <v>409</v>
      </c>
      <c r="C9" s="102" t="str">
        <f>VLOOKUP(E6,Variables!$B$22:$C$25,2,FALSE)</f>
        <v>b18e9f22-2069-4f35-9739-4d7f976335eb</v>
      </c>
      <c r="D9" s="104"/>
      <c r="E9" s="103"/>
      <c r="S9" s="242" t="s">
        <v>510</v>
      </c>
      <c r="T9" s="245" t="s">
        <v>1244</v>
      </c>
      <c r="U9" s="242" t="s">
        <v>378</v>
      </c>
      <c r="V9" s="246">
        <v>525</v>
      </c>
      <c r="W9" s="242"/>
      <c r="X9" s="240"/>
      <c r="AV9" s="27" t="s">
        <v>3</v>
      </c>
      <c r="AW9" s="27"/>
    </row>
    <row r="10" spans="2:51">
      <c r="B10" s="217" t="str">
        <f>HYPERLINK("[http://wikran-w10:8080/Gentoken.html]","TBTOKEN")</f>
        <v>TBTOKEN</v>
      </c>
      <c r="C10" s="102" t="s">
        <v>1402</v>
      </c>
      <c r="D10" s="104"/>
      <c r="E10" s="103"/>
      <c r="M10" s="107" t="s">
        <v>1</v>
      </c>
      <c r="S10" s="242" t="s">
        <v>511</v>
      </c>
      <c r="T10" s="245" t="s">
        <v>1245</v>
      </c>
      <c r="U10" s="242"/>
      <c r="V10" s="246"/>
      <c r="W10" s="242"/>
      <c r="X10" s="240"/>
      <c r="AV10" s="27" t="s">
        <v>0</v>
      </c>
      <c r="AW10" s="27"/>
    </row>
    <row r="11" spans="2:51">
      <c r="B11" s="105" t="s">
        <v>411</v>
      </c>
      <c r="C11" s="102"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Code,NextNo,ConstantValue,BooleanFlag,Remark</v>
      </c>
      <c r="D11" s="104"/>
      <c r="E11" s="104"/>
      <c r="F11" s="104"/>
      <c r="G11" s="104"/>
      <c r="H11" s="104"/>
      <c r="I11" s="104"/>
      <c r="J11" s="104"/>
      <c r="K11" s="104"/>
      <c r="L11" s="103"/>
      <c r="M11" s="107" t="s">
        <v>1</v>
      </c>
      <c r="S11" s="242"/>
      <c r="T11" s="246"/>
      <c r="U11" s="242"/>
      <c r="V11" s="246"/>
      <c r="W11" s="242"/>
      <c r="X11" s="240"/>
      <c r="AK11" s="220" t="s">
        <v>1034</v>
      </c>
      <c r="AL11" s="348" t="s">
        <v>379</v>
      </c>
      <c r="AV11" s="28" t="s">
        <v>1</v>
      </c>
      <c r="AW11" s="27"/>
    </row>
    <row r="12" spans="2:51">
      <c r="B12" s="217" t="str">
        <f>HYPERLINK("["&amp;C12&amp;"]","DATA LINK")</f>
        <v>DATA LINK</v>
      </c>
      <c r="C12" s="164" t="str">
        <f xml:space="preserve"> TRIM(C3)&amp;"/"&amp;C4&amp;"/" &amp;Variables!$C$15 &amp; "/" &amp; C10&amp; "/" &amp; "all"</f>
        <v>http://wikran-w10:8081/pythonLT/A75FCC75-8FB6-4460-B3F6-7070B4437930/a32f4a17-4df8-453d-a617-dab8ceb48775/all</v>
      </c>
      <c r="D12" s="104"/>
      <c r="E12" s="104"/>
      <c r="F12" s="104"/>
      <c r="G12" s="104"/>
      <c r="H12" s="104"/>
      <c r="I12" s="104"/>
      <c r="J12" s="104"/>
      <c r="K12" s="104"/>
      <c r="L12" s="103"/>
      <c r="M12" s="107" t="s">
        <v>1</v>
      </c>
      <c r="S12" s="242"/>
      <c r="T12" s="246"/>
      <c r="U12" s="242"/>
      <c r="V12" s="246"/>
      <c r="W12" s="242"/>
      <c r="X12" s="240"/>
      <c r="AK12" s="220" t="s">
        <v>1033</v>
      </c>
      <c r="AL12" s="348" t="s">
        <v>367</v>
      </c>
      <c r="AV12" s="27" t="s">
        <v>4</v>
      </c>
      <c r="AW12" s="27"/>
    </row>
    <row r="13" spans="2:51">
      <c r="AV13" s="27" t="s">
        <v>0</v>
      </c>
      <c r="AW13" s="27"/>
    </row>
    <row r="14" spans="2:51" ht="12.75">
      <c r="B14" s="154" t="s">
        <v>21</v>
      </c>
      <c r="C14" s="155">
        <f>MAX(B16:B115)</f>
        <v>5</v>
      </c>
      <c r="D14" s="3" t="s">
        <v>496</v>
      </c>
      <c r="E14" s="3">
        <f>+C14+15</f>
        <v>20</v>
      </c>
      <c r="G14" s="16" t="s">
        <v>22</v>
      </c>
      <c r="H14" s="131" t="str">
        <f>IF(IFERROR(FIND("varchar",E22),0)&gt;0,IF(D22&gt;8000,"max",D22),"")</f>
        <v/>
      </c>
      <c r="M14" s="107" t="s">
        <v>369</v>
      </c>
      <c r="N14" s="489" t="s">
        <v>305</v>
      </c>
      <c r="O14" s="490"/>
      <c r="P14" s="491"/>
      <c r="S14" s="257" t="s">
        <v>871</v>
      </c>
      <c r="T14" s="149" t="s">
        <v>893</v>
      </c>
      <c r="AJ14" s="347">
        <f>COUNTBLANK(AJ16:AJ115)</f>
        <v>99</v>
      </c>
      <c r="AK14" s="30" t="s">
        <v>1044</v>
      </c>
      <c r="AM14" s="347">
        <f>COUNTBLANK(AM16:AM115)</f>
        <v>100</v>
      </c>
      <c r="AN14" s="30" t="s">
        <v>1036</v>
      </c>
      <c r="AO14" s="347">
        <f>+AM14+AJ14</f>
        <v>199</v>
      </c>
      <c r="AV14" s="28" t="s">
        <v>1</v>
      </c>
      <c r="AW14" s="27"/>
      <c r="AY14" s="13" t="s">
        <v>431</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6"/>
      <c r="R15" s="152"/>
      <c r="S15" s="137" t="s">
        <v>421</v>
      </c>
      <c r="T15" s="137" t="s">
        <v>1059</v>
      </c>
      <c r="U15" s="137" t="s">
        <v>364</v>
      </c>
      <c r="V15" s="137" t="s">
        <v>365</v>
      </c>
      <c r="W15" s="137" t="s">
        <v>488</v>
      </c>
      <c r="X15" s="137" t="s">
        <v>366</v>
      </c>
      <c r="Y15" s="137" t="s">
        <v>380</v>
      </c>
      <c r="Z15" s="147" t="s">
        <v>370</v>
      </c>
      <c r="AA15" s="137" t="s">
        <v>422</v>
      </c>
      <c r="AB15" s="239"/>
      <c r="AC15" s="239"/>
      <c r="AD15" s="239"/>
      <c r="AE15" s="239"/>
      <c r="AF15" s="239"/>
      <c r="AG15" s="239"/>
      <c r="AH15" s="239"/>
      <c r="AI15" s="239"/>
      <c r="AJ15" s="327" t="s">
        <v>1039</v>
      </c>
      <c r="AK15" s="328" t="s">
        <v>1035</v>
      </c>
      <c r="AL15" s="327" t="s">
        <v>1031</v>
      </c>
      <c r="AM15" s="327" t="s">
        <v>1039</v>
      </c>
      <c r="AN15" s="328" t="s">
        <v>1035</v>
      </c>
      <c r="AO15" s="327" t="s">
        <v>1031</v>
      </c>
      <c r="AP15" s="135"/>
      <c r="AQ15" s="135"/>
      <c r="AR15" s="135"/>
      <c r="AS15" s="135"/>
      <c r="AT15" s="142" t="s">
        <v>490</v>
      </c>
      <c r="AV15" s="27" t="str">
        <f>+"CREATE TABLE [dbo].["&amp;TRIM(C8)&amp;"]("</f>
        <v>CREATE TABLE [dbo].[NextNumber](</v>
      </c>
      <c r="AW15" s="27"/>
      <c r="AY15" s="122" t="str">
        <f>+"CREATE TABLE "&amp;TRIM(C8)&amp;" ("</f>
        <v>CREATE TABLE NextNumber (</v>
      </c>
    </row>
    <row r="16" spans="2:51" ht="12.75">
      <c r="B16" s="20">
        <f>IF(C16=0,"",1)</f>
        <v>1</v>
      </c>
      <c r="C16" s="5" t="s">
        <v>895</v>
      </c>
      <c r="D16" s="5">
        <v>8</v>
      </c>
      <c r="E16" s="5" t="s">
        <v>11</v>
      </c>
      <c r="G16" s="5" t="str">
        <f t="shared" ref="G16:G32" si="0">SUBSTITUTE(SUBSTITUTE(SUBSTITUTE(SUBSTITUTE(SUBSTITUTE(SUBSTITUTE(SUBSTITUTE(SUBSTITUTE(SUBSTITUTE(C16," ",""),".",""),"#","No"),"%",""),"(",""),"*",""),"-",""),"/",""),")","")</f>
        <v>Code</v>
      </c>
      <c r="H16" s="117">
        <f t="shared" ref="H16:H21" si="1">IF(IFERROR(FIND("varchar",E16),0)&gt;0,IF(D16&gt;8000,"max",D16),"")</f>
        <v>8</v>
      </c>
      <c r="I16" s="5" t="str">
        <f t="shared" ref="I16:I45" si="2">IF(E16=0,"",+E16)</f>
        <v>varchar</v>
      </c>
      <c r="J16" s="5" t="str">
        <f t="shared" ref="J16:J45" si="3">IF(C16=0,"",(IF(ISERROR(VLOOKUP(G16,$D$120:$D$127,1,FALSE)),""," NOT")&amp;" NULL"))</f>
        <v xml:space="preserve"> NOT NULL</v>
      </c>
      <c r="K16" s="138" t="s">
        <v>895</v>
      </c>
      <c r="L16" s="5"/>
      <c r="M16" s="75">
        <v>1</v>
      </c>
      <c r="N16" s="77"/>
      <c r="O16" s="26"/>
      <c r="P16" s="26"/>
      <c r="Q16" s="118">
        <f t="shared" ref="Q16:Q45" si="4">IF(M16=0,"",ROW())</f>
        <v>16</v>
      </c>
      <c r="R16" s="153"/>
      <c r="S16" s="138" t="str">
        <f>IF(K16=0,"",K16)</f>
        <v>Code</v>
      </c>
      <c r="T16" s="148"/>
      <c r="U16" s="146"/>
      <c r="V16" s="146"/>
      <c r="W16" s="139" t="s">
        <v>379</v>
      </c>
      <c r="X16" s="139" t="s">
        <v>367</v>
      </c>
      <c r="Y16" s="148"/>
      <c r="Z16" s="138" t="str">
        <f t="shared" ref="Z16:Z23" si="5">IF(M16&lt;9000,"","false")</f>
        <v/>
      </c>
      <c r="AA16" s="138" t="str">
        <f>IF($C$120=B16,"asc","")</f>
        <v>asc</v>
      </c>
      <c r="AB16" s="239"/>
      <c r="AC16" s="325"/>
      <c r="AD16" s="325"/>
      <c r="AE16" s="325"/>
      <c r="AF16" s="325"/>
      <c r="AG16" s="325"/>
      <c r="AH16" s="325"/>
      <c r="AI16" s="325"/>
      <c r="AJ16" s="325" t="s">
        <v>1028</v>
      </c>
      <c r="AK16" s="325"/>
      <c r="AL16" s="325"/>
      <c r="AM16" s="325"/>
      <c r="AN16" s="325"/>
      <c r="AO16" s="325"/>
      <c r="AP16" s="136"/>
      <c r="AQ16" s="136"/>
      <c r="AR16" s="136" t="str">
        <f t="shared" ref="AR16:AS47" si="6">IF(O16=0,"",ROW())</f>
        <v/>
      </c>
      <c r="AS16" s="136" t="str">
        <f t="shared" si="6"/>
        <v/>
      </c>
      <c r="AT16" s="5" t="str">
        <f t="shared" ref="AT16:AT79" si="7">IF(C16="","",C16&amp;IF(B17="","",","))</f>
        <v>Code,</v>
      </c>
      <c r="AV16" s="27" t="str">
        <f t="shared" ref="AV16:AV35" si="8">IF(G16="","",+"          ["&amp;TRIM(G16)&amp;"] ["&amp;TRIM(I16)&amp;"]"&amp;IF(H16="","","("&amp;H16&amp;")")&amp;" "&amp;TRIM(J16)&amp;IF(G17="","",","))</f>
        <v xml:space="preserve">          [Code] [varchar](8) NOT NULL,</v>
      </c>
      <c r="AW16" s="27"/>
      <c r="AY16" s="122" t="str">
        <f t="shared" ref="AY16:AY79" si="9">IF(G16="",IF(OR(AY15=");",AY15=""),"",");"),+"          "&amp;TRIM(G16)&amp;" "&amp;UPPER(TRIM(I16))&amp;IF(H16="",""," ("&amp;H16&amp;")")&amp;" "&amp;IF(TRIM(J16)="NOT NULL","PRIMARY KEY UNIQUE NOT NULL",TRIM(J16))&amp;IF(G17="","",","))</f>
        <v xml:space="preserve">          Code VARCHAR (8) PRIMARY KEY UNIQUE NOT NULL,</v>
      </c>
    </row>
    <row r="17" spans="2:51" ht="12.75">
      <c r="B17" s="20">
        <f>IF(C17=0,"",+B16+1)</f>
        <v>2</v>
      </c>
      <c r="C17" s="5" t="s">
        <v>1403</v>
      </c>
      <c r="D17" s="5"/>
      <c r="E17" s="5" t="s">
        <v>1404</v>
      </c>
      <c r="G17" s="5" t="str">
        <f t="shared" si="0"/>
        <v>NextNo</v>
      </c>
      <c r="H17" s="117" t="str">
        <f t="shared" si="1"/>
        <v/>
      </c>
      <c r="I17" s="5" t="str">
        <f t="shared" si="2"/>
        <v>int</v>
      </c>
      <c r="J17" s="5" t="str">
        <f t="shared" si="3"/>
        <v xml:space="preserve"> NULL</v>
      </c>
      <c r="K17" s="138" t="s">
        <v>1411</v>
      </c>
      <c r="L17" s="5"/>
      <c r="M17" s="75">
        <v>2</v>
      </c>
      <c r="N17" s="77"/>
      <c r="O17" s="26"/>
      <c r="P17" s="26"/>
      <c r="Q17" s="118">
        <f t="shared" si="4"/>
        <v>17</v>
      </c>
      <c r="R17" s="153"/>
      <c r="S17" s="138" t="str">
        <f t="shared" ref="S17:S80" si="10">IF(K17=0,"",K17)</f>
        <v>Next No</v>
      </c>
      <c r="T17" s="148"/>
      <c r="U17" s="146"/>
      <c r="V17" s="146"/>
      <c r="W17" s="139" t="s">
        <v>379</v>
      </c>
      <c r="X17" s="139"/>
      <c r="Y17" s="148"/>
      <c r="Z17" s="138" t="str">
        <f t="shared" si="5"/>
        <v/>
      </c>
      <c r="AA17" s="138" t="str">
        <f>IF($C$120=B17,"asc","")</f>
        <v/>
      </c>
      <c r="AB17" s="239"/>
      <c r="AC17" s="325"/>
      <c r="AD17" s="325"/>
      <c r="AE17" s="325"/>
      <c r="AF17" s="325"/>
      <c r="AG17" s="325"/>
      <c r="AH17" s="325"/>
      <c r="AI17" s="325"/>
      <c r="AJ17" s="325"/>
      <c r="AK17" s="325"/>
      <c r="AL17" s="325"/>
      <c r="AM17" s="325"/>
      <c r="AN17" s="325"/>
      <c r="AO17" s="325"/>
      <c r="AP17" s="136"/>
      <c r="AQ17" s="136"/>
      <c r="AR17" s="136" t="str">
        <f t="shared" si="6"/>
        <v/>
      </c>
      <c r="AS17" s="136" t="str">
        <f t="shared" si="6"/>
        <v/>
      </c>
      <c r="AT17" s="5" t="str">
        <f t="shared" si="7"/>
        <v>NextNo,</v>
      </c>
      <c r="AV17" s="27" t="str">
        <f t="shared" si="8"/>
        <v xml:space="preserve">          [NextNo] [int] NULL,</v>
      </c>
      <c r="AW17" s="27"/>
      <c r="AY17" s="122" t="str">
        <f t="shared" si="9"/>
        <v xml:space="preserve">          NextNo INT NULL,</v>
      </c>
    </row>
    <row r="18" spans="2:51" ht="12.75">
      <c r="B18" s="20">
        <f t="shared" ref="B18:B81" si="11">IF(C18=0,"",+B17+1)</f>
        <v>3</v>
      </c>
      <c r="C18" s="5" t="s">
        <v>1405</v>
      </c>
      <c r="D18" s="5"/>
      <c r="E18" s="5" t="s">
        <v>1406</v>
      </c>
      <c r="G18" s="5" t="str">
        <f t="shared" si="0"/>
        <v>ConstantValue</v>
      </c>
      <c r="H18" s="117" t="str">
        <f t="shared" si="1"/>
        <v/>
      </c>
      <c r="I18" s="5" t="str">
        <f t="shared" si="2"/>
        <v>float</v>
      </c>
      <c r="J18" s="5" t="str">
        <f t="shared" si="3"/>
        <v xml:space="preserve"> NULL</v>
      </c>
      <c r="K18" s="138" t="s">
        <v>1412</v>
      </c>
      <c r="L18" s="5"/>
      <c r="M18" s="75">
        <v>3</v>
      </c>
      <c r="N18" s="77"/>
      <c r="O18" s="26"/>
      <c r="P18" s="26"/>
      <c r="Q18" s="118">
        <f t="shared" si="4"/>
        <v>18</v>
      </c>
      <c r="R18" s="153"/>
      <c r="S18" s="138" t="str">
        <f t="shared" si="10"/>
        <v>Constant Value</v>
      </c>
      <c r="T18" s="148"/>
      <c r="U18" s="146" t="s">
        <v>363</v>
      </c>
      <c r="V18" s="146" t="s">
        <v>368</v>
      </c>
      <c r="W18" s="139"/>
      <c r="X18" s="139"/>
      <c r="Y18" s="148"/>
      <c r="Z18" s="138" t="str">
        <f t="shared" si="5"/>
        <v/>
      </c>
      <c r="AA18" s="138" t="str">
        <f t="shared" ref="AA18:AA81" si="12">IF($C$120=B18,"asc","")</f>
        <v/>
      </c>
      <c r="AB18" s="239"/>
      <c r="AC18" s="325"/>
      <c r="AD18" s="325"/>
      <c r="AE18" s="325"/>
      <c r="AF18" s="325"/>
      <c r="AG18" s="325"/>
      <c r="AH18" s="325"/>
      <c r="AI18" s="325"/>
      <c r="AJ18" s="325"/>
      <c r="AK18" s="325"/>
      <c r="AL18" s="325"/>
      <c r="AM18" s="325"/>
      <c r="AN18" s="325"/>
      <c r="AO18" s="325"/>
      <c r="AP18" s="136"/>
      <c r="AQ18" s="136"/>
      <c r="AR18" s="136" t="str">
        <f t="shared" si="6"/>
        <v/>
      </c>
      <c r="AS18" s="136" t="str">
        <f t="shared" si="6"/>
        <v/>
      </c>
      <c r="AT18" s="5" t="str">
        <f t="shared" si="7"/>
        <v>ConstantValue,</v>
      </c>
      <c r="AV18" s="27" t="str">
        <f t="shared" si="8"/>
        <v xml:space="preserve">          [ConstantValue] [float] NULL,</v>
      </c>
      <c r="AW18" s="27"/>
      <c r="AY18" s="122" t="str">
        <f t="shared" si="9"/>
        <v xml:space="preserve">          ConstantValue FLOAT NULL,</v>
      </c>
    </row>
    <row r="19" spans="2:51" ht="12.75">
      <c r="B19" s="20">
        <f t="shared" si="11"/>
        <v>4</v>
      </c>
      <c r="C19" s="5" t="s">
        <v>1407</v>
      </c>
      <c r="D19" s="5"/>
      <c r="E19" s="5" t="s">
        <v>415</v>
      </c>
      <c r="G19" s="5" t="str">
        <f t="shared" si="0"/>
        <v>BooleanFlag</v>
      </c>
      <c r="H19" s="117" t="str">
        <f t="shared" si="1"/>
        <v/>
      </c>
      <c r="I19" s="5" t="str">
        <f t="shared" si="2"/>
        <v>bit</v>
      </c>
      <c r="J19" s="5" t="str">
        <f t="shared" si="3"/>
        <v xml:space="preserve"> NULL</v>
      </c>
      <c r="K19" s="138" t="s">
        <v>1413</v>
      </c>
      <c r="L19" s="5"/>
      <c r="M19" s="75">
        <v>9001</v>
      </c>
      <c r="N19" s="77"/>
      <c r="O19" s="26"/>
      <c r="P19" s="26"/>
      <c r="Q19" s="118">
        <f t="shared" si="4"/>
        <v>19</v>
      </c>
      <c r="R19" s="153"/>
      <c r="S19" s="138" t="str">
        <f t="shared" si="10"/>
        <v>Boolean Flag</v>
      </c>
      <c r="T19" s="148"/>
      <c r="U19" s="146"/>
      <c r="V19" s="146"/>
      <c r="W19" s="139"/>
      <c r="X19" s="139"/>
      <c r="Y19" s="148"/>
      <c r="Z19" s="138" t="str">
        <f t="shared" si="5"/>
        <v>false</v>
      </c>
      <c r="AA19" s="138" t="str">
        <f t="shared" si="12"/>
        <v/>
      </c>
      <c r="AB19" s="239"/>
      <c r="AC19" s="325"/>
      <c r="AD19" s="325"/>
      <c r="AE19" s="325"/>
      <c r="AF19" s="325"/>
      <c r="AG19" s="325"/>
      <c r="AH19" s="325"/>
      <c r="AI19" s="325"/>
      <c r="AJ19" s="325"/>
      <c r="AK19" s="325"/>
      <c r="AL19" s="325"/>
      <c r="AM19" s="325"/>
      <c r="AN19" s="325"/>
      <c r="AO19" s="325"/>
      <c r="AP19" s="136"/>
      <c r="AQ19" s="136"/>
      <c r="AR19" s="136" t="str">
        <f t="shared" si="6"/>
        <v/>
      </c>
      <c r="AS19" s="136" t="str">
        <f t="shared" si="6"/>
        <v/>
      </c>
      <c r="AT19" s="5" t="str">
        <f t="shared" si="7"/>
        <v>BooleanFlag,</v>
      </c>
      <c r="AV19" s="27" t="str">
        <f t="shared" si="8"/>
        <v xml:space="preserve">          [BooleanFlag] [bit] NULL,</v>
      </c>
      <c r="AW19" s="27"/>
      <c r="AY19" s="122" t="str">
        <f t="shared" si="9"/>
        <v xml:space="preserve">          BooleanFlag BIT NULL,</v>
      </c>
    </row>
    <row r="20" spans="2:51" ht="12.75">
      <c r="B20" s="20">
        <f t="shared" si="11"/>
        <v>5</v>
      </c>
      <c r="C20" s="5" t="s">
        <v>1408</v>
      </c>
      <c r="D20" s="5">
        <v>100</v>
      </c>
      <c r="E20" s="5" t="s">
        <v>11</v>
      </c>
      <c r="G20" s="5" t="str">
        <f t="shared" si="0"/>
        <v>Remark</v>
      </c>
      <c r="H20" s="117">
        <f t="shared" si="1"/>
        <v>100</v>
      </c>
      <c r="I20" s="5" t="str">
        <f t="shared" si="2"/>
        <v>varchar</v>
      </c>
      <c r="J20" s="5" t="str">
        <f t="shared" si="3"/>
        <v xml:space="preserve"> NULL</v>
      </c>
      <c r="K20" s="138" t="s">
        <v>1408</v>
      </c>
      <c r="L20" s="5"/>
      <c r="M20" s="75">
        <v>4</v>
      </c>
      <c r="N20" s="77"/>
      <c r="O20" s="26"/>
      <c r="P20" s="26"/>
      <c r="Q20" s="118">
        <f t="shared" si="4"/>
        <v>20</v>
      </c>
      <c r="R20" s="153"/>
      <c r="S20" s="138" t="str">
        <f t="shared" si="10"/>
        <v>Remark</v>
      </c>
      <c r="T20" s="148"/>
      <c r="U20" s="146"/>
      <c r="V20" s="146"/>
      <c r="W20" s="139"/>
      <c r="X20" s="139"/>
      <c r="Y20" s="148"/>
      <c r="Z20" s="138" t="str">
        <f t="shared" si="5"/>
        <v/>
      </c>
      <c r="AA20" s="138" t="str">
        <f t="shared" si="12"/>
        <v/>
      </c>
      <c r="AB20" s="239"/>
      <c r="AC20" s="325"/>
      <c r="AD20" s="325"/>
      <c r="AE20" s="325"/>
      <c r="AF20" s="325"/>
      <c r="AG20" s="325"/>
      <c r="AH20" s="325"/>
      <c r="AI20" s="325"/>
      <c r="AJ20" s="325"/>
      <c r="AK20" s="325"/>
      <c r="AL20" s="325"/>
      <c r="AM20" s="325"/>
      <c r="AN20" s="325"/>
      <c r="AO20" s="325"/>
      <c r="AP20" s="136"/>
      <c r="AQ20" s="136"/>
      <c r="AR20" s="136" t="str">
        <f t="shared" si="6"/>
        <v/>
      </c>
      <c r="AS20" s="136" t="str">
        <f t="shared" si="6"/>
        <v/>
      </c>
      <c r="AT20" s="5" t="str">
        <f t="shared" si="7"/>
        <v>Remark</v>
      </c>
      <c r="AV20" s="27" t="str">
        <f t="shared" si="8"/>
        <v xml:space="preserve">          [Remark] [varchar](100) NULL</v>
      </c>
      <c r="AW20" s="27"/>
      <c r="AY20" s="122" t="str">
        <f t="shared" si="9"/>
        <v xml:space="preserve">          Remark VARCHAR (100) NULL</v>
      </c>
    </row>
    <row r="21" spans="2:51" ht="12.75">
      <c r="B21" s="20" t="str">
        <f t="shared" si="11"/>
        <v/>
      </c>
      <c r="C21" s="5"/>
      <c r="D21" s="5"/>
      <c r="E21" s="5"/>
      <c r="G21" s="5" t="str">
        <f t="shared" si="0"/>
        <v/>
      </c>
      <c r="H21" s="117" t="str">
        <f t="shared" si="1"/>
        <v/>
      </c>
      <c r="I21" s="5" t="str">
        <f t="shared" si="2"/>
        <v/>
      </c>
      <c r="J21" s="5" t="str">
        <f t="shared" si="3"/>
        <v/>
      </c>
      <c r="K21" s="138"/>
      <c r="L21" s="5"/>
      <c r="M21" s="75"/>
      <c r="N21" s="77"/>
      <c r="O21" s="26"/>
      <c r="P21" s="26"/>
      <c r="Q21" s="118" t="str">
        <f t="shared" si="4"/>
        <v/>
      </c>
      <c r="R21" s="153"/>
      <c r="S21" s="138" t="str">
        <f t="shared" si="10"/>
        <v/>
      </c>
      <c r="T21" s="148"/>
      <c r="U21" s="146"/>
      <c r="V21" s="146"/>
      <c r="W21" s="139"/>
      <c r="X21" s="139"/>
      <c r="Y21" s="148"/>
      <c r="Z21" s="138" t="str">
        <f t="shared" si="5"/>
        <v/>
      </c>
      <c r="AA21" s="138" t="str">
        <f t="shared" si="12"/>
        <v/>
      </c>
      <c r="AB21" s="239"/>
      <c r="AC21" s="325"/>
      <c r="AD21" s="325"/>
      <c r="AE21" s="325"/>
      <c r="AF21" s="325"/>
      <c r="AG21" s="325"/>
      <c r="AH21" s="325"/>
      <c r="AI21" s="325"/>
      <c r="AJ21" s="325"/>
      <c r="AK21" s="325"/>
      <c r="AL21" s="325"/>
      <c r="AM21" s="325"/>
      <c r="AN21" s="325"/>
      <c r="AO21" s="325"/>
      <c r="AP21" s="136"/>
      <c r="AQ21" s="136"/>
      <c r="AR21" s="136" t="str">
        <f t="shared" si="6"/>
        <v/>
      </c>
      <c r="AS21" s="136" t="str">
        <f t="shared" si="6"/>
        <v/>
      </c>
      <c r="AT21" s="5" t="str">
        <f t="shared" si="7"/>
        <v/>
      </c>
      <c r="AV21" s="27" t="str">
        <f t="shared" si="8"/>
        <v/>
      </c>
      <c r="AW21" s="27"/>
      <c r="AY21" s="122" t="str">
        <f t="shared" si="9"/>
        <v>);</v>
      </c>
    </row>
    <row r="22" spans="2:51" ht="12.75">
      <c r="B22" s="20" t="str">
        <f t="shared" si="11"/>
        <v/>
      </c>
      <c r="C22" s="5"/>
      <c r="D22" s="5"/>
      <c r="E22" s="5"/>
      <c r="G22" s="5" t="str">
        <f t="shared" si="0"/>
        <v/>
      </c>
      <c r="H22" s="117" t="str">
        <f>IF(IFERROR(FIND("varchar",E22),0)&gt;0,IF(D22&gt;8000,"max",D22),"")</f>
        <v/>
      </c>
      <c r="I22" s="5" t="str">
        <f t="shared" si="2"/>
        <v/>
      </c>
      <c r="J22" s="5" t="str">
        <f t="shared" si="3"/>
        <v/>
      </c>
      <c r="K22" s="138"/>
      <c r="L22" s="5"/>
      <c r="M22" s="75"/>
      <c r="N22" s="77"/>
      <c r="O22" s="26"/>
      <c r="P22" s="26"/>
      <c r="Q22" s="118" t="str">
        <f t="shared" si="4"/>
        <v/>
      </c>
      <c r="R22" s="153"/>
      <c r="S22" s="138" t="str">
        <f t="shared" si="10"/>
        <v/>
      </c>
      <c r="T22" s="148"/>
      <c r="U22" s="146"/>
      <c r="V22" s="146"/>
      <c r="W22" s="139"/>
      <c r="X22" s="139"/>
      <c r="Y22" s="148"/>
      <c r="Z22" s="138" t="str">
        <f t="shared" si="5"/>
        <v/>
      </c>
      <c r="AA22" s="138" t="str">
        <f t="shared" si="12"/>
        <v/>
      </c>
      <c r="AB22" s="239"/>
      <c r="AC22" s="325"/>
      <c r="AD22" s="325"/>
      <c r="AE22" s="325"/>
      <c r="AF22" s="325"/>
      <c r="AG22" s="325"/>
      <c r="AH22" s="325"/>
      <c r="AI22" s="325"/>
      <c r="AJ22" s="325"/>
      <c r="AK22" s="325"/>
      <c r="AL22" s="325"/>
      <c r="AM22" s="325"/>
      <c r="AN22" s="325"/>
      <c r="AO22" s="325"/>
      <c r="AP22" s="136"/>
      <c r="AQ22" s="136"/>
      <c r="AR22" s="136" t="str">
        <f t="shared" si="6"/>
        <v/>
      </c>
      <c r="AS22" s="136" t="str">
        <f t="shared" si="6"/>
        <v/>
      </c>
      <c r="AT22" s="5" t="str">
        <f t="shared" si="7"/>
        <v/>
      </c>
      <c r="AV22" s="27" t="str">
        <f t="shared" si="8"/>
        <v/>
      </c>
      <c r="AW22" s="27"/>
      <c r="AY22" s="122" t="str">
        <f t="shared" si="9"/>
        <v/>
      </c>
    </row>
    <row r="23" spans="2:51" ht="12.75">
      <c r="B23" s="20" t="str">
        <f t="shared" si="11"/>
        <v/>
      </c>
      <c r="C23" s="5"/>
      <c r="D23" s="5"/>
      <c r="E23" s="5"/>
      <c r="G23" s="5" t="str">
        <f t="shared" si="0"/>
        <v/>
      </c>
      <c r="H23" s="117" t="str">
        <f t="shared" ref="H23:H86" si="13">IF(IFERROR(FIND("varchar",E23),0)&gt;0,IF(D23&gt;8000,"max",D23),"")</f>
        <v/>
      </c>
      <c r="I23" s="5" t="str">
        <f t="shared" si="2"/>
        <v/>
      </c>
      <c r="J23" s="5" t="str">
        <f t="shared" si="3"/>
        <v/>
      </c>
      <c r="K23" s="138"/>
      <c r="L23" s="5"/>
      <c r="M23" s="75"/>
      <c r="N23" s="77"/>
      <c r="O23" s="26"/>
      <c r="P23" s="26"/>
      <c r="Q23" s="118" t="str">
        <f t="shared" si="4"/>
        <v/>
      </c>
      <c r="R23" s="153"/>
      <c r="S23" s="138" t="str">
        <f t="shared" si="10"/>
        <v/>
      </c>
      <c r="T23" s="148"/>
      <c r="U23" s="146"/>
      <c r="V23" s="146"/>
      <c r="W23" s="139"/>
      <c r="X23" s="139"/>
      <c r="Y23" s="148"/>
      <c r="Z23" s="138" t="str">
        <f t="shared" si="5"/>
        <v/>
      </c>
      <c r="AA23" s="138" t="str">
        <f t="shared" si="12"/>
        <v/>
      </c>
      <c r="AB23" s="239"/>
      <c r="AC23" s="325"/>
      <c r="AD23" s="325"/>
      <c r="AE23" s="325"/>
      <c r="AF23" s="325"/>
      <c r="AG23" s="325"/>
      <c r="AH23" s="325"/>
      <c r="AI23" s="325"/>
      <c r="AJ23" s="325"/>
      <c r="AK23" s="325"/>
      <c r="AL23" s="325"/>
      <c r="AM23" s="325"/>
      <c r="AN23" s="325"/>
      <c r="AO23" s="325"/>
      <c r="AP23" s="136"/>
      <c r="AQ23" s="136"/>
      <c r="AR23" s="136" t="str">
        <f t="shared" si="6"/>
        <v/>
      </c>
      <c r="AS23" s="136" t="str">
        <f t="shared" si="6"/>
        <v/>
      </c>
      <c r="AT23" s="5" t="str">
        <f t="shared" si="7"/>
        <v/>
      </c>
      <c r="AV23" s="27" t="str">
        <f t="shared" si="8"/>
        <v/>
      </c>
      <c r="AW23" s="27"/>
      <c r="AY23" s="122" t="str">
        <f t="shared" si="9"/>
        <v/>
      </c>
    </row>
    <row r="24" spans="2:51" ht="12.75">
      <c r="B24" s="20" t="str">
        <f t="shared" si="11"/>
        <v/>
      </c>
      <c r="C24" s="5"/>
      <c r="D24" s="5"/>
      <c r="E24" s="5"/>
      <c r="G24" s="5" t="str">
        <f t="shared" si="0"/>
        <v/>
      </c>
      <c r="H24" s="117" t="str">
        <f t="shared" si="13"/>
        <v/>
      </c>
      <c r="I24" s="5" t="str">
        <f t="shared" si="2"/>
        <v/>
      </c>
      <c r="J24" s="5" t="str">
        <f t="shared" si="3"/>
        <v/>
      </c>
      <c r="K24" s="138"/>
      <c r="L24" s="5"/>
      <c r="M24" s="75"/>
      <c r="N24" s="77"/>
      <c r="O24" s="26"/>
      <c r="P24" s="26"/>
      <c r="Q24" s="118" t="str">
        <f t="shared" si="4"/>
        <v/>
      </c>
      <c r="R24" s="153"/>
      <c r="S24" s="138" t="str">
        <f t="shared" si="10"/>
        <v/>
      </c>
      <c r="T24" s="148"/>
      <c r="U24" s="146"/>
      <c r="V24" s="146"/>
      <c r="W24" s="139"/>
      <c r="X24" s="139"/>
      <c r="Y24" s="148"/>
      <c r="Z24" s="138"/>
      <c r="AA24" s="138" t="str">
        <f t="shared" si="12"/>
        <v/>
      </c>
      <c r="AB24" s="239"/>
      <c r="AC24" s="325"/>
      <c r="AD24" s="325"/>
      <c r="AE24" s="325"/>
      <c r="AF24" s="325"/>
      <c r="AG24" s="325"/>
      <c r="AH24" s="325"/>
      <c r="AI24" s="325"/>
      <c r="AJ24" s="325"/>
      <c r="AK24" s="325"/>
      <c r="AL24" s="325"/>
      <c r="AM24" s="325"/>
      <c r="AN24" s="325"/>
      <c r="AO24" s="325"/>
      <c r="AP24" s="136"/>
      <c r="AQ24" s="136"/>
      <c r="AR24" s="136" t="str">
        <f t="shared" si="6"/>
        <v/>
      </c>
      <c r="AS24" s="136" t="str">
        <f t="shared" si="6"/>
        <v/>
      </c>
      <c r="AT24" s="5" t="str">
        <f t="shared" si="7"/>
        <v/>
      </c>
      <c r="AV24" s="27" t="str">
        <f t="shared" si="8"/>
        <v/>
      </c>
      <c r="AW24" s="27"/>
      <c r="AY24" s="122" t="str">
        <f t="shared" si="9"/>
        <v/>
      </c>
    </row>
    <row r="25" spans="2:51" ht="12.75">
      <c r="B25" s="20" t="str">
        <f t="shared" si="11"/>
        <v/>
      </c>
      <c r="C25" s="5"/>
      <c r="D25" s="5"/>
      <c r="E25" s="5"/>
      <c r="G25" s="5" t="str">
        <f t="shared" si="0"/>
        <v/>
      </c>
      <c r="H25" s="117" t="str">
        <f t="shared" si="13"/>
        <v/>
      </c>
      <c r="I25" s="5" t="str">
        <f t="shared" si="2"/>
        <v/>
      </c>
      <c r="J25" s="5" t="str">
        <f t="shared" si="3"/>
        <v/>
      </c>
      <c r="K25" s="138"/>
      <c r="L25" s="5"/>
      <c r="M25" s="75"/>
      <c r="N25" s="77"/>
      <c r="O25" s="26"/>
      <c r="P25" s="26"/>
      <c r="Q25" s="118" t="str">
        <f t="shared" si="4"/>
        <v/>
      </c>
      <c r="R25" s="153"/>
      <c r="S25" s="138" t="str">
        <f t="shared" si="10"/>
        <v/>
      </c>
      <c r="T25" s="148"/>
      <c r="U25" s="146"/>
      <c r="V25" s="146"/>
      <c r="W25" s="139"/>
      <c r="X25" s="139"/>
      <c r="Y25" s="148"/>
      <c r="Z25" s="138"/>
      <c r="AA25" s="138" t="str">
        <f t="shared" si="12"/>
        <v/>
      </c>
      <c r="AB25" s="239"/>
      <c r="AC25" s="325"/>
      <c r="AD25" s="325"/>
      <c r="AE25" s="325"/>
      <c r="AF25" s="325"/>
      <c r="AG25" s="325"/>
      <c r="AH25" s="325"/>
      <c r="AI25" s="325"/>
      <c r="AJ25" s="325"/>
      <c r="AK25" s="325"/>
      <c r="AL25" s="325"/>
      <c r="AM25" s="325"/>
      <c r="AN25" s="325"/>
      <c r="AO25" s="325"/>
      <c r="AP25" s="136"/>
      <c r="AQ25" s="136"/>
      <c r="AR25" s="136" t="str">
        <f t="shared" si="6"/>
        <v/>
      </c>
      <c r="AS25" s="136" t="str">
        <f t="shared" si="6"/>
        <v/>
      </c>
      <c r="AT25" s="5" t="str">
        <f t="shared" si="7"/>
        <v/>
      </c>
      <c r="AV25" s="27" t="str">
        <f t="shared" si="8"/>
        <v/>
      </c>
      <c r="AW25" s="27"/>
      <c r="AY25" s="122" t="str">
        <f t="shared" si="9"/>
        <v/>
      </c>
    </row>
    <row r="26" spans="2:51" ht="12.75">
      <c r="B26" s="20" t="str">
        <f t="shared" si="11"/>
        <v/>
      </c>
      <c r="C26" s="5"/>
      <c r="D26" s="5"/>
      <c r="E26" s="5"/>
      <c r="G26" s="5" t="str">
        <f t="shared" si="0"/>
        <v/>
      </c>
      <c r="H26" s="117" t="str">
        <f t="shared" si="13"/>
        <v/>
      </c>
      <c r="I26" s="5" t="str">
        <f t="shared" si="2"/>
        <v/>
      </c>
      <c r="J26" s="5" t="str">
        <f t="shared" si="3"/>
        <v/>
      </c>
      <c r="K26" s="138"/>
      <c r="L26" s="5"/>
      <c r="M26" s="75"/>
      <c r="N26" s="77"/>
      <c r="O26" s="26"/>
      <c r="P26" s="26"/>
      <c r="Q26" s="118" t="str">
        <f t="shared" si="4"/>
        <v/>
      </c>
      <c r="R26" s="153"/>
      <c r="S26" s="138" t="str">
        <f t="shared" si="10"/>
        <v/>
      </c>
      <c r="T26" s="148"/>
      <c r="U26" s="146"/>
      <c r="V26" s="146"/>
      <c r="W26" s="139"/>
      <c r="X26" s="139"/>
      <c r="Y26" s="148"/>
      <c r="Z26" s="138"/>
      <c r="AA26" s="138" t="str">
        <f t="shared" si="12"/>
        <v/>
      </c>
      <c r="AB26" s="239"/>
      <c r="AC26" s="325"/>
      <c r="AD26" s="325"/>
      <c r="AE26" s="325"/>
      <c r="AF26" s="325"/>
      <c r="AG26" s="325"/>
      <c r="AH26" s="325"/>
      <c r="AI26" s="325"/>
      <c r="AJ26" s="325"/>
      <c r="AK26" s="325"/>
      <c r="AL26" s="325"/>
      <c r="AM26" s="325"/>
      <c r="AN26" s="325"/>
      <c r="AO26" s="325"/>
      <c r="AP26" s="136"/>
      <c r="AQ26" s="136"/>
      <c r="AR26" s="136" t="str">
        <f t="shared" si="6"/>
        <v/>
      </c>
      <c r="AS26" s="136" t="str">
        <f t="shared" si="6"/>
        <v/>
      </c>
      <c r="AT26" s="5" t="str">
        <f t="shared" si="7"/>
        <v/>
      </c>
      <c r="AV26" s="27" t="str">
        <f t="shared" si="8"/>
        <v/>
      </c>
      <c r="AW26" s="27"/>
      <c r="AY26" s="122" t="str">
        <f t="shared" si="9"/>
        <v/>
      </c>
    </row>
    <row r="27" spans="2:51" ht="12.75">
      <c r="B27" s="20" t="str">
        <f t="shared" si="11"/>
        <v/>
      </c>
      <c r="C27" s="5"/>
      <c r="D27" s="5"/>
      <c r="E27" s="5"/>
      <c r="G27" s="5" t="str">
        <f t="shared" si="0"/>
        <v/>
      </c>
      <c r="H27" s="117" t="str">
        <f t="shared" si="13"/>
        <v/>
      </c>
      <c r="I27" s="5" t="str">
        <f t="shared" si="2"/>
        <v/>
      </c>
      <c r="J27" s="5" t="str">
        <f t="shared" si="3"/>
        <v/>
      </c>
      <c r="K27" s="138"/>
      <c r="L27" s="5"/>
      <c r="M27" s="75"/>
      <c r="N27" s="77"/>
      <c r="O27" s="26"/>
      <c r="P27" s="26"/>
      <c r="Q27" s="118" t="str">
        <f t="shared" si="4"/>
        <v/>
      </c>
      <c r="R27" s="153"/>
      <c r="S27" s="138" t="str">
        <f t="shared" si="10"/>
        <v/>
      </c>
      <c r="T27" s="148"/>
      <c r="U27" s="146"/>
      <c r="V27" s="146"/>
      <c r="W27" s="139"/>
      <c r="X27" s="139"/>
      <c r="Y27" s="148"/>
      <c r="Z27" s="138"/>
      <c r="AA27" s="138" t="str">
        <f t="shared" si="12"/>
        <v/>
      </c>
      <c r="AB27" s="239"/>
      <c r="AC27" s="325"/>
      <c r="AD27" s="325"/>
      <c r="AE27" s="325"/>
      <c r="AF27" s="325"/>
      <c r="AG27" s="325"/>
      <c r="AH27" s="325"/>
      <c r="AI27" s="325"/>
      <c r="AJ27" s="325"/>
      <c r="AK27" s="325"/>
      <c r="AL27" s="325"/>
      <c r="AM27" s="325"/>
      <c r="AN27" s="325"/>
      <c r="AO27" s="325"/>
      <c r="AP27" s="136"/>
      <c r="AQ27" s="136"/>
      <c r="AR27" s="136" t="str">
        <f t="shared" si="6"/>
        <v/>
      </c>
      <c r="AS27" s="136" t="str">
        <f t="shared" si="6"/>
        <v/>
      </c>
      <c r="AT27" s="5" t="str">
        <f t="shared" si="7"/>
        <v/>
      </c>
      <c r="AV27" s="27" t="str">
        <f t="shared" si="8"/>
        <v/>
      </c>
      <c r="AW27" s="27"/>
      <c r="AY27" s="122" t="str">
        <f t="shared" si="9"/>
        <v/>
      </c>
    </row>
    <row r="28" spans="2:51" ht="12.75">
      <c r="B28" s="20" t="str">
        <f t="shared" si="11"/>
        <v/>
      </c>
      <c r="C28" s="5"/>
      <c r="D28" s="5"/>
      <c r="E28" s="5"/>
      <c r="G28" s="5" t="str">
        <f t="shared" si="0"/>
        <v/>
      </c>
      <c r="H28" s="117" t="str">
        <f t="shared" si="13"/>
        <v/>
      </c>
      <c r="I28" s="5" t="str">
        <f t="shared" si="2"/>
        <v/>
      </c>
      <c r="J28" s="5" t="str">
        <f t="shared" si="3"/>
        <v/>
      </c>
      <c r="K28" s="138"/>
      <c r="L28" s="5"/>
      <c r="M28" s="75"/>
      <c r="N28" s="77"/>
      <c r="O28" s="26"/>
      <c r="P28" s="26"/>
      <c r="Q28" s="118" t="str">
        <f t="shared" si="4"/>
        <v/>
      </c>
      <c r="R28" s="153"/>
      <c r="S28" s="138" t="str">
        <f t="shared" si="10"/>
        <v/>
      </c>
      <c r="T28" s="148"/>
      <c r="U28" s="146"/>
      <c r="V28" s="146"/>
      <c r="W28" s="139"/>
      <c r="X28" s="139"/>
      <c r="Y28" s="148"/>
      <c r="Z28" s="138"/>
      <c r="AA28" s="138" t="str">
        <f t="shared" si="12"/>
        <v/>
      </c>
      <c r="AB28" s="239"/>
      <c r="AC28" s="325"/>
      <c r="AD28" s="325"/>
      <c r="AE28" s="325"/>
      <c r="AF28" s="325"/>
      <c r="AG28" s="325"/>
      <c r="AH28" s="325"/>
      <c r="AI28" s="325"/>
      <c r="AJ28" s="325"/>
      <c r="AK28" s="325"/>
      <c r="AL28" s="325"/>
      <c r="AM28" s="325"/>
      <c r="AN28" s="325"/>
      <c r="AO28" s="325"/>
      <c r="AP28" s="136"/>
      <c r="AQ28" s="136"/>
      <c r="AR28" s="136" t="str">
        <f t="shared" si="6"/>
        <v/>
      </c>
      <c r="AS28" s="136" t="str">
        <f t="shared" si="6"/>
        <v/>
      </c>
      <c r="AT28" s="5" t="str">
        <f t="shared" si="7"/>
        <v/>
      </c>
      <c r="AV28" s="27" t="str">
        <f t="shared" si="8"/>
        <v/>
      </c>
      <c r="AW28" s="27"/>
      <c r="AY28" s="122" t="str">
        <f t="shared" si="9"/>
        <v/>
      </c>
    </row>
    <row r="29" spans="2:51" ht="12.75">
      <c r="B29" s="20" t="str">
        <f t="shared" si="11"/>
        <v/>
      </c>
      <c r="C29" s="5"/>
      <c r="D29" s="5"/>
      <c r="E29" s="5"/>
      <c r="G29" s="5" t="str">
        <f t="shared" si="0"/>
        <v/>
      </c>
      <c r="H29" s="117" t="str">
        <f t="shared" si="13"/>
        <v/>
      </c>
      <c r="I29" s="5" t="str">
        <f t="shared" si="2"/>
        <v/>
      </c>
      <c r="J29" s="5" t="str">
        <f t="shared" si="3"/>
        <v/>
      </c>
      <c r="K29" s="138"/>
      <c r="L29" s="5"/>
      <c r="M29" s="75"/>
      <c r="N29" s="77"/>
      <c r="O29" s="26"/>
      <c r="P29" s="26"/>
      <c r="Q29" s="118" t="str">
        <f t="shared" si="4"/>
        <v/>
      </c>
      <c r="R29" s="153"/>
      <c r="S29" s="138" t="str">
        <f t="shared" si="10"/>
        <v/>
      </c>
      <c r="T29" s="148"/>
      <c r="U29" s="146"/>
      <c r="V29" s="146"/>
      <c r="W29" s="139"/>
      <c r="X29" s="139"/>
      <c r="Y29" s="148"/>
      <c r="Z29" s="138"/>
      <c r="AA29" s="138" t="str">
        <f t="shared" si="12"/>
        <v/>
      </c>
      <c r="AB29" s="239"/>
      <c r="AC29" s="325"/>
      <c r="AD29" s="325"/>
      <c r="AE29" s="325"/>
      <c r="AF29" s="325"/>
      <c r="AG29" s="325"/>
      <c r="AH29" s="325"/>
      <c r="AI29" s="325"/>
      <c r="AJ29" s="325"/>
      <c r="AK29" s="325"/>
      <c r="AL29" s="325"/>
      <c r="AM29" s="325"/>
      <c r="AN29" s="325"/>
      <c r="AO29" s="325"/>
      <c r="AP29" s="136"/>
      <c r="AQ29" s="136"/>
      <c r="AR29" s="136" t="str">
        <f t="shared" si="6"/>
        <v/>
      </c>
      <c r="AS29" s="136" t="str">
        <f t="shared" si="6"/>
        <v/>
      </c>
      <c r="AT29" s="5" t="str">
        <f t="shared" si="7"/>
        <v/>
      </c>
      <c r="AV29" s="27" t="str">
        <f t="shared" si="8"/>
        <v/>
      </c>
      <c r="AW29" s="27"/>
      <c r="AY29" s="122" t="str">
        <f t="shared" si="9"/>
        <v/>
      </c>
    </row>
    <row r="30" spans="2:51" ht="12.75">
      <c r="B30" s="20" t="str">
        <f t="shared" si="11"/>
        <v/>
      </c>
      <c r="C30" s="5"/>
      <c r="D30" s="5"/>
      <c r="E30" s="5"/>
      <c r="G30" s="5" t="str">
        <f t="shared" si="0"/>
        <v/>
      </c>
      <c r="H30" s="117" t="str">
        <f t="shared" si="13"/>
        <v/>
      </c>
      <c r="I30" s="5" t="str">
        <f t="shared" si="2"/>
        <v/>
      </c>
      <c r="J30" s="5" t="str">
        <f t="shared" si="3"/>
        <v/>
      </c>
      <c r="K30" s="138"/>
      <c r="L30" s="5"/>
      <c r="M30" s="75"/>
      <c r="N30" s="77"/>
      <c r="O30" s="26"/>
      <c r="P30" s="26"/>
      <c r="Q30" s="118" t="str">
        <f t="shared" si="4"/>
        <v/>
      </c>
      <c r="R30" s="153"/>
      <c r="S30" s="138" t="str">
        <f t="shared" si="10"/>
        <v/>
      </c>
      <c r="T30" s="148"/>
      <c r="U30" s="146"/>
      <c r="V30" s="146"/>
      <c r="W30" s="139"/>
      <c r="X30" s="139"/>
      <c r="Y30" s="148"/>
      <c r="Z30" s="138"/>
      <c r="AA30" s="138" t="str">
        <f t="shared" si="12"/>
        <v/>
      </c>
      <c r="AB30" s="239"/>
      <c r="AC30" s="325"/>
      <c r="AD30" s="325"/>
      <c r="AE30" s="325"/>
      <c r="AF30" s="325"/>
      <c r="AG30" s="325"/>
      <c r="AH30" s="325"/>
      <c r="AI30" s="325"/>
      <c r="AJ30" s="325"/>
      <c r="AK30" s="325"/>
      <c r="AL30" s="325"/>
      <c r="AM30" s="325"/>
      <c r="AN30" s="325"/>
      <c r="AO30" s="325"/>
      <c r="AP30" s="136"/>
      <c r="AQ30" s="136"/>
      <c r="AR30" s="136" t="str">
        <f t="shared" si="6"/>
        <v/>
      </c>
      <c r="AS30" s="136" t="str">
        <f t="shared" si="6"/>
        <v/>
      </c>
      <c r="AT30" s="5" t="str">
        <f t="shared" si="7"/>
        <v/>
      </c>
      <c r="AV30" s="27" t="str">
        <f t="shared" si="8"/>
        <v/>
      </c>
      <c r="AW30" s="27"/>
      <c r="AY30" s="122" t="str">
        <f t="shared" si="9"/>
        <v/>
      </c>
    </row>
    <row r="31" spans="2:51" ht="12.75">
      <c r="B31" s="20" t="str">
        <f t="shared" si="11"/>
        <v/>
      </c>
      <c r="C31" s="5"/>
      <c r="D31" s="5"/>
      <c r="E31" s="5"/>
      <c r="G31" s="5" t="str">
        <f t="shared" si="0"/>
        <v/>
      </c>
      <c r="H31" s="117" t="str">
        <f t="shared" si="13"/>
        <v/>
      </c>
      <c r="I31" s="5" t="str">
        <f t="shared" si="2"/>
        <v/>
      </c>
      <c r="J31" s="5" t="str">
        <f t="shared" si="3"/>
        <v/>
      </c>
      <c r="K31" s="138"/>
      <c r="L31" s="5"/>
      <c r="M31" s="75"/>
      <c r="N31" s="77"/>
      <c r="O31" s="26"/>
      <c r="P31" s="26"/>
      <c r="Q31" s="118" t="str">
        <f t="shared" si="4"/>
        <v/>
      </c>
      <c r="R31" s="153"/>
      <c r="S31" s="138" t="str">
        <f t="shared" si="10"/>
        <v/>
      </c>
      <c r="T31" s="148"/>
      <c r="U31" s="146"/>
      <c r="V31" s="146"/>
      <c r="W31" s="139"/>
      <c r="X31" s="139"/>
      <c r="Y31" s="148"/>
      <c r="Z31" s="138"/>
      <c r="AA31" s="138" t="str">
        <f t="shared" si="12"/>
        <v/>
      </c>
      <c r="AB31" s="239"/>
      <c r="AC31" s="325"/>
      <c r="AD31" s="325"/>
      <c r="AE31" s="325"/>
      <c r="AF31" s="325"/>
      <c r="AG31" s="325"/>
      <c r="AH31" s="325"/>
      <c r="AI31" s="325"/>
      <c r="AJ31" s="325"/>
      <c r="AK31" s="325"/>
      <c r="AL31" s="325"/>
      <c r="AM31" s="325"/>
      <c r="AN31" s="325"/>
      <c r="AO31" s="325"/>
      <c r="AP31" s="136"/>
      <c r="AQ31" s="136"/>
      <c r="AR31" s="136" t="str">
        <f t="shared" si="6"/>
        <v/>
      </c>
      <c r="AS31" s="136" t="str">
        <f t="shared" si="6"/>
        <v/>
      </c>
      <c r="AT31" s="5" t="str">
        <f t="shared" si="7"/>
        <v/>
      </c>
      <c r="AV31" s="27" t="str">
        <f t="shared" si="8"/>
        <v/>
      </c>
      <c r="AW31" s="27"/>
      <c r="AY31" s="122" t="str">
        <f t="shared" si="9"/>
        <v/>
      </c>
    </row>
    <row r="32" spans="2:51" ht="12.75">
      <c r="B32" s="20" t="str">
        <f t="shared" si="11"/>
        <v/>
      </c>
      <c r="C32" s="5"/>
      <c r="D32" s="5"/>
      <c r="E32" s="5"/>
      <c r="G32" s="5" t="str">
        <f t="shared" si="0"/>
        <v/>
      </c>
      <c r="H32" s="117" t="str">
        <f t="shared" si="13"/>
        <v/>
      </c>
      <c r="I32" s="5" t="str">
        <f t="shared" si="2"/>
        <v/>
      </c>
      <c r="J32" s="5" t="str">
        <f t="shared" si="3"/>
        <v/>
      </c>
      <c r="K32" s="138"/>
      <c r="L32" s="5"/>
      <c r="M32" s="75"/>
      <c r="N32" s="77"/>
      <c r="O32" s="26"/>
      <c r="P32" s="26"/>
      <c r="Q32" s="118" t="str">
        <f t="shared" si="4"/>
        <v/>
      </c>
      <c r="R32" s="153"/>
      <c r="S32" s="138" t="str">
        <f t="shared" si="10"/>
        <v/>
      </c>
      <c r="T32" s="148"/>
      <c r="U32" s="146"/>
      <c r="V32" s="146"/>
      <c r="W32" s="139"/>
      <c r="X32" s="139"/>
      <c r="Y32" s="148"/>
      <c r="Z32" s="138"/>
      <c r="AA32" s="138" t="str">
        <f t="shared" si="12"/>
        <v/>
      </c>
      <c r="AB32" s="239"/>
      <c r="AC32" s="325"/>
      <c r="AD32" s="325"/>
      <c r="AE32" s="325"/>
      <c r="AF32" s="325"/>
      <c r="AG32" s="325"/>
      <c r="AH32" s="325"/>
      <c r="AI32" s="325"/>
      <c r="AJ32" s="325"/>
      <c r="AK32" s="325"/>
      <c r="AL32" s="325"/>
      <c r="AM32" s="325"/>
      <c r="AN32" s="325"/>
      <c r="AO32" s="325"/>
      <c r="AP32" s="136"/>
      <c r="AQ32" s="136"/>
      <c r="AR32" s="136" t="str">
        <f t="shared" si="6"/>
        <v/>
      </c>
      <c r="AS32" s="136" t="str">
        <f t="shared" si="6"/>
        <v/>
      </c>
      <c r="AT32" s="5" t="str">
        <f t="shared" si="7"/>
        <v/>
      </c>
      <c r="AV32" s="27" t="str">
        <f t="shared" si="8"/>
        <v/>
      </c>
      <c r="AW32" s="27"/>
      <c r="AY32" s="122" t="str">
        <f t="shared" si="9"/>
        <v/>
      </c>
    </row>
    <row r="33" spans="2:51" ht="12.75">
      <c r="B33" s="20" t="str">
        <f t="shared" si="11"/>
        <v/>
      </c>
      <c r="C33" s="5"/>
      <c r="D33" s="5"/>
      <c r="E33" s="5"/>
      <c r="G33" s="5" t="str">
        <f>SUBSTITUTE(SUBSTITUTE(SUBSTITUTE(SUBSTITUTE(SUBSTITUTE(SUBSTITUTE(SUBSTITUTE(SUBSTITUTE(SUBSTITUTE(C33," ",""),".",""),"#","No"),"%",""),"(",""),"*",""),"-",""),"/",""),")","")</f>
        <v/>
      </c>
      <c r="H33" s="117" t="str">
        <f t="shared" si="13"/>
        <v/>
      </c>
      <c r="I33" s="5" t="str">
        <f t="shared" si="2"/>
        <v/>
      </c>
      <c r="J33" s="5" t="str">
        <f t="shared" si="3"/>
        <v/>
      </c>
      <c r="K33" s="138"/>
      <c r="L33" s="5"/>
      <c r="M33" s="75"/>
      <c r="N33" s="77"/>
      <c r="O33" s="26"/>
      <c r="P33" s="26"/>
      <c r="Q33" s="118" t="str">
        <f t="shared" si="4"/>
        <v/>
      </c>
      <c r="R33" s="153"/>
      <c r="S33" s="138" t="str">
        <f t="shared" si="10"/>
        <v/>
      </c>
      <c r="T33" s="148"/>
      <c r="U33" s="146"/>
      <c r="V33" s="146"/>
      <c r="W33" s="139"/>
      <c r="X33" s="139"/>
      <c r="Y33" s="148"/>
      <c r="Z33" s="138"/>
      <c r="AA33" s="138" t="str">
        <f t="shared" si="12"/>
        <v/>
      </c>
      <c r="AB33" s="239"/>
      <c r="AC33" s="325"/>
      <c r="AD33" s="325"/>
      <c r="AE33" s="325"/>
      <c r="AF33" s="325"/>
      <c r="AG33" s="325"/>
      <c r="AH33" s="325"/>
      <c r="AI33" s="325"/>
      <c r="AJ33" s="325"/>
      <c r="AK33" s="325"/>
      <c r="AL33" s="325"/>
      <c r="AM33" s="325"/>
      <c r="AN33" s="325"/>
      <c r="AO33" s="325"/>
      <c r="AP33" s="136"/>
      <c r="AQ33" s="136"/>
      <c r="AR33" s="136" t="str">
        <f t="shared" si="6"/>
        <v/>
      </c>
      <c r="AS33" s="136" t="str">
        <f t="shared" si="6"/>
        <v/>
      </c>
      <c r="AT33" s="5" t="str">
        <f t="shared" si="7"/>
        <v/>
      </c>
      <c r="AV33" s="27" t="str">
        <f t="shared" si="8"/>
        <v/>
      </c>
      <c r="AW33" s="27"/>
      <c r="AY33" s="122" t="str">
        <f t="shared" si="9"/>
        <v/>
      </c>
    </row>
    <row r="34" spans="2:51" ht="12.75">
      <c r="B34" s="20" t="str">
        <f t="shared" si="11"/>
        <v/>
      </c>
      <c r="C34" s="5"/>
      <c r="D34" s="5"/>
      <c r="E34" s="5"/>
      <c r="G34" s="5" t="str">
        <f>SUBSTITUTE(SUBSTITUTE(SUBSTITUTE(SUBSTITUTE(SUBSTITUTE(SUBSTITUTE(SUBSTITUTE(SUBSTITUTE(SUBSTITUTE(C34," ",""),".",""),"#","No"),"%",""),"(",""),"*",""),"-",""),"/",""),")","")</f>
        <v/>
      </c>
      <c r="H34" s="117" t="str">
        <f t="shared" si="13"/>
        <v/>
      </c>
      <c r="I34" s="5" t="str">
        <f t="shared" si="2"/>
        <v/>
      </c>
      <c r="J34" s="5" t="str">
        <f t="shared" si="3"/>
        <v/>
      </c>
      <c r="K34" s="138"/>
      <c r="L34" s="5"/>
      <c r="M34" s="75"/>
      <c r="N34" s="77"/>
      <c r="O34" s="26"/>
      <c r="P34" s="26"/>
      <c r="Q34" s="118" t="str">
        <f t="shared" si="4"/>
        <v/>
      </c>
      <c r="R34" s="153"/>
      <c r="S34" s="138" t="str">
        <f t="shared" si="10"/>
        <v/>
      </c>
      <c r="T34" s="148"/>
      <c r="U34" s="146"/>
      <c r="V34" s="146"/>
      <c r="W34" s="139"/>
      <c r="X34" s="139"/>
      <c r="Y34" s="148"/>
      <c r="Z34" s="138"/>
      <c r="AA34" s="138" t="str">
        <f t="shared" si="12"/>
        <v/>
      </c>
      <c r="AB34" s="239"/>
      <c r="AC34" s="325"/>
      <c r="AD34" s="325"/>
      <c r="AE34" s="325"/>
      <c r="AF34" s="325"/>
      <c r="AG34" s="325"/>
      <c r="AH34" s="325"/>
      <c r="AI34" s="325"/>
      <c r="AJ34" s="325"/>
      <c r="AK34" s="325"/>
      <c r="AL34" s="325"/>
      <c r="AM34" s="325"/>
      <c r="AN34" s="325"/>
      <c r="AO34" s="325"/>
      <c r="AP34" s="136"/>
      <c r="AQ34" s="136"/>
      <c r="AR34" s="136" t="str">
        <f t="shared" si="6"/>
        <v/>
      </c>
      <c r="AS34" s="136" t="str">
        <f t="shared" si="6"/>
        <v/>
      </c>
      <c r="AT34" s="5" t="str">
        <f t="shared" si="7"/>
        <v/>
      </c>
      <c r="AV34" s="27" t="str">
        <f t="shared" si="8"/>
        <v/>
      </c>
      <c r="AW34" s="27"/>
      <c r="AY34" s="122" t="str">
        <f t="shared" si="9"/>
        <v/>
      </c>
    </row>
    <row r="35" spans="2:51" ht="12.75">
      <c r="B35" s="20" t="str">
        <f t="shared" si="11"/>
        <v/>
      </c>
      <c r="C35" s="5"/>
      <c r="D35" s="5"/>
      <c r="E35" s="5"/>
      <c r="G35" s="5" t="str">
        <f>SUBSTITUTE(SUBSTITUTE(SUBSTITUTE(SUBSTITUTE(SUBSTITUTE(SUBSTITUTE(SUBSTITUTE(SUBSTITUTE(SUBSTITUTE(C35," ",""),".",""),"#","No"),"%",""),"(",""),"*",""),"-",""),"/",""),")","")</f>
        <v/>
      </c>
      <c r="H35" s="117" t="str">
        <f t="shared" si="13"/>
        <v/>
      </c>
      <c r="I35" s="5" t="str">
        <f t="shared" si="2"/>
        <v/>
      </c>
      <c r="J35" s="5" t="str">
        <f t="shared" si="3"/>
        <v/>
      </c>
      <c r="K35" s="138"/>
      <c r="L35" s="5"/>
      <c r="M35" s="75"/>
      <c r="N35" s="77"/>
      <c r="O35" s="26"/>
      <c r="P35" s="26"/>
      <c r="Q35" s="118" t="str">
        <f t="shared" si="4"/>
        <v/>
      </c>
      <c r="R35" s="153"/>
      <c r="S35" s="138" t="str">
        <f t="shared" si="10"/>
        <v/>
      </c>
      <c r="T35" s="148"/>
      <c r="U35" s="146"/>
      <c r="V35" s="146"/>
      <c r="W35" s="139"/>
      <c r="X35" s="139"/>
      <c r="Y35" s="148"/>
      <c r="Z35" s="138"/>
      <c r="AA35" s="138" t="str">
        <f t="shared" si="12"/>
        <v/>
      </c>
      <c r="AB35" s="239"/>
      <c r="AC35" s="325"/>
      <c r="AD35" s="325"/>
      <c r="AE35" s="325"/>
      <c r="AF35" s="325"/>
      <c r="AG35" s="325"/>
      <c r="AH35" s="325"/>
      <c r="AI35" s="325"/>
      <c r="AJ35" s="325"/>
      <c r="AK35" s="325"/>
      <c r="AL35" s="325"/>
      <c r="AM35" s="325"/>
      <c r="AN35" s="325"/>
      <c r="AO35" s="325"/>
      <c r="AP35" s="136"/>
      <c r="AQ35" s="136"/>
      <c r="AR35" s="136" t="str">
        <f t="shared" si="6"/>
        <v/>
      </c>
      <c r="AS35" s="136" t="str">
        <f t="shared" si="6"/>
        <v/>
      </c>
      <c r="AT35" s="5" t="str">
        <f t="shared" si="7"/>
        <v/>
      </c>
      <c r="AV35" s="27" t="str">
        <f t="shared" si="8"/>
        <v/>
      </c>
      <c r="AW35" s="27"/>
      <c r="AY35" s="122" t="str">
        <f t="shared" si="9"/>
        <v/>
      </c>
    </row>
    <row r="36" spans="2:51" ht="12.75">
      <c r="B36" s="20" t="str">
        <f t="shared" si="11"/>
        <v/>
      </c>
      <c r="C36" s="5"/>
      <c r="D36" s="5"/>
      <c r="E36" s="5"/>
      <c r="G36" s="5" t="str">
        <f>SUBSTITUTE(SUBSTITUTE(SUBSTITUTE(SUBSTITUTE(SUBSTITUTE(SUBSTITUTE(SUBSTITUTE(SUBSTITUTE(SUBSTITUTE(C36," ",""),".",""),"#","No"),"%",""),"(",""),"*",""),"-",""),"/",""),")","")</f>
        <v/>
      </c>
      <c r="H36" s="117" t="str">
        <f t="shared" si="13"/>
        <v/>
      </c>
      <c r="I36" s="5" t="str">
        <f t="shared" si="2"/>
        <v/>
      </c>
      <c r="J36" s="5" t="str">
        <f t="shared" si="3"/>
        <v/>
      </c>
      <c r="K36" s="138"/>
      <c r="L36" s="5"/>
      <c r="M36" s="75"/>
      <c r="N36" s="77"/>
      <c r="O36" s="26"/>
      <c r="P36" s="26"/>
      <c r="Q36" s="118" t="str">
        <f t="shared" si="4"/>
        <v/>
      </c>
      <c r="R36" s="153"/>
      <c r="S36" s="138" t="str">
        <f t="shared" si="10"/>
        <v/>
      </c>
      <c r="T36" s="148"/>
      <c r="U36" s="146"/>
      <c r="V36" s="146"/>
      <c r="W36" s="139"/>
      <c r="X36" s="139"/>
      <c r="Y36" s="148"/>
      <c r="Z36" s="138"/>
      <c r="AA36" s="138" t="str">
        <f t="shared" si="12"/>
        <v/>
      </c>
      <c r="AB36" s="239"/>
      <c r="AC36" s="325"/>
      <c r="AD36" s="325"/>
      <c r="AE36" s="325"/>
      <c r="AF36" s="325"/>
      <c r="AG36" s="325"/>
      <c r="AH36" s="325"/>
      <c r="AI36" s="325"/>
      <c r="AJ36" s="325"/>
      <c r="AK36" s="325"/>
      <c r="AL36" s="325"/>
      <c r="AM36" s="325"/>
      <c r="AN36" s="325"/>
      <c r="AO36" s="325"/>
      <c r="AP36" s="136"/>
      <c r="AQ36" s="136"/>
      <c r="AR36" s="136" t="str">
        <f t="shared" si="6"/>
        <v/>
      </c>
      <c r="AS36" s="136" t="str">
        <f t="shared" si="6"/>
        <v/>
      </c>
      <c r="AT36" s="5" t="str">
        <f t="shared" si="7"/>
        <v/>
      </c>
      <c r="AV36" s="27" t="str">
        <f>IF(G36="","",+"          ["&amp;TRIM(G36)&amp;"] ["&amp;TRIM(I36)&amp;"]"&amp;IF(H36="","","("&amp;H36&amp;")")&amp;" "&amp;TRIM(J36)&amp;IF(G46="","",","))</f>
        <v/>
      </c>
      <c r="AW36" s="27"/>
      <c r="AY36" s="122" t="str">
        <f t="shared" si="9"/>
        <v/>
      </c>
    </row>
    <row r="37" spans="2:51" ht="12.75">
      <c r="B37" s="20" t="str">
        <f t="shared" si="11"/>
        <v/>
      </c>
      <c r="C37" s="5"/>
      <c r="D37" s="5"/>
      <c r="E37" s="5"/>
      <c r="G37" s="5" t="str">
        <f t="shared" ref="G37:G45" si="14">SUBSTITUTE(SUBSTITUTE(SUBSTITUTE(SUBSTITUTE(SUBSTITUTE(SUBSTITUTE(SUBSTITUTE(SUBSTITUTE(SUBSTITUTE(C37," ",""),".",""),"#","No"),"%",""),"(",""),"*",""),"-",""),"/",""),")","")</f>
        <v/>
      </c>
      <c r="H37" s="117" t="str">
        <f t="shared" si="13"/>
        <v/>
      </c>
      <c r="I37" s="5" t="str">
        <f t="shared" si="2"/>
        <v/>
      </c>
      <c r="J37" s="5" t="str">
        <f t="shared" si="3"/>
        <v/>
      </c>
      <c r="K37" s="138"/>
      <c r="L37" s="5"/>
      <c r="M37" s="75"/>
      <c r="N37" s="77"/>
      <c r="O37" s="26"/>
      <c r="P37" s="26"/>
      <c r="Q37" s="118" t="str">
        <f t="shared" si="4"/>
        <v/>
      </c>
      <c r="R37" s="153"/>
      <c r="S37" s="138" t="str">
        <f t="shared" si="10"/>
        <v/>
      </c>
      <c r="T37" s="148"/>
      <c r="U37" s="146"/>
      <c r="V37" s="146"/>
      <c r="W37" s="139"/>
      <c r="X37" s="139"/>
      <c r="Y37" s="148"/>
      <c r="Z37" s="138"/>
      <c r="AA37" s="138" t="str">
        <f t="shared" si="12"/>
        <v/>
      </c>
      <c r="AB37" s="239"/>
      <c r="AC37" s="325"/>
      <c r="AD37" s="325"/>
      <c r="AE37" s="325"/>
      <c r="AF37" s="325"/>
      <c r="AG37" s="325"/>
      <c r="AH37" s="325"/>
      <c r="AI37" s="325"/>
      <c r="AJ37" s="325"/>
      <c r="AK37" s="325"/>
      <c r="AL37" s="325"/>
      <c r="AM37" s="325"/>
      <c r="AN37" s="325"/>
      <c r="AO37" s="325"/>
      <c r="AP37" s="136"/>
      <c r="AQ37" s="136"/>
      <c r="AR37" s="136" t="str">
        <f t="shared" si="6"/>
        <v/>
      </c>
      <c r="AS37" s="136" t="str">
        <f t="shared" si="6"/>
        <v/>
      </c>
      <c r="AT37" s="5" t="str">
        <f t="shared" si="7"/>
        <v/>
      </c>
      <c r="AV37" s="27" t="str">
        <f>IF(G37="","",+"          ["&amp;TRIM(G37)&amp;"] ["&amp;TRIM(I37)&amp;"]"&amp;IF(H37="","","("&amp;H37&amp;")")&amp;" "&amp;TRIM(J37)&amp;IF(G38="","",","))</f>
        <v/>
      </c>
      <c r="AW37" s="27"/>
      <c r="AY37" s="122" t="str">
        <f t="shared" si="9"/>
        <v/>
      </c>
    </row>
    <row r="38" spans="2:51" ht="12.75">
      <c r="B38" s="20" t="str">
        <f t="shared" si="11"/>
        <v/>
      </c>
      <c r="C38" s="5"/>
      <c r="D38" s="5"/>
      <c r="E38" s="5"/>
      <c r="G38" s="5" t="str">
        <f t="shared" si="14"/>
        <v/>
      </c>
      <c r="H38" s="117" t="str">
        <f t="shared" si="13"/>
        <v/>
      </c>
      <c r="I38" s="5" t="str">
        <f t="shared" si="2"/>
        <v/>
      </c>
      <c r="J38" s="5" t="str">
        <f t="shared" si="3"/>
        <v/>
      </c>
      <c r="K38" s="138"/>
      <c r="L38" s="5"/>
      <c r="M38" s="75"/>
      <c r="N38" s="77"/>
      <c r="O38" s="26"/>
      <c r="P38" s="26"/>
      <c r="Q38" s="118" t="str">
        <f t="shared" si="4"/>
        <v/>
      </c>
      <c r="R38" s="153"/>
      <c r="S38" s="138" t="str">
        <f t="shared" si="10"/>
        <v/>
      </c>
      <c r="T38" s="148"/>
      <c r="U38" s="146"/>
      <c r="V38" s="146"/>
      <c r="W38" s="139"/>
      <c r="X38" s="139"/>
      <c r="Y38" s="148"/>
      <c r="Z38" s="138"/>
      <c r="AA38" s="138" t="str">
        <f t="shared" si="12"/>
        <v/>
      </c>
      <c r="AB38" s="239"/>
      <c r="AC38" s="325"/>
      <c r="AD38" s="325"/>
      <c r="AE38" s="325"/>
      <c r="AF38" s="325"/>
      <c r="AG38" s="325"/>
      <c r="AH38" s="325"/>
      <c r="AI38" s="325"/>
      <c r="AJ38" s="325"/>
      <c r="AK38" s="325"/>
      <c r="AL38" s="325"/>
      <c r="AM38" s="325"/>
      <c r="AN38" s="325"/>
      <c r="AO38" s="325"/>
      <c r="AP38" s="136"/>
      <c r="AQ38" s="136"/>
      <c r="AR38" s="136" t="str">
        <f t="shared" si="6"/>
        <v/>
      </c>
      <c r="AS38" s="136" t="str">
        <f t="shared" si="6"/>
        <v/>
      </c>
      <c r="AT38" s="5" t="str">
        <f t="shared" si="7"/>
        <v/>
      </c>
      <c r="AV38" s="27" t="str">
        <f>IF(G38="","",+"          ["&amp;TRIM(G38)&amp;"] ["&amp;TRIM(I38)&amp;"]"&amp;IF(H38="","","("&amp;H38&amp;")")&amp;" "&amp;TRIM(J38)&amp;IF(G39="","",","))</f>
        <v/>
      </c>
      <c r="AW38" s="27"/>
      <c r="AY38" s="122" t="str">
        <f t="shared" si="9"/>
        <v/>
      </c>
    </row>
    <row r="39" spans="2:51" ht="12.75">
      <c r="B39" s="20" t="str">
        <f t="shared" si="11"/>
        <v/>
      </c>
      <c r="C39" s="5"/>
      <c r="D39" s="5"/>
      <c r="E39" s="5"/>
      <c r="G39" s="5" t="str">
        <f t="shared" si="14"/>
        <v/>
      </c>
      <c r="H39" s="117" t="str">
        <f t="shared" si="13"/>
        <v/>
      </c>
      <c r="I39" s="5" t="str">
        <f t="shared" si="2"/>
        <v/>
      </c>
      <c r="J39" s="5" t="str">
        <f t="shared" si="3"/>
        <v/>
      </c>
      <c r="K39" s="138"/>
      <c r="L39" s="5"/>
      <c r="M39" s="75"/>
      <c r="N39" s="77"/>
      <c r="O39" s="26"/>
      <c r="P39" s="26"/>
      <c r="Q39" s="118" t="str">
        <f t="shared" si="4"/>
        <v/>
      </c>
      <c r="R39" s="153"/>
      <c r="S39" s="138" t="str">
        <f t="shared" si="10"/>
        <v/>
      </c>
      <c r="T39" s="148"/>
      <c r="U39" s="146"/>
      <c r="V39" s="146"/>
      <c r="W39" s="139"/>
      <c r="X39" s="139"/>
      <c r="Y39" s="148"/>
      <c r="Z39" s="138"/>
      <c r="AA39" s="138" t="str">
        <f t="shared" si="12"/>
        <v/>
      </c>
      <c r="AB39" s="239"/>
      <c r="AC39" s="325"/>
      <c r="AD39" s="325"/>
      <c r="AE39" s="325"/>
      <c r="AF39" s="325"/>
      <c r="AG39" s="325"/>
      <c r="AH39" s="325"/>
      <c r="AI39" s="325"/>
      <c r="AJ39" s="325"/>
      <c r="AK39" s="325"/>
      <c r="AL39" s="325"/>
      <c r="AM39" s="325"/>
      <c r="AN39" s="325"/>
      <c r="AO39" s="325"/>
      <c r="AP39" s="136"/>
      <c r="AQ39" s="136"/>
      <c r="AR39" s="136" t="str">
        <f t="shared" si="6"/>
        <v/>
      </c>
      <c r="AS39" s="136" t="str">
        <f t="shared" si="6"/>
        <v/>
      </c>
      <c r="AT39" s="5" t="str">
        <f t="shared" si="7"/>
        <v/>
      </c>
      <c r="AV39" s="27" t="str">
        <f>IF(G39="","",+"          ["&amp;TRIM(G39)&amp;"] ["&amp;TRIM(I39)&amp;"]"&amp;IF(H39="","","("&amp;H39&amp;")")&amp;" "&amp;TRIM(J39)&amp;IF(G69="","",","))</f>
        <v/>
      </c>
      <c r="AW39" s="27"/>
      <c r="AY39" s="122" t="str">
        <f t="shared" si="9"/>
        <v/>
      </c>
    </row>
    <row r="40" spans="2:51" ht="12.75">
      <c r="B40" s="20" t="str">
        <f t="shared" si="11"/>
        <v/>
      </c>
      <c r="C40" s="5"/>
      <c r="D40" s="5"/>
      <c r="E40" s="5"/>
      <c r="G40" s="5" t="str">
        <f t="shared" si="14"/>
        <v/>
      </c>
      <c r="H40" s="117" t="str">
        <f t="shared" si="13"/>
        <v/>
      </c>
      <c r="I40" s="5" t="str">
        <f t="shared" si="2"/>
        <v/>
      </c>
      <c r="J40" s="5" t="str">
        <f t="shared" si="3"/>
        <v/>
      </c>
      <c r="K40" s="138"/>
      <c r="L40" s="5"/>
      <c r="M40" s="75"/>
      <c r="N40" s="77"/>
      <c r="O40" s="26"/>
      <c r="P40" s="26"/>
      <c r="Q40" s="118" t="str">
        <f t="shared" si="4"/>
        <v/>
      </c>
      <c r="R40" s="153"/>
      <c r="S40" s="138" t="str">
        <f t="shared" si="10"/>
        <v/>
      </c>
      <c r="T40" s="148"/>
      <c r="U40" s="146"/>
      <c r="V40" s="146"/>
      <c r="W40" s="139"/>
      <c r="X40" s="139"/>
      <c r="Y40" s="148"/>
      <c r="Z40" s="138"/>
      <c r="AA40" s="138" t="str">
        <f t="shared" si="12"/>
        <v/>
      </c>
      <c r="AB40" s="239"/>
      <c r="AC40" s="325"/>
      <c r="AD40" s="325"/>
      <c r="AE40" s="325"/>
      <c r="AF40" s="325"/>
      <c r="AG40" s="325"/>
      <c r="AH40" s="325"/>
      <c r="AI40" s="325"/>
      <c r="AJ40" s="325"/>
      <c r="AK40" s="325"/>
      <c r="AL40" s="325"/>
      <c r="AM40" s="325"/>
      <c r="AN40" s="325"/>
      <c r="AO40" s="325"/>
      <c r="AP40" s="136"/>
      <c r="AQ40" s="136"/>
      <c r="AR40" s="136" t="str">
        <f t="shared" si="6"/>
        <v/>
      </c>
      <c r="AS40" s="136" t="str">
        <f t="shared" si="6"/>
        <v/>
      </c>
      <c r="AT40" s="5" t="str">
        <f t="shared" si="7"/>
        <v/>
      </c>
      <c r="AV40" s="27" t="str">
        <f>IF(G40="","",+"          ["&amp;TRIM(G40)&amp;"] ["&amp;TRIM(I40)&amp;"]"&amp;IF(H40="","","("&amp;H40&amp;")")&amp;" "&amp;TRIM(J40)&amp;IF(G68="","",","))</f>
        <v/>
      </c>
      <c r="AW40" s="27"/>
      <c r="AY40" s="122" t="str">
        <f t="shared" si="9"/>
        <v/>
      </c>
    </row>
    <row r="41" spans="2:51" ht="12.75">
      <c r="B41" s="20" t="str">
        <f t="shared" si="11"/>
        <v/>
      </c>
      <c r="C41" s="5"/>
      <c r="D41" s="5"/>
      <c r="E41" s="5"/>
      <c r="G41" s="5" t="str">
        <f t="shared" si="14"/>
        <v/>
      </c>
      <c r="H41" s="117" t="str">
        <f t="shared" si="13"/>
        <v/>
      </c>
      <c r="I41" s="5" t="str">
        <f t="shared" si="2"/>
        <v/>
      </c>
      <c r="J41" s="5" t="str">
        <f t="shared" si="3"/>
        <v/>
      </c>
      <c r="K41" s="138"/>
      <c r="L41" s="5"/>
      <c r="M41" s="75"/>
      <c r="N41" s="77"/>
      <c r="O41" s="26"/>
      <c r="P41" s="26"/>
      <c r="Q41" s="118" t="str">
        <f t="shared" si="4"/>
        <v/>
      </c>
      <c r="R41" s="153"/>
      <c r="S41" s="138" t="str">
        <f t="shared" si="10"/>
        <v/>
      </c>
      <c r="T41" s="148"/>
      <c r="U41" s="146"/>
      <c r="V41" s="146"/>
      <c r="W41" s="139"/>
      <c r="X41" s="139"/>
      <c r="Y41" s="148"/>
      <c r="Z41" s="138"/>
      <c r="AA41" s="138" t="str">
        <f t="shared" si="12"/>
        <v/>
      </c>
      <c r="AB41" s="239"/>
      <c r="AC41" s="325"/>
      <c r="AD41" s="325"/>
      <c r="AE41" s="325"/>
      <c r="AF41" s="325"/>
      <c r="AG41" s="325"/>
      <c r="AH41" s="325"/>
      <c r="AI41" s="325"/>
      <c r="AJ41" s="325"/>
      <c r="AK41" s="325"/>
      <c r="AL41" s="325"/>
      <c r="AM41" s="325"/>
      <c r="AN41" s="325"/>
      <c r="AO41" s="325"/>
      <c r="AP41" s="136"/>
      <c r="AQ41" s="136"/>
      <c r="AR41" s="136" t="str">
        <f t="shared" si="6"/>
        <v/>
      </c>
      <c r="AS41" s="136" t="str">
        <f t="shared" si="6"/>
        <v/>
      </c>
      <c r="AT41" s="5" t="str">
        <f t="shared" si="7"/>
        <v/>
      </c>
      <c r="AV41" s="27" t="str">
        <f>IF(G41="","",+"          ["&amp;TRIM(G41)&amp;"] ["&amp;TRIM(I41)&amp;"]"&amp;IF(H41="","","("&amp;H41&amp;")")&amp;" "&amp;TRIM(J41)&amp;IF(G42="","",","))</f>
        <v/>
      </c>
      <c r="AW41" s="27"/>
      <c r="AY41" s="122" t="str">
        <f t="shared" si="9"/>
        <v/>
      </c>
    </row>
    <row r="42" spans="2:51" ht="12.75">
      <c r="B42" s="20" t="str">
        <f t="shared" si="11"/>
        <v/>
      </c>
      <c r="C42" s="5"/>
      <c r="D42" s="5"/>
      <c r="E42" s="5"/>
      <c r="G42" s="5" t="str">
        <f t="shared" si="14"/>
        <v/>
      </c>
      <c r="H42" s="117" t="str">
        <f t="shared" si="13"/>
        <v/>
      </c>
      <c r="I42" s="5" t="str">
        <f t="shared" si="2"/>
        <v/>
      </c>
      <c r="J42" s="5" t="str">
        <f>IF(C42=0,"",(IF(ISERROR(VLOOKUP(G42,$D$120:$D$127,1,FALSE)),""," NOT")&amp;" NULL"))</f>
        <v/>
      </c>
      <c r="K42" s="138"/>
      <c r="L42" s="5"/>
      <c r="M42" s="75"/>
      <c r="N42" s="77"/>
      <c r="O42" s="26"/>
      <c r="P42" s="26"/>
      <c r="Q42" s="118" t="str">
        <f t="shared" si="4"/>
        <v/>
      </c>
      <c r="R42" s="153"/>
      <c r="S42" s="138" t="str">
        <f t="shared" si="10"/>
        <v/>
      </c>
      <c r="T42" s="148"/>
      <c r="U42" s="146"/>
      <c r="V42" s="146"/>
      <c r="W42" s="139"/>
      <c r="X42" s="139"/>
      <c r="Y42" s="148"/>
      <c r="Z42" s="138"/>
      <c r="AA42" s="138" t="str">
        <f t="shared" si="12"/>
        <v/>
      </c>
      <c r="AB42" s="239"/>
      <c r="AC42" s="325"/>
      <c r="AD42" s="325"/>
      <c r="AE42" s="325"/>
      <c r="AF42" s="325"/>
      <c r="AG42" s="325"/>
      <c r="AH42" s="325"/>
      <c r="AI42" s="325"/>
      <c r="AJ42" s="325"/>
      <c r="AK42" s="325"/>
      <c r="AL42" s="325"/>
      <c r="AM42" s="325"/>
      <c r="AN42" s="325"/>
      <c r="AO42" s="325"/>
      <c r="AP42" s="136"/>
      <c r="AQ42" s="136"/>
      <c r="AR42" s="136" t="str">
        <f t="shared" si="6"/>
        <v/>
      </c>
      <c r="AS42" s="136" t="str">
        <f t="shared" si="6"/>
        <v/>
      </c>
      <c r="AT42" s="5" t="str">
        <f t="shared" si="7"/>
        <v/>
      </c>
      <c r="AV42" s="27" t="str">
        <f>IF(G42="","",+"          ["&amp;TRIM(G42)&amp;"] ["&amp;TRIM(I42)&amp;"]"&amp;IF(H42="","","("&amp;H42&amp;")")&amp;" "&amp;TRIM(J42)&amp;IF(G45="","",","))</f>
        <v/>
      </c>
      <c r="AW42" s="27"/>
      <c r="AY42" s="122" t="str">
        <f t="shared" si="9"/>
        <v/>
      </c>
    </row>
    <row r="43" spans="2:51" ht="12.75">
      <c r="B43" s="20" t="str">
        <f t="shared" si="11"/>
        <v/>
      </c>
      <c r="C43" s="5"/>
      <c r="D43" s="5"/>
      <c r="E43" s="5"/>
      <c r="G43" s="5" t="str">
        <f t="shared" si="14"/>
        <v/>
      </c>
      <c r="H43" s="117" t="str">
        <f t="shared" si="13"/>
        <v/>
      </c>
      <c r="I43" s="5" t="str">
        <f t="shared" si="2"/>
        <v/>
      </c>
      <c r="J43" s="5" t="str">
        <f t="shared" si="3"/>
        <v/>
      </c>
      <c r="K43" s="138"/>
      <c r="L43" s="5"/>
      <c r="M43" s="75"/>
      <c r="N43" s="77"/>
      <c r="O43" s="26"/>
      <c r="P43" s="26"/>
      <c r="Q43" s="118" t="str">
        <f t="shared" si="4"/>
        <v/>
      </c>
      <c r="R43" s="153"/>
      <c r="S43" s="138" t="str">
        <f t="shared" si="10"/>
        <v/>
      </c>
      <c r="T43" s="148"/>
      <c r="U43" s="146"/>
      <c r="V43" s="146"/>
      <c r="W43" s="139"/>
      <c r="X43" s="139"/>
      <c r="Y43" s="148"/>
      <c r="Z43" s="138"/>
      <c r="AA43" s="138" t="str">
        <f t="shared" si="12"/>
        <v/>
      </c>
      <c r="AB43" s="239"/>
      <c r="AC43" s="325"/>
      <c r="AD43" s="325"/>
      <c r="AE43" s="325"/>
      <c r="AF43" s="325"/>
      <c r="AG43" s="325"/>
      <c r="AH43" s="325"/>
      <c r="AI43" s="325"/>
      <c r="AJ43" s="325"/>
      <c r="AK43" s="325"/>
      <c r="AL43" s="325"/>
      <c r="AM43" s="325"/>
      <c r="AN43" s="325"/>
      <c r="AO43" s="325"/>
      <c r="AP43" s="136"/>
      <c r="AQ43" s="136"/>
      <c r="AR43" s="136" t="str">
        <f t="shared" si="6"/>
        <v/>
      </c>
      <c r="AS43" s="136" t="str">
        <f t="shared" si="6"/>
        <v/>
      </c>
      <c r="AT43" s="5" t="str">
        <f t="shared" si="7"/>
        <v/>
      </c>
      <c r="AV43" s="27" t="str">
        <f>IF(G43="","",+"          ["&amp;TRIM(G43)&amp;"] ["&amp;TRIM(I43)&amp;"]"&amp;IF(H43="","","("&amp;H43&amp;")")&amp;" "&amp;TRIM(J43)&amp;IF(G44="","",","))</f>
        <v/>
      </c>
      <c r="AW43" s="27"/>
      <c r="AY43" s="122" t="str">
        <f t="shared" si="9"/>
        <v/>
      </c>
    </row>
    <row r="44" spans="2:51" ht="12.75">
      <c r="B44" s="20" t="str">
        <f t="shared" si="11"/>
        <v/>
      </c>
      <c r="C44" s="5"/>
      <c r="D44" s="5"/>
      <c r="E44" s="5"/>
      <c r="G44" s="5" t="str">
        <f t="shared" si="14"/>
        <v/>
      </c>
      <c r="H44" s="117" t="str">
        <f t="shared" si="13"/>
        <v/>
      </c>
      <c r="I44" s="5" t="str">
        <f t="shared" si="2"/>
        <v/>
      </c>
      <c r="J44" s="5" t="str">
        <f t="shared" si="3"/>
        <v/>
      </c>
      <c r="K44" s="138"/>
      <c r="L44" s="5"/>
      <c r="M44" s="75"/>
      <c r="N44" s="77"/>
      <c r="O44" s="26"/>
      <c r="P44" s="26"/>
      <c r="Q44" s="118" t="str">
        <f t="shared" si="4"/>
        <v/>
      </c>
      <c r="R44" s="153"/>
      <c r="S44" s="138" t="str">
        <f t="shared" si="10"/>
        <v/>
      </c>
      <c r="T44" s="148"/>
      <c r="U44" s="146"/>
      <c r="V44" s="146"/>
      <c r="W44" s="139"/>
      <c r="X44" s="139"/>
      <c r="Y44" s="148"/>
      <c r="Z44" s="138"/>
      <c r="AA44" s="138" t="str">
        <f t="shared" si="12"/>
        <v/>
      </c>
      <c r="AB44" s="239"/>
      <c r="AC44" s="325"/>
      <c r="AD44" s="325"/>
      <c r="AE44" s="325"/>
      <c r="AF44" s="325"/>
      <c r="AG44" s="325"/>
      <c r="AH44" s="325"/>
      <c r="AI44" s="325"/>
      <c r="AJ44" s="325"/>
      <c r="AK44" s="325"/>
      <c r="AL44" s="325"/>
      <c r="AM44" s="325"/>
      <c r="AN44" s="325"/>
      <c r="AO44" s="325"/>
      <c r="AP44" s="136"/>
      <c r="AQ44" s="136"/>
      <c r="AR44" s="136" t="str">
        <f t="shared" si="6"/>
        <v/>
      </c>
      <c r="AS44" s="136" t="str">
        <f t="shared" si="6"/>
        <v/>
      </c>
      <c r="AT44" s="5" t="str">
        <f t="shared" si="7"/>
        <v/>
      </c>
      <c r="AV44" s="27" t="str">
        <f>IF(G44="","",+"          ["&amp;TRIM(G44)&amp;"] ["&amp;TRIM(I44)&amp;"]"&amp;IF(H44="","","("&amp;H44&amp;")")&amp;" "&amp;TRIM(J44)&amp;IF(G45="","",","))</f>
        <v/>
      </c>
      <c r="AW44" s="27"/>
      <c r="AY44" s="122" t="str">
        <f t="shared" si="9"/>
        <v/>
      </c>
    </row>
    <row r="45" spans="2:51" ht="12.75">
      <c r="B45" s="20" t="str">
        <f t="shared" si="11"/>
        <v/>
      </c>
      <c r="C45" s="5"/>
      <c r="D45" s="5"/>
      <c r="E45" s="5"/>
      <c r="G45" s="5" t="str">
        <f t="shared" si="14"/>
        <v/>
      </c>
      <c r="H45" s="117" t="str">
        <f t="shared" si="13"/>
        <v/>
      </c>
      <c r="I45" s="5" t="str">
        <f t="shared" si="2"/>
        <v/>
      </c>
      <c r="J45" s="5" t="str">
        <f t="shared" si="3"/>
        <v/>
      </c>
      <c r="K45" s="138"/>
      <c r="L45" s="5"/>
      <c r="M45" s="75"/>
      <c r="N45" s="77"/>
      <c r="O45" s="26"/>
      <c r="P45" s="26"/>
      <c r="Q45" s="118" t="str">
        <f t="shared" si="4"/>
        <v/>
      </c>
      <c r="R45" s="153"/>
      <c r="S45" s="138" t="str">
        <f t="shared" si="10"/>
        <v/>
      </c>
      <c r="T45" s="148"/>
      <c r="U45" s="146"/>
      <c r="V45" s="146"/>
      <c r="W45" s="139"/>
      <c r="X45" s="139"/>
      <c r="Y45" s="148"/>
      <c r="Z45" s="138"/>
      <c r="AA45" s="138" t="str">
        <f t="shared" si="12"/>
        <v/>
      </c>
      <c r="AB45" s="239"/>
      <c r="AC45" s="325"/>
      <c r="AD45" s="325"/>
      <c r="AE45" s="325"/>
      <c r="AF45" s="325"/>
      <c r="AG45" s="325"/>
      <c r="AH45" s="325"/>
      <c r="AI45" s="325"/>
      <c r="AJ45" s="325"/>
      <c r="AK45" s="325"/>
      <c r="AL45" s="325"/>
      <c r="AM45" s="325"/>
      <c r="AN45" s="325"/>
      <c r="AO45" s="325"/>
      <c r="AP45" s="136"/>
      <c r="AQ45" s="136"/>
      <c r="AR45" s="136" t="str">
        <f t="shared" si="6"/>
        <v/>
      </c>
      <c r="AS45" s="136" t="str">
        <f t="shared" si="6"/>
        <v/>
      </c>
      <c r="AT45" s="5" t="str">
        <f t="shared" si="7"/>
        <v/>
      </c>
      <c r="AV45" s="27" t="str">
        <f>IF(G45="","",+"          ["&amp;TRIM(G45)&amp;"] ["&amp;TRIM(I45)&amp;"]"&amp;IF(H45="","","("&amp;H45&amp;")")&amp;" "&amp;TRIM(J45)&amp;IF(G54="","",","))</f>
        <v/>
      </c>
      <c r="AW45" s="27"/>
      <c r="AY45" s="122" t="str">
        <f t="shared" si="9"/>
        <v/>
      </c>
    </row>
    <row r="46" spans="2:51" ht="12.75">
      <c r="B46" s="20" t="str">
        <f t="shared" si="11"/>
        <v/>
      </c>
      <c r="C46" s="5"/>
      <c r="D46" s="5"/>
      <c r="E46" s="5"/>
      <c r="G46" s="5" t="str">
        <f>SUBSTITUTE(SUBSTITUTE(SUBSTITUTE(SUBSTITUTE(SUBSTITUTE(SUBSTITUTE(SUBSTITUTE(SUBSTITUTE(SUBSTITUTE(C46," ",""),".",""),"#","No"),"%",""),"(",""),"*",""),"-",""),"/",""),")","")</f>
        <v/>
      </c>
      <c r="H46" s="117" t="str">
        <f t="shared" si="13"/>
        <v/>
      </c>
      <c r="I46" s="5" t="str">
        <f>IF(E46=0,"",+E46)</f>
        <v/>
      </c>
      <c r="J46" s="5" t="str">
        <f>IF(C46=0,"",(IF(ISERROR(VLOOKUP(G46,$D$120:$D$127,1,FALSE)),""," NOT")&amp;" NULL"))</f>
        <v/>
      </c>
      <c r="K46" s="138"/>
      <c r="L46" s="5"/>
      <c r="M46" s="75"/>
      <c r="N46" s="77"/>
      <c r="O46" s="26"/>
      <c r="P46" s="26"/>
      <c r="Q46" s="118" t="str">
        <f>IF(M46=0,"",ROW())</f>
        <v/>
      </c>
      <c r="R46" s="153"/>
      <c r="S46" s="138" t="str">
        <f t="shared" si="10"/>
        <v/>
      </c>
      <c r="T46" s="148"/>
      <c r="U46" s="146"/>
      <c r="V46" s="146"/>
      <c r="W46" s="139"/>
      <c r="X46" s="139"/>
      <c r="Y46" s="148"/>
      <c r="Z46" s="138"/>
      <c r="AA46" s="138" t="str">
        <f t="shared" si="12"/>
        <v/>
      </c>
      <c r="AB46" s="239"/>
      <c r="AC46" s="325"/>
      <c r="AD46" s="325"/>
      <c r="AE46" s="325"/>
      <c r="AF46" s="325"/>
      <c r="AG46" s="325"/>
      <c r="AH46" s="325"/>
      <c r="AI46" s="325"/>
      <c r="AJ46" s="325"/>
      <c r="AK46" s="325"/>
      <c r="AL46" s="325"/>
      <c r="AM46" s="325"/>
      <c r="AN46" s="325"/>
      <c r="AO46" s="325"/>
      <c r="AP46" s="136"/>
      <c r="AQ46" s="136"/>
      <c r="AR46" s="136" t="str">
        <f t="shared" si="6"/>
        <v/>
      </c>
      <c r="AS46" s="136" t="str">
        <f t="shared" si="6"/>
        <v/>
      </c>
      <c r="AT46" s="5" t="str">
        <f t="shared" si="7"/>
        <v/>
      </c>
      <c r="AV46" s="27" t="str">
        <f>IF(G46="","",+"          ["&amp;TRIM(G46)&amp;"] ["&amp;TRIM(I46)&amp;"]"&amp;IF(H46="","","("&amp;H46&amp;")")&amp;" "&amp;TRIM(J46)&amp;IF(G47="","",","))</f>
        <v/>
      </c>
      <c r="AW46" s="27"/>
      <c r="AY46" s="122" t="str">
        <f t="shared" si="9"/>
        <v/>
      </c>
    </row>
    <row r="47" spans="2:51" ht="12.75">
      <c r="B47" s="20" t="str">
        <f t="shared" si="11"/>
        <v/>
      </c>
      <c r="C47" s="5"/>
      <c r="D47" s="5"/>
      <c r="E47" s="5"/>
      <c r="G47" s="5" t="str">
        <f>SUBSTITUTE(SUBSTITUTE(SUBSTITUTE(SUBSTITUTE(SUBSTITUTE(SUBSTITUTE(SUBSTITUTE(SUBSTITUTE(SUBSTITUTE(C47," ",""),".",""),"#","No"),"%",""),"(",""),"*",""),"-",""),"/",""),")","")</f>
        <v/>
      </c>
      <c r="H47" s="117" t="str">
        <f t="shared" si="13"/>
        <v/>
      </c>
      <c r="I47" s="5" t="str">
        <f>IF(E47=0,"",+E47)</f>
        <v/>
      </c>
      <c r="J47" s="5" t="str">
        <f>IF(C47=0,"",(IF(ISERROR(VLOOKUP(G47,$D$120:$D$127,1,FALSE)),""," NOT")&amp;" NULL"))</f>
        <v/>
      </c>
      <c r="K47" s="138"/>
      <c r="L47" s="5"/>
      <c r="M47" s="75"/>
      <c r="N47" s="77"/>
      <c r="O47" s="26"/>
      <c r="P47" s="26"/>
      <c r="Q47" s="118" t="str">
        <f>IF(M47=0,"",ROW())</f>
        <v/>
      </c>
      <c r="R47" s="153"/>
      <c r="S47" s="138" t="str">
        <f t="shared" si="10"/>
        <v/>
      </c>
      <c r="T47" s="148"/>
      <c r="U47" s="146"/>
      <c r="V47" s="146"/>
      <c r="W47" s="139"/>
      <c r="X47" s="139"/>
      <c r="Y47" s="148"/>
      <c r="Z47" s="138"/>
      <c r="AA47" s="138" t="str">
        <f t="shared" si="12"/>
        <v/>
      </c>
      <c r="AB47" s="239"/>
      <c r="AC47" s="325"/>
      <c r="AD47" s="325"/>
      <c r="AE47" s="325"/>
      <c r="AF47" s="325"/>
      <c r="AG47" s="325"/>
      <c r="AH47" s="325"/>
      <c r="AI47" s="325"/>
      <c r="AJ47" s="325"/>
      <c r="AK47" s="325"/>
      <c r="AL47" s="325"/>
      <c r="AM47" s="325"/>
      <c r="AN47" s="325"/>
      <c r="AO47" s="325"/>
      <c r="AP47" s="136"/>
      <c r="AQ47" s="136"/>
      <c r="AR47" s="136" t="str">
        <f t="shared" si="6"/>
        <v/>
      </c>
      <c r="AS47" s="136" t="str">
        <f t="shared" si="6"/>
        <v/>
      </c>
      <c r="AT47" s="5" t="str">
        <f t="shared" si="7"/>
        <v/>
      </c>
      <c r="AV47" s="27" t="str">
        <f>IF(G47="","",+"          ["&amp;TRIM(G47)&amp;"] ["&amp;TRIM(I47)&amp;"]"&amp;IF(H47="","","("&amp;H47&amp;")")&amp;" "&amp;TRIM(J47)&amp;IF(G48="","",","))</f>
        <v/>
      </c>
      <c r="AW47" s="27"/>
      <c r="AY47" s="122" t="str">
        <f t="shared" si="9"/>
        <v/>
      </c>
    </row>
    <row r="48" spans="2:51" ht="12.75">
      <c r="B48" s="20" t="str">
        <f t="shared" si="11"/>
        <v/>
      </c>
      <c r="C48" s="5"/>
      <c r="D48" s="5"/>
      <c r="E48" s="5"/>
      <c r="G48" s="5" t="str">
        <f>SUBSTITUTE(SUBSTITUTE(SUBSTITUTE(SUBSTITUTE(SUBSTITUTE(SUBSTITUTE(SUBSTITUTE(SUBSTITUTE(SUBSTITUTE(C48," ",""),".",""),"#","No"),"%",""),"(",""),"*",""),"-",""),"/",""),")","")</f>
        <v/>
      </c>
      <c r="H48" s="117" t="str">
        <f t="shared" si="13"/>
        <v/>
      </c>
      <c r="I48" s="5" t="str">
        <f>IF(E48=0,"",+E48)</f>
        <v/>
      </c>
      <c r="J48" s="5" t="str">
        <f>IF(C48=0,"",(IF(ISERROR(VLOOKUP(G48,$D$120:$D$127,1,FALSE)),""," NOT")&amp;" NULL"))</f>
        <v/>
      </c>
      <c r="K48" s="138"/>
      <c r="L48" s="5"/>
      <c r="M48" s="75"/>
      <c r="N48" s="77"/>
      <c r="O48" s="26"/>
      <c r="P48" s="26"/>
      <c r="Q48" s="118" t="str">
        <f>IF(M48=0,"",ROW())</f>
        <v/>
      </c>
      <c r="R48" s="153"/>
      <c r="S48" s="138" t="str">
        <f t="shared" si="10"/>
        <v/>
      </c>
      <c r="T48" s="148"/>
      <c r="U48" s="146"/>
      <c r="V48" s="146"/>
      <c r="W48" s="139"/>
      <c r="X48" s="139"/>
      <c r="Y48" s="148"/>
      <c r="Z48" s="138"/>
      <c r="AA48" s="138" t="str">
        <f t="shared" si="12"/>
        <v/>
      </c>
      <c r="AB48" s="239"/>
      <c r="AC48" s="325"/>
      <c r="AD48" s="325"/>
      <c r="AE48" s="325"/>
      <c r="AF48" s="325"/>
      <c r="AG48" s="325"/>
      <c r="AH48" s="325"/>
      <c r="AI48" s="325"/>
      <c r="AJ48" s="325"/>
      <c r="AK48" s="325"/>
      <c r="AL48" s="325"/>
      <c r="AM48" s="325"/>
      <c r="AN48" s="325"/>
      <c r="AO48" s="325"/>
      <c r="AP48" s="136"/>
      <c r="AQ48" s="136"/>
      <c r="AR48" s="136" t="str">
        <f t="shared" ref="AR48:AS79" si="15">IF(O48=0,"",ROW())</f>
        <v/>
      </c>
      <c r="AS48" s="136" t="str">
        <f t="shared" si="15"/>
        <v/>
      </c>
      <c r="AT48" s="5" t="str">
        <f t="shared" si="7"/>
        <v/>
      </c>
      <c r="AV48" s="27" t="str">
        <f>IF(G48="","",+"          ["&amp;TRIM(G48)&amp;"] ["&amp;TRIM(I48)&amp;"]"&amp;IF(H48="","","("&amp;H48&amp;")")&amp;" "&amp;TRIM(J48)&amp;IF(G96="","",","))</f>
        <v/>
      </c>
      <c r="AW48" s="27"/>
      <c r="AY48" s="122" t="str">
        <f t="shared" si="9"/>
        <v/>
      </c>
    </row>
    <row r="49" spans="2:51" ht="12.75">
      <c r="B49" s="20" t="str">
        <f t="shared" si="11"/>
        <v/>
      </c>
      <c r="C49" s="5"/>
      <c r="D49" s="5"/>
      <c r="E49" s="5"/>
      <c r="G49" s="5" t="str">
        <f>SUBSTITUTE(SUBSTITUTE(SUBSTITUTE(SUBSTITUTE(SUBSTITUTE(SUBSTITUTE(SUBSTITUTE(SUBSTITUTE(SUBSTITUTE(C49," ",""),".",""),"#","No"),"%",""),"(",""),"*",""),"-",""),"/",""),")","")</f>
        <v/>
      </c>
      <c r="H49" s="117" t="str">
        <f t="shared" si="13"/>
        <v/>
      </c>
      <c r="I49" s="5" t="str">
        <f>IF(E49=0,"",+E49)</f>
        <v/>
      </c>
      <c r="J49" s="5" t="str">
        <f>IF(C49=0,"",(IF(ISERROR(VLOOKUP(G49,$D$120:$D$127,1,FALSE)),""," NOT")&amp;" NULL"))</f>
        <v/>
      </c>
      <c r="K49" s="138"/>
      <c r="L49" s="5"/>
      <c r="M49" s="75"/>
      <c r="N49" s="77"/>
      <c r="O49" s="26"/>
      <c r="P49" s="26"/>
      <c r="Q49" s="118" t="str">
        <f>IF(M49=0,"",ROW())</f>
        <v/>
      </c>
      <c r="R49" s="153"/>
      <c r="S49" s="138" t="str">
        <f t="shared" si="10"/>
        <v/>
      </c>
      <c r="T49" s="148"/>
      <c r="U49" s="146"/>
      <c r="V49" s="146"/>
      <c r="W49" s="139"/>
      <c r="X49" s="139"/>
      <c r="Y49" s="148"/>
      <c r="Z49" s="138"/>
      <c r="AA49" s="138" t="str">
        <f t="shared" si="12"/>
        <v/>
      </c>
      <c r="AB49" s="239"/>
      <c r="AC49" s="325"/>
      <c r="AD49" s="325"/>
      <c r="AE49" s="325"/>
      <c r="AF49" s="325"/>
      <c r="AG49" s="325"/>
      <c r="AH49" s="325"/>
      <c r="AI49" s="325"/>
      <c r="AJ49" s="325"/>
      <c r="AK49" s="325"/>
      <c r="AL49" s="325"/>
      <c r="AM49" s="325"/>
      <c r="AN49" s="325"/>
      <c r="AO49" s="325"/>
      <c r="AP49" s="136"/>
      <c r="AQ49" s="136"/>
      <c r="AR49" s="136" t="str">
        <f t="shared" si="15"/>
        <v/>
      </c>
      <c r="AS49" s="136" t="str">
        <f t="shared" si="15"/>
        <v/>
      </c>
      <c r="AT49" s="5" t="str">
        <f t="shared" si="7"/>
        <v/>
      </c>
      <c r="AV49" s="27" t="str">
        <f>IF(G49="","",+"          ["&amp;TRIM(G49)&amp;"] ["&amp;TRIM(I49)&amp;"]"&amp;IF(H49="","","("&amp;H49&amp;")")&amp;" "&amp;TRIM(J49)&amp;IF(G95="","",","))</f>
        <v/>
      </c>
      <c r="AW49" s="27"/>
      <c r="AY49" s="122" t="str">
        <f t="shared" si="9"/>
        <v/>
      </c>
    </row>
    <row r="50" spans="2:51" ht="12.75">
      <c r="B50" s="20" t="str">
        <f t="shared" si="11"/>
        <v/>
      </c>
      <c r="C50" s="5"/>
      <c r="D50" s="5"/>
      <c r="E50" s="5"/>
      <c r="G50" s="5" t="str">
        <f t="shared" ref="G50:G93" si="16">SUBSTITUTE(SUBSTITUTE(SUBSTITUTE(SUBSTITUTE(SUBSTITUTE(SUBSTITUTE(SUBSTITUTE(SUBSTITUTE(SUBSTITUTE(C50," ",""),".",""),"#","No"),"%",""),"(",""),"*",""),"-",""),"/",""),")","")</f>
        <v/>
      </c>
      <c r="H50" s="117" t="str">
        <f t="shared" si="13"/>
        <v/>
      </c>
      <c r="I50" s="5" t="str">
        <f t="shared" ref="I50:I93" si="17">IF(E50=0,"",+E50)</f>
        <v/>
      </c>
      <c r="J50" s="5" t="str">
        <f t="shared" ref="J50:J93" si="18">IF(C50=0,"",(IF(ISERROR(VLOOKUP(G50,$D$120:$D$127,1,FALSE)),""," NOT")&amp;" NULL"))</f>
        <v/>
      </c>
      <c r="K50" s="138"/>
      <c r="L50" s="5"/>
      <c r="M50" s="75"/>
      <c r="N50" s="77"/>
      <c r="O50" s="26"/>
      <c r="P50" s="26"/>
      <c r="Q50" s="118" t="str">
        <f t="shared" ref="Q50:Q93" si="19">IF(M50=0,"",ROW())</f>
        <v/>
      </c>
      <c r="R50" s="153"/>
      <c r="S50" s="138" t="str">
        <f t="shared" si="10"/>
        <v/>
      </c>
      <c r="T50" s="148"/>
      <c r="U50" s="146"/>
      <c r="V50" s="146"/>
      <c r="W50" s="139"/>
      <c r="X50" s="139"/>
      <c r="Y50" s="148"/>
      <c r="Z50" s="138"/>
      <c r="AA50" s="138" t="str">
        <f t="shared" si="12"/>
        <v/>
      </c>
      <c r="AB50" s="239"/>
      <c r="AC50" s="325"/>
      <c r="AD50" s="325"/>
      <c r="AE50" s="325"/>
      <c r="AF50" s="325"/>
      <c r="AG50" s="325"/>
      <c r="AH50" s="325"/>
      <c r="AI50" s="325"/>
      <c r="AJ50" s="325"/>
      <c r="AK50" s="325"/>
      <c r="AL50" s="325"/>
      <c r="AM50" s="325"/>
      <c r="AN50" s="325"/>
      <c r="AO50" s="325"/>
      <c r="AP50" s="136"/>
      <c r="AQ50" s="136"/>
      <c r="AR50" s="136" t="str">
        <f t="shared" si="15"/>
        <v/>
      </c>
      <c r="AS50" s="136" t="str">
        <f t="shared" si="15"/>
        <v/>
      </c>
      <c r="AT50" s="5" t="str">
        <f t="shared" si="7"/>
        <v/>
      </c>
      <c r="AV50" s="27" t="str">
        <f>IF(G50="","",+"          ["&amp;TRIM(G50)&amp;"] ["&amp;TRIM(I50)&amp;"]"&amp;IF(H50="","","("&amp;H50&amp;")")&amp;" "&amp;TRIM(J50)&amp;IF(G51="","",","))</f>
        <v/>
      </c>
      <c r="AW50" s="27"/>
      <c r="AY50" s="122" t="str">
        <f t="shared" si="9"/>
        <v/>
      </c>
    </row>
    <row r="51" spans="2:51" ht="12.75">
      <c r="B51" s="20" t="str">
        <f t="shared" si="11"/>
        <v/>
      </c>
      <c r="C51" s="5"/>
      <c r="D51" s="5"/>
      <c r="E51" s="5"/>
      <c r="G51" s="5" t="str">
        <f t="shared" si="16"/>
        <v/>
      </c>
      <c r="H51" s="117" t="str">
        <f t="shared" si="13"/>
        <v/>
      </c>
      <c r="I51" s="5" t="str">
        <f t="shared" si="17"/>
        <v/>
      </c>
      <c r="J51" s="5" t="str">
        <f t="shared" si="18"/>
        <v/>
      </c>
      <c r="K51" s="138"/>
      <c r="L51" s="5"/>
      <c r="M51" s="75"/>
      <c r="N51" s="77"/>
      <c r="O51" s="26"/>
      <c r="P51" s="26"/>
      <c r="Q51" s="118" t="str">
        <f t="shared" si="19"/>
        <v/>
      </c>
      <c r="R51" s="153"/>
      <c r="S51" s="138" t="str">
        <f t="shared" si="10"/>
        <v/>
      </c>
      <c r="T51" s="148"/>
      <c r="U51" s="146"/>
      <c r="V51" s="146"/>
      <c r="W51" s="139"/>
      <c r="X51" s="139"/>
      <c r="Y51" s="148"/>
      <c r="Z51" s="138"/>
      <c r="AA51" s="138" t="str">
        <f t="shared" si="12"/>
        <v/>
      </c>
      <c r="AB51" s="239"/>
      <c r="AC51" s="325"/>
      <c r="AD51" s="325"/>
      <c r="AE51" s="325"/>
      <c r="AF51" s="325"/>
      <c r="AG51" s="325"/>
      <c r="AH51" s="325"/>
      <c r="AI51" s="325"/>
      <c r="AJ51" s="325"/>
      <c r="AK51" s="325"/>
      <c r="AL51" s="325"/>
      <c r="AM51" s="325"/>
      <c r="AN51" s="325"/>
      <c r="AO51" s="325"/>
      <c r="AP51" s="136"/>
      <c r="AQ51" s="136"/>
      <c r="AR51" s="136" t="str">
        <f t="shared" si="15"/>
        <v/>
      </c>
      <c r="AS51" s="136" t="str">
        <f t="shared" si="15"/>
        <v/>
      </c>
      <c r="AT51" s="5" t="str">
        <f t="shared" si="7"/>
        <v/>
      </c>
      <c r="AV51" s="27" t="str">
        <f>IF(G51="","",+"          ["&amp;TRIM(G51)&amp;"] ["&amp;TRIM(I51)&amp;"]"&amp;IF(H51="","","("&amp;H51&amp;")")&amp;" "&amp;TRIM(J51)&amp;IF(G54="","",","))</f>
        <v/>
      </c>
      <c r="AW51" s="27"/>
      <c r="AY51" s="122" t="str">
        <f t="shared" si="9"/>
        <v/>
      </c>
    </row>
    <row r="52" spans="2:51" ht="12.75">
      <c r="B52" s="20" t="str">
        <f t="shared" si="11"/>
        <v/>
      </c>
      <c r="C52" s="5"/>
      <c r="D52" s="5"/>
      <c r="E52" s="5"/>
      <c r="G52" s="5" t="str">
        <f t="shared" si="16"/>
        <v/>
      </c>
      <c r="H52" s="117" t="str">
        <f t="shared" si="13"/>
        <v/>
      </c>
      <c r="I52" s="5" t="str">
        <f t="shared" si="17"/>
        <v/>
      </c>
      <c r="J52" s="5" t="str">
        <f t="shared" si="18"/>
        <v/>
      </c>
      <c r="K52" s="138"/>
      <c r="L52" s="5"/>
      <c r="M52" s="75"/>
      <c r="N52" s="77"/>
      <c r="O52" s="26"/>
      <c r="P52" s="26"/>
      <c r="Q52" s="118" t="str">
        <f t="shared" si="19"/>
        <v/>
      </c>
      <c r="R52" s="153"/>
      <c r="S52" s="138" t="str">
        <f t="shared" si="10"/>
        <v/>
      </c>
      <c r="T52" s="148"/>
      <c r="U52" s="146"/>
      <c r="V52" s="146"/>
      <c r="W52" s="139"/>
      <c r="X52" s="139"/>
      <c r="Y52" s="148"/>
      <c r="Z52" s="138"/>
      <c r="AA52" s="138" t="str">
        <f t="shared" si="12"/>
        <v/>
      </c>
      <c r="AB52" s="239"/>
      <c r="AC52" s="325"/>
      <c r="AD52" s="325"/>
      <c r="AE52" s="325"/>
      <c r="AF52" s="325"/>
      <c r="AG52" s="325"/>
      <c r="AH52" s="325"/>
      <c r="AI52" s="325"/>
      <c r="AJ52" s="325"/>
      <c r="AK52" s="325"/>
      <c r="AL52" s="325"/>
      <c r="AM52" s="325"/>
      <c r="AN52" s="325"/>
      <c r="AO52" s="325"/>
      <c r="AP52" s="136"/>
      <c r="AQ52" s="136"/>
      <c r="AR52" s="136" t="str">
        <f t="shared" si="15"/>
        <v/>
      </c>
      <c r="AS52" s="136" t="str">
        <f t="shared" si="15"/>
        <v/>
      </c>
      <c r="AT52" s="5" t="str">
        <f t="shared" si="7"/>
        <v/>
      </c>
      <c r="AV52" s="27" t="str">
        <f>IF(G52="","",+"          ["&amp;TRIM(G52)&amp;"] ["&amp;TRIM(I52)&amp;"]"&amp;IF(H52="","","("&amp;H52&amp;")")&amp;" "&amp;TRIM(J52)&amp;IF(G53="","",","))</f>
        <v/>
      </c>
      <c r="AW52" s="27"/>
      <c r="AY52" s="122" t="str">
        <f t="shared" si="9"/>
        <v/>
      </c>
    </row>
    <row r="53" spans="2:51" ht="12.75">
      <c r="B53" s="20" t="str">
        <f t="shared" si="11"/>
        <v/>
      </c>
      <c r="C53" s="5"/>
      <c r="D53" s="5"/>
      <c r="E53" s="5"/>
      <c r="G53" s="5" t="str">
        <f t="shared" si="16"/>
        <v/>
      </c>
      <c r="H53" s="117" t="str">
        <f t="shared" si="13"/>
        <v/>
      </c>
      <c r="I53" s="5" t="str">
        <f t="shared" si="17"/>
        <v/>
      </c>
      <c r="J53" s="5" t="str">
        <f t="shared" si="18"/>
        <v/>
      </c>
      <c r="K53" s="138"/>
      <c r="L53" s="5"/>
      <c r="M53" s="75"/>
      <c r="N53" s="77"/>
      <c r="O53" s="26"/>
      <c r="P53" s="26"/>
      <c r="Q53" s="118" t="str">
        <f t="shared" si="19"/>
        <v/>
      </c>
      <c r="R53" s="153"/>
      <c r="S53" s="138" t="str">
        <f t="shared" si="10"/>
        <v/>
      </c>
      <c r="T53" s="148"/>
      <c r="U53" s="146"/>
      <c r="V53" s="146"/>
      <c r="W53" s="139"/>
      <c r="X53" s="139"/>
      <c r="Y53" s="148"/>
      <c r="Z53" s="138"/>
      <c r="AA53" s="138" t="str">
        <f t="shared" si="12"/>
        <v/>
      </c>
      <c r="AB53" s="239"/>
      <c r="AC53" s="325"/>
      <c r="AD53" s="325"/>
      <c r="AE53" s="325"/>
      <c r="AF53" s="325"/>
      <c r="AG53" s="325"/>
      <c r="AH53" s="325"/>
      <c r="AI53" s="325"/>
      <c r="AJ53" s="325"/>
      <c r="AK53" s="325"/>
      <c r="AL53" s="325"/>
      <c r="AM53" s="325"/>
      <c r="AN53" s="325"/>
      <c r="AO53" s="325"/>
      <c r="AP53" s="136"/>
      <c r="AQ53" s="136"/>
      <c r="AR53" s="136" t="str">
        <f t="shared" si="15"/>
        <v/>
      </c>
      <c r="AS53" s="136" t="str">
        <f t="shared" si="15"/>
        <v/>
      </c>
      <c r="AT53" s="5" t="str">
        <f t="shared" si="7"/>
        <v/>
      </c>
      <c r="AV53" s="27" t="str">
        <f>IF(G53="","",+"          ["&amp;TRIM(G53)&amp;"] ["&amp;TRIM(I53)&amp;"]"&amp;IF(H53="","","("&amp;H53&amp;")")&amp;" "&amp;TRIM(J53)&amp;IF(G54="","",","))</f>
        <v/>
      </c>
      <c r="AW53" s="27"/>
      <c r="AY53" s="122" t="str">
        <f t="shared" si="9"/>
        <v/>
      </c>
    </row>
    <row r="54" spans="2:51" ht="12.75">
      <c r="B54" s="20" t="str">
        <f t="shared" si="11"/>
        <v/>
      </c>
      <c r="C54" s="5"/>
      <c r="D54" s="5"/>
      <c r="E54" s="5"/>
      <c r="G54" s="5" t="str">
        <f t="shared" si="16"/>
        <v/>
      </c>
      <c r="H54" s="117" t="str">
        <f t="shared" si="13"/>
        <v/>
      </c>
      <c r="I54" s="5" t="str">
        <f t="shared" si="17"/>
        <v/>
      </c>
      <c r="J54" s="5" t="str">
        <f t="shared" si="18"/>
        <v/>
      </c>
      <c r="K54" s="138"/>
      <c r="L54" s="5"/>
      <c r="M54" s="75"/>
      <c r="N54" s="77"/>
      <c r="O54" s="26"/>
      <c r="P54" s="26"/>
      <c r="Q54" s="118" t="str">
        <f t="shared" si="19"/>
        <v/>
      </c>
      <c r="R54" s="153"/>
      <c r="S54" s="138" t="str">
        <f t="shared" si="10"/>
        <v/>
      </c>
      <c r="T54" s="148"/>
      <c r="U54" s="146"/>
      <c r="V54" s="146"/>
      <c r="W54" s="139"/>
      <c r="X54" s="139"/>
      <c r="Y54" s="148"/>
      <c r="Z54" s="138"/>
      <c r="AA54" s="138" t="str">
        <f t="shared" si="12"/>
        <v/>
      </c>
      <c r="AB54" s="239"/>
      <c r="AC54" s="325"/>
      <c r="AD54" s="325"/>
      <c r="AE54" s="325"/>
      <c r="AF54" s="325"/>
      <c r="AG54" s="325"/>
      <c r="AH54" s="325"/>
      <c r="AI54" s="325"/>
      <c r="AJ54" s="325"/>
      <c r="AK54" s="325"/>
      <c r="AL54" s="325"/>
      <c r="AM54" s="325"/>
      <c r="AN54" s="325"/>
      <c r="AO54" s="325"/>
      <c r="AP54" s="136"/>
      <c r="AQ54" s="136"/>
      <c r="AR54" s="136" t="str">
        <f t="shared" si="15"/>
        <v/>
      </c>
      <c r="AS54" s="136" t="str">
        <f t="shared" si="15"/>
        <v/>
      </c>
      <c r="AT54" s="5" t="str">
        <f t="shared" si="7"/>
        <v/>
      </c>
      <c r="AV54" s="27" t="str">
        <f>IF(G54="","",+"          ["&amp;TRIM(G54)&amp;"] ["&amp;TRIM(I54)&amp;"]"&amp;IF(H54="","","("&amp;H54&amp;")")&amp;" "&amp;TRIM(J54)&amp;IF(G63="","",","))</f>
        <v/>
      </c>
      <c r="AW54" s="27"/>
      <c r="AY54" s="122" t="str">
        <f t="shared" si="9"/>
        <v/>
      </c>
    </row>
    <row r="55" spans="2:51" ht="12.75">
      <c r="B55" s="20" t="str">
        <f t="shared" si="11"/>
        <v/>
      </c>
      <c r="C55" s="5"/>
      <c r="D55" s="5"/>
      <c r="E55" s="5"/>
      <c r="G55" s="5" t="str">
        <f t="shared" si="16"/>
        <v/>
      </c>
      <c r="H55" s="117" t="str">
        <f t="shared" si="13"/>
        <v/>
      </c>
      <c r="I55" s="5" t="str">
        <f t="shared" si="17"/>
        <v/>
      </c>
      <c r="J55" s="5" t="str">
        <f t="shared" si="18"/>
        <v/>
      </c>
      <c r="K55" s="138"/>
      <c r="L55" s="5"/>
      <c r="M55" s="75"/>
      <c r="N55" s="77"/>
      <c r="O55" s="26"/>
      <c r="P55" s="26"/>
      <c r="Q55" s="118" t="str">
        <f t="shared" si="19"/>
        <v/>
      </c>
      <c r="R55" s="153"/>
      <c r="S55" s="138" t="str">
        <f t="shared" si="10"/>
        <v/>
      </c>
      <c r="T55" s="148"/>
      <c r="U55" s="146"/>
      <c r="V55" s="146"/>
      <c r="W55" s="139"/>
      <c r="X55" s="139"/>
      <c r="Y55" s="148"/>
      <c r="Z55" s="138"/>
      <c r="AA55" s="138" t="str">
        <f t="shared" si="12"/>
        <v/>
      </c>
      <c r="AB55" s="239"/>
      <c r="AC55" s="325"/>
      <c r="AD55" s="325"/>
      <c r="AE55" s="325"/>
      <c r="AF55" s="325"/>
      <c r="AG55" s="325"/>
      <c r="AH55" s="325"/>
      <c r="AI55" s="325"/>
      <c r="AJ55" s="325"/>
      <c r="AK55" s="325"/>
      <c r="AL55" s="325"/>
      <c r="AM55" s="325"/>
      <c r="AN55" s="325"/>
      <c r="AO55" s="325"/>
      <c r="AP55" s="136"/>
      <c r="AQ55" s="136"/>
      <c r="AR55" s="136" t="str">
        <f t="shared" si="15"/>
        <v/>
      </c>
      <c r="AS55" s="136" t="str">
        <f t="shared" si="15"/>
        <v/>
      </c>
      <c r="AT55" s="5" t="str">
        <f t="shared" si="7"/>
        <v/>
      </c>
      <c r="AV55" s="27" t="str">
        <f>IF(G55="","",+"          ["&amp;TRIM(G55)&amp;"] ["&amp;TRIM(I55)&amp;"]"&amp;IF(H55="","","("&amp;H55&amp;")")&amp;" "&amp;TRIM(J55)&amp;IF(G56="","",","))</f>
        <v/>
      </c>
      <c r="AW55" s="27"/>
      <c r="AY55" s="122" t="str">
        <f t="shared" si="9"/>
        <v/>
      </c>
    </row>
    <row r="56" spans="2:51" ht="12.75">
      <c r="B56" s="20" t="str">
        <f t="shared" si="11"/>
        <v/>
      </c>
      <c r="C56" s="5"/>
      <c r="D56" s="5"/>
      <c r="E56" s="5"/>
      <c r="G56" s="5" t="str">
        <f t="shared" si="16"/>
        <v/>
      </c>
      <c r="H56" s="117" t="str">
        <f t="shared" si="13"/>
        <v/>
      </c>
      <c r="I56" s="5" t="str">
        <f t="shared" si="17"/>
        <v/>
      </c>
      <c r="J56" s="5" t="str">
        <f t="shared" si="18"/>
        <v/>
      </c>
      <c r="K56" s="138"/>
      <c r="L56" s="5"/>
      <c r="M56" s="75"/>
      <c r="N56" s="77"/>
      <c r="O56" s="26"/>
      <c r="P56" s="26"/>
      <c r="Q56" s="118" t="str">
        <f t="shared" si="19"/>
        <v/>
      </c>
      <c r="R56" s="153"/>
      <c r="S56" s="138" t="str">
        <f t="shared" si="10"/>
        <v/>
      </c>
      <c r="T56" s="148"/>
      <c r="U56" s="146"/>
      <c r="V56" s="146"/>
      <c r="W56" s="139"/>
      <c r="X56" s="139"/>
      <c r="Y56" s="148"/>
      <c r="Z56" s="138"/>
      <c r="AA56" s="138" t="str">
        <f t="shared" si="12"/>
        <v/>
      </c>
      <c r="AB56" s="239"/>
      <c r="AC56" s="325"/>
      <c r="AD56" s="325"/>
      <c r="AE56" s="325"/>
      <c r="AF56" s="325"/>
      <c r="AG56" s="325"/>
      <c r="AH56" s="325"/>
      <c r="AI56" s="325"/>
      <c r="AJ56" s="325"/>
      <c r="AK56" s="325"/>
      <c r="AL56" s="325"/>
      <c r="AM56" s="325"/>
      <c r="AN56" s="325"/>
      <c r="AO56" s="325"/>
      <c r="AP56" s="136"/>
      <c r="AQ56" s="136"/>
      <c r="AR56" s="136" t="str">
        <f t="shared" si="15"/>
        <v/>
      </c>
      <c r="AS56" s="136" t="str">
        <f t="shared" si="15"/>
        <v/>
      </c>
      <c r="AT56" s="5" t="str">
        <f t="shared" si="7"/>
        <v/>
      </c>
      <c r="AV56" s="27" t="str">
        <f>IF(G56="","",+"          ["&amp;TRIM(G56)&amp;"] ["&amp;TRIM(I56)&amp;"]"&amp;IF(H56="","","("&amp;H56&amp;")")&amp;" "&amp;TRIM(J56)&amp;IF(G62="","",","))</f>
        <v/>
      </c>
      <c r="AW56" s="27"/>
      <c r="AY56" s="122" t="str">
        <f t="shared" si="9"/>
        <v/>
      </c>
    </row>
    <row r="57" spans="2:51" ht="12.75">
      <c r="B57" s="20" t="str">
        <f t="shared" si="11"/>
        <v/>
      </c>
      <c r="C57" s="5"/>
      <c r="D57" s="5"/>
      <c r="E57" s="5"/>
      <c r="G57" s="5" t="str">
        <f t="shared" si="16"/>
        <v/>
      </c>
      <c r="H57" s="117" t="str">
        <f t="shared" si="13"/>
        <v/>
      </c>
      <c r="I57" s="5" t="str">
        <f t="shared" si="17"/>
        <v/>
      </c>
      <c r="J57" s="5" t="str">
        <f t="shared" si="18"/>
        <v/>
      </c>
      <c r="K57" s="138"/>
      <c r="L57" s="5"/>
      <c r="M57" s="75"/>
      <c r="N57" s="77"/>
      <c r="O57" s="26"/>
      <c r="P57" s="26"/>
      <c r="Q57" s="118" t="str">
        <f t="shared" si="19"/>
        <v/>
      </c>
      <c r="R57" s="153"/>
      <c r="S57" s="138" t="str">
        <f t="shared" si="10"/>
        <v/>
      </c>
      <c r="T57" s="148"/>
      <c r="U57" s="146"/>
      <c r="V57" s="146"/>
      <c r="W57" s="139"/>
      <c r="X57" s="139"/>
      <c r="Y57" s="148"/>
      <c r="Z57" s="138"/>
      <c r="AA57" s="138" t="str">
        <f t="shared" si="12"/>
        <v/>
      </c>
      <c r="AB57" s="239"/>
      <c r="AC57" s="325"/>
      <c r="AD57" s="325"/>
      <c r="AE57" s="325"/>
      <c r="AF57" s="325"/>
      <c r="AG57" s="325"/>
      <c r="AH57" s="325"/>
      <c r="AI57" s="325"/>
      <c r="AJ57" s="325"/>
      <c r="AK57" s="325"/>
      <c r="AL57" s="325"/>
      <c r="AM57" s="325"/>
      <c r="AN57" s="325"/>
      <c r="AO57" s="325"/>
      <c r="AP57" s="136"/>
      <c r="AQ57" s="136"/>
      <c r="AR57" s="136" t="str">
        <f t="shared" si="15"/>
        <v/>
      </c>
      <c r="AS57" s="136" t="str">
        <f t="shared" si="15"/>
        <v/>
      </c>
      <c r="AT57" s="5" t="str">
        <f t="shared" si="7"/>
        <v/>
      </c>
      <c r="AV57" s="27" t="str">
        <f>IF(G57="","",+"          ["&amp;TRIM(G57)&amp;"] ["&amp;TRIM(I57)&amp;"]"&amp;IF(H57="","","("&amp;H57&amp;")")&amp;" "&amp;TRIM(J57)&amp;IF(G58="","",","))</f>
        <v/>
      </c>
      <c r="AW57" s="27"/>
      <c r="AY57" s="122" t="str">
        <f t="shared" si="9"/>
        <v/>
      </c>
    </row>
    <row r="58" spans="2:51" ht="12.75">
      <c r="B58" s="20" t="str">
        <f t="shared" si="11"/>
        <v/>
      </c>
      <c r="C58" s="5"/>
      <c r="D58" s="5"/>
      <c r="E58" s="5"/>
      <c r="G58" s="5" t="str">
        <f t="shared" si="16"/>
        <v/>
      </c>
      <c r="H58" s="117" t="str">
        <f t="shared" si="13"/>
        <v/>
      </c>
      <c r="I58" s="5" t="str">
        <f t="shared" si="17"/>
        <v/>
      </c>
      <c r="J58" s="5" t="str">
        <f t="shared" si="18"/>
        <v/>
      </c>
      <c r="K58" s="138"/>
      <c r="L58" s="5"/>
      <c r="M58" s="75"/>
      <c r="N58" s="77"/>
      <c r="O58" s="26"/>
      <c r="P58" s="26"/>
      <c r="Q58" s="118" t="str">
        <f t="shared" si="19"/>
        <v/>
      </c>
      <c r="R58" s="153"/>
      <c r="S58" s="138" t="str">
        <f t="shared" si="10"/>
        <v/>
      </c>
      <c r="T58" s="148"/>
      <c r="U58" s="146"/>
      <c r="V58" s="146"/>
      <c r="W58" s="139"/>
      <c r="X58" s="139"/>
      <c r="Y58" s="148"/>
      <c r="Z58" s="138"/>
      <c r="AA58" s="138" t="str">
        <f t="shared" si="12"/>
        <v/>
      </c>
      <c r="AB58" s="239"/>
      <c r="AC58" s="325"/>
      <c r="AD58" s="325"/>
      <c r="AE58" s="325"/>
      <c r="AF58" s="325"/>
      <c r="AG58" s="325"/>
      <c r="AH58" s="325"/>
      <c r="AI58" s="325"/>
      <c r="AJ58" s="325"/>
      <c r="AK58" s="325"/>
      <c r="AL58" s="325"/>
      <c r="AM58" s="325"/>
      <c r="AN58" s="325"/>
      <c r="AO58" s="325"/>
      <c r="AP58" s="136"/>
      <c r="AQ58" s="136"/>
      <c r="AR58" s="136" t="str">
        <f t="shared" si="15"/>
        <v/>
      </c>
      <c r="AS58" s="136" t="str">
        <f t="shared" si="15"/>
        <v/>
      </c>
      <c r="AT58" s="5" t="str">
        <f t="shared" si="7"/>
        <v/>
      </c>
      <c r="AV58" s="27" t="str">
        <f>IF(G58="","",+"          ["&amp;TRIM(G58)&amp;"] ["&amp;TRIM(I58)&amp;"]"&amp;IF(H58="","","("&amp;H58&amp;")")&amp;" "&amp;TRIM(J58)&amp;IF(G61="","",","))</f>
        <v/>
      </c>
      <c r="AW58" s="27"/>
      <c r="AY58" s="122" t="str">
        <f t="shared" si="9"/>
        <v/>
      </c>
    </row>
    <row r="59" spans="2:51" ht="12.75">
      <c r="B59" s="20" t="str">
        <f t="shared" si="11"/>
        <v/>
      </c>
      <c r="C59" s="5"/>
      <c r="D59" s="5"/>
      <c r="E59" s="5"/>
      <c r="G59" s="5" t="str">
        <f t="shared" si="16"/>
        <v/>
      </c>
      <c r="H59" s="117" t="str">
        <f t="shared" si="13"/>
        <v/>
      </c>
      <c r="I59" s="5" t="str">
        <f t="shared" si="17"/>
        <v/>
      </c>
      <c r="J59" s="5" t="str">
        <f t="shared" si="18"/>
        <v/>
      </c>
      <c r="K59" s="5"/>
      <c r="L59" s="5"/>
      <c r="M59" s="75"/>
      <c r="N59" s="77"/>
      <c r="O59" s="26"/>
      <c r="P59" s="26"/>
      <c r="Q59" s="118" t="str">
        <f t="shared" si="19"/>
        <v/>
      </c>
      <c r="R59" s="153"/>
      <c r="S59" s="138" t="str">
        <f t="shared" si="10"/>
        <v/>
      </c>
      <c r="T59" s="148"/>
      <c r="U59" s="146"/>
      <c r="V59" s="146"/>
      <c r="W59" s="139"/>
      <c r="X59" s="139"/>
      <c r="Y59" s="148"/>
      <c r="Z59" s="138"/>
      <c r="AA59" s="138" t="str">
        <f t="shared" si="12"/>
        <v/>
      </c>
      <c r="AB59" s="239"/>
      <c r="AC59" s="325"/>
      <c r="AD59" s="325"/>
      <c r="AE59" s="325"/>
      <c r="AF59" s="325"/>
      <c r="AG59" s="325"/>
      <c r="AH59" s="325"/>
      <c r="AI59" s="325"/>
      <c r="AJ59" s="325"/>
      <c r="AK59" s="325"/>
      <c r="AL59" s="325"/>
      <c r="AM59" s="325"/>
      <c r="AN59" s="325"/>
      <c r="AO59" s="325"/>
      <c r="AP59" s="136"/>
      <c r="AQ59" s="136"/>
      <c r="AR59" s="136" t="str">
        <f t="shared" si="15"/>
        <v/>
      </c>
      <c r="AS59" s="136" t="str">
        <f t="shared" si="15"/>
        <v/>
      </c>
      <c r="AT59" s="5" t="str">
        <f t="shared" si="7"/>
        <v/>
      </c>
      <c r="AV59" s="27" t="str">
        <f t="shared" ref="AV59:AV64" si="20">IF(G59="","",+"          ["&amp;TRIM(G59)&amp;"] ["&amp;TRIM(I59)&amp;"]"&amp;IF(H59="","","("&amp;H59&amp;")")&amp;" "&amp;TRIM(J59)&amp;IF(G60="","",","))</f>
        <v/>
      </c>
      <c r="AW59" s="27"/>
      <c r="AY59" s="122" t="str">
        <f t="shared" si="9"/>
        <v/>
      </c>
    </row>
    <row r="60" spans="2:51" ht="12.75">
      <c r="B60" s="20" t="str">
        <f t="shared" si="11"/>
        <v/>
      </c>
      <c r="C60" s="5"/>
      <c r="D60" s="5"/>
      <c r="E60" s="5"/>
      <c r="G60" s="5" t="str">
        <f t="shared" si="16"/>
        <v/>
      </c>
      <c r="H60" s="117" t="str">
        <f t="shared" si="13"/>
        <v/>
      </c>
      <c r="I60" s="5" t="str">
        <f t="shared" si="17"/>
        <v/>
      </c>
      <c r="J60" s="5" t="str">
        <f t="shared" si="18"/>
        <v/>
      </c>
      <c r="K60" s="5"/>
      <c r="L60" s="5"/>
      <c r="M60" s="75"/>
      <c r="N60" s="77"/>
      <c r="O60" s="26"/>
      <c r="P60" s="26"/>
      <c r="Q60" s="118" t="str">
        <f t="shared" si="19"/>
        <v/>
      </c>
      <c r="R60" s="153"/>
      <c r="S60" s="138" t="str">
        <f t="shared" si="10"/>
        <v/>
      </c>
      <c r="T60" s="148"/>
      <c r="U60" s="146"/>
      <c r="V60" s="146"/>
      <c r="W60" s="139"/>
      <c r="X60" s="139"/>
      <c r="Y60" s="148"/>
      <c r="Z60" s="138" t="str">
        <f t="shared" ref="Z60:Z115" si="21">IF(M60&lt;9000,"","false")</f>
        <v/>
      </c>
      <c r="AA60" s="138" t="str">
        <f t="shared" si="12"/>
        <v/>
      </c>
      <c r="AB60" s="239"/>
      <c r="AC60" s="325"/>
      <c r="AD60" s="325"/>
      <c r="AE60" s="325"/>
      <c r="AF60" s="325"/>
      <c r="AG60" s="325"/>
      <c r="AH60" s="325"/>
      <c r="AI60" s="325"/>
      <c r="AJ60" s="325"/>
      <c r="AK60" s="325"/>
      <c r="AL60" s="325"/>
      <c r="AM60" s="325"/>
      <c r="AN60" s="325"/>
      <c r="AO60" s="325"/>
      <c r="AP60" s="136"/>
      <c r="AQ60" s="136"/>
      <c r="AR60" s="136" t="str">
        <f t="shared" si="15"/>
        <v/>
      </c>
      <c r="AS60" s="136" t="str">
        <f t="shared" si="15"/>
        <v/>
      </c>
      <c r="AT60" s="5" t="str">
        <f t="shared" si="7"/>
        <v/>
      </c>
      <c r="AV60" s="27" t="str">
        <f t="shared" si="20"/>
        <v/>
      </c>
      <c r="AW60" s="27"/>
      <c r="AY60" s="122" t="str">
        <f t="shared" si="9"/>
        <v/>
      </c>
    </row>
    <row r="61" spans="2:51" ht="12.75">
      <c r="B61" s="20" t="str">
        <f t="shared" si="11"/>
        <v/>
      </c>
      <c r="C61" s="5"/>
      <c r="D61" s="5"/>
      <c r="E61" s="5"/>
      <c r="G61" s="5" t="str">
        <f t="shared" si="16"/>
        <v/>
      </c>
      <c r="H61" s="117" t="str">
        <f t="shared" si="13"/>
        <v/>
      </c>
      <c r="I61" s="5" t="str">
        <f t="shared" si="17"/>
        <v/>
      </c>
      <c r="J61" s="5" t="str">
        <f t="shared" si="18"/>
        <v/>
      </c>
      <c r="K61" s="5"/>
      <c r="L61" s="5"/>
      <c r="M61" s="75"/>
      <c r="N61" s="77"/>
      <c r="O61" s="26"/>
      <c r="P61" s="26"/>
      <c r="Q61" s="118" t="str">
        <f t="shared" si="19"/>
        <v/>
      </c>
      <c r="R61" s="153"/>
      <c r="S61" s="138" t="str">
        <f t="shared" si="10"/>
        <v/>
      </c>
      <c r="T61" s="148"/>
      <c r="U61" s="146"/>
      <c r="V61" s="146"/>
      <c r="W61" s="139"/>
      <c r="X61" s="139"/>
      <c r="Y61" s="148"/>
      <c r="Z61" s="138" t="str">
        <f t="shared" si="21"/>
        <v/>
      </c>
      <c r="AA61" s="138" t="str">
        <f t="shared" si="12"/>
        <v/>
      </c>
      <c r="AB61" s="239"/>
      <c r="AC61" s="325"/>
      <c r="AD61" s="325"/>
      <c r="AE61" s="325"/>
      <c r="AF61" s="325"/>
      <c r="AG61" s="325"/>
      <c r="AH61" s="325"/>
      <c r="AI61" s="325"/>
      <c r="AJ61" s="325"/>
      <c r="AK61" s="325"/>
      <c r="AL61" s="325"/>
      <c r="AM61" s="325"/>
      <c r="AN61" s="325"/>
      <c r="AO61" s="325"/>
      <c r="AP61" s="136"/>
      <c r="AQ61" s="136"/>
      <c r="AR61" s="136" t="str">
        <f t="shared" si="15"/>
        <v/>
      </c>
      <c r="AS61" s="136" t="str">
        <f t="shared" si="15"/>
        <v/>
      </c>
      <c r="AT61" s="5" t="str">
        <f t="shared" si="7"/>
        <v/>
      </c>
      <c r="AV61" s="27" t="str">
        <f t="shared" si="20"/>
        <v/>
      </c>
      <c r="AW61" s="27"/>
      <c r="AY61" s="122" t="str">
        <f t="shared" si="9"/>
        <v/>
      </c>
    </row>
    <row r="62" spans="2:51" ht="12.75">
      <c r="B62" s="20" t="str">
        <f t="shared" si="11"/>
        <v/>
      </c>
      <c r="C62" s="5"/>
      <c r="D62" s="5"/>
      <c r="E62" s="5"/>
      <c r="G62" s="5" t="str">
        <f t="shared" si="16"/>
        <v/>
      </c>
      <c r="H62" s="117" t="str">
        <f t="shared" si="13"/>
        <v/>
      </c>
      <c r="I62" s="5" t="str">
        <f t="shared" si="17"/>
        <v/>
      </c>
      <c r="J62" s="5" t="str">
        <f t="shared" si="18"/>
        <v/>
      </c>
      <c r="K62" s="5"/>
      <c r="L62" s="5"/>
      <c r="M62" s="75"/>
      <c r="N62" s="77"/>
      <c r="O62" s="26"/>
      <c r="P62" s="26"/>
      <c r="Q62" s="118" t="str">
        <f t="shared" si="19"/>
        <v/>
      </c>
      <c r="R62" s="153"/>
      <c r="S62" s="138" t="str">
        <f t="shared" si="10"/>
        <v/>
      </c>
      <c r="T62" s="148"/>
      <c r="U62" s="146"/>
      <c r="V62" s="146"/>
      <c r="W62" s="139"/>
      <c r="X62" s="139"/>
      <c r="Y62" s="148"/>
      <c r="Z62" s="138" t="str">
        <f t="shared" si="21"/>
        <v/>
      </c>
      <c r="AA62" s="138" t="str">
        <f t="shared" si="12"/>
        <v/>
      </c>
      <c r="AB62" s="239"/>
      <c r="AC62" s="325"/>
      <c r="AD62" s="325"/>
      <c r="AE62" s="325"/>
      <c r="AF62" s="325"/>
      <c r="AG62" s="325"/>
      <c r="AH62" s="325"/>
      <c r="AI62" s="325"/>
      <c r="AJ62" s="325"/>
      <c r="AK62" s="325"/>
      <c r="AL62" s="325"/>
      <c r="AM62" s="325"/>
      <c r="AN62" s="325"/>
      <c r="AO62" s="325"/>
      <c r="AP62" s="136"/>
      <c r="AQ62" s="136"/>
      <c r="AR62" s="136" t="str">
        <f t="shared" si="15"/>
        <v/>
      </c>
      <c r="AS62" s="136" t="str">
        <f t="shared" si="15"/>
        <v/>
      </c>
      <c r="AT62" s="5" t="str">
        <f t="shared" si="7"/>
        <v/>
      </c>
      <c r="AV62" s="27" t="str">
        <f t="shared" si="20"/>
        <v/>
      </c>
      <c r="AW62" s="27"/>
      <c r="AY62" s="122" t="str">
        <f t="shared" si="9"/>
        <v/>
      </c>
    </row>
    <row r="63" spans="2:51" ht="12.75">
      <c r="B63" s="20" t="str">
        <f t="shared" si="11"/>
        <v/>
      </c>
      <c r="C63" s="5"/>
      <c r="D63" s="5"/>
      <c r="E63" s="5"/>
      <c r="G63" s="5" t="str">
        <f t="shared" si="16"/>
        <v/>
      </c>
      <c r="H63" s="117" t="str">
        <f t="shared" si="13"/>
        <v/>
      </c>
      <c r="I63" s="5" t="str">
        <f t="shared" si="17"/>
        <v/>
      </c>
      <c r="J63" s="5" t="str">
        <f t="shared" si="18"/>
        <v/>
      </c>
      <c r="K63" s="5"/>
      <c r="L63" s="5"/>
      <c r="M63" s="75"/>
      <c r="N63" s="77"/>
      <c r="O63" s="26"/>
      <c r="P63" s="26"/>
      <c r="Q63" s="118" t="str">
        <f t="shared" si="19"/>
        <v/>
      </c>
      <c r="R63" s="153"/>
      <c r="S63" s="138" t="str">
        <f t="shared" si="10"/>
        <v/>
      </c>
      <c r="T63" s="148"/>
      <c r="U63" s="146"/>
      <c r="V63" s="146"/>
      <c r="W63" s="139"/>
      <c r="X63" s="139"/>
      <c r="Y63" s="148"/>
      <c r="Z63" s="138" t="str">
        <f t="shared" si="21"/>
        <v/>
      </c>
      <c r="AA63" s="138" t="str">
        <f t="shared" si="12"/>
        <v/>
      </c>
      <c r="AB63" s="239"/>
      <c r="AC63" s="325"/>
      <c r="AD63" s="325"/>
      <c r="AE63" s="325"/>
      <c r="AF63" s="325"/>
      <c r="AG63" s="325"/>
      <c r="AH63" s="325"/>
      <c r="AI63" s="325"/>
      <c r="AJ63" s="325"/>
      <c r="AK63" s="325"/>
      <c r="AL63" s="325"/>
      <c r="AM63" s="325"/>
      <c r="AN63" s="325"/>
      <c r="AO63" s="325"/>
      <c r="AP63" s="136"/>
      <c r="AQ63" s="136"/>
      <c r="AR63" s="136" t="str">
        <f t="shared" si="15"/>
        <v/>
      </c>
      <c r="AS63" s="136" t="str">
        <f t="shared" si="15"/>
        <v/>
      </c>
      <c r="AT63" s="5" t="str">
        <f t="shared" si="7"/>
        <v/>
      </c>
      <c r="AV63" s="27" t="str">
        <f t="shared" si="20"/>
        <v/>
      </c>
      <c r="AW63" s="27"/>
      <c r="AY63" s="122" t="str">
        <f t="shared" si="9"/>
        <v/>
      </c>
    </row>
    <row r="64" spans="2:51" ht="12.75">
      <c r="B64" s="20" t="str">
        <f t="shared" si="11"/>
        <v/>
      </c>
      <c r="C64" s="5"/>
      <c r="D64" s="5"/>
      <c r="E64" s="5"/>
      <c r="G64" s="5" t="str">
        <f t="shared" si="16"/>
        <v/>
      </c>
      <c r="H64" s="117" t="str">
        <f t="shared" si="13"/>
        <v/>
      </c>
      <c r="I64" s="5" t="str">
        <f t="shared" si="17"/>
        <v/>
      </c>
      <c r="J64" s="5" t="str">
        <f t="shared" si="18"/>
        <v/>
      </c>
      <c r="K64" s="5"/>
      <c r="L64" s="5"/>
      <c r="M64" s="75"/>
      <c r="N64" s="77"/>
      <c r="O64" s="26"/>
      <c r="P64" s="26"/>
      <c r="Q64" s="118" t="str">
        <f t="shared" si="19"/>
        <v/>
      </c>
      <c r="R64" s="153"/>
      <c r="S64" s="138" t="str">
        <f t="shared" si="10"/>
        <v/>
      </c>
      <c r="T64" s="148"/>
      <c r="U64" s="146"/>
      <c r="V64" s="146"/>
      <c r="W64" s="139"/>
      <c r="X64" s="139"/>
      <c r="Y64" s="148"/>
      <c r="Z64" s="138" t="str">
        <f t="shared" si="21"/>
        <v/>
      </c>
      <c r="AA64" s="138" t="str">
        <f t="shared" si="12"/>
        <v/>
      </c>
      <c r="AB64" s="239"/>
      <c r="AC64" s="325"/>
      <c r="AD64" s="325"/>
      <c r="AE64" s="325"/>
      <c r="AF64" s="325"/>
      <c r="AG64" s="325"/>
      <c r="AH64" s="325"/>
      <c r="AI64" s="325"/>
      <c r="AJ64" s="325"/>
      <c r="AK64" s="325"/>
      <c r="AL64" s="325"/>
      <c r="AM64" s="325"/>
      <c r="AN64" s="325"/>
      <c r="AO64" s="325"/>
      <c r="AP64" s="136"/>
      <c r="AQ64" s="136"/>
      <c r="AR64" s="136" t="str">
        <f t="shared" si="15"/>
        <v/>
      </c>
      <c r="AS64" s="136" t="str">
        <f t="shared" si="15"/>
        <v/>
      </c>
      <c r="AT64" s="5" t="str">
        <f t="shared" si="7"/>
        <v/>
      </c>
      <c r="AV64" s="27" t="str">
        <f t="shared" si="20"/>
        <v/>
      </c>
      <c r="AW64" s="27"/>
      <c r="AY64" s="122" t="str">
        <f t="shared" si="9"/>
        <v/>
      </c>
    </row>
    <row r="65" spans="2:51" ht="12.75">
      <c r="B65" s="20" t="str">
        <f t="shared" si="11"/>
        <v/>
      </c>
      <c r="C65" s="5"/>
      <c r="D65" s="5"/>
      <c r="E65" s="5"/>
      <c r="G65" s="5" t="str">
        <f t="shared" si="16"/>
        <v/>
      </c>
      <c r="H65" s="117" t="str">
        <f t="shared" si="13"/>
        <v/>
      </c>
      <c r="I65" s="5" t="str">
        <f t="shared" si="17"/>
        <v/>
      </c>
      <c r="J65" s="5" t="str">
        <f t="shared" si="18"/>
        <v/>
      </c>
      <c r="K65" s="5"/>
      <c r="L65" s="5"/>
      <c r="M65" s="75"/>
      <c r="N65" s="77"/>
      <c r="O65" s="26"/>
      <c r="P65" s="26"/>
      <c r="Q65" s="118" t="str">
        <f t="shared" si="19"/>
        <v/>
      </c>
      <c r="R65" s="153"/>
      <c r="S65" s="138" t="str">
        <f t="shared" si="10"/>
        <v/>
      </c>
      <c r="T65" s="148"/>
      <c r="U65" s="146"/>
      <c r="V65" s="146"/>
      <c r="W65" s="139"/>
      <c r="X65" s="139"/>
      <c r="Y65" s="148"/>
      <c r="Z65" s="138" t="str">
        <f t="shared" si="21"/>
        <v/>
      </c>
      <c r="AA65" s="138" t="str">
        <f t="shared" si="12"/>
        <v/>
      </c>
      <c r="AB65" s="239"/>
      <c r="AC65" s="325"/>
      <c r="AD65" s="325"/>
      <c r="AE65" s="325"/>
      <c r="AF65" s="325"/>
      <c r="AG65" s="325"/>
      <c r="AH65" s="325"/>
      <c r="AI65" s="325"/>
      <c r="AJ65" s="325"/>
      <c r="AK65" s="325"/>
      <c r="AL65" s="325"/>
      <c r="AM65" s="325"/>
      <c r="AN65" s="325"/>
      <c r="AO65" s="325"/>
      <c r="AP65" s="136"/>
      <c r="AQ65" s="136"/>
      <c r="AR65" s="136" t="str">
        <f t="shared" si="15"/>
        <v/>
      </c>
      <c r="AS65" s="136" t="str">
        <f t="shared" si="15"/>
        <v/>
      </c>
      <c r="AT65" s="5" t="str">
        <f t="shared" si="7"/>
        <v/>
      </c>
      <c r="AV65" s="27" t="str">
        <f>IF(G65="","",+"          ["&amp;TRIM(G65)&amp;"] ["&amp;TRIM(I65)&amp;"]"&amp;IF(H65="","","("&amp;H65&amp;")")&amp;" "&amp;TRIM(J65)&amp;IF(G68="","",","))</f>
        <v/>
      </c>
      <c r="AW65" s="27"/>
      <c r="AY65" s="122" t="str">
        <f t="shared" si="9"/>
        <v/>
      </c>
    </row>
    <row r="66" spans="2:51" ht="12.75">
      <c r="B66" s="20" t="str">
        <f t="shared" si="11"/>
        <v/>
      </c>
      <c r="C66" s="5"/>
      <c r="D66" s="5"/>
      <c r="E66" s="5"/>
      <c r="G66" s="5" t="str">
        <f t="shared" si="16"/>
        <v/>
      </c>
      <c r="H66" s="117" t="str">
        <f t="shared" si="13"/>
        <v/>
      </c>
      <c r="I66" s="5" t="str">
        <f t="shared" si="17"/>
        <v/>
      </c>
      <c r="J66" s="5" t="str">
        <f t="shared" si="18"/>
        <v/>
      </c>
      <c r="K66" s="5"/>
      <c r="L66" s="5"/>
      <c r="M66" s="75"/>
      <c r="N66" s="77"/>
      <c r="O66" s="26"/>
      <c r="P66" s="26"/>
      <c r="Q66" s="118" t="str">
        <f t="shared" si="19"/>
        <v/>
      </c>
      <c r="R66" s="153"/>
      <c r="S66" s="138" t="str">
        <f t="shared" si="10"/>
        <v/>
      </c>
      <c r="T66" s="148"/>
      <c r="U66" s="146"/>
      <c r="V66" s="146"/>
      <c r="W66" s="139"/>
      <c r="X66" s="139"/>
      <c r="Y66" s="148"/>
      <c r="Z66" s="138" t="str">
        <f t="shared" si="21"/>
        <v/>
      </c>
      <c r="AA66" s="138" t="str">
        <f t="shared" si="12"/>
        <v/>
      </c>
      <c r="AB66" s="239"/>
      <c r="AC66" s="325"/>
      <c r="AD66" s="325"/>
      <c r="AE66" s="325"/>
      <c r="AF66" s="325"/>
      <c r="AG66" s="325"/>
      <c r="AH66" s="325"/>
      <c r="AI66" s="325"/>
      <c r="AJ66" s="325"/>
      <c r="AK66" s="325"/>
      <c r="AL66" s="325"/>
      <c r="AM66" s="325"/>
      <c r="AN66" s="325"/>
      <c r="AO66" s="325"/>
      <c r="AP66" s="136"/>
      <c r="AQ66" s="136"/>
      <c r="AR66" s="136" t="str">
        <f t="shared" si="15"/>
        <v/>
      </c>
      <c r="AS66" s="136" t="str">
        <f t="shared" si="15"/>
        <v/>
      </c>
      <c r="AT66" s="5" t="str">
        <f t="shared" si="7"/>
        <v/>
      </c>
      <c r="AV66" s="27" t="str">
        <f>IF(G66="","",+"          ["&amp;TRIM(G66)&amp;"] ["&amp;TRIM(I66)&amp;"]"&amp;IF(H66="","","("&amp;H66&amp;")")&amp;" "&amp;TRIM(J66)&amp;IF(G67="","",","))</f>
        <v/>
      </c>
      <c r="AW66" s="27"/>
      <c r="AY66" s="122" t="str">
        <f t="shared" si="9"/>
        <v/>
      </c>
    </row>
    <row r="67" spans="2:51" ht="12.75">
      <c r="B67" s="20" t="str">
        <f t="shared" si="11"/>
        <v/>
      </c>
      <c r="C67" s="5"/>
      <c r="D67" s="5"/>
      <c r="E67" s="5"/>
      <c r="G67" s="5" t="str">
        <f t="shared" si="16"/>
        <v/>
      </c>
      <c r="H67" s="117" t="str">
        <f t="shared" si="13"/>
        <v/>
      </c>
      <c r="I67" s="5" t="str">
        <f t="shared" si="17"/>
        <v/>
      </c>
      <c r="J67" s="5" t="str">
        <f t="shared" si="18"/>
        <v/>
      </c>
      <c r="K67" s="5"/>
      <c r="L67" s="5"/>
      <c r="M67" s="75"/>
      <c r="N67" s="77"/>
      <c r="O67" s="26"/>
      <c r="P67" s="26"/>
      <c r="Q67" s="118" t="str">
        <f t="shared" si="19"/>
        <v/>
      </c>
      <c r="R67" s="153"/>
      <c r="S67" s="138" t="str">
        <f t="shared" si="10"/>
        <v/>
      </c>
      <c r="T67" s="148"/>
      <c r="U67" s="146"/>
      <c r="V67" s="146"/>
      <c r="W67" s="139"/>
      <c r="X67" s="139"/>
      <c r="Y67" s="148"/>
      <c r="Z67" s="138" t="str">
        <f t="shared" si="21"/>
        <v/>
      </c>
      <c r="AA67" s="138" t="str">
        <f t="shared" si="12"/>
        <v/>
      </c>
      <c r="AB67" s="239"/>
      <c r="AC67" s="325"/>
      <c r="AD67" s="325"/>
      <c r="AE67" s="325"/>
      <c r="AF67" s="325"/>
      <c r="AG67" s="325"/>
      <c r="AH67" s="325"/>
      <c r="AI67" s="325"/>
      <c r="AJ67" s="325"/>
      <c r="AK67" s="325"/>
      <c r="AL67" s="325"/>
      <c r="AM67" s="325"/>
      <c r="AN67" s="325"/>
      <c r="AO67" s="325"/>
      <c r="AP67" s="136"/>
      <c r="AQ67" s="136"/>
      <c r="AR67" s="136" t="str">
        <f t="shared" si="15"/>
        <v/>
      </c>
      <c r="AS67" s="136" t="str">
        <f t="shared" si="15"/>
        <v/>
      </c>
      <c r="AT67" s="5" t="str">
        <f t="shared" si="7"/>
        <v/>
      </c>
      <c r="AV67" s="27" t="str">
        <f>IF(G67="","",+"          ["&amp;TRIM(G67)&amp;"] ["&amp;TRIM(I67)&amp;"]"&amp;IF(H67="","","("&amp;H67&amp;")")&amp;" "&amp;TRIM(J67)&amp;IF(G68="","",","))</f>
        <v/>
      </c>
      <c r="AW67" s="27"/>
      <c r="AY67" s="122" t="str">
        <f t="shared" si="9"/>
        <v/>
      </c>
    </row>
    <row r="68" spans="2:51" ht="12.75">
      <c r="B68" s="20" t="str">
        <f t="shared" si="11"/>
        <v/>
      </c>
      <c r="C68" s="5"/>
      <c r="D68" s="5"/>
      <c r="E68" s="5"/>
      <c r="G68" s="5" t="str">
        <f t="shared" si="16"/>
        <v/>
      </c>
      <c r="H68" s="117" t="str">
        <f t="shared" si="13"/>
        <v/>
      </c>
      <c r="I68" s="5" t="str">
        <f t="shared" si="17"/>
        <v/>
      </c>
      <c r="J68" s="5" t="str">
        <f t="shared" si="18"/>
        <v/>
      </c>
      <c r="K68" s="5"/>
      <c r="L68" s="5"/>
      <c r="M68" s="75"/>
      <c r="N68" s="77"/>
      <c r="O68" s="26"/>
      <c r="P68" s="26"/>
      <c r="Q68" s="118" t="str">
        <f t="shared" si="19"/>
        <v/>
      </c>
      <c r="R68" s="153"/>
      <c r="S68" s="138" t="str">
        <f t="shared" si="10"/>
        <v/>
      </c>
      <c r="T68" s="148"/>
      <c r="U68" s="146"/>
      <c r="V68" s="146"/>
      <c r="W68" s="139"/>
      <c r="X68" s="139"/>
      <c r="Y68" s="148"/>
      <c r="Z68" s="138" t="str">
        <f t="shared" si="21"/>
        <v/>
      </c>
      <c r="AA68" s="138" t="str">
        <f t="shared" si="12"/>
        <v/>
      </c>
      <c r="AB68" s="239"/>
      <c r="AC68" s="325"/>
      <c r="AD68" s="325"/>
      <c r="AE68" s="325"/>
      <c r="AF68" s="325"/>
      <c r="AG68" s="325"/>
      <c r="AH68" s="325"/>
      <c r="AI68" s="325"/>
      <c r="AJ68" s="325"/>
      <c r="AK68" s="325"/>
      <c r="AL68" s="325"/>
      <c r="AM68" s="325"/>
      <c r="AN68" s="325"/>
      <c r="AO68" s="325"/>
      <c r="AP68" s="136"/>
      <c r="AQ68" s="136"/>
      <c r="AR68" s="136" t="str">
        <f t="shared" si="15"/>
        <v/>
      </c>
      <c r="AS68" s="136" t="str">
        <f t="shared" si="15"/>
        <v/>
      </c>
      <c r="AT68" s="5" t="str">
        <f t="shared" si="7"/>
        <v/>
      </c>
      <c r="AV68" s="27" t="str">
        <f>IF(G68="","",+"          ["&amp;TRIM(G68)&amp;"] ["&amp;TRIM(I68)&amp;"]"&amp;IF(H68="","","("&amp;H68&amp;")")&amp;" "&amp;TRIM(J68)&amp;IF(G95="","",","))</f>
        <v/>
      </c>
      <c r="AW68" s="27"/>
      <c r="AY68" s="122" t="str">
        <f t="shared" si="9"/>
        <v/>
      </c>
    </row>
    <row r="69" spans="2:51" ht="12.75">
      <c r="B69" s="20" t="str">
        <f t="shared" si="11"/>
        <v/>
      </c>
      <c r="C69" s="5"/>
      <c r="D69" s="5"/>
      <c r="E69" s="5"/>
      <c r="G69" s="5" t="str">
        <f t="shared" si="16"/>
        <v/>
      </c>
      <c r="H69" s="117" t="str">
        <f t="shared" si="13"/>
        <v/>
      </c>
      <c r="I69" s="5" t="str">
        <f t="shared" si="17"/>
        <v/>
      </c>
      <c r="J69" s="5" t="str">
        <f t="shared" si="18"/>
        <v/>
      </c>
      <c r="K69" s="5"/>
      <c r="L69" s="5"/>
      <c r="M69" s="75"/>
      <c r="N69" s="77"/>
      <c r="O69" s="26"/>
      <c r="P69" s="26"/>
      <c r="Q69" s="118" t="str">
        <f t="shared" si="19"/>
        <v/>
      </c>
      <c r="R69" s="153"/>
      <c r="S69" s="138" t="str">
        <f t="shared" si="10"/>
        <v/>
      </c>
      <c r="T69" s="148"/>
      <c r="U69" s="146"/>
      <c r="V69" s="146"/>
      <c r="W69" s="139"/>
      <c r="X69" s="139"/>
      <c r="Y69" s="148"/>
      <c r="Z69" s="138" t="str">
        <f t="shared" si="21"/>
        <v/>
      </c>
      <c r="AA69" s="138" t="str">
        <f t="shared" si="12"/>
        <v/>
      </c>
      <c r="AB69" s="239"/>
      <c r="AC69" s="325"/>
      <c r="AD69" s="325"/>
      <c r="AE69" s="325"/>
      <c r="AF69" s="325"/>
      <c r="AG69" s="325"/>
      <c r="AH69" s="325"/>
      <c r="AI69" s="325"/>
      <c r="AJ69" s="325"/>
      <c r="AK69" s="325"/>
      <c r="AL69" s="325"/>
      <c r="AM69" s="325"/>
      <c r="AN69" s="325"/>
      <c r="AO69" s="325"/>
      <c r="AP69" s="136"/>
      <c r="AQ69" s="136"/>
      <c r="AR69" s="136" t="str">
        <f t="shared" si="15"/>
        <v/>
      </c>
      <c r="AS69" s="136" t="str">
        <f t="shared" si="15"/>
        <v/>
      </c>
      <c r="AT69" s="5" t="str">
        <f t="shared" si="7"/>
        <v/>
      </c>
      <c r="AV69" s="27" t="str">
        <f>IF(G69="","",+"          ["&amp;TRIM(G69)&amp;"] ["&amp;TRIM(I69)&amp;"]"&amp;IF(H69="","","("&amp;H69&amp;")")&amp;" "&amp;TRIM(J69)&amp;IF(G70="","",","))</f>
        <v/>
      </c>
      <c r="AW69" s="27"/>
      <c r="AY69" s="122" t="str">
        <f t="shared" si="9"/>
        <v/>
      </c>
    </row>
    <row r="70" spans="2:51" ht="12.75">
      <c r="B70" s="20" t="str">
        <f t="shared" si="11"/>
        <v/>
      </c>
      <c r="C70" s="5"/>
      <c r="D70" s="5"/>
      <c r="E70" s="5"/>
      <c r="G70" s="5" t="str">
        <f t="shared" si="16"/>
        <v/>
      </c>
      <c r="H70" s="117" t="str">
        <f t="shared" si="13"/>
        <v/>
      </c>
      <c r="I70" s="5" t="str">
        <f t="shared" si="17"/>
        <v/>
      </c>
      <c r="J70" s="5" t="str">
        <f t="shared" si="18"/>
        <v/>
      </c>
      <c r="K70" s="5"/>
      <c r="L70" s="5"/>
      <c r="M70" s="75"/>
      <c r="N70" s="77"/>
      <c r="O70" s="26"/>
      <c r="P70" s="26"/>
      <c r="Q70" s="118" t="str">
        <f t="shared" si="19"/>
        <v/>
      </c>
      <c r="R70" s="153"/>
      <c r="S70" s="138" t="str">
        <f t="shared" si="10"/>
        <v/>
      </c>
      <c r="T70" s="148"/>
      <c r="U70" s="146"/>
      <c r="V70" s="146"/>
      <c r="W70" s="139"/>
      <c r="X70" s="139"/>
      <c r="Y70" s="148"/>
      <c r="Z70" s="138" t="str">
        <f t="shared" si="21"/>
        <v/>
      </c>
      <c r="AA70" s="138" t="str">
        <f t="shared" si="12"/>
        <v/>
      </c>
      <c r="AB70" s="239"/>
      <c r="AC70" s="325"/>
      <c r="AD70" s="325"/>
      <c r="AE70" s="325"/>
      <c r="AF70" s="325"/>
      <c r="AG70" s="325"/>
      <c r="AH70" s="325"/>
      <c r="AI70" s="325"/>
      <c r="AJ70" s="325"/>
      <c r="AK70" s="325"/>
      <c r="AL70" s="325"/>
      <c r="AM70" s="325"/>
      <c r="AN70" s="325"/>
      <c r="AO70" s="325"/>
      <c r="AP70" s="136"/>
      <c r="AQ70" s="136"/>
      <c r="AR70" s="136" t="str">
        <f t="shared" si="15"/>
        <v/>
      </c>
      <c r="AS70" s="136" t="str">
        <f t="shared" si="15"/>
        <v/>
      </c>
      <c r="AT70" s="5" t="str">
        <f t="shared" si="7"/>
        <v/>
      </c>
      <c r="AV70" s="27" t="str">
        <f>IF(G70="","",+"          ["&amp;TRIM(G70)&amp;"] ["&amp;TRIM(I70)&amp;"]"&amp;IF(H70="","","("&amp;H70&amp;")")&amp;" "&amp;TRIM(J70)&amp;IF(G94="","",","))</f>
        <v/>
      </c>
      <c r="AW70" s="27"/>
      <c r="AY70" s="122" t="str">
        <f t="shared" si="9"/>
        <v/>
      </c>
    </row>
    <row r="71" spans="2:51" ht="12.75">
      <c r="B71" s="20" t="str">
        <f t="shared" si="11"/>
        <v/>
      </c>
      <c r="C71" s="5"/>
      <c r="D71" s="5"/>
      <c r="E71" s="5"/>
      <c r="G71" s="5" t="str">
        <f t="shared" si="16"/>
        <v/>
      </c>
      <c r="H71" s="117" t="str">
        <f t="shared" si="13"/>
        <v/>
      </c>
      <c r="I71" s="5" t="str">
        <f t="shared" si="17"/>
        <v/>
      </c>
      <c r="J71" s="5" t="str">
        <f t="shared" si="18"/>
        <v/>
      </c>
      <c r="K71" s="5"/>
      <c r="L71" s="5"/>
      <c r="M71" s="75"/>
      <c r="N71" s="77"/>
      <c r="O71" s="26"/>
      <c r="P71" s="26"/>
      <c r="Q71" s="118" t="str">
        <f t="shared" si="19"/>
        <v/>
      </c>
      <c r="R71" s="153"/>
      <c r="S71" s="138" t="str">
        <f t="shared" si="10"/>
        <v/>
      </c>
      <c r="T71" s="148"/>
      <c r="U71" s="146"/>
      <c r="V71" s="146"/>
      <c r="W71" s="139"/>
      <c r="X71" s="139"/>
      <c r="Y71" s="148"/>
      <c r="Z71" s="138" t="str">
        <f t="shared" si="21"/>
        <v/>
      </c>
      <c r="AA71" s="138" t="str">
        <f t="shared" si="12"/>
        <v/>
      </c>
      <c r="AB71" s="239"/>
      <c r="AC71" s="325"/>
      <c r="AD71" s="325"/>
      <c r="AE71" s="325"/>
      <c r="AF71" s="325"/>
      <c r="AG71" s="325"/>
      <c r="AH71" s="325"/>
      <c r="AI71" s="325"/>
      <c r="AJ71" s="325"/>
      <c r="AK71" s="325"/>
      <c r="AL71" s="325"/>
      <c r="AM71" s="325"/>
      <c r="AN71" s="325"/>
      <c r="AO71" s="325"/>
      <c r="AP71" s="136"/>
      <c r="AQ71" s="136"/>
      <c r="AR71" s="136" t="str">
        <f t="shared" si="15"/>
        <v/>
      </c>
      <c r="AS71" s="136" t="str">
        <f t="shared" si="15"/>
        <v/>
      </c>
      <c r="AT71" s="5" t="str">
        <f t="shared" si="7"/>
        <v/>
      </c>
      <c r="AV71" s="27" t="str">
        <f>IF(G71="","",+"          ["&amp;TRIM(G71)&amp;"] ["&amp;TRIM(I71)&amp;"]"&amp;IF(H71="","","("&amp;H71&amp;")")&amp;" "&amp;TRIM(J71)&amp;IF(G72="","",","))</f>
        <v/>
      </c>
      <c r="AW71" s="27"/>
      <c r="AY71" s="122" t="str">
        <f t="shared" si="9"/>
        <v/>
      </c>
    </row>
    <row r="72" spans="2:51" ht="12.75">
      <c r="B72" s="20" t="str">
        <f t="shared" si="11"/>
        <v/>
      </c>
      <c r="C72" s="5"/>
      <c r="D72" s="5"/>
      <c r="E72" s="5"/>
      <c r="G72" s="5" t="str">
        <f t="shared" si="16"/>
        <v/>
      </c>
      <c r="H72" s="117" t="str">
        <f t="shared" si="13"/>
        <v/>
      </c>
      <c r="I72" s="5" t="str">
        <f t="shared" si="17"/>
        <v/>
      </c>
      <c r="J72" s="5" t="str">
        <f t="shared" si="18"/>
        <v/>
      </c>
      <c r="K72" s="5"/>
      <c r="L72" s="5"/>
      <c r="M72" s="75"/>
      <c r="N72" s="77"/>
      <c r="O72" s="26"/>
      <c r="P72" s="26"/>
      <c r="Q72" s="118" t="str">
        <f t="shared" si="19"/>
        <v/>
      </c>
      <c r="R72" s="153"/>
      <c r="S72" s="138" t="str">
        <f t="shared" si="10"/>
        <v/>
      </c>
      <c r="T72" s="148"/>
      <c r="U72" s="146"/>
      <c r="V72" s="146"/>
      <c r="W72" s="139"/>
      <c r="X72" s="139"/>
      <c r="Y72" s="148"/>
      <c r="Z72" s="138" t="str">
        <f t="shared" si="21"/>
        <v/>
      </c>
      <c r="AA72" s="138" t="str">
        <f t="shared" si="12"/>
        <v/>
      </c>
      <c r="AB72" s="239"/>
      <c r="AC72" s="325"/>
      <c r="AD72" s="325"/>
      <c r="AE72" s="325"/>
      <c r="AF72" s="325"/>
      <c r="AG72" s="325"/>
      <c r="AH72" s="325"/>
      <c r="AI72" s="325"/>
      <c r="AJ72" s="325"/>
      <c r="AK72" s="325"/>
      <c r="AL72" s="325"/>
      <c r="AM72" s="325"/>
      <c r="AN72" s="325"/>
      <c r="AO72" s="325"/>
      <c r="AP72" s="136"/>
      <c r="AQ72" s="136"/>
      <c r="AR72" s="136" t="str">
        <f t="shared" si="15"/>
        <v/>
      </c>
      <c r="AS72" s="136" t="str">
        <f t="shared" si="15"/>
        <v/>
      </c>
      <c r="AT72" s="5" t="str">
        <f t="shared" si="7"/>
        <v/>
      </c>
      <c r="AV72" s="27" t="str">
        <f>IF(G72="","",+"          ["&amp;TRIM(G72)&amp;"] ["&amp;TRIM(I72)&amp;"]"&amp;IF(H72="","","("&amp;H72&amp;")")&amp;" "&amp;TRIM(J72)&amp;IF(G75="","",","))</f>
        <v/>
      </c>
      <c r="AW72" s="27"/>
      <c r="AY72" s="122" t="str">
        <f t="shared" si="9"/>
        <v/>
      </c>
    </row>
    <row r="73" spans="2:51" ht="12.75">
      <c r="B73" s="20" t="str">
        <f t="shared" si="11"/>
        <v/>
      </c>
      <c r="C73" s="5"/>
      <c r="D73" s="5"/>
      <c r="E73" s="5"/>
      <c r="G73" s="5" t="str">
        <f t="shared" si="16"/>
        <v/>
      </c>
      <c r="H73" s="117" t="str">
        <f t="shared" si="13"/>
        <v/>
      </c>
      <c r="I73" s="5" t="str">
        <f t="shared" si="17"/>
        <v/>
      </c>
      <c r="J73" s="5" t="str">
        <f t="shared" si="18"/>
        <v/>
      </c>
      <c r="K73" s="5"/>
      <c r="L73" s="5"/>
      <c r="M73" s="75"/>
      <c r="N73" s="77"/>
      <c r="O73" s="26"/>
      <c r="P73" s="26"/>
      <c r="Q73" s="118" t="str">
        <f t="shared" si="19"/>
        <v/>
      </c>
      <c r="R73" s="153"/>
      <c r="S73" s="138" t="str">
        <f t="shared" si="10"/>
        <v/>
      </c>
      <c r="T73" s="148"/>
      <c r="U73" s="146"/>
      <c r="V73" s="146"/>
      <c r="W73" s="139"/>
      <c r="X73" s="139"/>
      <c r="Y73" s="148"/>
      <c r="Z73" s="138" t="str">
        <f t="shared" si="21"/>
        <v/>
      </c>
      <c r="AA73" s="138" t="str">
        <f t="shared" si="12"/>
        <v/>
      </c>
      <c r="AB73" s="239"/>
      <c r="AC73" s="325"/>
      <c r="AD73" s="325"/>
      <c r="AE73" s="325"/>
      <c r="AF73" s="325"/>
      <c r="AG73" s="325"/>
      <c r="AH73" s="325"/>
      <c r="AI73" s="325"/>
      <c r="AJ73" s="325"/>
      <c r="AK73" s="325"/>
      <c r="AL73" s="325"/>
      <c r="AM73" s="325"/>
      <c r="AN73" s="325"/>
      <c r="AO73" s="325"/>
      <c r="AP73" s="136"/>
      <c r="AQ73" s="136"/>
      <c r="AR73" s="136" t="str">
        <f t="shared" si="15"/>
        <v/>
      </c>
      <c r="AS73" s="136" t="str">
        <f t="shared" si="15"/>
        <v/>
      </c>
      <c r="AT73" s="5" t="str">
        <f t="shared" si="7"/>
        <v/>
      </c>
      <c r="AV73" s="27" t="str">
        <f>IF(G73="","",+"          ["&amp;TRIM(G73)&amp;"] ["&amp;TRIM(I73)&amp;"]"&amp;IF(H73="","","("&amp;H73&amp;")")&amp;" "&amp;TRIM(J73)&amp;IF(G74="","",","))</f>
        <v/>
      </c>
      <c r="AW73" s="27"/>
      <c r="AY73" s="122" t="str">
        <f t="shared" si="9"/>
        <v/>
      </c>
    </row>
    <row r="74" spans="2:51" ht="12.75">
      <c r="B74" s="20" t="str">
        <f t="shared" si="11"/>
        <v/>
      </c>
      <c r="C74" s="5"/>
      <c r="D74" s="5"/>
      <c r="E74" s="5"/>
      <c r="G74" s="5" t="str">
        <f t="shared" si="16"/>
        <v/>
      </c>
      <c r="H74" s="117" t="str">
        <f t="shared" si="13"/>
        <v/>
      </c>
      <c r="I74" s="5" t="str">
        <f t="shared" si="17"/>
        <v/>
      </c>
      <c r="J74" s="5" t="str">
        <f t="shared" si="18"/>
        <v/>
      </c>
      <c r="K74" s="5"/>
      <c r="L74" s="5"/>
      <c r="M74" s="75"/>
      <c r="N74" s="77"/>
      <c r="O74" s="26"/>
      <c r="P74" s="26"/>
      <c r="Q74" s="118" t="str">
        <f t="shared" si="19"/>
        <v/>
      </c>
      <c r="R74" s="153"/>
      <c r="S74" s="138" t="str">
        <f t="shared" si="10"/>
        <v/>
      </c>
      <c r="T74" s="148"/>
      <c r="U74" s="146"/>
      <c r="V74" s="146"/>
      <c r="W74" s="139"/>
      <c r="X74" s="139"/>
      <c r="Y74" s="148"/>
      <c r="Z74" s="138" t="str">
        <f t="shared" si="21"/>
        <v/>
      </c>
      <c r="AA74" s="138" t="str">
        <f t="shared" si="12"/>
        <v/>
      </c>
      <c r="AB74" s="239"/>
      <c r="AC74" s="325"/>
      <c r="AD74" s="325"/>
      <c r="AE74" s="325"/>
      <c r="AF74" s="325"/>
      <c r="AG74" s="325"/>
      <c r="AH74" s="325"/>
      <c r="AI74" s="325"/>
      <c r="AJ74" s="325"/>
      <c r="AK74" s="325"/>
      <c r="AL74" s="325"/>
      <c r="AM74" s="325"/>
      <c r="AN74" s="325"/>
      <c r="AO74" s="325"/>
      <c r="AP74" s="136"/>
      <c r="AQ74" s="136"/>
      <c r="AR74" s="136" t="str">
        <f t="shared" si="15"/>
        <v/>
      </c>
      <c r="AS74" s="136" t="str">
        <f t="shared" si="15"/>
        <v/>
      </c>
      <c r="AT74" s="5" t="str">
        <f t="shared" si="7"/>
        <v/>
      </c>
      <c r="AV74" s="27" t="str">
        <f>IF(G74="","",+"          ["&amp;TRIM(G74)&amp;"] ["&amp;TRIM(I74)&amp;"]"&amp;IF(H74="","","("&amp;H74&amp;")")&amp;" "&amp;TRIM(J74)&amp;IF(G75="","",","))</f>
        <v/>
      </c>
      <c r="AW74" s="27"/>
      <c r="AY74" s="122" t="str">
        <f t="shared" si="9"/>
        <v/>
      </c>
    </row>
    <row r="75" spans="2:51" ht="12.75">
      <c r="B75" s="20" t="str">
        <f t="shared" si="11"/>
        <v/>
      </c>
      <c r="C75" s="5"/>
      <c r="D75" s="5"/>
      <c r="E75" s="5"/>
      <c r="G75" s="5" t="str">
        <f t="shared" si="16"/>
        <v/>
      </c>
      <c r="H75" s="117" t="str">
        <f t="shared" si="13"/>
        <v/>
      </c>
      <c r="I75" s="5" t="str">
        <f t="shared" si="17"/>
        <v/>
      </c>
      <c r="J75" s="5" t="str">
        <f t="shared" si="18"/>
        <v/>
      </c>
      <c r="K75" s="5"/>
      <c r="L75" s="5"/>
      <c r="M75" s="75"/>
      <c r="N75" s="77"/>
      <c r="O75" s="26"/>
      <c r="P75" s="26"/>
      <c r="Q75" s="118" t="str">
        <f t="shared" si="19"/>
        <v/>
      </c>
      <c r="R75" s="153"/>
      <c r="S75" s="138" t="str">
        <f t="shared" si="10"/>
        <v/>
      </c>
      <c r="T75" s="148"/>
      <c r="U75" s="146"/>
      <c r="V75" s="146"/>
      <c r="W75" s="139"/>
      <c r="X75" s="139"/>
      <c r="Y75" s="148"/>
      <c r="Z75" s="138" t="str">
        <f t="shared" si="21"/>
        <v/>
      </c>
      <c r="AA75" s="138" t="str">
        <f t="shared" si="12"/>
        <v/>
      </c>
      <c r="AB75" s="239"/>
      <c r="AC75" s="325"/>
      <c r="AD75" s="325"/>
      <c r="AE75" s="325"/>
      <c r="AF75" s="325"/>
      <c r="AG75" s="325"/>
      <c r="AH75" s="325"/>
      <c r="AI75" s="325"/>
      <c r="AJ75" s="325"/>
      <c r="AK75" s="325"/>
      <c r="AL75" s="325"/>
      <c r="AM75" s="325"/>
      <c r="AN75" s="325"/>
      <c r="AO75" s="325"/>
      <c r="AP75" s="136"/>
      <c r="AQ75" s="136"/>
      <c r="AR75" s="136" t="str">
        <f t="shared" si="15"/>
        <v/>
      </c>
      <c r="AS75" s="136" t="str">
        <f t="shared" si="15"/>
        <v/>
      </c>
      <c r="AT75" s="5" t="str">
        <f t="shared" si="7"/>
        <v/>
      </c>
      <c r="AV75" s="27" t="str">
        <f>IF(G75="","",+"          ["&amp;TRIM(G75)&amp;"] ["&amp;TRIM(I75)&amp;"]"&amp;IF(H75="","","("&amp;H75&amp;")")&amp;" "&amp;TRIM(J75)&amp;IF(G94="","",","))</f>
        <v/>
      </c>
      <c r="AW75" s="27"/>
      <c r="AY75" s="122" t="str">
        <f t="shared" si="9"/>
        <v/>
      </c>
    </row>
    <row r="76" spans="2:51" ht="12.75">
      <c r="B76" s="20" t="str">
        <f t="shared" si="11"/>
        <v/>
      </c>
      <c r="C76" s="5"/>
      <c r="D76" s="5"/>
      <c r="E76" s="5"/>
      <c r="G76" s="5" t="str">
        <f t="shared" si="16"/>
        <v/>
      </c>
      <c r="H76" s="117" t="str">
        <f t="shared" si="13"/>
        <v/>
      </c>
      <c r="I76" s="5" t="str">
        <f t="shared" si="17"/>
        <v/>
      </c>
      <c r="J76" s="5" t="str">
        <f t="shared" si="18"/>
        <v/>
      </c>
      <c r="K76" s="5"/>
      <c r="L76" s="5"/>
      <c r="M76" s="75"/>
      <c r="N76" s="77"/>
      <c r="O76" s="26"/>
      <c r="P76" s="26"/>
      <c r="Q76" s="118" t="str">
        <f t="shared" si="19"/>
        <v/>
      </c>
      <c r="R76" s="153"/>
      <c r="S76" s="138" t="str">
        <f t="shared" si="10"/>
        <v/>
      </c>
      <c r="T76" s="148"/>
      <c r="U76" s="146"/>
      <c r="V76" s="146"/>
      <c r="W76" s="139"/>
      <c r="X76" s="139"/>
      <c r="Y76" s="148"/>
      <c r="Z76" s="138" t="str">
        <f t="shared" si="21"/>
        <v/>
      </c>
      <c r="AA76" s="138" t="str">
        <f t="shared" si="12"/>
        <v/>
      </c>
      <c r="AB76" s="239"/>
      <c r="AC76" s="325"/>
      <c r="AD76" s="325"/>
      <c r="AE76" s="325"/>
      <c r="AF76" s="325"/>
      <c r="AG76" s="325"/>
      <c r="AH76" s="325"/>
      <c r="AI76" s="325"/>
      <c r="AJ76" s="325"/>
      <c r="AK76" s="325"/>
      <c r="AL76" s="325"/>
      <c r="AM76" s="325"/>
      <c r="AN76" s="325"/>
      <c r="AO76" s="325"/>
      <c r="AP76" s="136"/>
      <c r="AQ76" s="136"/>
      <c r="AR76" s="136" t="str">
        <f t="shared" si="15"/>
        <v/>
      </c>
      <c r="AS76" s="136" t="str">
        <f t="shared" si="15"/>
        <v/>
      </c>
      <c r="AT76" s="5" t="str">
        <f t="shared" si="7"/>
        <v/>
      </c>
      <c r="AV76" s="27" t="str">
        <f>IF(G76="","",+"          ["&amp;TRIM(G76)&amp;"] ["&amp;TRIM(I76)&amp;"]"&amp;IF(H76="","","("&amp;H76&amp;")")&amp;" "&amp;TRIM(J76)&amp;IF(G77="","",","))</f>
        <v/>
      </c>
      <c r="AW76" s="27"/>
      <c r="AY76" s="122" t="str">
        <f t="shared" si="9"/>
        <v/>
      </c>
    </row>
    <row r="77" spans="2:51" ht="12.75">
      <c r="B77" s="20" t="str">
        <f t="shared" si="11"/>
        <v/>
      </c>
      <c r="C77" s="5"/>
      <c r="D77" s="5"/>
      <c r="E77" s="5"/>
      <c r="G77" s="5" t="str">
        <f t="shared" si="16"/>
        <v/>
      </c>
      <c r="H77" s="117" t="str">
        <f t="shared" si="13"/>
        <v/>
      </c>
      <c r="I77" s="5" t="str">
        <f t="shared" si="17"/>
        <v/>
      </c>
      <c r="J77" s="5" t="str">
        <f t="shared" si="18"/>
        <v/>
      </c>
      <c r="K77" s="5"/>
      <c r="L77" s="5"/>
      <c r="M77" s="75"/>
      <c r="N77" s="77"/>
      <c r="O77" s="26"/>
      <c r="P77" s="26"/>
      <c r="Q77" s="118" t="str">
        <f t="shared" si="19"/>
        <v/>
      </c>
      <c r="R77" s="153"/>
      <c r="S77" s="138" t="str">
        <f t="shared" si="10"/>
        <v/>
      </c>
      <c r="T77" s="148"/>
      <c r="U77" s="146"/>
      <c r="V77" s="146"/>
      <c r="W77" s="139"/>
      <c r="X77" s="139"/>
      <c r="Y77" s="148"/>
      <c r="Z77" s="138" t="str">
        <f t="shared" si="21"/>
        <v/>
      </c>
      <c r="AA77" s="138" t="str">
        <f t="shared" si="12"/>
        <v/>
      </c>
      <c r="AB77" s="239"/>
      <c r="AC77" s="325"/>
      <c r="AD77" s="325"/>
      <c r="AE77" s="325"/>
      <c r="AF77" s="325"/>
      <c r="AG77" s="325"/>
      <c r="AH77" s="325"/>
      <c r="AI77" s="325"/>
      <c r="AJ77" s="325"/>
      <c r="AK77" s="325"/>
      <c r="AL77" s="325"/>
      <c r="AM77" s="325"/>
      <c r="AN77" s="325"/>
      <c r="AO77" s="325"/>
      <c r="AP77" s="136"/>
      <c r="AQ77" s="136"/>
      <c r="AR77" s="136" t="str">
        <f t="shared" si="15"/>
        <v/>
      </c>
      <c r="AS77" s="136" t="str">
        <f t="shared" si="15"/>
        <v/>
      </c>
      <c r="AT77" s="5" t="str">
        <f t="shared" si="7"/>
        <v/>
      </c>
      <c r="AV77" s="27" t="str">
        <f>IF(G77="","",+"          ["&amp;TRIM(G77)&amp;"] ["&amp;TRIM(I77)&amp;"]"&amp;IF(H77="","","("&amp;H77&amp;")")&amp;" "&amp;TRIM(J77)&amp;IF(G78="","",","))</f>
        <v/>
      </c>
      <c r="AW77" s="27"/>
      <c r="AY77" s="122" t="str">
        <f t="shared" si="9"/>
        <v/>
      </c>
    </row>
    <row r="78" spans="2:51" ht="12.75">
      <c r="B78" s="20" t="str">
        <f t="shared" si="11"/>
        <v/>
      </c>
      <c r="C78" s="5"/>
      <c r="D78" s="5"/>
      <c r="E78" s="5"/>
      <c r="G78" s="5" t="str">
        <f t="shared" si="16"/>
        <v/>
      </c>
      <c r="H78" s="117" t="str">
        <f t="shared" si="13"/>
        <v/>
      </c>
      <c r="I78" s="5" t="str">
        <f t="shared" si="17"/>
        <v/>
      </c>
      <c r="J78" s="5" t="str">
        <f t="shared" si="18"/>
        <v/>
      </c>
      <c r="K78" s="5"/>
      <c r="L78" s="5"/>
      <c r="M78" s="75"/>
      <c r="N78" s="77"/>
      <c r="O78" s="26"/>
      <c r="P78" s="26"/>
      <c r="Q78" s="118" t="str">
        <f t="shared" si="19"/>
        <v/>
      </c>
      <c r="R78" s="153"/>
      <c r="S78" s="138" t="str">
        <f t="shared" si="10"/>
        <v/>
      </c>
      <c r="T78" s="148"/>
      <c r="U78" s="146"/>
      <c r="V78" s="146"/>
      <c r="W78" s="139"/>
      <c r="X78" s="139"/>
      <c r="Y78" s="148"/>
      <c r="Z78" s="138" t="str">
        <f t="shared" si="21"/>
        <v/>
      </c>
      <c r="AA78" s="138" t="str">
        <f t="shared" si="12"/>
        <v/>
      </c>
      <c r="AB78" s="239"/>
      <c r="AC78" s="325"/>
      <c r="AD78" s="325"/>
      <c r="AE78" s="325"/>
      <c r="AF78" s="325"/>
      <c r="AG78" s="325"/>
      <c r="AH78" s="325"/>
      <c r="AI78" s="325"/>
      <c r="AJ78" s="325"/>
      <c r="AK78" s="325"/>
      <c r="AL78" s="325"/>
      <c r="AM78" s="325"/>
      <c r="AN78" s="325"/>
      <c r="AO78" s="325"/>
      <c r="AP78" s="136"/>
      <c r="AQ78" s="136"/>
      <c r="AR78" s="136" t="str">
        <f t="shared" si="15"/>
        <v/>
      </c>
      <c r="AS78" s="136" t="str">
        <f t="shared" si="15"/>
        <v/>
      </c>
      <c r="AT78" s="5" t="str">
        <f t="shared" si="7"/>
        <v/>
      </c>
      <c r="AV78" s="27" t="str">
        <f>IF(G78="","",+"          ["&amp;TRIM(G78)&amp;"] ["&amp;TRIM(I78)&amp;"]"&amp;IF(H78="","","("&amp;H78&amp;")")&amp;" "&amp;TRIM(J78)&amp;IF(G93="","",","))</f>
        <v/>
      </c>
      <c r="AW78" s="27"/>
      <c r="AY78" s="122" t="str">
        <f t="shared" si="9"/>
        <v/>
      </c>
    </row>
    <row r="79" spans="2:51" ht="12.75">
      <c r="B79" s="20" t="str">
        <f t="shared" si="11"/>
        <v/>
      </c>
      <c r="C79" s="5"/>
      <c r="D79" s="5"/>
      <c r="E79" s="5"/>
      <c r="G79" s="5" t="str">
        <f t="shared" si="16"/>
        <v/>
      </c>
      <c r="H79" s="117" t="str">
        <f t="shared" si="13"/>
        <v/>
      </c>
      <c r="I79" s="5" t="str">
        <f t="shared" si="17"/>
        <v/>
      </c>
      <c r="J79" s="5" t="str">
        <f t="shared" si="18"/>
        <v/>
      </c>
      <c r="K79" s="5"/>
      <c r="L79" s="5"/>
      <c r="M79" s="75"/>
      <c r="N79" s="77"/>
      <c r="O79" s="26"/>
      <c r="P79" s="26"/>
      <c r="Q79" s="118" t="str">
        <f t="shared" si="19"/>
        <v/>
      </c>
      <c r="R79" s="153"/>
      <c r="S79" s="138" t="str">
        <f t="shared" si="10"/>
        <v/>
      </c>
      <c r="T79" s="148"/>
      <c r="U79" s="146"/>
      <c r="V79" s="146"/>
      <c r="W79" s="139"/>
      <c r="X79" s="139"/>
      <c r="Y79" s="148"/>
      <c r="Z79" s="138" t="str">
        <f t="shared" si="21"/>
        <v/>
      </c>
      <c r="AA79" s="138" t="str">
        <f t="shared" si="12"/>
        <v/>
      </c>
      <c r="AB79" s="239"/>
      <c r="AC79" s="325"/>
      <c r="AD79" s="325"/>
      <c r="AE79" s="325"/>
      <c r="AF79" s="325"/>
      <c r="AG79" s="325"/>
      <c r="AH79" s="325"/>
      <c r="AI79" s="325"/>
      <c r="AJ79" s="325"/>
      <c r="AK79" s="325"/>
      <c r="AL79" s="325"/>
      <c r="AM79" s="325"/>
      <c r="AN79" s="325"/>
      <c r="AO79" s="325"/>
      <c r="AP79" s="136"/>
      <c r="AQ79" s="136"/>
      <c r="AR79" s="136" t="str">
        <f t="shared" si="15"/>
        <v/>
      </c>
      <c r="AS79" s="136" t="str">
        <f t="shared" si="15"/>
        <v/>
      </c>
      <c r="AT79" s="5" t="str">
        <f t="shared" si="7"/>
        <v/>
      </c>
      <c r="AV79" s="27" t="str">
        <f>IF(G79="","",+"          ["&amp;TRIM(G79)&amp;"] ["&amp;TRIM(I79)&amp;"]"&amp;IF(H79="","","("&amp;H79&amp;")")&amp;" "&amp;TRIM(J79)&amp;IF(G80="","",","))</f>
        <v/>
      </c>
      <c r="AW79" s="27"/>
      <c r="AY79" s="122" t="str">
        <f t="shared" si="9"/>
        <v/>
      </c>
    </row>
    <row r="80" spans="2:51" ht="12.75">
      <c r="B80" s="20" t="str">
        <f t="shared" si="11"/>
        <v/>
      </c>
      <c r="C80" s="5"/>
      <c r="D80" s="5"/>
      <c r="E80" s="5"/>
      <c r="G80" s="5" t="str">
        <f t="shared" si="16"/>
        <v/>
      </c>
      <c r="H80" s="117" t="str">
        <f t="shared" si="13"/>
        <v/>
      </c>
      <c r="I80" s="5" t="str">
        <f t="shared" si="17"/>
        <v/>
      </c>
      <c r="J80" s="5" t="str">
        <f t="shared" si="18"/>
        <v/>
      </c>
      <c r="K80" s="5"/>
      <c r="L80" s="5"/>
      <c r="M80" s="75"/>
      <c r="N80" s="77"/>
      <c r="O80" s="26"/>
      <c r="P80" s="26"/>
      <c r="Q80" s="118" t="str">
        <f t="shared" si="19"/>
        <v/>
      </c>
      <c r="R80" s="153"/>
      <c r="S80" s="138" t="str">
        <f t="shared" si="10"/>
        <v/>
      </c>
      <c r="T80" s="148"/>
      <c r="U80" s="146"/>
      <c r="V80" s="146"/>
      <c r="W80" s="139"/>
      <c r="X80" s="139"/>
      <c r="Y80" s="148"/>
      <c r="Z80" s="138" t="str">
        <f t="shared" si="21"/>
        <v/>
      </c>
      <c r="AA80" s="138" t="str">
        <f t="shared" si="12"/>
        <v/>
      </c>
      <c r="AB80" s="239"/>
      <c r="AC80" s="325"/>
      <c r="AD80" s="325"/>
      <c r="AE80" s="325"/>
      <c r="AF80" s="325"/>
      <c r="AG80" s="325"/>
      <c r="AH80" s="325"/>
      <c r="AI80" s="325"/>
      <c r="AJ80" s="325"/>
      <c r="AK80" s="325"/>
      <c r="AL80" s="325"/>
      <c r="AM80" s="325"/>
      <c r="AN80" s="325"/>
      <c r="AO80" s="325"/>
      <c r="AP80" s="136"/>
      <c r="AQ80" s="136"/>
      <c r="AR80" s="136" t="str">
        <f t="shared" ref="AR80:AS115" si="22">IF(O80=0,"",ROW())</f>
        <v/>
      </c>
      <c r="AS80" s="136" t="str">
        <f t="shared" si="22"/>
        <v/>
      </c>
      <c r="AT80" s="5" t="str">
        <f t="shared" ref="AT80:AT116" si="23">IF(C80="","",C80&amp;IF(B81="","",","))</f>
        <v/>
      </c>
      <c r="AV80" s="27" t="str">
        <f>IF(G80="","",+"          ["&amp;TRIM(G80)&amp;"] ["&amp;TRIM(I80)&amp;"]"&amp;IF(H80="","","("&amp;H80&amp;")")&amp;" "&amp;TRIM(J80)&amp;IF(G83="","",","))</f>
        <v/>
      </c>
      <c r="AW80" s="27"/>
      <c r="AY80" s="122"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6"/>
        <v/>
      </c>
      <c r="H81" s="117" t="str">
        <f t="shared" si="13"/>
        <v/>
      </c>
      <c r="I81" s="5" t="str">
        <f t="shared" si="17"/>
        <v/>
      </c>
      <c r="J81" s="5" t="str">
        <f t="shared" si="18"/>
        <v/>
      </c>
      <c r="K81" s="5"/>
      <c r="L81" s="5"/>
      <c r="M81" s="75"/>
      <c r="N81" s="77"/>
      <c r="O81" s="26"/>
      <c r="P81" s="26"/>
      <c r="Q81" s="118" t="str">
        <f t="shared" si="19"/>
        <v/>
      </c>
      <c r="R81" s="153"/>
      <c r="S81" s="138" t="str">
        <f t="shared" ref="S81:S115" si="25">IF(K81=0,"",K81)</f>
        <v/>
      </c>
      <c r="T81" s="148"/>
      <c r="U81" s="146"/>
      <c r="V81" s="146"/>
      <c r="W81" s="139"/>
      <c r="X81" s="139"/>
      <c r="Y81" s="148"/>
      <c r="Z81" s="138" t="str">
        <f t="shared" si="21"/>
        <v/>
      </c>
      <c r="AA81" s="138" t="str">
        <f t="shared" si="12"/>
        <v/>
      </c>
      <c r="AB81" s="239"/>
      <c r="AC81" s="325"/>
      <c r="AD81" s="325"/>
      <c r="AE81" s="325"/>
      <c r="AF81" s="325"/>
      <c r="AG81" s="325"/>
      <c r="AH81" s="325"/>
      <c r="AI81" s="325"/>
      <c r="AJ81" s="325"/>
      <c r="AK81" s="325"/>
      <c r="AL81" s="325"/>
      <c r="AM81" s="325"/>
      <c r="AN81" s="325"/>
      <c r="AO81" s="325"/>
      <c r="AP81" s="136"/>
      <c r="AQ81" s="136"/>
      <c r="AR81" s="136" t="str">
        <f t="shared" si="22"/>
        <v/>
      </c>
      <c r="AS81" s="136" t="str">
        <f t="shared" si="22"/>
        <v/>
      </c>
      <c r="AT81" s="5" t="str">
        <f t="shared" si="23"/>
        <v/>
      </c>
      <c r="AV81" s="27" t="str">
        <f>IF(G81="","",+"          ["&amp;TRIM(G81)&amp;"] ["&amp;TRIM(I81)&amp;"]"&amp;IF(H81="","","("&amp;H81&amp;")")&amp;" "&amp;TRIM(J81)&amp;IF(G82="","",","))</f>
        <v/>
      </c>
      <c r="AW81" s="27"/>
      <c r="AY81" s="122" t="str">
        <f t="shared" si="24"/>
        <v/>
      </c>
    </row>
    <row r="82" spans="2:51" ht="12.75">
      <c r="B82" s="20" t="str">
        <f t="shared" ref="B82:B115" si="26">IF(C82=0,"",+B81+1)</f>
        <v/>
      </c>
      <c r="C82" s="5"/>
      <c r="D82" s="5"/>
      <c r="E82" s="5"/>
      <c r="G82" s="5" t="str">
        <f t="shared" si="16"/>
        <v/>
      </c>
      <c r="H82" s="117" t="str">
        <f t="shared" si="13"/>
        <v/>
      </c>
      <c r="I82" s="5" t="str">
        <f t="shared" si="17"/>
        <v/>
      </c>
      <c r="J82" s="5" t="str">
        <f t="shared" si="18"/>
        <v/>
      </c>
      <c r="K82" s="5"/>
      <c r="L82" s="5"/>
      <c r="M82" s="75"/>
      <c r="N82" s="77"/>
      <c r="O82" s="26"/>
      <c r="P82" s="26"/>
      <c r="Q82" s="118" t="str">
        <f t="shared" si="19"/>
        <v/>
      </c>
      <c r="R82" s="153"/>
      <c r="S82" s="138" t="str">
        <f t="shared" si="25"/>
        <v/>
      </c>
      <c r="T82" s="148"/>
      <c r="U82" s="146"/>
      <c r="V82" s="146"/>
      <c r="W82" s="139"/>
      <c r="X82" s="139"/>
      <c r="Y82" s="148"/>
      <c r="Z82" s="138" t="str">
        <f t="shared" si="21"/>
        <v/>
      </c>
      <c r="AA82" s="138" t="str">
        <f t="shared" ref="AA82:AA115" si="27">IF($C$120=B82,"asc","")</f>
        <v/>
      </c>
      <c r="AB82" s="239"/>
      <c r="AC82" s="325"/>
      <c r="AD82" s="325"/>
      <c r="AE82" s="325"/>
      <c r="AF82" s="325"/>
      <c r="AG82" s="325"/>
      <c r="AH82" s="325"/>
      <c r="AI82" s="325"/>
      <c r="AJ82" s="325"/>
      <c r="AK82" s="325"/>
      <c r="AL82" s="325"/>
      <c r="AM82" s="325"/>
      <c r="AN82" s="325"/>
      <c r="AO82" s="325"/>
      <c r="AP82" s="136"/>
      <c r="AQ82" s="136"/>
      <c r="AR82" s="136" t="str">
        <f t="shared" si="22"/>
        <v/>
      </c>
      <c r="AS82" s="136" t="str">
        <f t="shared" si="22"/>
        <v/>
      </c>
      <c r="AT82" s="5" t="str">
        <f t="shared" si="23"/>
        <v/>
      </c>
      <c r="AV82" s="27" t="str">
        <f>IF(G82="","",+"          ["&amp;TRIM(G82)&amp;"] ["&amp;TRIM(I82)&amp;"]"&amp;IF(H82="","","("&amp;H82&amp;")")&amp;" "&amp;TRIM(J82)&amp;IF(G83="","",","))</f>
        <v/>
      </c>
      <c r="AW82" s="27"/>
      <c r="AY82" s="122" t="str">
        <f t="shared" si="24"/>
        <v/>
      </c>
    </row>
    <row r="83" spans="2:51" ht="12.75">
      <c r="B83" s="20" t="str">
        <f t="shared" si="26"/>
        <v/>
      </c>
      <c r="C83" s="5"/>
      <c r="D83" s="5"/>
      <c r="E83" s="5"/>
      <c r="G83" s="5" t="str">
        <f t="shared" si="16"/>
        <v/>
      </c>
      <c r="H83" s="117" t="str">
        <f t="shared" si="13"/>
        <v/>
      </c>
      <c r="I83" s="5" t="str">
        <f t="shared" si="17"/>
        <v/>
      </c>
      <c r="J83" s="5" t="str">
        <f t="shared" si="18"/>
        <v/>
      </c>
      <c r="K83" s="5"/>
      <c r="L83" s="5"/>
      <c r="M83" s="75"/>
      <c r="N83" s="77"/>
      <c r="O83" s="26"/>
      <c r="P83" s="26"/>
      <c r="Q83" s="118" t="str">
        <f t="shared" si="19"/>
        <v/>
      </c>
      <c r="R83" s="153"/>
      <c r="S83" s="138" t="str">
        <f t="shared" si="25"/>
        <v/>
      </c>
      <c r="T83" s="148"/>
      <c r="U83" s="146"/>
      <c r="V83" s="146"/>
      <c r="W83" s="139"/>
      <c r="X83" s="139"/>
      <c r="Y83" s="148"/>
      <c r="Z83" s="138" t="str">
        <f t="shared" si="21"/>
        <v/>
      </c>
      <c r="AA83" s="138" t="str">
        <f t="shared" si="27"/>
        <v/>
      </c>
      <c r="AB83" s="239"/>
      <c r="AC83" s="325"/>
      <c r="AD83" s="325"/>
      <c r="AE83" s="325"/>
      <c r="AF83" s="325"/>
      <c r="AG83" s="325"/>
      <c r="AH83" s="325"/>
      <c r="AI83" s="325"/>
      <c r="AJ83" s="325"/>
      <c r="AK83" s="325"/>
      <c r="AL83" s="325"/>
      <c r="AM83" s="325"/>
      <c r="AN83" s="325"/>
      <c r="AO83" s="325"/>
      <c r="AP83" s="136"/>
      <c r="AQ83" s="136"/>
      <c r="AR83" s="136" t="str">
        <f t="shared" si="22"/>
        <v/>
      </c>
      <c r="AS83" s="136" t="str">
        <f t="shared" si="22"/>
        <v/>
      </c>
      <c r="AT83" s="5" t="str">
        <f t="shared" si="23"/>
        <v/>
      </c>
      <c r="AV83" s="27" t="str">
        <f>IF(G83="","",+"          ["&amp;TRIM(G83)&amp;"] ["&amp;TRIM(I83)&amp;"]"&amp;IF(H83="","","("&amp;H83&amp;")")&amp;" "&amp;TRIM(J83)&amp;IF(G93="","",","))</f>
        <v/>
      </c>
      <c r="AW83" s="27"/>
      <c r="AY83" s="122" t="str">
        <f t="shared" si="24"/>
        <v/>
      </c>
    </row>
    <row r="84" spans="2:51" ht="12.75">
      <c r="B84" s="20" t="str">
        <f t="shared" si="26"/>
        <v/>
      </c>
      <c r="C84" s="5"/>
      <c r="D84" s="5"/>
      <c r="E84" s="5"/>
      <c r="G84" s="5" t="str">
        <f t="shared" si="16"/>
        <v/>
      </c>
      <c r="H84" s="117" t="str">
        <f t="shared" si="13"/>
        <v/>
      </c>
      <c r="I84" s="5" t="str">
        <f t="shared" si="17"/>
        <v/>
      </c>
      <c r="J84" s="5" t="str">
        <f t="shared" si="18"/>
        <v/>
      </c>
      <c r="K84" s="5"/>
      <c r="L84" s="5"/>
      <c r="M84" s="75"/>
      <c r="N84" s="77"/>
      <c r="O84" s="26"/>
      <c r="P84" s="26"/>
      <c r="Q84" s="118" t="str">
        <f t="shared" si="19"/>
        <v/>
      </c>
      <c r="R84" s="153"/>
      <c r="S84" s="138" t="str">
        <f t="shared" si="25"/>
        <v/>
      </c>
      <c r="T84" s="148"/>
      <c r="U84" s="146"/>
      <c r="V84" s="146"/>
      <c r="W84" s="139"/>
      <c r="X84" s="139"/>
      <c r="Y84" s="148"/>
      <c r="Z84" s="138" t="str">
        <f t="shared" si="21"/>
        <v/>
      </c>
      <c r="AA84" s="138" t="str">
        <f t="shared" si="27"/>
        <v/>
      </c>
      <c r="AB84" s="239"/>
      <c r="AC84" s="325"/>
      <c r="AD84" s="325"/>
      <c r="AE84" s="325"/>
      <c r="AF84" s="325"/>
      <c r="AG84" s="325"/>
      <c r="AH84" s="325"/>
      <c r="AI84" s="325"/>
      <c r="AJ84" s="325"/>
      <c r="AK84" s="325"/>
      <c r="AL84" s="325"/>
      <c r="AM84" s="325"/>
      <c r="AN84" s="325"/>
      <c r="AO84" s="325"/>
      <c r="AP84" s="136"/>
      <c r="AQ84" s="136"/>
      <c r="AR84" s="136" t="str">
        <f t="shared" si="22"/>
        <v/>
      </c>
      <c r="AS84" s="136" t="str">
        <f t="shared" si="22"/>
        <v/>
      </c>
      <c r="AT84" s="5" t="str">
        <f t="shared" si="23"/>
        <v/>
      </c>
      <c r="AV84" s="27" t="str">
        <f>IF(G84="","",+"          ["&amp;TRIM(G84)&amp;"] ["&amp;TRIM(I84)&amp;"]"&amp;IF(H84="","","("&amp;H84&amp;")")&amp;" "&amp;TRIM(J84)&amp;IF(G85="","",","))</f>
        <v/>
      </c>
      <c r="AW84" s="27"/>
      <c r="AY84" s="122" t="str">
        <f t="shared" si="24"/>
        <v/>
      </c>
    </row>
    <row r="85" spans="2:51" ht="12.75">
      <c r="B85" s="20" t="str">
        <f t="shared" si="26"/>
        <v/>
      </c>
      <c r="C85" s="5"/>
      <c r="D85" s="5"/>
      <c r="E85" s="5"/>
      <c r="G85" s="5" t="str">
        <f t="shared" si="16"/>
        <v/>
      </c>
      <c r="H85" s="117" t="str">
        <f t="shared" si="13"/>
        <v/>
      </c>
      <c r="I85" s="5" t="str">
        <f t="shared" si="17"/>
        <v/>
      </c>
      <c r="J85" s="5" t="str">
        <f t="shared" si="18"/>
        <v/>
      </c>
      <c r="K85" s="5"/>
      <c r="L85" s="5"/>
      <c r="M85" s="75"/>
      <c r="N85" s="77"/>
      <c r="O85" s="26"/>
      <c r="P85" s="26"/>
      <c r="Q85" s="118" t="str">
        <f t="shared" si="19"/>
        <v/>
      </c>
      <c r="R85" s="153"/>
      <c r="S85" s="138" t="str">
        <f t="shared" si="25"/>
        <v/>
      </c>
      <c r="T85" s="148"/>
      <c r="U85" s="146"/>
      <c r="V85" s="146"/>
      <c r="W85" s="139"/>
      <c r="X85" s="139"/>
      <c r="Y85" s="148"/>
      <c r="Z85" s="138" t="str">
        <f t="shared" si="21"/>
        <v/>
      </c>
      <c r="AA85" s="138" t="str">
        <f t="shared" si="27"/>
        <v/>
      </c>
      <c r="AB85" s="239"/>
      <c r="AC85" s="325"/>
      <c r="AD85" s="325"/>
      <c r="AE85" s="325"/>
      <c r="AF85" s="325"/>
      <c r="AG85" s="325"/>
      <c r="AH85" s="325"/>
      <c r="AI85" s="325"/>
      <c r="AJ85" s="325"/>
      <c r="AK85" s="325"/>
      <c r="AL85" s="325"/>
      <c r="AM85" s="325"/>
      <c r="AN85" s="325"/>
      <c r="AO85" s="325"/>
      <c r="AP85" s="136"/>
      <c r="AQ85" s="136"/>
      <c r="AR85" s="136" t="str">
        <f t="shared" si="22"/>
        <v/>
      </c>
      <c r="AS85" s="136" t="str">
        <f t="shared" si="22"/>
        <v/>
      </c>
      <c r="AT85" s="5" t="str">
        <f t="shared" si="23"/>
        <v/>
      </c>
      <c r="AV85" s="27" t="str">
        <f>IF(G85="","",+"          ["&amp;TRIM(G85)&amp;"] ["&amp;TRIM(I85)&amp;"]"&amp;IF(H85="","","("&amp;H85&amp;")")&amp;" "&amp;TRIM(J85)&amp;IF(G86="","",","))</f>
        <v/>
      </c>
      <c r="AW85" s="27"/>
      <c r="AY85" s="122" t="str">
        <f t="shared" si="24"/>
        <v/>
      </c>
    </row>
    <row r="86" spans="2:51" ht="12.75">
      <c r="B86" s="20" t="str">
        <f t="shared" si="26"/>
        <v/>
      </c>
      <c r="C86" s="5"/>
      <c r="D86" s="5"/>
      <c r="E86" s="5"/>
      <c r="G86" s="5" t="str">
        <f t="shared" si="16"/>
        <v/>
      </c>
      <c r="H86" s="117" t="str">
        <f t="shared" si="13"/>
        <v/>
      </c>
      <c r="I86" s="5" t="str">
        <f t="shared" si="17"/>
        <v/>
      </c>
      <c r="J86" s="5" t="str">
        <f t="shared" si="18"/>
        <v/>
      </c>
      <c r="K86" s="5"/>
      <c r="L86" s="5"/>
      <c r="M86" s="75"/>
      <c r="N86" s="77"/>
      <c r="O86" s="26"/>
      <c r="P86" s="26"/>
      <c r="Q86" s="118" t="str">
        <f t="shared" si="19"/>
        <v/>
      </c>
      <c r="R86" s="153"/>
      <c r="S86" s="138" t="str">
        <f t="shared" si="25"/>
        <v/>
      </c>
      <c r="T86" s="148"/>
      <c r="U86" s="146"/>
      <c r="V86" s="146"/>
      <c r="W86" s="139"/>
      <c r="X86" s="139"/>
      <c r="Y86" s="148"/>
      <c r="Z86" s="138" t="str">
        <f t="shared" si="21"/>
        <v/>
      </c>
      <c r="AA86" s="138" t="str">
        <f t="shared" si="27"/>
        <v/>
      </c>
      <c r="AB86" s="239"/>
      <c r="AC86" s="325"/>
      <c r="AD86" s="325"/>
      <c r="AE86" s="325"/>
      <c r="AF86" s="325"/>
      <c r="AG86" s="325"/>
      <c r="AH86" s="325"/>
      <c r="AI86" s="325"/>
      <c r="AJ86" s="325"/>
      <c r="AK86" s="325"/>
      <c r="AL86" s="325"/>
      <c r="AM86" s="325"/>
      <c r="AN86" s="325"/>
      <c r="AO86" s="325"/>
      <c r="AP86" s="136"/>
      <c r="AQ86" s="136"/>
      <c r="AR86" s="136" t="str">
        <f t="shared" si="22"/>
        <v/>
      </c>
      <c r="AS86" s="136" t="str">
        <f t="shared" si="22"/>
        <v/>
      </c>
      <c r="AT86" s="5" t="str">
        <f t="shared" si="23"/>
        <v/>
      </c>
      <c r="AV86" s="27" t="str">
        <f>IF(G86="","",+"          ["&amp;TRIM(G86)&amp;"] ["&amp;TRIM(I86)&amp;"]"&amp;IF(H86="","","("&amp;H86&amp;")")&amp;" "&amp;TRIM(J86)&amp;IF(G87="","",","))</f>
        <v/>
      </c>
      <c r="AW86" s="27"/>
      <c r="AY86" s="122" t="str">
        <f t="shared" si="24"/>
        <v/>
      </c>
    </row>
    <row r="87" spans="2:51" ht="12.75">
      <c r="B87" s="20" t="str">
        <f t="shared" si="26"/>
        <v/>
      </c>
      <c r="C87" s="5"/>
      <c r="D87" s="5"/>
      <c r="E87" s="5"/>
      <c r="G87" s="5" t="str">
        <f t="shared" si="16"/>
        <v/>
      </c>
      <c r="H87" s="117" t="str">
        <f t="shared" ref="H87:H115" si="28">IF(IFERROR(FIND("varchar",E87),0)&gt;0,IF(D87&gt;8000,"max",D87),"")</f>
        <v/>
      </c>
      <c r="I87" s="5" t="str">
        <f t="shared" si="17"/>
        <v/>
      </c>
      <c r="J87" s="5" t="str">
        <f t="shared" si="18"/>
        <v/>
      </c>
      <c r="K87" s="5"/>
      <c r="L87" s="5"/>
      <c r="M87" s="75"/>
      <c r="N87" s="77"/>
      <c r="O87" s="26"/>
      <c r="P87" s="26"/>
      <c r="Q87" s="118" t="str">
        <f t="shared" si="19"/>
        <v/>
      </c>
      <c r="R87" s="153"/>
      <c r="S87" s="138" t="str">
        <f t="shared" si="25"/>
        <v/>
      </c>
      <c r="T87" s="148"/>
      <c r="U87" s="146"/>
      <c r="V87" s="146"/>
      <c r="W87" s="139"/>
      <c r="X87" s="139"/>
      <c r="Y87" s="148"/>
      <c r="Z87" s="138" t="str">
        <f t="shared" si="21"/>
        <v/>
      </c>
      <c r="AA87" s="138" t="str">
        <f t="shared" si="27"/>
        <v/>
      </c>
      <c r="AB87" s="239"/>
      <c r="AC87" s="325"/>
      <c r="AD87" s="325"/>
      <c r="AE87" s="325"/>
      <c r="AF87" s="325"/>
      <c r="AG87" s="325"/>
      <c r="AH87" s="325"/>
      <c r="AI87" s="325"/>
      <c r="AJ87" s="325"/>
      <c r="AK87" s="325"/>
      <c r="AL87" s="325"/>
      <c r="AM87" s="325"/>
      <c r="AN87" s="325"/>
      <c r="AO87" s="325"/>
      <c r="AP87" s="136"/>
      <c r="AQ87" s="136"/>
      <c r="AR87" s="136" t="str">
        <f t="shared" si="22"/>
        <v/>
      </c>
      <c r="AS87" s="136" t="str">
        <f t="shared" si="22"/>
        <v/>
      </c>
      <c r="AT87" s="5" t="str">
        <f t="shared" si="23"/>
        <v/>
      </c>
      <c r="AV87" s="27" t="str">
        <f>IF(G87="","",+"          ["&amp;TRIM(G87)&amp;"] ["&amp;TRIM(I87)&amp;"]"&amp;IF(H87="","","("&amp;H87&amp;")")&amp;" "&amp;TRIM(J87)&amp;IF(G93="","",","))</f>
        <v/>
      </c>
      <c r="AW87" s="27"/>
      <c r="AY87" s="122" t="str">
        <f t="shared" si="24"/>
        <v/>
      </c>
    </row>
    <row r="88" spans="2:51" ht="12.75">
      <c r="B88" s="20" t="str">
        <f t="shared" si="26"/>
        <v/>
      </c>
      <c r="C88" s="5"/>
      <c r="D88" s="5"/>
      <c r="E88" s="5"/>
      <c r="G88" s="5" t="str">
        <f t="shared" si="16"/>
        <v/>
      </c>
      <c r="H88" s="117" t="str">
        <f t="shared" si="28"/>
        <v/>
      </c>
      <c r="I88" s="5" t="str">
        <f t="shared" si="17"/>
        <v/>
      </c>
      <c r="J88" s="5" t="str">
        <f t="shared" si="18"/>
        <v/>
      </c>
      <c r="K88" s="5"/>
      <c r="L88" s="5"/>
      <c r="M88" s="75"/>
      <c r="N88" s="77"/>
      <c r="O88" s="26"/>
      <c r="P88" s="26"/>
      <c r="Q88" s="118" t="str">
        <f t="shared" si="19"/>
        <v/>
      </c>
      <c r="R88" s="153"/>
      <c r="S88" s="138" t="str">
        <f t="shared" si="25"/>
        <v/>
      </c>
      <c r="T88" s="148"/>
      <c r="U88" s="146"/>
      <c r="V88" s="146"/>
      <c r="W88" s="139"/>
      <c r="X88" s="139"/>
      <c r="Y88" s="148"/>
      <c r="Z88" s="138" t="str">
        <f t="shared" si="21"/>
        <v/>
      </c>
      <c r="AA88" s="138" t="str">
        <f t="shared" si="27"/>
        <v/>
      </c>
      <c r="AB88" s="239"/>
      <c r="AC88" s="325"/>
      <c r="AD88" s="325"/>
      <c r="AE88" s="325"/>
      <c r="AF88" s="325"/>
      <c r="AG88" s="325"/>
      <c r="AH88" s="325"/>
      <c r="AI88" s="325"/>
      <c r="AJ88" s="325"/>
      <c r="AK88" s="325"/>
      <c r="AL88" s="325"/>
      <c r="AM88" s="325"/>
      <c r="AN88" s="325"/>
      <c r="AO88" s="325"/>
      <c r="AP88" s="136"/>
      <c r="AQ88" s="136"/>
      <c r="AR88" s="136" t="str">
        <f t="shared" si="22"/>
        <v/>
      </c>
      <c r="AS88" s="136" t="str">
        <f t="shared" si="22"/>
        <v/>
      </c>
      <c r="AT88" s="5" t="str">
        <f t="shared" si="23"/>
        <v/>
      </c>
      <c r="AV88" s="27" t="str">
        <f>IF(G88="","",+"          ["&amp;TRIM(G88)&amp;"] ["&amp;TRIM(I88)&amp;"]"&amp;IF(H88="","","("&amp;H88&amp;")")&amp;" "&amp;TRIM(J88)&amp;IF(G89="","",","))</f>
        <v/>
      </c>
      <c r="AW88" s="27"/>
      <c r="AY88" s="122" t="str">
        <f t="shared" si="24"/>
        <v/>
      </c>
    </row>
    <row r="89" spans="2:51" ht="12.75">
      <c r="B89" s="20" t="str">
        <f t="shared" si="26"/>
        <v/>
      </c>
      <c r="C89" s="5"/>
      <c r="D89" s="5"/>
      <c r="E89" s="5"/>
      <c r="G89" s="5" t="str">
        <f t="shared" si="16"/>
        <v/>
      </c>
      <c r="H89" s="117" t="str">
        <f t="shared" si="28"/>
        <v/>
      </c>
      <c r="I89" s="5" t="str">
        <f t="shared" si="17"/>
        <v/>
      </c>
      <c r="J89" s="5" t="str">
        <f t="shared" si="18"/>
        <v/>
      </c>
      <c r="K89" s="5"/>
      <c r="L89" s="5"/>
      <c r="M89" s="75"/>
      <c r="N89" s="77"/>
      <c r="O89" s="26"/>
      <c r="P89" s="26"/>
      <c r="Q89" s="118" t="str">
        <f t="shared" si="19"/>
        <v/>
      </c>
      <c r="R89" s="153"/>
      <c r="S89" s="138" t="str">
        <f t="shared" si="25"/>
        <v/>
      </c>
      <c r="T89" s="148"/>
      <c r="U89" s="146"/>
      <c r="V89" s="146"/>
      <c r="W89" s="139"/>
      <c r="X89" s="139"/>
      <c r="Y89" s="148"/>
      <c r="Z89" s="138" t="str">
        <f t="shared" si="21"/>
        <v/>
      </c>
      <c r="AA89" s="138" t="str">
        <f t="shared" si="27"/>
        <v/>
      </c>
      <c r="AB89" s="239"/>
      <c r="AC89" s="325"/>
      <c r="AD89" s="325"/>
      <c r="AE89" s="325"/>
      <c r="AF89" s="325"/>
      <c r="AG89" s="325"/>
      <c r="AH89" s="325"/>
      <c r="AI89" s="325"/>
      <c r="AJ89" s="325"/>
      <c r="AK89" s="325"/>
      <c r="AL89" s="325"/>
      <c r="AM89" s="325"/>
      <c r="AN89" s="325"/>
      <c r="AO89" s="325"/>
      <c r="AP89" s="136"/>
      <c r="AQ89" s="136"/>
      <c r="AR89" s="136" t="str">
        <f t="shared" si="22"/>
        <v/>
      </c>
      <c r="AS89" s="136" t="str">
        <f t="shared" si="22"/>
        <v/>
      </c>
      <c r="AT89" s="5" t="str">
        <f t="shared" si="23"/>
        <v/>
      </c>
      <c r="AV89" s="27" t="str">
        <f>IF(G89="","",+"          ["&amp;TRIM(G89)&amp;"] ["&amp;TRIM(I89)&amp;"]"&amp;IF(H89="","","("&amp;H89&amp;")")&amp;" "&amp;TRIM(J89)&amp;IF(G92="","",","))</f>
        <v/>
      </c>
      <c r="AW89" s="27"/>
      <c r="AY89" s="122" t="str">
        <f t="shared" si="24"/>
        <v/>
      </c>
    </row>
    <row r="90" spans="2:51" ht="12.75">
      <c r="B90" s="20" t="str">
        <f t="shared" si="26"/>
        <v/>
      </c>
      <c r="C90" s="5"/>
      <c r="D90" s="5"/>
      <c r="E90" s="5"/>
      <c r="G90" s="5" t="str">
        <f t="shared" si="16"/>
        <v/>
      </c>
      <c r="H90" s="117" t="str">
        <f t="shared" si="28"/>
        <v/>
      </c>
      <c r="I90" s="5" t="str">
        <f t="shared" si="17"/>
        <v/>
      </c>
      <c r="J90" s="5" t="str">
        <f t="shared" si="18"/>
        <v/>
      </c>
      <c r="K90" s="5"/>
      <c r="L90" s="5"/>
      <c r="M90" s="75"/>
      <c r="N90" s="77"/>
      <c r="O90" s="26"/>
      <c r="P90" s="26"/>
      <c r="Q90" s="118" t="str">
        <f t="shared" si="19"/>
        <v/>
      </c>
      <c r="R90" s="153"/>
      <c r="S90" s="138" t="str">
        <f t="shared" si="25"/>
        <v/>
      </c>
      <c r="T90" s="148"/>
      <c r="U90" s="146"/>
      <c r="V90" s="146"/>
      <c r="W90" s="139"/>
      <c r="X90" s="139"/>
      <c r="Y90" s="148"/>
      <c r="Z90" s="138" t="str">
        <f t="shared" si="21"/>
        <v/>
      </c>
      <c r="AA90" s="138" t="str">
        <f t="shared" si="27"/>
        <v/>
      </c>
      <c r="AB90" s="239"/>
      <c r="AC90" s="325"/>
      <c r="AD90" s="325"/>
      <c r="AE90" s="325"/>
      <c r="AF90" s="325"/>
      <c r="AG90" s="325"/>
      <c r="AH90" s="325"/>
      <c r="AI90" s="325"/>
      <c r="AJ90" s="325"/>
      <c r="AK90" s="325"/>
      <c r="AL90" s="325"/>
      <c r="AM90" s="325"/>
      <c r="AN90" s="325"/>
      <c r="AO90" s="325"/>
      <c r="AP90" s="136"/>
      <c r="AQ90" s="136"/>
      <c r="AR90" s="136" t="str">
        <f t="shared" si="22"/>
        <v/>
      </c>
      <c r="AS90" s="136" t="str">
        <f t="shared" si="22"/>
        <v/>
      </c>
      <c r="AT90" s="5" t="str">
        <f t="shared" si="23"/>
        <v/>
      </c>
      <c r="AV90" s="27" t="str">
        <f t="shared" ref="AV90:AV95" si="29">IF(G90="","",+"          ["&amp;TRIM(G90)&amp;"] ["&amp;TRIM(I90)&amp;"]"&amp;IF(H90="","","("&amp;H90&amp;")")&amp;" "&amp;TRIM(J90)&amp;IF(G91="","",","))</f>
        <v/>
      </c>
      <c r="AW90" s="27"/>
      <c r="AY90" s="122" t="str">
        <f t="shared" si="24"/>
        <v/>
      </c>
    </row>
    <row r="91" spans="2:51" ht="12.75">
      <c r="B91" s="20" t="str">
        <f t="shared" si="26"/>
        <v/>
      </c>
      <c r="C91" s="5"/>
      <c r="D91" s="5"/>
      <c r="E91" s="5"/>
      <c r="G91" s="5" t="str">
        <f t="shared" si="16"/>
        <v/>
      </c>
      <c r="H91" s="117" t="str">
        <f t="shared" si="28"/>
        <v/>
      </c>
      <c r="I91" s="5" t="str">
        <f t="shared" si="17"/>
        <v/>
      </c>
      <c r="J91" s="5" t="str">
        <f t="shared" si="18"/>
        <v/>
      </c>
      <c r="K91" s="5"/>
      <c r="L91" s="5"/>
      <c r="M91" s="75"/>
      <c r="N91" s="77"/>
      <c r="O91" s="26"/>
      <c r="P91" s="26"/>
      <c r="Q91" s="118" t="str">
        <f t="shared" si="19"/>
        <v/>
      </c>
      <c r="R91" s="153"/>
      <c r="S91" s="138" t="str">
        <f t="shared" si="25"/>
        <v/>
      </c>
      <c r="T91" s="148"/>
      <c r="U91" s="146"/>
      <c r="V91" s="146"/>
      <c r="W91" s="139"/>
      <c r="X91" s="139"/>
      <c r="Y91" s="148"/>
      <c r="Z91" s="138" t="str">
        <f t="shared" si="21"/>
        <v/>
      </c>
      <c r="AA91" s="138" t="str">
        <f t="shared" si="27"/>
        <v/>
      </c>
      <c r="AB91" s="239"/>
      <c r="AC91" s="325"/>
      <c r="AD91" s="325"/>
      <c r="AE91" s="325"/>
      <c r="AF91" s="325"/>
      <c r="AG91" s="325"/>
      <c r="AH91" s="325"/>
      <c r="AI91" s="325"/>
      <c r="AJ91" s="325"/>
      <c r="AK91" s="325"/>
      <c r="AL91" s="325"/>
      <c r="AM91" s="325"/>
      <c r="AN91" s="325"/>
      <c r="AO91" s="325"/>
      <c r="AP91" s="136"/>
      <c r="AQ91" s="136"/>
      <c r="AR91" s="136" t="str">
        <f t="shared" si="22"/>
        <v/>
      </c>
      <c r="AS91" s="136" t="str">
        <f t="shared" si="22"/>
        <v/>
      </c>
      <c r="AT91" s="5" t="str">
        <f t="shared" si="23"/>
        <v/>
      </c>
      <c r="AV91" s="27" t="str">
        <f t="shared" si="29"/>
        <v/>
      </c>
      <c r="AW91" s="27"/>
      <c r="AY91" s="122" t="str">
        <f t="shared" si="24"/>
        <v/>
      </c>
    </row>
    <row r="92" spans="2:51" ht="12.75">
      <c r="B92" s="20" t="str">
        <f t="shared" si="26"/>
        <v/>
      </c>
      <c r="C92" s="5"/>
      <c r="D92" s="5"/>
      <c r="E92" s="5"/>
      <c r="G92" s="5" t="str">
        <f t="shared" si="16"/>
        <v/>
      </c>
      <c r="H92" s="117" t="str">
        <f t="shared" si="28"/>
        <v/>
      </c>
      <c r="I92" s="5" t="str">
        <f t="shared" si="17"/>
        <v/>
      </c>
      <c r="J92" s="5" t="str">
        <f t="shared" si="18"/>
        <v/>
      </c>
      <c r="K92" s="5"/>
      <c r="L92" s="5"/>
      <c r="M92" s="75"/>
      <c r="N92" s="77"/>
      <c r="O92" s="26"/>
      <c r="P92" s="26"/>
      <c r="Q92" s="118" t="str">
        <f t="shared" si="19"/>
        <v/>
      </c>
      <c r="R92" s="153"/>
      <c r="S92" s="138" t="str">
        <f t="shared" si="25"/>
        <v/>
      </c>
      <c r="T92" s="148"/>
      <c r="U92" s="146"/>
      <c r="V92" s="146"/>
      <c r="W92" s="139"/>
      <c r="X92" s="139"/>
      <c r="Y92" s="148"/>
      <c r="Z92" s="138" t="str">
        <f t="shared" si="21"/>
        <v/>
      </c>
      <c r="AA92" s="138" t="str">
        <f t="shared" si="27"/>
        <v/>
      </c>
      <c r="AB92" s="239"/>
      <c r="AC92" s="325"/>
      <c r="AD92" s="325"/>
      <c r="AE92" s="325"/>
      <c r="AF92" s="325"/>
      <c r="AG92" s="325"/>
      <c r="AH92" s="325"/>
      <c r="AI92" s="325"/>
      <c r="AJ92" s="325"/>
      <c r="AK92" s="325"/>
      <c r="AL92" s="325"/>
      <c r="AM92" s="325"/>
      <c r="AN92" s="325"/>
      <c r="AO92" s="325"/>
      <c r="AP92" s="136"/>
      <c r="AQ92" s="136"/>
      <c r="AR92" s="136" t="str">
        <f t="shared" si="22"/>
        <v/>
      </c>
      <c r="AS92" s="136" t="str">
        <f t="shared" si="22"/>
        <v/>
      </c>
      <c r="AT92" s="5" t="str">
        <f t="shared" si="23"/>
        <v/>
      </c>
      <c r="AV92" s="27" t="str">
        <f t="shared" si="29"/>
        <v/>
      </c>
      <c r="AW92" s="27"/>
      <c r="AY92" s="122" t="str">
        <f t="shared" si="24"/>
        <v/>
      </c>
    </row>
    <row r="93" spans="2:51" ht="12.75">
      <c r="B93" s="20" t="str">
        <f t="shared" si="26"/>
        <v/>
      </c>
      <c r="C93" s="5"/>
      <c r="D93" s="5"/>
      <c r="E93" s="5"/>
      <c r="G93" s="5" t="str">
        <f t="shared" si="16"/>
        <v/>
      </c>
      <c r="H93" s="117" t="str">
        <f t="shared" si="28"/>
        <v/>
      </c>
      <c r="I93" s="5" t="str">
        <f t="shared" si="17"/>
        <v/>
      </c>
      <c r="J93" s="5" t="str">
        <f t="shared" si="18"/>
        <v/>
      </c>
      <c r="K93" s="5"/>
      <c r="L93" s="5"/>
      <c r="M93" s="75"/>
      <c r="N93" s="77"/>
      <c r="O93" s="26"/>
      <c r="P93" s="26"/>
      <c r="Q93" s="118" t="str">
        <f t="shared" si="19"/>
        <v/>
      </c>
      <c r="R93" s="153"/>
      <c r="S93" s="138" t="str">
        <f t="shared" si="25"/>
        <v/>
      </c>
      <c r="T93" s="148"/>
      <c r="U93" s="146"/>
      <c r="V93" s="146"/>
      <c r="W93" s="139"/>
      <c r="X93" s="139"/>
      <c r="Y93" s="148"/>
      <c r="Z93" s="138" t="str">
        <f t="shared" si="21"/>
        <v/>
      </c>
      <c r="AA93" s="138" t="str">
        <f t="shared" si="27"/>
        <v/>
      </c>
      <c r="AB93" s="239"/>
      <c r="AC93" s="325"/>
      <c r="AD93" s="325"/>
      <c r="AE93" s="325"/>
      <c r="AF93" s="325"/>
      <c r="AG93" s="325"/>
      <c r="AH93" s="325"/>
      <c r="AI93" s="325"/>
      <c r="AJ93" s="325"/>
      <c r="AK93" s="325"/>
      <c r="AL93" s="325"/>
      <c r="AM93" s="325"/>
      <c r="AN93" s="325"/>
      <c r="AO93" s="325"/>
      <c r="AP93" s="136"/>
      <c r="AQ93" s="136"/>
      <c r="AR93" s="136" t="str">
        <f t="shared" si="22"/>
        <v/>
      </c>
      <c r="AS93" s="136" t="str">
        <f t="shared" si="22"/>
        <v/>
      </c>
      <c r="AT93" s="5" t="str">
        <f t="shared" si="23"/>
        <v/>
      </c>
      <c r="AV93" s="27" t="str">
        <f t="shared" si="29"/>
        <v/>
      </c>
      <c r="AW93" s="27"/>
      <c r="AY93" s="122" t="str">
        <f t="shared" si="24"/>
        <v/>
      </c>
    </row>
    <row r="94" spans="2:51" ht="12.75">
      <c r="B94" s="20" t="str">
        <f t="shared" si="26"/>
        <v/>
      </c>
      <c r="C94" s="5"/>
      <c r="D94" s="5"/>
      <c r="E94" s="5"/>
      <c r="G94" s="5" t="str">
        <f>SUBSTITUTE(SUBSTITUTE(SUBSTITUTE(SUBSTITUTE(SUBSTITUTE(SUBSTITUTE(SUBSTITUTE(SUBSTITUTE(SUBSTITUTE(C94," ",""),".",""),"#","No"),"%",""),"(",""),"*",""),"-",""),"/",""),")","")</f>
        <v/>
      </c>
      <c r="H94" s="117" t="str">
        <f t="shared" si="28"/>
        <v/>
      </c>
      <c r="I94" s="5" t="str">
        <f>IF(E94=0,"",+E94)</f>
        <v/>
      </c>
      <c r="J94" s="5" t="str">
        <f>IF(C94=0,"",(IF(ISERROR(VLOOKUP(G94,$D$120:$D$127,1,FALSE)),""," NOT")&amp;" NULL"))</f>
        <v/>
      </c>
      <c r="K94" s="5"/>
      <c r="L94" s="5"/>
      <c r="M94" s="75"/>
      <c r="N94" s="77"/>
      <c r="O94" s="26"/>
      <c r="P94" s="26"/>
      <c r="Q94" s="118" t="str">
        <f>IF(M94=0,"",ROW())</f>
        <v/>
      </c>
      <c r="R94" s="153"/>
      <c r="S94" s="138" t="str">
        <f t="shared" si="25"/>
        <v/>
      </c>
      <c r="T94" s="148"/>
      <c r="U94" s="146"/>
      <c r="V94" s="146"/>
      <c r="W94" s="139"/>
      <c r="X94" s="139"/>
      <c r="Y94" s="148"/>
      <c r="Z94" s="138" t="str">
        <f t="shared" si="21"/>
        <v/>
      </c>
      <c r="AA94" s="138" t="str">
        <f t="shared" si="27"/>
        <v/>
      </c>
      <c r="AB94" s="239"/>
      <c r="AC94" s="325"/>
      <c r="AD94" s="325"/>
      <c r="AE94" s="325"/>
      <c r="AF94" s="325"/>
      <c r="AG94" s="325"/>
      <c r="AH94" s="325"/>
      <c r="AI94" s="325"/>
      <c r="AJ94" s="325"/>
      <c r="AK94" s="325"/>
      <c r="AL94" s="325"/>
      <c r="AM94" s="325"/>
      <c r="AN94" s="325"/>
      <c r="AO94" s="325"/>
      <c r="AP94" s="136"/>
      <c r="AQ94" s="136"/>
      <c r="AR94" s="136" t="str">
        <f t="shared" si="22"/>
        <v/>
      </c>
      <c r="AS94" s="136" t="str">
        <f t="shared" si="22"/>
        <v/>
      </c>
      <c r="AT94" s="5" t="str">
        <f t="shared" si="23"/>
        <v/>
      </c>
      <c r="AV94" s="27" t="str">
        <f t="shared" si="29"/>
        <v/>
      </c>
      <c r="AW94" s="27"/>
      <c r="AY94" s="122" t="str">
        <f t="shared" si="24"/>
        <v/>
      </c>
    </row>
    <row r="95" spans="2:51" ht="12.75">
      <c r="B95" s="20" t="str">
        <f t="shared" si="26"/>
        <v/>
      </c>
      <c r="C95" s="5"/>
      <c r="D95" s="5"/>
      <c r="E95" s="5"/>
      <c r="G95" s="5" t="str">
        <f>SUBSTITUTE(SUBSTITUTE(SUBSTITUTE(SUBSTITUTE(SUBSTITUTE(SUBSTITUTE(SUBSTITUTE(SUBSTITUTE(SUBSTITUTE(C95," ",""),".",""),"#","No"),"%",""),"(",""),"*",""),"-",""),"/",""),")","")</f>
        <v/>
      </c>
      <c r="H95" s="117" t="str">
        <f t="shared" si="28"/>
        <v/>
      </c>
      <c r="I95" s="5" t="str">
        <f>IF(E95=0,"",+E95)</f>
        <v/>
      </c>
      <c r="J95" s="5" t="str">
        <f>IF(C95=0,"",(IF(ISERROR(VLOOKUP(G95,$D$120:$D$127,1,FALSE)),""," NOT")&amp;" NULL"))</f>
        <v/>
      </c>
      <c r="K95" s="5"/>
      <c r="L95" s="5"/>
      <c r="M95" s="75"/>
      <c r="N95" s="77"/>
      <c r="O95" s="26"/>
      <c r="P95" s="26"/>
      <c r="Q95" s="118" t="str">
        <f>IF(M95=0,"",ROW())</f>
        <v/>
      </c>
      <c r="R95" s="153"/>
      <c r="S95" s="138" t="str">
        <f t="shared" si="25"/>
        <v/>
      </c>
      <c r="T95" s="148"/>
      <c r="U95" s="146"/>
      <c r="V95" s="146"/>
      <c r="W95" s="139"/>
      <c r="X95" s="139"/>
      <c r="Y95" s="148"/>
      <c r="Z95" s="138" t="str">
        <f t="shared" si="21"/>
        <v/>
      </c>
      <c r="AA95" s="138" t="str">
        <f t="shared" si="27"/>
        <v/>
      </c>
      <c r="AB95" s="239"/>
      <c r="AC95" s="325"/>
      <c r="AD95" s="325"/>
      <c r="AE95" s="325"/>
      <c r="AF95" s="325"/>
      <c r="AG95" s="325"/>
      <c r="AH95" s="325"/>
      <c r="AI95" s="325"/>
      <c r="AJ95" s="325"/>
      <c r="AK95" s="325"/>
      <c r="AL95" s="325"/>
      <c r="AM95" s="325"/>
      <c r="AN95" s="325"/>
      <c r="AO95" s="325"/>
      <c r="AP95" s="136"/>
      <c r="AQ95" s="136"/>
      <c r="AR95" s="136" t="str">
        <f t="shared" si="22"/>
        <v/>
      </c>
      <c r="AS95" s="136" t="str">
        <f t="shared" si="22"/>
        <v/>
      </c>
      <c r="AT95" s="5" t="str">
        <f t="shared" si="23"/>
        <v/>
      </c>
      <c r="AV95" s="27" t="str">
        <f t="shared" si="29"/>
        <v/>
      </c>
      <c r="AW95" s="27"/>
      <c r="AY95" s="122" t="str">
        <f t="shared" si="24"/>
        <v/>
      </c>
    </row>
    <row r="96" spans="2:51" ht="12.75">
      <c r="B96" s="20" t="str">
        <f t="shared" si="26"/>
        <v/>
      </c>
      <c r="C96" s="5"/>
      <c r="D96" s="5"/>
      <c r="E96" s="5"/>
      <c r="G96" s="5" t="str">
        <f>SUBSTITUTE(SUBSTITUTE(SUBSTITUTE(SUBSTITUTE(SUBSTITUTE(SUBSTITUTE(SUBSTITUTE(SUBSTITUTE(SUBSTITUTE(C96," ",""),".",""),"#","No"),"%",""),"(",""),"*",""),"-",""),"/",""),")","")</f>
        <v/>
      </c>
      <c r="H96" s="117" t="str">
        <f t="shared" si="28"/>
        <v/>
      </c>
      <c r="I96" s="5" t="str">
        <f>IF(E96=0,"",+E96)</f>
        <v/>
      </c>
      <c r="J96" s="5" t="str">
        <f>IF(C96=0,"",(IF(ISERROR(VLOOKUP(G96,$D$120:$D$127,1,FALSE)),""," NOT")&amp;" NULL"))</f>
        <v/>
      </c>
      <c r="K96" s="5"/>
      <c r="L96" s="5"/>
      <c r="M96" s="75"/>
      <c r="N96" s="77"/>
      <c r="O96" s="26"/>
      <c r="P96" s="26"/>
      <c r="Q96" s="118" t="str">
        <f>IF(M96=0,"",ROW())</f>
        <v/>
      </c>
      <c r="R96" s="153"/>
      <c r="S96" s="138" t="str">
        <f t="shared" si="25"/>
        <v/>
      </c>
      <c r="T96" s="148"/>
      <c r="U96" s="146"/>
      <c r="V96" s="146"/>
      <c r="W96" s="139"/>
      <c r="X96" s="139"/>
      <c r="Y96" s="148"/>
      <c r="Z96" s="138" t="str">
        <f t="shared" si="21"/>
        <v/>
      </c>
      <c r="AA96" s="138" t="str">
        <f t="shared" si="27"/>
        <v/>
      </c>
      <c r="AB96" s="239"/>
      <c r="AC96" s="325"/>
      <c r="AD96" s="325"/>
      <c r="AE96" s="325"/>
      <c r="AF96" s="325"/>
      <c r="AG96" s="325"/>
      <c r="AH96" s="325"/>
      <c r="AI96" s="325"/>
      <c r="AJ96" s="325"/>
      <c r="AK96" s="325"/>
      <c r="AL96" s="325"/>
      <c r="AM96" s="325"/>
      <c r="AN96" s="325"/>
      <c r="AO96" s="325"/>
      <c r="AP96" s="136"/>
      <c r="AQ96" s="136"/>
      <c r="AR96" s="136" t="str">
        <f t="shared" si="22"/>
        <v/>
      </c>
      <c r="AS96" s="136" t="str">
        <f t="shared" si="22"/>
        <v/>
      </c>
      <c r="AT96" s="5" t="str">
        <f t="shared" si="23"/>
        <v/>
      </c>
      <c r="AV96" s="27" t="str">
        <f>IF(G96="","",+"          ["&amp;TRIM(G96)&amp;"] ["&amp;TRIM(I96)&amp;"]"&amp;IF(H96="","","("&amp;H96&amp;")")&amp;" "&amp;TRIM(J96)&amp;IF(G108="","",","))</f>
        <v/>
      </c>
      <c r="AW96" s="27"/>
      <c r="AY96" s="122" t="str">
        <f t="shared" si="24"/>
        <v/>
      </c>
    </row>
    <row r="97" spans="2:51" ht="12.75">
      <c r="B97" s="20" t="str">
        <f t="shared" si="26"/>
        <v/>
      </c>
      <c r="C97" s="5"/>
      <c r="D97" s="5"/>
      <c r="E97" s="5"/>
      <c r="G97" s="5" t="str">
        <f t="shared" ref="G97:G115" si="30">SUBSTITUTE(SUBSTITUTE(SUBSTITUTE(SUBSTITUTE(SUBSTITUTE(SUBSTITUTE(SUBSTITUTE(SUBSTITUTE(SUBSTITUTE(C97," ",""),".",""),"#","No"),"%",""),"(",""),"*",""),"-",""),"/",""),")","")</f>
        <v/>
      </c>
      <c r="H97" s="117" t="str">
        <f t="shared" si="28"/>
        <v/>
      </c>
      <c r="I97" s="5" t="str">
        <f t="shared" ref="I97:I115" si="31">IF(E97=0,"",+E97)</f>
        <v/>
      </c>
      <c r="J97" s="5" t="str">
        <f t="shared" ref="J97:J115" si="32">IF(C97=0,"",(IF(ISERROR(VLOOKUP(G97,$D$120:$D$127,1,FALSE)),""," NOT")&amp;" NULL"))</f>
        <v/>
      </c>
      <c r="K97" s="5"/>
      <c r="L97" s="5"/>
      <c r="M97" s="75"/>
      <c r="N97" s="77"/>
      <c r="O97" s="26"/>
      <c r="P97" s="26"/>
      <c r="Q97" s="118" t="str">
        <f t="shared" ref="Q97:Q115" si="33">IF(M97=0,"",ROW())</f>
        <v/>
      </c>
      <c r="R97" s="153"/>
      <c r="S97" s="138" t="str">
        <f t="shared" si="25"/>
        <v/>
      </c>
      <c r="T97" s="148"/>
      <c r="U97" s="146"/>
      <c r="V97" s="146"/>
      <c r="W97" s="139"/>
      <c r="X97" s="139"/>
      <c r="Y97" s="148"/>
      <c r="Z97" s="138" t="str">
        <f t="shared" si="21"/>
        <v/>
      </c>
      <c r="AA97" s="138" t="str">
        <f t="shared" si="27"/>
        <v/>
      </c>
      <c r="AB97" s="239"/>
      <c r="AC97" s="325"/>
      <c r="AD97" s="325"/>
      <c r="AE97" s="325"/>
      <c r="AF97" s="325"/>
      <c r="AG97" s="325"/>
      <c r="AH97" s="325"/>
      <c r="AI97" s="325"/>
      <c r="AJ97" s="325"/>
      <c r="AK97" s="325"/>
      <c r="AL97" s="325"/>
      <c r="AM97" s="325"/>
      <c r="AN97" s="325"/>
      <c r="AO97" s="325"/>
      <c r="AP97" s="136"/>
      <c r="AQ97" s="136"/>
      <c r="AR97" s="136" t="str">
        <f t="shared" si="22"/>
        <v/>
      </c>
      <c r="AS97" s="136" t="str">
        <f t="shared" si="22"/>
        <v/>
      </c>
      <c r="AT97" s="5" t="str">
        <f t="shared" si="23"/>
        <v/>
      </c>
      <c r="AV97" s="27" t="str">
        <f>IF(G97="","",+"          ["&amp;TRIM(G97)&amp;"] ["&amp;TRIM(I97)&amp;"]"&amp;IF(H97="","","("&amp;H97&amp;")")&amp;" "&amp;TRIM(J97)&amp;IF(G98="","",","))</f>
        <v/>
      </c>
      <c r="AW97" s="27"/>
      <c r="AY97" s="122" t="str">
        <f t="shared" si="24"/>
        <v/>
      </c>
    </row>
    <row r="98" spans="2:51" ht="12.75">
      <c r="B98" s="20" t="str">
        <f t="shared" si="26"/>
        <v/>
      </c>
      <c r="C98" s="5"/>
      <c r="D98" s="5"/>
      <c r="E98" s="5"/>
      <c r="G98" s="5" t="str">
        <f t="shared" si="30"/>
        <v/>
      </c>
      <c r="H98" s="117" t="str">
        <f t="shared" si="28"/>
        <v/>
      </c>
      <c r="I98" s="5" t="str">
        <f t="shared" si="31"/>
        <v/>
      </c>
      <c r="J98" s="5" t="str">
        <f t="shared" si="32"/>
        <v/>
      </c>
      <c r="K98" s="5"/>
      <c r="L98" s="5"/>
      <c r="M98" s="75"/>
      <c r="N98" s="77"/>
      <c r="O98" s="26"/>
      <c r="P98" s="26"/>
      <c r="Q98" s="118" t="str">
        <f t="shared" si="33"/>
        <v/>
      </c>
      <c r="R98" s="153"/>
      <c r="S98" s="138" t="str">
        <f t="shared" si="25"/>
        <v/>
      </c>
      <c r="T98" s="148"/>
      <c r="U98" s="146"/>
      <c r="V98" s="146"/>
      <c r="W98" s="139"/>
      <c r="X98" s="139"/>
      <c r="Y98" s="148"/>
      <c r="Z98" s="138" t="str">
        <f t="shared" si="21"/>
        <v/>
      </c>
      <c r="AA98" s="138" t="str">
        <f t="shared" si="27"/>
        <v/>
      </c>
      <c r="AB98" s="239"/>
      <c r="AC98" s="325"/>
      <c r="AD98" s="325"/>
      <c r="AE98" s="325"/>
      <c r="AF98" s="325"/>
      <c r="AG98" s="325"/>
      <c r="AH98" s="325"/>
      <c r="AI98" s="325"/>
      <c r="AJ98" s="325"/>
      <c r="AK98" s="325"/>
      <c r="AL98" s="325"/>
      <c r="AM98" s="325"/>
      <c r="AN98" s="325"/>
      <c r="AO98" s="325"/>
      <c r="AP98" s="136"/>
      <c r="AQ98" s="136"/>
      <c r="AR98" s="136" t="str">
        <f t="shared" si="22"/>
        <v/>
      </c>
      <c r="AS98" s="136" t="str">
        <f t="shared" si="22"/>
        <v/>
      </c>
      <c r="AT98" s="5" t="str">
        <f t="shared" si="23"/>
        <v/>
      </c>
      <c r="AV98" s="27" t="str">
        <f>IF(G98="","",+"          ["&amp;TRIM(G98)&amp;"] ["&amp;TRIM(I98)&amp;"]"&amp;IF(H98="","","("&amp;H98&amp;")")&amp;" "&amp;TRIM(J98)&amp;IF(G107="","",","))</f>
        <v/>
      </c>
      <c r="AW98" s="27"/>
      <c r="AY98" s="122" t="str">
        <f t="shared" si="24"/>
        <v/>
      </c>
    </row>
    <row r="99" spans="2:51" ht="12.75">
      <c r="B99" s="20" t="str">
        <f t="shared" si="26"/>
        <v/>
      </c>
      <c r="C99" s="5"/>
      <c r="D99" s="5"/>
      <c r="E99" s="5"/>
      <c r="G99" s="5" t="str">
        <f t="shared" si="30"/>
        <v/>
      </c>
      <c r="H99" s="117" t="str">
        <f t="shared" si="28"/>
        <v/>
      </c>
      <c r="I99" s="5" t="str">
        <f t="shared" si="31"/>
        <v/>
      </c>
      <c r="J99" s="5" t="str">
        <f t="shared" si="32"/>
        <v/>
      </c>
      <c r="K99" s="5"/>
      <c r="L99" s="5"/>
      <c r="M99" s="75"/>
      <c r="N99" s="77"/>
      <c r="O99" s="26"/>
      <c r="P99" s="26"/>
      <c r="Q99" s="118" t="str">
        <f t="shared" si="33"/>
        <v/>
      </c>
      <c r="R99" s="153"/>
      <c r="S99" s="138" t="str">
        <f t="shared" si="25"/>
        <v/>
      </c>
      <c r="T99" s="148"/>
      <c r="U99" s="146"/>
      <c r="V99" s="146"/>
      <c r="W99" s="139"/>
      <c r="X99" s="139"/>
      <c r="Y99" s="148"/>
      <c r="Z99" s="138" t="str">
        <f t="shared" si="21"/>
        <v/>
      </c>
      <c r="AA99" s="138" t="str">
        <f t="shared" si="27"/>
        <v/>
      </c>
      <c r="AB99" s="239"/>
      <c r="AC99" s="325"/>
      <c r="AD99" s="325"/>
      <c r="AE99" s="325"/>
      <c r="AF99" s="325"/>
      <c r="AG99" s="325"/>
      <c r="AH99" s="325"/>
      <c r="AI99" s="325"/>
      <c r="AJ99" s="325"/>
      <c r="AK99" s="325"/>
      <c r="AL99" s="325"/>
      <c r="AM99" s="325"/>
      <c r="AN99" s="325"/>
      <c r="AO99" s="325"/>
      <c r="AP99" s="136"/>
      <c r="AQ99" s="136"/>
      <c r="AR99" s="136" t="str">
        <f t="shared" si="22"/>
        <v/>
      </c>
      <c r="AS99" s="136" t="str">
        <f t="shared" si="22"/>
        <v/>
      </c>
      <c r="AT99" s="5" t="str">
        <f t="shared" si="23"/>
        <v/>
      </c>
      <c r="AV99" s="27" t="str">
        <f>IF(G99="","",+"          ["&amp;TRIM(G99)&amp;"] ["&amp;TRIM(I99)&amp;"]"&amp;IF(H99="","","("&amp;H99&amp;")")&amp;" "&amp;TRIM(J99)&amp;IF(G106="","",","))</f>
        <v/>
      </c>
      <c r="AW99" s="27"/>
      <c r="AY99" s="122" t="str">
        <f t="shared" si="24"/>
        <v/>
      </c>
    </row>
    <row r="100" spans="2:51" ht="12.75">
      <c r="B100" s="20" t="str">
        <f t="shared" si="26"/>
        <v/>
      </c>
      <c r="C100" s="5"/>
      <c r="D100" s="5"/>
      <c r="E100" s="5"/>
      <c r="G100" s="5" t="str">
        <f t="shared" si="30"/>
        <v/>
      </c>
      <c r="H100" s="117" t="str">
        <f t="shared" si="28"/>
        <v/>
      </c>
      <c r="I100" s="5" t="str">
        <f t="shared" si="31"/>
        <v/>
      </c>
      <c r="J100" s="5" t="str">
        <f t="shared" si="32"/>
        <v/>
      </c>
      <c r="K100" s="5"/>
      <c r="L100" s="5"/>
      <c r="M100" s="75"/>
      <c r="N100" s="77"/>
      <c r="O100" s="26"/>
      <c r="P100" s="26"/>
      <c r="Q100" s="118" t="str">
        <f t="shared" si="33"/>
        <v/>
      </c>
      <c r="R100" s="153"/>
      <c r="S100" s="138" t="str">
        <f t="shared" si="25"/>
        <v/>
      </c>
      <c r="T100" s="148"/>
      <c r="U100" s="146"/>
      <c r="V100" s="146"/>
      <c r="W100" s="139"/>
      <c r="X100" s="139"/>
      <c r="Y100" s="148"/>
      <c r="Z100" s="138" t="str">
        <f t="shared" si="21"/>
        <v/>
      </c>
      <c r="AA100" s="138" t="str">
        <f t="shared" si="27"/>
        <v/>
      </c>
      <c r="AB100" s="239"/>
      <c r="AC100" s="325"/>
      <c r="AD100" s="325"/>
      <c r="AE100" s="325"/>
      <c r="AF100" s="325"/>
      <c r="AG100" s="325"/>
      <c r="AH100" s="325"/>
      <c r="AI100" s="325"/>
      <c r="AJ100" s="325"/>
      <c r="AK100" s="325"/>
      <c r="AL100" s="325"/>
      <c r="AM100" s="325"/>
      <c r="AN100" s="325"/>
      <c r="AO100" s="325"/>
      <c r="AP100" s="136"/>
      <c r="AQ100" s="136"/>
      <c r="AR100" s="136" t="str">
        <f t="shared" si="22"/>
        <v/>
      </c>
      <c r="AS100" s="136" t="str">
        <f t="shared" si="22"/>
        <v/>
      </c>
      <c r="AT100" s="5" t="str">
        <f t="shared" si="23"/>
        <v/>
      </c>
      <c r="AV100" s="27" t="str">
        <f>IF(G100="","",+"          ["&amp;TRIM(G100)&amp;"] ["&amp;TRIM(I100)&amp;"]"&amp;IF(H100="","","("&amp;H100&amp;")")&amp;" "&amp;TRIM(J100)&amp;IF(G101="","",","))</f>
        <v/>
      </c>
      <c r="AW100" s="27"/>
      <c r="AY100" s="122" t="str">
        <f t="shared" si="24"/>
        <v/>
      </c>
    </row>
    <row r="101" spans="2:51" ht="12.75">
      <c r="B101" s="20" t="str">
        <f t="shared" si="26"/>
        <v/>
      </c>
      <c r="C101" s="5"/>
      <c r="D101" s="5"/>
      <c r="E101" s="5"/>
      <c r="G101" s="5" t="str">
        <f t="shared" si="30"/>
        <v/>
      </c>
      <c r="H101" s="117" t="str">
        <f t="shared" si="28"/>
        <v/>
      </c>
      <c r="I101" s="5" t="str">
        <f t="shared" si="31"/>
        <v/>
      </c>
      <c r="J101" s="5" t="str">
        <f t="shared" si="32"/>
        <v/>
      </c>
      <c r="K101" s="5"/>
      <c r="L101" s="5"/>
      <c r="M101" s="75"/>
      <c r="N101" s="77"/>
      <c r="O101" s="26"/>
      <c r="P101" s="26"/>
      <c r="Q101" s="118" t="str">
        <f t="shared" si="33"/>
        <v/>
      </c>
      <c r="R101" s="153"/>
      <c r="S101" s="138" t="str">
        <f t="shared" si="25"/>
        <v/>
      </c>
      <c r="T101" s="148"/>
      <c r="U101" s="146"/>
      <c r="V101" s="146"/>
      <c r="W101" s="139"/>
      <c r="X101" s="139"/>
      <c r="Y101" s="148"/>
      <c r="Z101" s="138" t="str">
        <f t="shared" si="21"/>
        <v/>
      </c>
      <c r="AA101" s="138" t="str">
        <f t="shared" si="27"/>
        <v/>
      </c>
      <c r="AB101" s="239"/>
      <c r="AC101" s="325"/>
      <c r="AD101" s="325"/>
      <c r="AE101" s="325"/>
      <c r="AF101" s="325"/>
      <c r="AG101" s="325"/>
      <c r="AH101" s="325"/>
      <c r="AI101" s="325"/>
      <c r="AJ101" s="325"/>
      <c r="AK101" s="325"/>
      <c r="AL101" s="325"/>
      <c r="AM101" s="325"/>
      <c r="AN101" s="325"/>
      <c r="AO101" s="325"/>
      <c r="AP101" s="136"/>
      <c r="AQ101" s="136"/>
      <c r="AR101" s="136" t="str">
        <f t="shared" si="22"/>
        <v/>
      </c>
      <c r="AS101" s="136" t="str">
        <f t="shared" si="22"/>
        <v/>
      </c>
      <c r="AT101" s="5" t="str">
        <f t="shared" si="23"/>
        <v/>
      </c>
      <c r="AV101" s="27" t="str">
        <f>IF(G101="","",+"          ["&amp;TRIM(G101)&amp;"] ["&amp;TRIM(I101)&amp;"]"&amp;IF(H101="","","("&amp;H101&amp;")")&amp;" "&amp;TRIM(J101)&amp;IF(G102="","",","))</f>
        <v/>
      </c>
      <c r="AW101" s="27"/>
      <c r="AY101" s="122" t="str">
        <f t="shared" si="24"/>
        <v/>
      </c>
    </row>
    <row r="102" spans="2:51" ht="12.75">
      <c r="B102" s="20" t="str">
        <f t="shared" si="26"/>
        <v/>
      </c>
      <c r="C102" s="5"/>
      <c r="D102" s="5"/>
      <c r="E102" s="5"/>
      <c r="G102" s="5" t="str">
        <f t="shared" si="30"/>
        <v/>
      </c>
      <c r="H102" s="117" t="str">
        <f t="shared" si="28"/>
        <v/>
      </c>
      <c r="I102" s="5" t="str">
        <f t="shared" si="31"/>
        <v/>
      </c>
      <c r="J102" s="5" t="str">
        <f t="shared" si="32"/>
        <v/>
      </c>
      <c r="K102" s="5"/>
      <c r="L102" s="5"/>
      <c r="M102" s="75"/>
      <c r="N102" s="77"/>
      <c r="O102" s="26"/>
      <c r="P102" s="26"/>
      <c r="Q102" s="118" t="str">
        <f t="shared" si="33"/>
        <v/>
      </c>
      <c r="R102" s="153"/>
      <c r="S102" s="138" t="str">
        <f t="shared" si="25"/>
        <v/>
      </c>
      <c r="T102" s="148"/>
      <c r="U102" s="146"/>
      <c r="V102" s="146"/>
      <c r="W102" s="139"/>
      <c r="X102" s="139"/>
      <c r="Y102" s="148"/>
      <c r="Z102" s="138" t="str">
        <f t="shared" si="21"/>
        <v/>
      </c>
      <c r="AA102" s="138" t="str">
        <f t="shared" si="27"/>
        <v/>
      </c>
      <c r="AB102" s="239"/>
      <c r="AC102" s="325"/>
      <c r="AD102" s="325"/>
      <c r="AE102" s="325"/>
      <c r="AF102" s="325"/>
      <c r="AG102" s="325"/>
      <c r="AH102" s="325"/>
      <c r="AI102" s="325"/>
      <c r="AJ102" s="325"/>
      <c r="AK102" s="325"/>
      <c r="AL102" s="325"/>
      <c r="AM102" s="325"/>
      <c r="AN102" s="325"/>
      <c r="AO102" s="325"/>
      <c r="AP102" s="136"/>
      <c r="AQ102" s="136"/>
      <c r="AR102" s="136" t="str">
        <f t="shared" si="22"/>
        <v/>
      </c>
      <c r="AS102" s="136" t="str">
        <f t="shared" si="22"/>
        <v/>
      </c>
      <c r="AT102" s="5" t="str">
        <f t="shared" si="23"/>
        <v/>
      </c>
      <c r="AV102" s="27" t="str">
        <f>IF(G102="","",+"          ["&amp;TRIM(G102)&amp;"] ["&amp;TRIM(I102)&amp;"]"&amp;IF(H102="","","("&amp;H102&amp;")")&amp;" "&amp;TRIM(J102)&amp;IF(G103="","",","))</f>
        <v/>
      </c>
      <c r="AW102" s="27"/>
      <c r="AY102" s="122" t="str">
        <f t="shared" si="24"/>
        <v/>
      </c>
    </row>
    <row r="103" spans="2:51" ht="12.75">
      <c r="B103" s="20" t="str">
        <f t="shared" si="26"/>
        <v/>
      </c>
      <c r="C103" s="5"/>
      <c r="D103" s="5"/>
      <c r="E103" s="5"/>
      <c r="G103" s="5" t="str">
        <f t="shared" si="30"/>
        <v/>
      </c>
      <c r="H103" s="117" t="str">
        <f t="shared" si="28"/>
        <v/>
      </c>
      <c r="I103" s="5" t="str">
        <f t="shared" si="31"/>
        <v/>
      </c>
      <c r="J103" s="5" t="str">
        <f t="shared" si="32"/>
        <v/>
      </c>
      <c r="K103" s="5"/>
      <c r="L103" s="5"/>
      <c r="M103" s="75"/>
      <c r="N103" s="77"/>
      <c r="O103" s="26"/>
      <c r="P103" s="26"/>
      <c r="Q103" s="118" t="str">
        <f t="shared" si="33"/>
        <v/>
      </c>
      <c r="R103" s="153"/>
      <c r="S103" s="138" t="str">
        <f t="shared" si="25"/>
        <v/>
      </c>
      <c r="T103" s="148"/>
      <c r="U103" s="146"/>
      <c r="V103" s="146"/>
      <c r="W103" s="139"/>
      <c r="X103" s="139"/>
      <c r="Y103" s="148"/>
      <c r="Z103" s="138" t="str">
        <f t="shared" si="21"/>
        <v/>
      </c>
      <c r="AA103" s="138" t="str">
        <f t="shared" si="27"/>
        <v/>
      </c>
      <c r="AB103" s="239"/>
      <c r="AC103" s="325"/>
      <c r="AD103" s="325"/>
      <c r="AE103" s="325"/>
      <c r="AF103" s="325"/>
      <c r="AG103" s="325"/>
      <c r="AH103" s="325"/>
      <c r="AI103" s="325"/>
      <c r="AJ103" s="325"/>
      <c r="AK103" s="325"/>
      <c r="AL103" s="325"/>
      <c r="AM103" s="325"/>
      <c r="AN103" s="325"/>
      <c r="AO103" s="325"/>
      <c r="AP103" s="136"/>
      <c r="AQ103" s="136"/>
      <c r="AR103" s="136" t="str">
        <f t="shared" si="22"/>
        <v/>
      </c>
      <c r="AS103" s="136" t="str">
        <f t="shared" si="22"/>
        <v/>
      </c>
      <c r="AT103" s="5" t="str">
        <f t="shared" si="23"/>
        <v/>
      </c>
      <c r="AV103" s="27" t="str">
        <f>IF(G103="","",+"          ["&amp;TRIM(G103)&amp;"] ["&amp;TRIM(I103)&amp;"]"&amp;IF(H103="","","("&amp;H103&amp;")")&amp;" "&amp;TRIM(J103)&amp;IF(G106="","",","))</f>
        <v/>
      </c>
      <c r="AW103" s="27"/>
      <c r="AY103" s="122" t="str">
        <f t="shared" si="24"/>
        <v/>
      </c>
    </row>
    <row r="104" spans="2:51" ht="12.75">
      <c r="B104" s="20" t="str">
        <f t="shared" si="26"/>
        <v/>
      </c>
      <c r="C104" s="5"/>
      <c r="D104" s="5"/>
      <c r="E104" s="5"/>
      <c r="G104" s="5" t="str">
        <f t="shared" si="30"/>
        <v/>
      </c>
      <c r="H104" s="117" t="str">
        <f t="shared" si="28"/>
        <v/>
      </c>
      <c r="I104" s="5" t="str">
        <f t="shared" si="31"/>
        <v/>
      </c>
      <c r="J104" s="5" t="str">
        <f t="shared" si="32"/>
        <v/>
      </c>
      <c r="K104" s="5"/>
      <c r="L104" s="5"/>
      <c r="M104" s="75"/>
      <c r="N104" s="77"/>
      <c r="O104" s="26"/>
      <c r="P104" s="26"/>
      <c r="Q104" s="118" t="str">
        <f t="shared" si="33"/>
        <v/>
      </c>
      <c r="R104" s="153"/>
      <c r="S104" s="138" t="str">
        <f t="shared" si="25"/>
        <v/>
      </c>
      <c r="T104" s="148"/>
      <c r="U104" s="146"/>
      <c r="V104" s="146"/>
      <c r="W104" s="139"/>
      <c r="X104" s="139"/>
      <c r="Y104" s="148"/>
      <c r="Z104" s="138" t="str">
        <f t="shared" si="21"/>
        <v/>
      </c>
      <c r="AA104" s="138" t="str">
        <f t="shared" si="27"/>
        <v/>
      </c>
      <c r="AB104" s="239"/>
      <c r="AC104" s="325"/>
      <c r="AD104" s="325"/>
      <c r="AE104" s="325"/>
      <c r="AF104" s="325"/>
      <c r="AG104" s="325"/>
      <c r="AH104" s="325"/>
      <c r="AI104" s="325"/>
      <c r="AJ104" s="325"/>
      <c r="AK104" s="325"/>
      <c r="AL104" s="325"/>
      <c r="AM104" s="325"/>
      <c r="AN104" s="325"/>
      <c r="AO104" s="325"/>
      <c r="AP104" s="136"/>
      <c r="AQ104" s="136"/>
      <c r="AR104" s="136" t="str">
        <f t="shared" si="22"/>
        <v/>
      </c>
      <c r="AS104" s="136" t="str">
        <f t="shared" si="22"/>
        <v/>
      </c>
      <c r="AT104" s="5" t="str">
        <f t="shared" si="23"/>
        <v/>
      </c>
      <c r="AV104" s="27" t="str">
        <f t="shared" ref="AV104:AV115" si="34">IF(G104="","",+"          ["&amp;TRIM(G104)&amp;"] ["&amp;TRIM(I104)&amp;"]"&amp;IF(H104="","","("&amp;H104&amp;")")&amp;" "&amp;TRIM(J104)&amp;IF(G105="","",","))</f>
        <v/>
      </c>
      <c r="AW104" s="27"/>
      <c r="AY104" s="122" t="str">
        <f t="shared" si="24"/>
        <v/>
      </c>
    </row>
    <row r="105" spans="2:51" ht="12.75">
      <c r="B105" s="20" t="str">
        <f t="shared" si="26"/>
        <v/>
      </c>
      <c r="C105" s="5"/>
      <c r="D105" s="5"/>
      <c r="E105" s="5"/>
      <c r="G105" s="5" t="str">
        <f t="shared" si="30"/>
        <v/>
      </c>
      <c r="H105" s="117" t="str">
        <f t="shared" si="28"/>
        <v/>
      </c>
      <c r="I105" s="5" t="str">
        <f t="shared" si="31"/>
        <v/>
      </c>
      <c r="J105" s="5" t="str">
        <f t="shared" si="32"/>
        <v/>
      </c>
      <c r="K105" s="5"/>
      <c r="L105" s="5"/>
      <c r="M105" s="75"/>
      <c r="N105" s="77"/>
      <c r="O105" s="26"/>
      <c r="P105" s="26"/>
      <c r="Q105" s="118" t="str">
        <f t="shared" si="33"/>
        <v/>
      </c>
      <c r="R105" s="153"/>
      <c r="S105" s="138" t="str">
        <f t="shared" si="25"/>
        <v/>
      </c>
      <c r="T105" s="148"/>
      <c r="U105" s="146"/>
      <c r="V105" s="146"/>
      <c r="W105" s="139"/>
      <c r="X105" s="139"/>
      <c r="Y105" s="148"/>
      <c r="Z105" s="138" t="str">
        <f t="shared" si="21"/>
        <v/>
      </c>
      <c r="AA105" s="138" t="str">
        <f t="shared" si="27"/>
        <v/>
      </c>
      <c r="AB105" s="239"/>
      <c r="AC105" s="325"/>
      <c r="AD105" s="325"/>
      <c r="AE105" s="325"/>
      <c r="AF105" s="325"/>
      <c r="AG105" s="325"/>
      <c r="AH105" s="325"/>
      <c r="AI105" s="325"/>
      <c r="AJ105" s="325"/>
      <c r="AK105" s="325"/>
      <c r="AL105" s="325"/>
      <c r="AM105" s="325"/>
      <c r="AN105" s="325"/>
      <c r="AO105" s="325"/>
      <c r="AP105" s="136"/>
      <c r="AQ105" s="136"/>
      <c r="AR105" s="136" t="str">
        <f t="shared" si="22"/>
        <v/>
      </c>
      <c r="AS105" s="136" t="str">
        <f t="shared" si="22"/>
        <v/>
      </c>
      <c r="AT105" s="5" t="str">
        <f t="shared" si="23"/>
        <v/>
      </c>
      <c r="AV105" s="27" t="str">
        <f t="shared" si="34"/>
        <v/>
      </c>
      <c r="AW105" s="27"/>
      <c r="AY105" s="122" t="str">
        <f t="shared" si="24"/>
        <v/>
      </c>
    </row>
    <row r="106" spans="2:51" ht="12.75">
      <c r="B106" s="20" t="str">
        <f t="shared" si="26"/>
        <v/>
      </c>
      <c r="C106" s="5"/>
      <c r="D106" s="5"/>
      <c r="E106" s="5"/>
      <c r="G106" s="5" t="str">
        <f t="shared" si="30"/>
        <v/>
      </c>
      <c r="H106" s="117" t="str">
        <f t="shared" si="28"/>
        <v/>
      </c>
      <c r="I106" s="5" t="str">
        <f t="shared" si="31"/>
        <v/>
      </c>
      <c r="J106" s="5" t="str">
        <f t="shared" si="32"/>
        <v/>
      </c>
      <c r="K106" s="5"/>
      <c r="L106" s="5"/>
      <c r="M106" s="75"/>
      <c r="N106" s="77"/>
      <c r="O106" s="26"/>
      <c r="P106" s="26"/>
      <c r="Q106" s="118" t="str">
        <f t="shared" si="33"/>
        <v/>
      </c>
      <c r="R106" s="153"/>
      <c r="S106" s="138" t="str">
        <f t="shared" si="25"/>
        <v/>
      </c>
      <c r="T106" s="148"/>
      <c r="U106" s="146"/>
      <c r="V106" s="146"/>
      <c r="W106" s="139"/>
      <c r="X106" s="139"/>
      <c r="Y106" s="148"/>
      <c r="Z106" s="138" t="str">
        <f t="shared" si="21"/>
        <v/>
      </c>
      <c r="AA106" s="138" t="str">
        <f t="shared" si="27"/>
        <v/>
      </c>
      <c r="AB106" s="239"/>
      <c r="AC106" s="325"/>
      <c r="AD106" s="325"/>
      <c r="AE106" s="325"/>
      <c r="AF106" s="325"/>
      <c r="AG106" s="325"/>
      <c r="AH106" s="325"/>
      <c r="AI106" s="325"/>
      <c r="AJ106" s="325"/>
      <c r="AK106" s="325"/>
      <c r="AL106" s="325"/>
      <c r="AM106" s="325"/>
      <c r="AN106" s="325"/>
      <c r="AO106" s="325"/>
      <c r="AP106" s="136"/>
      <c r="AQ106" s="136"/>
      <c r="AR106" s="136" t="str">
        <f t="shared" si="22"/>
        <v/>
      </c>
      <c r="AS106" s="136" t="str">
        <f t="shared" si="22"/>
        <v/>
      </c>
      <c r="AT106" s="5" t="str">
        <f t="shared" si="23"/>
        <v/>
      </c>
      <c r="AV106" s="27" t="str">
        <f t="shared" si="34"/>
        <v/>
      </c>
      <c r="AW106" s="27"/>
      <c r="AY106" s="122" t="str">
        <f t="shared" si="24"/>
        <v/>
      </c>
    </row>
    <row r="107" spans="2:51" ht="12.75">
      <c r="B107" s="20" t="str">
        <f t="shared" si="26"/>
        <v/>
      </c>
      <c r="C107" s="5"/>
      <c r="D107" s="5"/>
      <c r="E107" s="5"/>
      <c r="G107" s="5" t="str">
        <f t="shared" si="30"/>
        <v/>
      </c>
      <c r="H107" s="117" t="str">
        <f t="shared" si="28"/>
        <v/>
      </c>
      <c r="I107" s="5" t="str">
        <f t="shared" si="31"/>
        <v/>
      </c>
      <c r="J107" s="5" t="str">
        <f t="shared" si="32"/>
        <v/>
      </c>
      <c r="K107" s="5"/>
      <c r="L107" s="5"/>
      <c r="M107" s="75"/>
      <c r="N107" s="77"/>
      <c r="O107" s="26"/>
      <c r="P107" s="26"/>
      <c r="Q107" s="118" t="str">
        <f t="shared" si="33"/>
        <v/>
      </c>
      <c r="R107" s="153"/>
      <c r="S107" s="138" t="str">
        <f t="shared" si="25"/>
        <v/>
      </c>
      <c r="T107" s="148"/>
      <c r="U107" s="146"/>
      <c r="V107" s="146"/>
      <c r="W107" s="139"/>
      <c r="X107" s="139"/>
      <c r="Y107" s="148"/>
      <c r="Z107" s="138" t="str">
        <f t="shared" si="21"/>
        <v/>
      </c>
      <c r="AA107" s="138" t="str">
        <f t="shared" si="27"/>
        <v/>
      </c>
      <c r="AB107" s="239"/>
      <c r="AC107" s="325"/>
      <c r="AD107" s="325"/>
      <c r="AE107" s="325"/>
      <c r="AF107" s="325"/>
      <c r="AG107" s="325"/>
      <c r="AH107" s="325"/>
      <c r="AI107" s="325"/>
      <c r="AJ107" s="325"/>
      <c r="AK107" s="325"/>
      <c r="AL107" s="325"/>
      <c r="AM107" s="325"/>
      <c r="AN107" s="325"/>
      <c r="AO107" s="325"/>
      <c r="AP107" s="136"/>
      <c r="AQ107" s="136"/>
      <c r="AR107" s="136" t="str">
        <f t="shared" si="22"/>
        <v/>
      </c>
      <c r="AS107" s="136" t="str">
        <f t="shared" si="22"/>
        <v/>
      </c>
      <c r="AT107" s="5" t="str">
        <f t="shared" si="23"/>
        <v/>
      </c>
      <c r="AV107" s="27" t="str">
        <f t="shared" si="34"/>
        <v/>
      </c>
      <c r="AW107" s="27"/>
      <c r="AY107" s="122" t="str">
        <f t="shared" si="24"/>
        <v/>
      </c>
    </row>
    <row r="108" spans="2:51" ht="12.75">
      <c r="B108" s="20" t="str">
        <f t="shared" si="26"/>
        <v/>
      </c>
      <c r="C108" s="5"/>
      <c r="D108" s="5"/>
      <c r="E108" s="5"/>
      <c r="G108" s="5" t="str">
        <f t="shared" si="30"/>
        <v/>
      </c>
      <c r="H108" s="117" t="str">
        <f t="shared" si="28"/>
        <v/>
      </c>
      <c r="I108" s="5" t="str">
        <f t="shared" si="31"/>
        <v/>
      </c>
      <c r="J108" s="5" t="str">
        <f t="shared" si="32"/>
        <v/>
      </c>
      <c r="K108" s="5"/>
      <c r="L108" s="5"/>
      <c r="M108" s="75"/>
      <c r="N108" s="77"/>
      <c r="O108" s="26"/>
      <c r="P108" s="26"/>
      <c r="Q108" s="118" t="str">
        <f t="shared" si="33"/>
        <v/>
      </c>
      <c r="R108" s="153"/>
      <c r="S108" s="138" t="str">
        <f t="shared" si="25"/>
        <v/>
      </c>
      <c r="T108" s="148"/>
      <c r="U108" s="146"/>
      <c r="V108" s="146"/>
      <c r="W108" s="139"/>
      <c r="X108" s="139"/>
      <c r="Y108" s="148"/>
      <c r="Z108" s="138" t="str">
        <f t="shared" si="21"/>
        <v/>
      </c>
      <c r="AA108" s="138" t="str">
        <f t="shared" si="27"/>
        <v/>
      </c>
      <c r="AB108" s="239"/>
      <c r="AC108" s="325"/>
      <c r="AD108" s="325"/>
      <c r="AE108" s="325"/>
      <c r="AF108" s="325"/>
      <c r="AG108" s="325"/>
      <c r="AH108" s="325"/>
      <c r="AI108" s="325"/>
      <c r="AJ108" s="325"/>
      <c r="AK108" s="325"/>
      <c r="AL108" s="325"/>
      <c r="AM108" s="325"/>
      <c r="AN108" s="325"/>
      <c r="AO108" s="325"/>
      <c r="AP108" s="136"/>
      <c r="AQ108" s="136"/>
      <c r="AR108" s="136" t="str">
        <f t="shared" si="22"/>
        <v/>
      </c>
      <c r="AS108" s="136" t="str">
        <f t="shared" si="22"/>
        <v/>
      </c>
      <c r="AT108" s="5" t="str">
        <f t="shared" si="23"/>
        <v/>
      </c>
      <c r="AV108" s="27" t="str">
        <f t="shared" si="34"/>
        <v/>
      </c>
      <c r="AW108" s="27"/>
      <c r="AY108" s="122" t="str">
        <f t="shared" si="24"/>
        <v/>
      </c>
    </row>
    <row r="109" spans="2:51" ht="12.75">
      <c r="B109" s="20" t="str">
        <f t="shared" si="26"/>
        <v/>
      </c>
      <c r="C109" s="5"/>
      <c r="D109" s="5"/>
      <c r="E109" s="5"/>
      <c r="G109" s="5" t="str">
        <f t="shared" si="30"/>
        <v/>
      </c>
      <c r="H109" s="117" t="str">
        <f t="shared" si="28"/>
        <v/>
      </c>
      <c r="I109" s="5" t="str">
        <f t="shared" si="31"/>
        <v/>
      </c>
      <c r="J109" s="5" t="str">
        <f t="shared" si="32"/>
        <v/>
      </c>
      <c r="K109" s="5"/>
      <c r="L109" s="5"/>
      <c r="M109" s="75"/>
      <c r="N109" s="77"/>
      <c r="O109" s="26"/>
      <c r="P109" s="26"/>
      <c r="Q109" s="118" t="str">
        <f t="shared" si="33"/>
        <v/>
      </c>
      <c r="R109" s="153"/>
      <c r="S109" s="138" t="str">
        <f t="shared" si="25"/>
        <v/>
      </c>
      <c r="T109" s="148"/>
      <c r="U109" s="146"/>
      <c r="V109" s="146"/>
      <c r="W109" s="139"/>
      <c r="X109" s="139"/>
      <c r="Y109" s="148"/>
      <c r="Z109" s="138" t="str">
        <f t="shared" si="21"/>
        <v/>
      </c>
      <c r="AA109" s="138" t="str">
        <f t="shared" si="27"/>
        <v/>
      </c>
      <c r="AB109" s="239"/>
      <c r="AC109" s="325"/>
      <c r="AD109" s="325"/>
      <c r="AE109" s="325"/>
      <c r="AF109" s="325"/>
      <c r="AG109" s="325"/>
      <c r="AH109" s="325"/>
      <c r="AI109" s="325"/>
      <c r="AJ109" s="325"/>
      <c r="AK109" s="325"/>
      <c r="AL109" s="325"/>
      <c r="AM109" s="325"/>
      <c r="AN109" s="325"/>
      <c r="AO109" s="325"/>
      <c r="AP109" s="136"/>
      <c r="AQ109" s="136"/>
      <c r="AR109" s="136" t="str">
        <f t="shared" si="22"/>
        <v/>
      </c>
      <c r="AS109" s="136" t="str">
        <f t="shared" si="22"/>
        <v/>
      </c>
      <c r="AT109" s="5" t="str">
        <f t="shared" si="23"/>
        <v/>
      </c>
      <c r="AV109" s="27" t="str">
        <f t="shared" si="34"/>
        <v/>
      </c>
      <c r="AW109" s="27"/>
      <c r="AY109" s="122" t="str">
        <f t="shared" si="24"/>
        <v/>
      </c>
    </row>
    <row r="110" spans="2:51" ht="12.75">
      <c r="B110" s="20" t="str">
        <f t="shared" si="26"/>
        <v/>
      </c>
      <c r="C110" s="5"/>
      <c r="D110" s="5"/>
      <c r="E110" s="5"/>
      <c r="G110" s="5" t="str">
        <f t="shared" si="30"/>
        <v/>
      </c>
      <c r="H110" s="117" t="str">
        <f t="shared" si="28"/>
        <v/>
      </c>
      <c r="I110" s="5" t="str">
        <f t="shared" si="31"/>
        <v/>
      </c>
      <c r="J110" s="5" t="str">
        <f t="shared" si="32"/>
        <v/>
      </c>
      <c r="K110" s="5"/>
      <c r="L110" s="5"/>
      <c r="M110" s="75"/>
      <c r="N110" s="77"/>
      <c r="O110" s="26"/>
      <c r="P110" s="26"/>
      <c r="Q110" s="118" t="str">
        <f t="shared" si="33"/>
        <v/>
      </c>
      <c r="R110" s="153"/>
      <c r="S110" s="138" t="str">
        <f t="shared" si="25"/>
        <v/>
      </c>
      <c r="T110" s="148"/>
      <c r="U110" s="146"/>
      <c r="V110" s="146"/>
      <c r="W110" s="139"/>
      <c r="X110" s="139"/>
      <c r="Y110" s="148"/>
      <c r="Z110" s="138" t="str">
        <f t="shared" si="21"/>
        <v/>
      </c>
      <c r="AA110" s="138" t="str">
        <f t="shared" si="27"/>
        <v/>
      </c>
      <c r="AB110" s="239"/>
      <c r="AC110" s="325"/>
      <c r="AD110" s="325"/>
      <c r="AE110" s="325"/>
      <c r="AF110" s="325"/>
      <c r="AG110" s="325"/>
      <c r="AH110" s="325"/>
      <c r="AI110" s="325"/>
      <c r="AJ110" s="325"/>
      <c r="AK110" s="325"/>
      <c r="AL110" s="325"/>
      <c r="AM110" s="325"/>
      <c r="AN110" s="325"/>
      <c r="AO110" s="325"/>
      <c r="AP110" s="136"/>
      <c r="AQ110" s="136"/>
      <c r="AR110" s="136" t="str">
        <f t="shared" si="22"/>
        <v/>
      </c>
      <c r="AS110" s="136" t="str">
        <f t="shared" si="22"/>
        <v/>
      </c>
      <c r="AT110" s="5" t="str">
        <f t="shared" si="23"/>
        <v/>
      </c>
      <c r="AV110" s="27" t="str">
        <f t="shared" si="34"/>
        <v/>
      </c>
      <c r="AW110" s="27"/>
      <c r="AY110" s="122" t="str">
        <f t="shared" si="24"/>
        <v/>
      </c>
    </row>
    <row r="111" spans="2:51" ht="12.75">
      <c r="B111" s="20" t="str">
        <f t="shared" si="26"/>
        <v/>
      </c>
      <c r="C111" s="5"/>
      <c r="D111" s="5"/>
      <c r="E111" s="5"/>
      <c r="G111" s="5" t="str">
        <f t="shared" si="30"/>
        <v/>
      </c>
      <c r="H111" s="117" t="str">
        <f t="shared" si="28"/>
        <v/>
      </c>
      <c r="I111" s="5" t="str">
        <f t="shared" si="31"/>
        <v/>
      </c>
      <c r="J111" s="5" t="str">
        <f t="shared" si="32"/>
        <v/>
      </c>
      <c r="K111" s="5"/>
      <c r="L111" s="5"/>
      <c r="M111" s="75"/>
      <c r="N111" s="77"/>
      <c r="O111" s="26"/>
      <c r="P111" s="26"/>
      <c r="Q111" s="118" t="str">
        <f t="shared" si="33"/>
        <v/>
      </c>
      <c r="R111" s="153"/>
      <c r="S111" s="138" t="str">
        <f t="shared" si="25"/>
        <v/>
      </c>
      <c r="T111" s="148"/>
      <c r="U111" s="146"/>
      <c r="V111" s="146"/>
      <c r="W111" s="139"/>
      <c r="X111" s="139"/>
      <c r="Y111" s="148"/>
      <c r="Z111" s="138" t="str">
        <f t="shared" si="21"/>
        <v/>
      </c>
      <c r="AA111" s="138" t="str">
        <f t="shared" si="27"/>
        <v/>
      </c>
      <c r="AB111" s="239"/>
      <c r="AC111" s="325"/>
      <c r="AD111" s="325"/>
      <c r="AE111" s="325"/>
      <c r="AF111" s="325"/>
      <c r="AG111" s="325"/>
      <c r="AH111" s="325"/>
      <c r="AI111" s="325"/>
      <c r="AJ111" s="325"/>
      <c r="AK111" s="325"/>
      <c r="AL111" s="325"/>
      <c r="AM111" s="325"/>
      <c r="AN111" s="325"/>
      <c r="AO111" s="325"/>
      <c r="AP111" s="136"/>
      <c r="AQ111" s="136"/>
      <c r="AR111" s="136" t="str">
        <f t="shared" si="22"/>
        <v/>
      </c>
      <c r="AS111" s="136" t="str">
        <f t="shared" si="22"/>
        <v/>
      </c>
      <c r="AT111" s="5" t="str">
        <f t="shared" si="23"/>
        <v/>
      </c>
      <c r="AV111" s="27" t="str">
        <f t="shared" si="34"/>
        <v/>
      </c>
      <c r="AW111" s="27"/>
      <c r="AY111" s="122" t="str">
        <f t="shared" si="24"/>
        <v/>
      </c>
    </row>
    <row r="112" spans="2:51" ht="12.75">
      <c r="B112" s="20" t="str">
        <f t="shared" si="26"/>
        <v/>
      </c>
      <c r="C112" s="5"/>
      <c r="D112" s="5"/>
      <c r="E112" s="5"/>
      <c r="G112" s="5" t="str">
        <f t="shared" si="30"/>
        <v/>
      </c>
      <c r="H112" s="117" t="str">
        <f t="shared" si="28"/>
        <v/>
      </c>
      <c r="I112" s="5" t="str">
        <f t="shared" si="31"/>
        <v/>
      </c>
      <c r="J112" s="5" t="str">
        <f t="shared" si="32"/>
        <v/>
      </c>
      <c r="K112" s="5"/>
      <c r="L112" s="5"/>
      <c r="M112" s="75"/>
      <c r="N112" s="77"/>
      <c r="O112" s="26"/>
      <c r="P112" s="26"/>
      <c r="Q112" s="118" t="str">
        <f t="shared" si="33"/>
        <v/>
      </c>
      <c r="R112" s="153"/>
      <c r="S112" s="138" t="str">
        <f t="shared" si="25"/>
        <v/>
      </c>
      <c r="T112" s="148"/>
      <c r="U112" s="146"/>
      <c r="V112" s="146"/>
      <c r="W112" s="139"/>
      <c r="X112" s="139"/>
      <c r="Y112" s="148"/>
      <c r="Z112" s="138" t="str">
        <f t="shared" si="21"/>
        <v/>
      </c>
      <c r="AA112" s="138" t="str">
        <f t="shared" si="27"/>
        <v/>
      </c>
      <c r="AB112" s="239"/>
      <c r="AC112" s="325"/>
      <c r="AD112" s="325"/>
      <c r="AE112" s="325"/>
      <c r="AF112" s="325"/>
      <c r="AG112" s="325"/>
      <c r="AH112" s="325"/>
      <c r="AI112" s="325"/>
      <c r="AJ112" s="325"/>
      <c r="AK112" s="325"/>
      <c r="AL112" s="325"/>
      <c r="AM112" s="325"/>
      <c r="AN112" s="325"/>
      <c r="AO112" s="325"/>
      <c r="AP112" s="136"/>
      <c r="AQ112" s="136"/>
      <c r="AR112" s="136" t="str">
        <f t="shared" si="22"/>
        <v/>
      </c>
      <c r="AS112" s="136" t="str">
        <f t="shared" si="22"/>
        <v/>
      </c>
      <c r="AT112" s="5" t="str">
        <f t="shared" si="23"/>
        <v/>
      </c>
      <c r="AV112" s="27" t="str">
        <f t="shared" si="34"/>
        <v/>
      </c>
      <c r="AW112" s="27"/>
      <c r="AY112" s="122" t="str">
        <f t="shared" si="24"/>
        <v/>
      </c>
    </row>
    <row r="113" spans="2:51" ht="12.75">
      <c r="B113" s="20" t="str">
        <f t="shared" si="26"/>
        <v/>
      </c>
      <c r="C113" s="5"/>
      <c r="D113" s="5"/>
      <c r="E113" s="5"/>
      <c r="G113" s="5" t="str">
        <f t="shared" si="30"/>
        <v/>
      </c>
      <c r="H113" s="117" t="str">
        <f t="shared" si="28"/>
        <v/>
      </c>
      <c r="I113" s="5" t="str">
        <f t="shared" si="31"/>
        <v/>
      </c>
      <c r="J113" s="5" t="str">
        <f t="shared" si="32"/>
        <v/>
      </c>
      <c r="K113" s="5"/>
      <c r="L113" s="5"/>
      <c r="M113" s="75"/>
      <c r="N113" s="77"/>
      <c r="O113" s="26"/>
      <c r="P113" s="26"/>
      <c r="Q113" s="118" t="str">
        <f t="shared" si="33"/>
        <v/>
      </c>
      <c r="R113" s="153"/>
      <c r="S113" s="138" t="str">
        <f t="shared" si="25"/>
        <v/>
      </c>
      <c r="T113" s="148"/>
      <c r="U113" s="146"/>
      <c r="V113" s="146"/>
      <c r="W113" s="139"/>
      <c r="X113" s="139"/>
      <c r="Y113" s="148"/>
      <c r="Z113" s="138" t="str">
        <f t="shared" si="21"/>
        <v/>
      </c>
      <c r="AA113" s="138" t="str">
        <f t="shared" si="27"/>
        <v/>
      </c>
      <c r="AB113" s="239"/>
      <c r="AC113" s="325"/>
      <c r="AD113" s="325"/>
      <c r="AE113" s="325"/>
      <c r="AF113" s="325"/>
      <c r="AG113" s="325"/>
      <c r="AH113" s="325"/>
      <c r="AI113" s="325"/>
      <c r="AJ113" s="325"/>
      <c r="AK113" s="325"/>
      <c r="AL113" s="325"/>
      <c r="AM113" s="325"/>
      <c r="AN113" s="325"/>
      <c r="AO113" s="325"/>
      <c r="AP113" s="136"/>
      <c r="AQ113" s="136"/>
      <c r="AR113" s="136" t="str">
        <f t="shared" si="22"/>
        <v/>
      </c>
      <c r="AS113" s="136" t="str">
        <f t="shared" si="22"/>
        <v/>
      </c>
      <c r="AT113" s="5" t="str">
        <f t="shared" si="23"/>
        <v/>
      </c>
      <c r="AV113" s="27" t="str">
        <f t="shared" si="34"/>
        <v/>
      </c>
      <c r="AW113" s="27"/>
      <c r="AY113" s="122" t="str">
        <f t="shared" si="24"/>
        <v/>
      </c>
    </row>
    <row r="114" spans="2:51" ht="12.75">
      <c r="B114" s="20" t="str">
        <f t="shared" si="26"/>
        <v/>
      </c>
      <c r="C114" s="5"/>
      <c r="D114" s="5"/>
      <c r="E114" s="5"/>
      <c r="G114" s="5" t="str">
        <f t="shared" si="30"/>
        <v/>
      </c>
      <c r="H114" s="117" t="str">
        <f t="shared" si="28"/>
        <v/>
      </c>
      <c r="I114" s="5" t="str">
        <f t="shared" si="31"/>
        <v/>
      </c>
      <c r="J114" s="5" t="str">
        <f t="shared" si="32"/>
        <v/>
      </c>
      <c r="K114" s="5"/>
      <c r="L114" s="5"/>
      <c r="M114" s="75"/>
      <c r="N114" s="77"/>
      <c r="O114" s="26"/>
      <c r="P114" s="26"/>
      <c r="Q114" s="118" t="str">
        <f t="shared" si="33"/>
        <v/>
      </c>
      <c r="R114" s="153"/>
      <c r="S114" s="138" t="str">
        <f t="shared" si="25"/>
        <v/>
      </c>
      <c r="T114" s="148"/>
      <c r="U114" s="146"/>
      <c r="V114" s="146"/>
      <c r="W114" s="139"/>
      <c r="X114" s="139"/>
      <c r="Y114" s="148"/>
      <c r="Z114" s="138" t="str">
        <f t="shared" si="21"/>
        <v/>
      </c>
      <c r="AA114" s="138" t="str">
        <f t="shared" si="27"/>
        <v/>
      </c>
      <c r="AB114" s="239"/>
      <c r="AC114" s="325"/>
      <c r="AD114" s="325"/>
      <c r="AE114" s="325"/>
      <c r="AF114" s="325"/>
      <c r="AG114" s="325"/>
      <c r="AH114" s="325"/>
      <c r="AI114" s="325"/>
      <c r="AJ114" s="325"/>
      <c r="AK114" s="325"/>
      <c r="AL114" s="325"/>
      <c r="AM114" s="325"/>
      <c r="AN114" s="325"/>
      <c r="AO114" s="325"/>
      <c r="AP114" s="136"/>
      <c r="AQ114" s="136"/>
      <c r="AR114" s="136" t="str">
        <f t="shared" si="22"/>
        <v/>
      </c>
      <c r="AS114" s="136" t="str">
        <f t="shared" si="22"/>
        <v/>
      </c>
      <c r="AT114" s="5" t="str">
        <f t="shared" si="23"/>
        <v/>
      </c>
      <c r="AV114" s="27" t="str">
        <f t="shared" si="34"/>
        <v/>
      </c>
      <c r="AW114" s="27"/>
      <c r="AY114" s="122" t="str">
        <f t="shared" si="24"/>
        <v/>
      </c>
    </row>
    <row r="115" spans="2:51" ht="12.75">
      <c r="B115" s="20" t="str">
        <f t="shared" si="26"/>
        <v/>
      </c>
      <c r="C115" s="5"/>
      <c r="D115" s="5"/>
      <c r="E115" s="5"/>
      <c r="G115" s="5" t="str">
        <f t="shared" si="30"/>
        <v/>
      </c>
      <c r="H115" s="117" t="str">
        <f t="shared" si="28"/>
        <v/>
      </c>
      <c r="I115" s="5" t="str">
        <f t="shared" si="31"/>
        <v/>
      </c>
      <c r="J115" s="5" t="str">
        <f t="shared" si="32"/>
        <v/>
      </c>
      <c r="K115" s="5"/>
      <c r="L115" s="5"/>
      <c r="M115" s="75"/>
      <c r="N115" s="77"/>
      <c r="O115" s="26"/>
      <c r="P115" s="26"/>
      <c r="Q115" s="118" t="str">
        <f t="shared" si="33"/>
        <v/>
      </c>
      <c r="R115" s="153"/>
      <c r="S115" s="138" t="str">
        <f t="shared" si="25"/>
        <v/>
      </c>
      <c r="T115" s="148"/>
      <c r="U115" s="146"/>
      <c r="V115" s="146"/>
      <c r="W115" s="139"/>
      <c r="X115" s="139"/>
      <c r="Y115" s="148"/>
      <c r="Z115" s="138" t="str">
        <f t="shared" si="21"/>
        <v/>
      </c>
      <c r="AA115" s="138" t="str">
        <f t="shared" si="27"/>
        <v/>
      </c>
      <c r="AB115" s="239"/>
      <c r="AC115" s="325"/>
      <c r="AD115" s="325"/>
      <c r="AE115" s="325"/>
      <c r="AF115" s="325"/>
      <c r="AG115" s="325"/>
      <c r="AH115" s="325"/>
      <c r="AI115" s="325"/>
      <c r="AJ115" s="325"/>
      <c r="AK115" s="325"/>
      <c r="AL115" s="325"/>
      <c r="AM115" s="325"/>
      <c r="AN115" s="325"/>
      <c r="AO115" s="325"/>
      <c r="AP115" s="136"/>
      <c r="AQ115" s="136"/>
      <c r="AR115" s="136" t="str">
        <f t="shared" si="22"/>
        <v/>
      </c>
      <c r="AS115" s="136" t="str">
        <f t="shared" si="22"/>
        <v/>
      </c>
      <c r="AT115" s="5" t="str">
        <f t="shared" si="23"/>
        <v/>
      </c>
      <c r="AV115" s="27" t="str">
        <f t="shared" si="34"/>
        <v/>
      </c>
      <c r="AW115" s="27"/>
      <c r="AY115" s="122" t="str">
        <f t="shared" si="24"/>
        <v/>
      </c>
    </row>
    <row r="116" spans="2:51">
      <c r="AT116" s="3" t="str">
        <f t="shared" si="23"/>
        <v/>
      </c>
      <c r="AV116" s="28"/>
      <c r="AW116" s="27"/>
      <c r="AY116" s="122" t="str">
        <f t="shared" si="24"/>
        <v/>
      </c>
    </row>
    <row r="117" spans="2:51">
      <c r="B117" s="11" t="s">
        <v>23</v>
      </c>
      <c r="AV117" s="28"/>
      <c r="AW117" s="27"/>
    </row>
    <row r="118" spans="2:51">
      <c r="B118" s="18" t="s">
        <v>17</v>
      </c>
      <c r="C118" s="22" t="str">
        <f>+"By"&amp;D120</f>
        <v>ByCode</v>
      </c>
      <c r="D118" s="23" t="str">
        <f>SUBSTITUTE(SUBSTITUTE(SUBSTITUTE(SUBSTITUTE(SUBSTITUTE(SUBSTITUTE(SUBSTITUTE(C118," ",""),".",""),"&amp;",""),"(",""),")",""),",",""),"/","")&amp;"_"&amp;TRIM(TEXT(C7,"###"))</f>
        <v>ByCode_1515</v>
      </c>
      <c r="E118" s="8"/>
      <c r="S118" s="283" t="s">
        <v>906</v>
      </c>
      <c r="AV118" s="27" t="str">
        <f>+" CONSTRAINT ["&amp;D118&amp;"] PRIMARY KEY NONCLUSTERED "</f>
        <v xml:space="preserve"> CONSTRAINT [ByCode_1515] PRIMARY KEY NONCLUSTERED </v>
      </c>
      <c r="AW118" s="28"/>
    </row>
    <row r="119" spans="2:51">
      <c r="B119" s="24" t="s">
        <v>13</v>
      </c>
      <c r="C119" s="24" t="s">
        <v>25</v>
      </c>
      <c r="D119" s="24" t="s">
        <v>24</v>
      </c>
      <c r="E119" s="25" t="s">
        <v>18</v>
      </c>
      <c r="G119" s="123" t="s">
        <v>440</v>
      </c>
      <c r="I119" s="119"/>
      <c r="S119" s="284" t="s">
        <v>436</v>
      </c>
      <c r="T119" s="284" t="s">
        <v>420</v>
      </c>
      <c r="U119" s="284" t="s">
        <v>435</v>
      </c>
      <c r="V119" s="286" t="s">
        <v>441</v>
      </c>
      <c r="W119" s="285"/>
      <c r="X119" s="285"/>
      <c r="AV119" s="27" t="s">
        <v>6</v>
      </c>
      <c r="AW119" s="28"/>
    </row>
    <row r="120" spans="2:51">
      <c r="B120" s="20">
        <v>1</v>
      </c>
      <c r="C120" s="10">
        <v>1</v>
      </c>
      <c r="D120" s="21" t="str">
        <f t="shared" ref="D120:D127" si="35">IFERROR(INDEX($G$16:$G$115,C120),"")</f>
        <v>Code</v>
      </c>
      <c r="E120" s="10" t="s">
        <v>5</v>
      </c>
      <c r="G120" s="5" t="str">
        <f>CHAR(34)&amp;D120&amp;" LIKE "&amp;H120&amp;"%{0}%"&amp;H120&amp;CHAR(34)&amp;","</f>
        <v>"Code LIKE '%{0}%'",</v>
      </c>
      <c r="H120" s="3" t="str">
        <f>IF(IFERROR(INDEX($I$16:$I$115,C120),"")="varchar","'","")</f>
        <v>'</v>
      </c>
      <c r="S120" s="282" t="str">
        <f ca="1">RIGHT(T2,1)&amp;V3&amp;MID(T2,2,1)&amp;V3&amp;MID(T2,5,1)&amp;LEFT(T2,1)&amp;C7</f>
        <v>RENN1515</v>
      </c>
      <c r="T120" s="282" t="str">
        <f>+C8</f>
        <v>NextNumber</v>
      </c>
      <c r="U120" s="282" t="str">
        <f>+D120</f>
        <v>Code</v>
      </c>
      <c r="V120" s="239" t="str">
        <f>+C10</f>
        <v>a32f4a17-4df8-453d-a617-dab8ceb48775</v>
      </c>
      <c r="W120" s="272"/>
      <c r="X120" s="272"/>
      <c r="AV120" s="27" t="str">
        <f t="shared" ref="AV120:AV126" si="36">+IF(D120="","","          ["&amp;D120&amp;"] "&amp;IF(TRIM(E120)="Ascending","ASC","DES")&amp;IF(D121="","",","))</f>
        <v xml:space="preserve">          [Code] ASC</v>
      </c>
      <c r="AW120" s="28"/>
    </row>
    <row r="121" spans="2:51">
      <c r="B121" s="20" t="str">
        <f>IF(C121=0,"",+B120+1)</f>
        <v/>
      </c>
      <c r="C121" s="10"/>
      <c r="D121" s="21" t="str">
        <f t="shared" si="35"/>
        <v/>
      </c>
      <c r="E121" s="10"/>
      <c r="G121" s="5"/>
      <c r="AV121" s="27" t="str">
        <f t="shared" si="36"/>
        <v/>
      </c>
      <c r="AW121" s="28"/>
    </row>
    <row r="122" spans="2:51">
      <c r="B122" s="20" t="str">
        <f t="shared" ref="B122:B127" si="37">IF(C122=0,"",+B121+1)</f>
        <v/>
      </c>
      <c r="C122" s="10"/>
      <c r="D122" s="21" t="str">
        <f t="shared" si="35"/>
        <v/>
      </c>
      <c r="E122" s="10"/>
      <c r="G122" s="5"/>
      <c r="S122" s="287" t="s">
        <v>574</v>
      </c>
      <c r="AV122" s="27" t="str">
        <f t="shared" si="36"/>
        <v/>
      </c>
      <c r="AW122" s="28"/>
    </row>
    <row r="123" spans="2:51">
      <c r="B123" s="20" t="str">
        <f t="shared" si="37"/>
        <v/>
      </c>
      <c r="C123" s="10"/>
      <c r="D123" s="21" t="str">
        <f t="shared" si="35"/>
        <v/>
      </c>
      <c r="E123" s="10"/>
      <c r="G123" s="5"/>
      <c r="S123" s="288" t="s">
        <v>312</v>
      </c>
      <c r="T123" s="288" t="s">
        <v>393</v>
      </c>
      <c r="U123" s="288" t="s">
        <v>394</v>
      </c>
      <c r="V123" s="288" t="s">
        <v>390</v>
      </c>
      <c r="W123" s="288" t="s">
        <v>391</v>
      </c>
      <c r="X123" s="288" t="s">
        <v>392</v>
      </c>
      <c r="Y123" s="288" t="s">
        <v>400</v>
      </c>
      <c r="Z123" s="288" t="s">
        <v>436</v>
      </c>
      <c r="AV123" s="27" t="str">
        <f t="shared" si="36"/>
        <v/>
      </c>
      <c r="AW123" s="28"/>
    </row>
    <row r="124" spans="2:51">
      <c r="B124" s="20" t="str">
        <f t="shared" si="37"/>
        <v/>
      </c>
      <c r="C124" s="10"/>
      <c r="D124" s="21" t="str">
        <f t="shared" si="35"/>
        <v/>
      </c>
      <c r="E124" s="10"/>
      <c r="G124" s="5"/>
      <c r="S124" s="239" t="s">
        <v>1414</v>
      </c>
      <c r="T124" s="239" t="s">
        <v>1415</v>
      </c>
      <c r="U124" s="239" t="str">
        <f>+E8</f>
        <v>Next Number</v>
      </c>
      <c r="V124" s="239"/>
      <c r="W124" s="239"/>
      <c r="X124" s="239" t="str">
        <f ca="1">"./"&amp;V2</f>
        <v>./RENN1515.html</v>
      </c>
      <c r="Y124" s="239"/>
      <c r="Z124" s="282" t="str">
        <f ca="1">+S120</f>
        <v>RENN1515</v>
      </c>
      <c r="AV124" s="27" t="str">
        <f t="shared" si="36"/>
        <v/>
      </c>
      <c r="AW124" s="28"/>
    </row>
    <row r="125" spans="2:51">
      <c r="B125" s="20" t="str">
        <f t="shared" si="37"/>
        <v/>
      </c>
      <c r="C125" s="10"/>
      <c r="D125" s="21" t="str">
        <f t="shared" si="35"/>
        <v/>
      </c>
      <c r="E125" s="10"/>
      <c r="G125" s="5"/>
      <c r="AV125" s="27" t="str">
        <f t="shared" si="36"/>
        <v/>
      </c>
      <c r="AW125" s="28"/>
    </row>
    <row r="126" spans="2:51">
      <c r="B126" s="20" t="str">
        <f t="shared" si="37"/>
        <v/>
      </c>
      <c r="C126" s="10"/>
      <c r="D126" s="21" t="str">
        <f t="shared" si="35"/>
        <v/>
      </c>
      <c r="E126" s="10"/>
      <c r="G126" s="5"/>
      <c r="AV126" s="27" t="str">
        <f t="shared" si="36"/>
        <v/>
      </c>
      <c r="AW126" s="28"/>
    </row>
    <row r="127" spans="2:51">
      <c r="B127" s="20" t="str">
        <f t="shared" si="37"/>
        <v/>
      </c>
      <c r="C127" s="19"/>
      <c r="D127" s="21" t="str">
        <f t="shared" si="35"/>
        <v/>
      </c>
      <c r="E127" s="5"/>
      <c r="G127" s="5"/>
      <c r="AV127" s="27" t="str">
        <f>+IF(D127="","","          ["&amp;D127&amp;"] "&amp;IF(TRIM(E127)="Ascending","ASC","DES")&amp;IF(H128="","",","))</f>
        <v/>
      </c>
      <c r="AW127" s="28"/>
    </row>
    <row r="128" spans="2:51">
      <c r="AV128" s="27"/>
      <c r="AW128" s="28"/>
    </row>
    <row r="129" spans="2:49">
      <c r="B129" s="3" t="str">
        <f>"["&amp;$E$5&amp;"ModelCtl.json]"</f>
        <v>[CBSModelCtl.json]</v>
      </c>
      <c r="AV129" s="27" t="s">
        <v>7</v>
      </c>
      <c r="AW129" s="28"/>
    </row>
    <row r="130" spans="2:49">
      <c r="AV130" s="27" t="s">
        <v>8</v>
      </c>
      <c r="AW130" s="28"/>
    </row>
    <row r="131" spans="2:49">
      <c r="AV131" s="28" t="s">
        <v>1</v>
      </c>
      <c r="AW131" s="28"/>
    </row>
    <row r="132" spans="2:49">
      <c r="B132" s="273" t="str">
        <f>"   ,{"</f>
        <v xml:space="preserve">   ,{</v>
      </c>
      <c r="C132" s="122"/>
      <c r="D132" s="122"/>
      <c r="E132" s="122"/>
      <c r="F132" s="122"/>
      <c r="G132" s="122"/>
      <c r="H132" s="122"/>
      <c r="I132" s="122"/>
      <c r="J132" s="122"/>
      <c r="K132" s="122"/>
      <c r="L132" s="122"/>
      <c r="M132" s="122"/>
      <c r="AV132" s="27" t="s">
        <v>0</v>
      </c>
      <c r="AW132" s="28"/>
    </row>
    <row r="133" spans="2:49">
      <c r="B133" s="273" t="str">
        <f>REPT(" ",6)&amp;CHAR(34)&amp;"TokenKey"&amp;CHAR(34)&amp;": "&amp;CHAR(34)&amp;C10&amp;CHAR(34)&amp;","</f>
        <v xml:space="preserve">      "TokenKey": "a32f4a17-4df8-453d-a617-dab8ceb48775",</v>
      </c>
      <c r="C133" s="122"/>
      <c r="D133" s="122"/>
      <c r="E133" s="122"/>
      <c r="F133" s="122"/>
      <c r="G133" s="122"/>
      <c r="H133" s="122"/>
      <c r="I133" s="122"/>
      <c r="J133" s="122"/>
      <c r="K133" s="122"/>
      <c r="L133" s="122"/>
      <c r="M133" s="122"/>
      <c r="AV133" s="28" t="s">
        <v>1</v>
      </c>
      <c r="AW133" s="28"/>
    </row>
    <row r="134" spans="2:49">
      <c r="B134" s="273" t="str">
        <f>REPT(" ",6)&amp;CHAR(34)&amp;"TableName"&amp;CHAR(34)&amp;": "&amp;CHAR(34)&amp;C8&amp;CHAR(34)&amp;","</f>
        <v xml:space="preserve">      "TableName": "NextNumber",</v>
      </c>
      <c r="C134" s="122"/>
      <c r="D134" s="122"/>
      <c r="E134" s="122"/>
      <c r="F134" s="122"/>
      <c r="G134" s="122"/>
      <c r="H134" s="122"/>
      <c r="I134" s="122"/>
      <c r="J134" s="122"/>
      <c r="K134" s="122"/>
      <c r="L134" s="122"/>
      <c r="M134" s="122"/>
      <c r="AV134" s="27" t="s">
        <v>9</v>
      </c>
      <c r="AW134" s="28"/>
    </row>
    <row r="135" spans="2:49">
      <c r="B135" s="273" t="str">
        <f>REPT(" ",6)&amp;CHAR(34)&amp;"Description"&amp;CHAR(34)&amp;": "&amp;CHAR(34)&amp;E8&amp;CHAR(34)&amp;","</f>
        <v xml:space="preserve">      "Description": "Next Number",</v>
      </c>
      <c r="C135" s="122"/>
      <c r="D135" s="122"/>
      <c r="E135" s="122"/>
      <c r="F135" s="122"/>
      <c r="G135" s="122"/>
      <c r="H135" s="122"/>
      <c r="I135" s="122"/>
      <c r="J135" s="122"/>
      <c r="K135" s="122"/>
      <c r="L135" s="122"/>
      <c r="M135" s="122"/>
      <c r="AV135" s="27" t="s">
        <v>0</v>
      </c>
      <c r="AW135" s="28"/>
    </row>
    <row r="136" spans="2:49">
      <c r="B136" s="273" t="str">
        <f>REPT(" ",6)&amp;CHAR(34)&amp;"SelectFields"&amp;CHAR(34)&amp;": "&amp;CHAR(34)&amp;C11&amp;CHAR(34)&amp;","</f>
        <v xml:space="preserve">      "SelectFields": "Code,NextNo,ConstantValue,BooleanFlag,Remark",</v>
      </c>
      <c r="C136" s="122"/>
      <c r="D136" s="122"/>
      <c r="E136" s="122"/>
      <c r="F136" s="122"/>
      <c r="G136" s="122"/>
      <c r="H136" s="122"/>
      <c r="I136" s="122"/>
      <c r="J136" s="122"/>
      <c r="K136" s="122"/>
      <c r="L136" s="122"/>
      <c r="M136" s="122"/>
      <c r="AV136" s="28" t="s">
        <v>1</v>
      </c>
      <c r="AW136" s="28"/>
    </row>
    <row r="137" spans="2:49">
      <c r="B137" s="273" t="str">
        <f>REPT(" ",6)&amp;CHAR(34)&amp;"Primarykeys"&amp;CHAR(34)&amp;": ["&amp;CHAR(34)&amp;D120&amp;CHAR(34)&amp;"],"</f>
        <v xml:space="preserve">      "Primarykeys": ["Code"],</v>
      </c>
      <c r="C137" s="122"/>
      <c r="D137" s="122"/>
      <c r="E137" s="122"/>
      <c r="F137" s="122"/>
      <c r="G137" s="122"/>
      <c r="H137" s="122"/>
      <c r="I137" s="122"/>
      <c r="J137" s="122"/>
      <c r="K137" s="122"/>
      <c r="L137" s="122"/>
      <c r="M137" s="122"/>
    </row>
    <row r="138" spans="2:49">
      <c r="B138" s="273" t="str">
        <f>REPT(" ",6)&amp;CHAR(34)&amp;"QueryStr"&amp;CHAR(34)&amp;": "&amp;G120</f>
        <v xml:space="preserve">      "QueryStr": "Code LIKE '%{0}%'",</v>
      </c>
      <c r="C138" s="122"/>
      <c r="D138" s="122"/>
      <c r="E138" s="122"/>
      <c r="F138" s="122"/>
      <c r="G138" s="122"/>
      <c r="H138" s="122"/>
      <c r="I138" s="122"/>
      <c r="J138" s="122"/>
      <c r="K138" s="122"/>
      <c r="L138" s="122"/>
      <c r="M138" s="122"/>
    </row>
    <row r="139" spans="2:49">
      <c r="B139" s="273" t="str">
        <f>REPT(" ",6)&amp;CHAR(34)&amp;"Limit"&amp;CHAR(34)&amp;": "&amp;E7&amp;","</f>
        <v xml:space="preserve">      "Limit": 0,</v>
      </c>
      <c r="C139" s="122"/>
      <c r="D139" s="122"/>
      <c r="E139" s="122"/>
      <c r="F139" s="122"/>
      <c r="G139" s="122"/>
      <c r="H139" s="122"/>
      <c r="I139" s="122"/>
      <c r="J139" s="122"/>
      <c r="K139" s="122"/>
      <c r="L139" s="122"/>
      <c r="M139" s="122"/>
    </row>
    <row r="140" spans="2:49">
      <c r="B140" s="273" t="str">
        <f>REPT(" ",6)&amp;CHAR(34)&amp;"TaskModels"&amp;CHAR(34)&amp;": [],"</f>
        <v xml:space="preserve">      "TaskModels": [],</v>
      </c>
      <c r="C140" s="122"/>
      <c r="D140" s="122"/>
      <c r="E140" s="122"/>
      <c r="F140" s="122"/>
      <c r="G140" s="122"/>
      <c r="H140" s="122"/>
      <c r="I140" s="122"/>
      <c r="J140" s="122"/>
      <c r="K140" s="122"/>
      <c r="L140" s="122"/>
      <c r="M140" s="122"/>
    </row>
    <row r="141" spans="2:49">
      <c r="B141" s="273" t="str">
        <f>REPT(" ",6)&amp;CHAR(34)&amp;"DBTokenKey"&amp;CHAR(34)&amp;": "&amp;CHAR(34)&amp;C9&amp;CHAR(34)&amp;","</f>
        <v xml:space="preserve">      "DBTokenKey": "b18e9f22-2069-4f35-9739-4d7f976335eb",</v>
      </c>
      <c r="C141" s="122"/>
      <c r="D141" s="122"/>
      <c r="E141" s="122"/>
      <c r="F141" s="122"/>
      <c r="G141" s="122"/>
      <c r="H141" s="122"/>
      <c r="I141" s="122"/>
      <c r="J141" s="122"/>
      <c r="K141" s="122"/>
      <c r="L141" s="122"/>
      <c r="M141" s="122"/>
    </row>
    <row r="142" spans="2:49">
      <c r="B142" s="273" t="str">
        <f>REPT(" ",6)&amp;CHAR(34)&amp;"EntryBy"&amp;CHAR(34)&amp;": "&amp;CHAR(34)&amp;E4&amp;CHAR(34)&amp;","</f>
        <v xml:space="preserve">      "EntryBy": "Admin",</v>
      </c>
      <c r="C142" s="122"/>
      <c r="D142" s="122"/>
      <c r="E142" s="122"/>
      <c r="F142" s="122"/>
      <c r="G142" s="122"/>
      <c r="H142" s="122"/>
      <c r="I142" s="122"/>
      <c r="J142" s="122"/>
      <c r="K142" s="122"/>
      <c r="L142" s="122"/>
      <c r="M142" s="122"/>
    </row>
    <row r="143" spans="2:49">
      <c r="B143" s="273" t="str">
        <f ca="1">REPT(" ",6)&amp;CHAR(34)&amp;"EntryDate"&amp;CHAR(34)&amp;": "&amp;CHAR(34)&amp;TEXT(NOW(),"DD/MM/YYYY")&amp;CHAR(34)&amp;","</f>
        <v xml:space="preserve">      "EntryDate": "25/12/2021",</v>
      </c>
      <c r="C143" s="122"/>
      <c r="D143" s="122"/>
      <c r="E143" s="122"/>
      <c r="F143" s="122"/>
      <c r="G143" s="122"/>
      <c r="H143" s="122"/>
      <c r="I143" s="122"/>
      <c r="J143" s="122"/>
      <c r="K143" s="122"/>
      <c r="L143" s="122"/>
      <c r="M143" s="122"/>
    </row>
    <row r="144" spans="2:49">
      <c r="B144" s="273" t="str">
        <f>REPT(" ",6)&amp;CHAR(34)&amp;"LinkSubTasks"&amp;CHAR(34)&amp;": [],"</f>
        <v xml:space="preserve">      "LinkSubTasks": [],</v>
      </c>
      <c r="C144" s="122"/>
      <c r="D144" s="122"/>
      <c r="E144" s="122"/>
      <c r="F144" s="122"/>
      <c r="G144" s="122"/>
      <c r="H144" s="122"/>
      <c r="I144" s="122"/>
      <c r="J144" s="122"/>
      <c r="K144" s="122"/>
      <c r="L144" s="122"/>
      <c r="M144" s="122"/>
    </row>
    <row r="145" spans="2:16">
      <c r="B145" s="273" t="str">
        <f>REPT(" ",6)&amp;CHAR(34)&amp;"KeyRights"&amp;CHAR(34)&amp;": "&amp;CHAR(34)&amp;CHAR(34)&amp;","</f>
        <v xml:space="preserve">      "KeyRights": "",</v>
      </c>
      <c r="C145" s="122"/>
      <c r="D145" s="122"/>
      <c r="E145" s="122"/>
      <c r="F145" s="122"/>
      <c r="G145" s="122"/>
      <c r="H145" s="122"/>
      <c r="I145" s="122"/>
      <c r="J145" s="122"/>
      <c r="K145" s="122"/>
      <c r="L145" s="122"/>
      <c r="M145" s="122"/>
    </row>
    <row r="146" spans="2:16">
      <c r="B146" s="273" t="str">
        <f>REPT(" ",6)&amp;CHAR(34)&amp;"Active"&amp;CHAR(34)&amp;": "&amp;CHAR(34)&amp;"True"&amp;CHAR(34)&amp;","</f>
        <v xml:space="preserve">      "Active": "True",</v>
      </c>
      <c r="C146" s="122"/>
      <c r="D146" s="122"/>
      <c r="E146" s="122"/>
      <c r="F146" s="122"/>
      <c r="G146" s="122"/>
      <c r="H146" s="122"/>
      <c r="I146" s="122"/>
      <c r="J146" s="122"/>
      <c r="K146" s="122"/>
      <c r="L146" s="122"/>
      <c r="M146" s="122"/>
    </row>
    <row r="147" spans="2:16">
      <c r="B147" s="273" t="str">
        <f>REPT(" ",6)&amp;CHAR(34)&amp;"Category"&amp;CHAR(34)&amp;": "&amp;CHAR(34)&amp;E5&amp;CHAR(34)&amp;","</f>
        <v xml:space="preserve">      "Category": "CBS",</v>
      </c>
      <c r="C147" s="122"/>
      <c r="D147" s="122"/>
      <c r="E147" s="122"/>
      <c r="F147" s="122"/>
      <c r="G147" s="122"/>
      <c r="H147" s="122"/>
      <c r="I147" s="122"/>
      <c r="J147" s="122"/>
      <c r="K147" s="122"/>
      <c r="L147" s="122"/>
      <c r="M147" s="122"/>
    </row>
    <row r="148" spans="2:16">
      <c r="B148" s="273" t="str">
        <f>"     }"</f>
        <v xml:space="preserve">     }</v>
      </c>
      <c r="C148" s="122"/>
      <c r="D148" s="122"/>
      <c r="E148" s="122"/>
      <c r="F148" s="122"/>
      <c r="G148" s="122"/>
      <c r="H148" s="122"/>
      <c r="I148" s="122"/>
      <c r="J148" s="122"/>
      <c r="K148" s="122"/>
      <c r="L148" s="122"/>
      <c r="M148" s="122"/>
    </row>
    <row r="149" spans="2:16">
      <c r="B149" s="273" t="s">
        <v>898</v>
      </c>
      <c r="C149" s="122"/>
      <c r="D149" s="122"/>
      <c r="E149" s="122"/>
      <c r="F149" s="122"/>
      <c r="G149" s="122"/>
      <c r="H149" s="122"/>
      <c r="I149" s="122"/>
      <c r="J149" s="122"/>
      <c r="K149" s="122"/>
      <c r="L149" s="122"/>
      <c r="M149" s="122"/>
    </row>
    <row r="150" spans="2:16">
      <c r="B150" s="14"/>
      <c r="C150" s="14"/>
      <c r="D150" s="14"/>
      <c r="E150" s="14"/>
      <c r="F150" s="14"/>
      <c r="G150" s="14"/>
      <c r="H150" s="14"/>
      <c r="I150" s="14"/>
      <c r="J150" s="14"/>
      <c r="K150" s="14"/>
      <c r="L150" s="14"/>
      <c r="M150" s="14"/>
      <c r="N150" s="14"/>
      <c r="O150" s="14"/>
    </row>
    <row r="151" spans="2:16">
      <c r="B151" s="274"/>
      <c r="C151" s="14"/>
      <c r="D151" s="232"/>
      <c r="E151" s="14"/>
      <c r="F151" s="14"/>
      <c r="G151" s="14"/>
      <c r="H151" s="14"/>
      <c r="I151" s="14"/>
      <c r="J151" s="14"/>
      <c r="K151" s="14"/>
      <c r="L151" s="14"/>
      <c r="M151" s="14"/>
      <c r="N151" s="14"/>
      <c r="O151" s="14"/>
    </row>
    <row r="152" spans="2:16">
      <c r="B152" s="275"/>
      <c r="C152" s="275"/>
      <c r="D152" s="275"/>
      <c r="E152" s="275"/>
      <c r="F152" s="14"/>
      <c r="G152" s="276"/>
      <c r="H152" s="14"/>
      <c r="I152" s="14"/>
      <c r="J152" s="14"/>
      <c r="K152" s="14"/>
      <c r="L152" s="14"/>
      <c r="M152" s="14"/>
      <c r="N152" s="14"/>
      <c r="O152" s="14"/>
      <c r="P152" s="4"/>
    </row>
    <row r="153" spans="2:16">
      <c r="B153" s="277"/>
      <c r="C153" s="277"/>
      <c r="D153" s="278"/>
      <c r="E153" s="14"/>
      <c r="F153" s="14"/>
      <c r="G153" s="14"/>
      <c r="H153" s="14"/>
      <c r="I153" s="14"/>
      <c r="J153" s="14"/>
      <c r="K153" s="14"/>
      <c r="L153" s="14"/>
      <c r="M153" s="14"/>
      <c r="N153" s="14"/>
      <c r="O153" s="14"/>
    </row>
    <row r="154" spans="2:16">
      <c r="B154" s="277"/>
      <c r="C154" s="277"/>
      <c r="D154" s="278"/>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9"/>
      <c r="L161" s="14"/>
      <c r="M161" s="14"/>
      <c r="N161" s="14"/>
      <c r="O161" s="14"/>
    </row>
    <row r="162" spans="2:16">
      <c r="B162" s="14"/>
      <c r="C162" s="14"/>
      <c r="D162" s="14"/>
      <c r="E162" s="14"/>
      <c r="F162" s="14"/>
      <c r="G162" s="14"/>
      <c r="H162" s="14"/>
      <c r="I162" s="14"/>
      <c r="J162" s="14"/>
      <c r="K162" s="280"/>
      <c r="L162" s="14"/>
      <c r="M162" s="14"/>
      <c r="N162" s="14"/>
      <c r="O162" s="14"/>
    </row>
    <row r="163" spans="2:16">
      <c r="K163" s="107"/>
      <c r="L163" s="107"/>
    </row>
    <row r="164" spans="2:16">
      <c r="K164" s="107"/>
      <c r="L164" s="107"/>
      <c r="P164" s="107"/>
    </row>
    <row r="165" spans="2:16">
      <c r="K165" s="107"/>
      <c r="L165" s="107"/>
    </row>
    <row r="166" spans="2:16">
      <c r="K166" s="107"/>
      <c r="L166" s="107"/>
      <c r="O166" s="107"/>
    </row>
    <row r="167" spans="2:16">
      <c r="K167" s="107"/>
    </row>
    <row r="168" spans="2:16">
      <c r="K168" s="107"/>
    </row>
    <row r="169" spans="2:16">
      <c r="K169" s="107"/>
    </row>
    <row r="170" spans="2:16">
      <c r="K170" s="107"/>
      <c r="L170" s="107"/>
    </row>
    <row r="171" spans="2:16">
      <c r="K171" s="107"/>
      <c r="L171" s="107"/>
    </row>
    <row r="172" spans="2:16">
      <c r="K172" s="107"/>
      <c r="L172" s="107"/>
    </row>
    <row r="173" spans="2:16">
      <c r="K173" s="107"/>
      <c r="L173" s="107"/>
      <c r="O173" s="107"/>
    </row>
    <row r="174" spans="2:16">
      <c r="K174" s="107"/>
    </row>
  </sheetData>
  <mergeCells count="1">
    <mergeCell ref="N14:P14"/>
  </mergeCells>
  <dataValidations count="3">
    <dataValidation type="list" showInputMessage="1" showErrorMessage="1" sqref="V16:V115" xr:uid="{19DE0EEA-8A3F-4E0A-BB6F-84F697C6B3B2}">
      <formula1>aFormat</formula1>
    </dataValidation>
    <dataValidation type="list" showInputMessage="1" showErrorMessage="1" sqref="U16:U115" xr:uid="{65E4CDD8-3109-4AAE-8307-3930A62F0CEF}">
      <formula1>aDataType</formula1>
    </dataValidation>
    <dataValidation type="list" showInputMessage="1" showErrorMessage="1" sqref="W16:X115 X2 V6:V7 AL11:AL12 T7 X6" xr:uid="{3EA4CD5C-9392-43A7-8114-6E17895D25BD}">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0859D829-2462-4403-9689-7D8F0A9FB3C1}">
          <x14:formula1>
            <xm:f>Variables!$G$17:$G$22</xm:f>
          </x14:formula1>
          <xm:sqref>T8:T10</xm:sqref>
        </x14:dataValidation>
        <x14:dataValidation type="list" allowBlank="1" showInputMessage="1" showErrorMessage="1" xr:uid="{9BB5E397-C30D-427D-A26A-1678FD47CA1B}">
          <x14:formula1>
            <xm:f>Variables!$G$12:$G$14</xm:f>
          </x14:formula1>
          <xm:sqref>AA16:AA115</xm:sqref>
        </x14:dataValidation>
        <x14:dataValidation type="list" allowBlank="1" showInputMessage="1" showErrorMessage="1" xr:uid="{9DB7B236-64F1-4AC3-8D89-1DDC1730F4D5}">
          <x14:formula1>
            <xm:f>Variables!$G$6:$G$8</xm:f>
          </x14:formula1>
          <xm:sqref>T5</xm:sqref>
        </x14:dataValidation>
        <x14:dataValidation type="list" allowBlank="1" showInputMessage="1" showErrorMessage="1" xr:uid="{545FFBC4-DAC9-4994-A185-7E18A14459E2}">
          <x14:formula1>
            <xm:f>Variables!$I$28:$I$35</xm:f>
          </x14:formula1>
          <xm:sqref>T6</xm:sqref>
        </x14:dataValidation>
        <x14:dataValidation type="list" allowBlank="1" showInputMessage="1" showErrorMessage="1" xr:uid="{387BE5E9-50EA-4B5A-8458-CAE2CBF3E240}">
          <x14:formula1>
            <xm:f>Variables!$E$17:$E$22</xm:f>
          </x14:formula1>
          <xm:sqref>C6</xm:sqref>
        </x14:dataValidation>
        <x14:dataValidation type="list" allowBlank="1" showInputMessage="1" showErrorMessage="1" xr:uid="{A5D6D6DB-FDC4-4B38-AFCF-6D9BB0783B0E}">
          <x14:formula1>
            <xm:f>Variables!$B$22:$B$25</xm:f>
          </x14:formula1>
          <xm:sqref>E6</xm:sqref>
        </x14:dataValidation>
        <x14:dataValidation type="list" allowBlank="1" showInputMessage="1" showErrorMessage="1" xr:uid="{7B0577C6-1154-48B3-8373-131B96FB2277}">
          <x14:formula1>
            <xm:f>Variables!E$28:E$34</xm:f>
          </x14:formula1>
          <xm:sqref>AM16:AM115</xm:sqref>
        </x14:dataValidation>
        <x14:dataValidation type="list" allowBlank="1" showInputMessage="1" showErrorMessage="1" xr:uid="{DE0E638D-E11E-4800-8A21-9979E1208E41}">
          <x14:formula1>
            <xm:f>Variables!E$28:E$34</xm:f>
          </x14:formula1>
          <xm:sqref>AJ16:AJ115</xm:sqref>
        </x14:dataValidation>
        <x14:dataValidation type="list" allowBlank="1" showInputMessage="1" showErrorMessage="1" xr:uid="{902ADFAC-C76B-4E65-ACA0-D2B1E35DDE19}">
          <x14:formula1>
            <xm:f>Variables!G$38:G$45</xm:f>
          </x14:formula1>
          <xm:sqref>X5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FF0000"/>
  </sheetPr>
  <dimension ref="B1:CA1000"/>
  <sheetViews>
    <sheetView showGridLines="0" topLeftCell="A10" workbookViewId="0">
      <selection activeCell="G38" sqref="G38:G45"/>
    </sheetView>
  </sheetViews>
  <sheetFormatPr defaultColWidth="9" defaultRowHeight="15"/>
  <cols>
    <col min="1" max="1" width="3.7109375" style="1" customWidth="1"/>
    <col min="2" max="2" width="21.5703125" style="1" customWidth="1"/>
    <col min="3" max="3" width="81.7109375" style="1" customWidth="1"/>
    <col min="4" max="4" width="20.7109375" style="1" bestFit="1" customWidth="1"/>
    <col min="5" max="5" width="15.7109375" style="1" customWidth="1"/>
    <col min="6" max="6" width="2.42578125" style="1" customWidth="1"/>
    <col min="7" max="7" width="15.42578125" style="151" customWidth="1"/>
    <col min="8" max="8" width="3.7109375" style="1" customWidth="1"/>
    <col min="9" max="9" width="15.7109375" style="30" customWidth="1"/>
    <col min="10" max="10" width="8.140625" style="30" bestFit="1" customWidth="1"/>
    <col min="11" max="11" width="8" style="1" bestFit="1" customWidth="1"/>
    <col min="12" max="12" width="11" style="1" bestFit="1" customWidth="1"/>
    <col min="13" max="14" width="7.85546875" bestFit="1" customWidth="1"/>
    <col min="16" max="16" width="7.7109375" style="6" customWidth="1"/>
    <col min="17" max="17" width="6.42578125" style="6" bestFit="1" customWidth="1"/>
    <col min="18" max="18" width="3.28515625" style="6" customWidth="1"/>
    <col min="19" max="19" width="2.42578125" style="1" bestFit="1" customWidth="1"/>
    <col min="20" max="20" width="3.42578125" style="1" bestFit="1" customWidth="1"/>
    <col min="21" max="21" width="3.28515625" style="1" bestFit="1" customWidth="1"/>
    <col min="22" max="23" width="3.42578125" style="1" bestFit="1" customWidth="1"/>
    <col min="24" max="25" width="3.28515625" style="1" bestFit="1" customWidth="1"/>
    <col min="26" max="26" width="3.42578125" style="1" bestFit="1" customWidth="1"/>
    <col min="27" max="52" width="2.7109375" style="1" customWidth="1"/>
    <col min="53" max="53" width="9" style="1"/>
    <col min="54" max="54" width="146.5703125" style="3" bestFit="1" customWidth="1"/>
    <col min="55" max="55" width="9" style="1"/>
    <col min="56" max="72" width="2.7109375" style="1" customWidth="1"/>
    <col min="73" max="75" width="9" style="1"/>
    <col min="76" max="76" width="7" style="1" customWidth="1"/>
    <col min="77" max="77" width="5.28515625" customWidth="1"/>
    <col min="78" max="78" width="6" customWidth="1"/>
    <col min="79" max="79" width="148" style="3" bestFit="1" customWidth="1"/>
    <col min="80" max="16384" width="9" style="1"/>
  </cols>
  <sheetData>
    <row r="1" spans="2:79">
      <c r="BB1" s="329" t="s">
        <v>612</v>
      </c>
      <c r="BX1" s="29">
        <f t="shared" ref="BX1:BX7" si="0">IF(CA1=0,"",ROW())</f>
        <v>1</v>
      </c>
      <c r="CA1" s="330" t="s">
        <v>581</v>
      </c>
    </row>
    <row r="2" spans="2:79">
      <c r="G2" s="151" t="s">
        <v>1069</v>
      </c>
      <c r="I2" s="185" t="s">
        <v>1068</v>
      </c>
      <c r="BB2" s="330" t="s">
        <v>581</v>
      </c>
      <c r="BV2" s="174" t="s">
        <v>622</v>
      </c>
      <c r="BW2" s="106">
        <f ca="1">MAX(BX:BX)+1</f>
        <v>375</v>
      </c>
      <c r="BX2" s="29">
        <f t="shared" si="0"/>
        <v>2</v>
      </c>
      <c r="CA2" s="330" t="s">
        <v>1075</v>
      </c>
    </row>
    <row r="3" spans="2:79">
      <c r="B3" s="267" t="s">
        <v>878</v>
      </c>
      <c r="C3" s="267" t="s">
        <v>879</v>
      </c>
      <c r="BB3" s="330" t="s">
        <v>1075</v>
      </c>
      <c r="BX3" s="29">
        <f t="shared" si="0"/>
        <v>3</v>
      </c>
      <c r="CA3" s="330" t="s">
        <v>582</v>
      </c>
    </row>
    <row r="4" spans="2:79">
      <c r="BB4" s="330" t="s">
        <v>582</v>
      </c>
      <c r="BX4" s="29">
        <f t="shared" si="0"/>
        <v>4</v>
      </c>
      <c r="CA4" s="330" t="str">
        <f>"&lt;title&gt;"&amp;SUBSTITUTE(MASTERCOLUMNLIST!$B$2,".html","")&amp;"&lt;/title&gt;"</f>
        <v>&lt;title&gt;NEXTNUMBER&lt;/title&gt;</v>
      </c>
    </row>
    <row r="5" spans="2:79">
      <c r="B5" s="42" t="s">
        <v>37</v>
      </c>
      <c r="C5" s="68">
        <f>COUNTA(#REF!,"")-2</f>
        <v>0</v>
      </c>
      <c r="E5" s="369" t="s">
        <v>426</v>
      </c>
      <c r="G5" s="372" t="s">
        <v>568</v>
      </c>
      <c r="I5" s="318" t="s">
        <v>571</v>
      </c>
      <c r="L5" s="45" t="s">
        <v>29</v>
      </c>
      <c r="M5" s="45" t="s">
        <v>30</v>
      </c>
      <c r="N5" s="45" t="s">
        <v>47</v>
      </c>
      <c r="P5" s="69" t="s">
        <v>300</v>
      </c>
      <c r="Q5" s="69" t="s">
        <v>301</v>
      </c>
      <c r="R5" s="71"/>
      <c r="BB5" s="330" t="str">
        <f>"&lt;title&gt;"&amp;SUBSTITUTE(MASTERCOLUMNLIST!$B$2,".html","")&amp;"&lt;/title&gt;"</f>
        <v>&lt;title&gt;NEXTNUMBER&lt;/title&gt;</v>
      </c>
      <c r="BX5" s="29">
        <f t="shared" si="0"/>
        <v>5</v>
      </c>
      <c r="CA5" s="330" t="s">
        <v>634</v>
      </c>
    </row>
    <row r="6" spans="2:79">
      <c r="B6" s="29" t="s">
        <v>38</v>
      </c>
      <c r="C6" s="68">
        <v>1</v>
      </c>
      <c r="E6" s="365" t="s">
        <v>424</v>
      </c>
      <c r="G6" s="46" t="s">
        <v>569</v>
      </c>
      <c r="I6" s="48" t="s">
        <v>350</v>
      </c>
      <c r="L6" s="31">
        <v>1</v>
      </c>
      <c r="M6" s="31">
        <v>3</v>
      </c>
      <c r="N6" s="31">
        <f>+M6+MOD(7,M6)+1</f>
        <v>5</v>
      </c>
      <c r="P6" s="68">
        <v>1</v>
      </c>
      <c r="Q6" s="68" t="s">
        <v>95</v>
      </c>
      <c r="R6" s="70"/>
      <c r="S6" s="29" t="s">
        <v>95</v>
      </c>
      <c r="T6" s="29" t="s">
        <v>119</v>
      </c>
      <c r="U6" s="29" t="s">
        <v>145</v>
      </c>
      <c r="V6" s="29" t="s">
        <v>171</v>
      </c>
      <c r="W6" s="29" t="s">
        <v>197</v>
      </c>
      <c r="X6" s="29" t="s">
        <v>198</v>
      </c>
      <c r="Y6" s="29" t="s">
        <v>249</v>
      </c>
      <c r="Z6" s="29" t="str">
        <f t="shared" ref="Z6:Z31" si="1">$Q$12&amp;$S6</f>
        <v>GA</v>
      </c>
      <c r="AB6" s="6"/>
      <c r="AD6" s="6"/>
      <c r="BB6" s="330" t="s">
        <v>634</v>
      </c>
      <c r="BX6" s="29">
        <f t="shared" si="0"/>
        <v>6</v>
      </c>
      <c r="CA6" s="330" t="s">
        <v>635</v>
      </c>
    </row>
    <row r="7" spans="2:79">
      <c r="C7" s="7"/>
      <c r="E7" s="366" t="s">
        <v>423</v>
      </c>
      <c r="G7" s="48" t="s">
        <v>570</v>
      </c>
      <c r="I7" s="48" t="s">
        <v>515</v>
      </c>
      <c r="L7" s="31">
        <v>2</v>
      </c>
      <c r="M7" s="31">
        <v>5</v>
      </c>
      <c r="N7" s="31">
        <f t="shared" ref="N7:N15" si="2">+M7+MOD(7,M7)+1</f>
        <v>8</v>
      </c>
      <c r="P7" s="68">
        <v>2</v>
      </c>
      <c r="Q7" s="68" t="s">
        <v>96</v>
      </c>
      <c r="R7" s="70"/>
      <c r="S7" s="29" t="s">
        <v>96</v>
      </c>
      <c r="T7" s="29" t="s">
        <v>120</v>
      </c>
      <c r="U7" s="29" t="s">
        <v>146</v>
      </c>
      <c r="V7" s="29" t="s">
        <v>172</v>
      </c>
      <c r="W7" s="29" t="s">
        <v>199</v>
      </c>
      <c r="X7" s="29" t="s">
        <v>200</v>
      </c>
      <c r="Y7" s="29" t="s">
        <v>251</v>
      </c>
      <c r="Z7" s="29" t="str">
        <f t="shared" si="1"/>
        <v>GB</v>
      </c>
      <c r="AB7" s="6"/>
      <c r="AD7" s="6"/>
      <c r="BB7" s="330" t="s">
        <v>635</v>
      </c>
      <c r="BX7" s="29">
        <f t="shared" si="0"/>
        <v>7</v>
      </c>
      <c r="CA7" s="330" t="s">
        <v>583</v>
      </c>
    </row>
    <row r="8" spans="2:79">
      <c r="B8" s="29" t="s">
        <v>39</v>
      </c>
      <c r="C8" s="43" t="str">
        <f>IF(Variables!C9=1,"K","L")</f>
        <v>K</v>
      </c>
      <c r="E8" s="48"/>
      <c r="G8" s="47"/>
      <c r="I8" s="48" t="s">
        <v>353</v>
      </c>
      <c r="L8" s="31">
        <v>3</v>
      </c>
      <c r="M8" s="31">
        <v>7</v>
      </c>
      <c r="N8" s="31">
        <f t="shared" si="2"/>
        <v>8</v>
      </c>
      <c r="P8" s="68">
        <v>3</v>
      </c>
      <c r="Q8" s="68" t="s">
        <v>97</v>
      </c>
      <c r="R8" s="70"/>
      <c r="S8" s="29" t="s">
        <v>97</v>
      </c>
      <c r="T8" s="29" t="s">
        <v>121</v>
      </c>
      <c r="U8" s="29" t="s">
        <v>147</v>
      </c>
      <c r="V8" s="29" t="s">
        <v>173</v>
      </c>
      <c r="W8" s="29" t="s">
        <v>201</v>
      </c>
      <c r="X8" s="29" t="s">
        <v>202</v>
      </c>
      <c r="Y8" s="29" t="s">
        <v>253</v>
      </c>
      <c r="Z8" s="29" t="str">
        <f t="shared" si="1"/>
        <v>GC</v>
      </c>
      <c r="AB8" s="6"/>
      <c r="AD8" s="6"/>
      <c r="BB8" s="330" t="s">
        <v>583</v>
      </c>
      <c r="BX8" s="29">
        <f t="shared" ref="BX8:BX71" si="3">IF(CA8=0,"",ROW())</f>
        <v>8</v>
      </c>
      <c r="CA8" s="330" t="s">
        <v>791</v>
      </c>
    </row>
    <row r="9" spans="2:79">
      <c r="B9" s="29" t="s">
        <v>41</v>
      </c>
      <c r="C9" s="44">
        <v>1</v>
      </c>
      <c r="E9" s="47"/>
      <c r="I9" s="48" t="s">
        <v>572</v>
      </c>
      <c r="L9" s="31">
        <v>4</v>
      </c>
      <c r="M9" s="31">
        <v>8</v>
      </c>
      <c r="N9" s="31">
        <f t="shared" si="2"/>
        <v>16</v>
      </c>
      <c r="P9" s="68">
        <v>4</v>
      </c>
      <c r="Q9" s="68" t="s">
        <v>98</v>
      </c>
      <c r="R9" s="70"/>
      <c r="S9" s="29" t="s">
        <v>98</v>
      </c>
      <c r="T9" s="29" t="s">
        <v>122</v>
      </c>
      <c r="U9" s="29" t="s">
        <v>148</v>
      </c>
      <c r="V9" s="29" t="s">
        <v>174</v>
      </c>
      <c r="W9" s="29" t="s">
        <v>203</v>
      </c>
      <c r="X9" s="29" t="s">
        <v>204</v>
      </c>
      <c r="Y9" s="29" t="s">
        <v>255</v>
      </c>
      <c r="Z9" s="29" t="str">
        <f t="shared" si="1"/>
        <v>GD</v>
      </c>
      <c r="AB9" s="6"/>
      <c r="AD9" s="6"/>
      <c r="BB9" s="330" t="s">
        <v>791</v>
      </c>
      <c r="BX9" s="29">
        <f t="shared" si="3"/>
        <v>9</v>
      </c>
      <c r="CA9" s="330" t="s">
        <v>792</v>
      </c>
    </row>
    <row r="10" spans="2:79">
      <c r="C10" s="1" t="str" cm="1">
        <f t="array" aca="1" ref="C10" ca="1">MID(CELL("filename",A1),FIND("[",CELL("filename",A1))+1,FIND("]", CELL("filename",A1))-FIND("[",CELL("filename",A1))-1)</f>
        <v>ProjectsGen.xlsm</v>
      </c>
      <c r="I10" s="48" t="s">
        <v>573</v>
      </c>
      <c r="L10" s="31">
        <v>5</v>
      </c>
      <c r="M10" s="31">
        <v>9</v>
      </c>
      <c r="N10" s="31">
        <f t="shared" si="2"/>
        <v>17</v>
      </c>
      <c r="P10" s="68">
        <v>5</v>
      </c>
      <c r="Q10" s="68" t="s">
        <v>99</v>
      </c>
      <c r="R10" s="70"/>
      <c r="S10" s="29" t="s">
        <v>99</v>
      </c>
      <c r="T10" s="29" t="s">
        <v>123</v>
      </c>
      <c r="U10" s="29" t="s">
        <v>149</v>
      </c>
      <c r="V10" s="29" t="s">
        <v>175</v>
      </c>
      <c r="W10" s="29" t="s">
        <v>205</v>
      </c>
      <c r="X10" s="29" t="s">
        <v>206</v>
      </c>
      <c r="Y10" s="29" t="s">
        <v>257</v>
      </c>
      <c r="Z10" s="29" t="str">
        <f t="shared" si="1"/>
        <v>GE</v>
      </c>
      <c r="AB10" s="6"/>
      <c r="AD10" s="6"/>
      <c r="BB10" s="330" t="s">
        <v>792</v>
      </c>
      <c r="BX10" s="29">
        <f t="shared" si="3"/>
        <v>10</v>
      </c>
      <c r="CA10" s="330" t="s">
        <v>584</v>
      </c>
    </row>
    <row r="11" spans="2:79">
      <c r="B11" s="29" t="s">
        <v>826</v>
      </c>
      <c r="C11" s="29" t="s">
        <v>1398</v>
      </c>
      <c r="E11" s="364" t="s">
        <v>371</v>
      </c>
      <c r="G11" s="328" t="s">
        <v>1064</v>
      </c>
      <c r="I11" s="48" t="s">
        <v>574</v>
      </c>
      <c r="L11" s="31">
        <v>6</v>
      </c>
      <c r="M11" s="31">
        <v>15</v>
      </c>
      <c r="N11" s="31">
        <f t="shared" si="2"/>
        <v>23</v>
      </c>
      <c r="P11" s="68">
        <v>6</v>
      </c>
      <c r="Q11" s="68" t="s">
        <v>100</v>
      </c>
      <c r="R11" s="70"/>
      <c r="S11" s="29" t="s">
        <v>100</v>
      </c>
      <c r="T11" s="29" t="s">
        <v>124</v>
      </c>
      <c r="U11" s="29" t="s">
        <v>150</v>
      </c>
      <c r="V11" s="29" t="s">
        <v>176</v>
      </c>
      <c r="W11" s="29" t="s">
        <v>207</v>
      </c>
      <c r="X11" s="29" t="s">
        <v>208</v>
      </c>
      <c r="Y11" s="29" t="s">
        <v>259</v>
      </c>
      <c r="Z11" s="29" t="str">
        <f t="shared" si="1"/>
        <v>GF</v>
      </c>
      <c r="AB11" s="6"/>
      <c r="AD11" s="6"/>
      <c r="BB11" s="330" t="s">
        <v>584</v>
      </c>
      <c r="BX11" s="29">
        <f t="shared" si="3"/>
        <v>11</v>
      </c>
      <c r="CA11" s="330" t="s">
        <v>585</v>
      </c>
    </row>
    <row r="12" spans="2:79">
      <c r="B12" s="29" t="s">
        <v>827</v>
      </c>
      <c r="C12" s="29" t="str">
        <f>"["&amp;C11&amp;"]"</f>
        <v>[ProjectsGen.xlsm]</v>
      </c>
      <c r="E12" s="168" t="s">
        <v>367</v>
      </c>
      <c r="G12" s="370" t="s">
        <v>432</v>
      </c>
      <c r="I12" s="48" t="s">
        <v>860</v>
      </c>
      <c r="L12" s="31">
        <v>7</v>
      </c>
      <c r="M12" s="31">
        <v>20</v>
      </c>
      <c r="N12" s="31">
        <f t="shared" si="2"/>
        <v>28</v>
      </c>
      <c r="P12" s="68">
        <v>7</v>
      </c>
      <c r="Q12" s="68" t="s">
        <v>101</v>
      </c>
      <c r="R12" s="70"/>
      <c r="S12" s="29" t="s">
        <v>101</v>
      </c>
      <c r="T12" s="29" t="s">
        <v>125</v>
      </c>
      <c r="U12" s="29" t="s">
        <v>151</v>
      </c>
      <c r="V12" s="29" t="s">
        <v>177</v>
      </c>
      <c r="W12" s="29" t="s">
        <v>209</v>
      </c>
      <c r="X12" s="29" t="s">
        <v>210</v>
      </c>
      <c r="Y12" s="29" t="s">
        <v>261</v>
      </c>
      <c r="Z12" s="29" t="str">
        <f t="shared" si="1"/>
        <v>GG</v>
      </c>
      <c r="AB12" s="6"/>
      <c r="AD12" s="6"/>
      <c r="BB12" s="330" t="s">
        <v>585</v>
      </c>
      <c r="BX12" s="29">
        <f t="shared" si="3"/>
        <v>12</v>
      </c>
      <c r="CA12" s="331" t="s">
        <v>1</v>
      </c>
    </row>
    <row r="13" spans="2:79">
      <c r="E13" s="110" t="s">
        <v>379</v>
      </c>
      <c r="G13" s="371" t="s">
        <v>1065</v>
      </c>
      <c r="I13" s="48" t="s">
        <v>894</v>
      </c>
      <c r="L13" s="31">
        <v>8</v>
      </c>
      <c r="M13" s="31">
        <v>30</v>
      </c>
      <c r="N13" s="31">
        <f t="shared" si="2"/>
        <v>38</v>
      </c>
      <c r="P13" s="68">
        <v>8</v>
      </c>
      <c r="Q13" s="68" t="s">
        <v>102</v>
      </c>
      <c r="R13" s="70"/>
      <c r="S13" s="29" t="s">
        <v>102</v>
      </c>
      <c r="T13" s="29" t="s">
        <v>126</v>
      </c>
      <c r="U13" s="29" t="s">
        <v>152</v>
      </c>
      <c r="V13" s="29" t="s">
        <v>178</v>
      </c>
      <c r="W13" s="29" t="s">
        <v>211</v>
      </c>
      <c r="X13" s="29" t="s">
        <v>212</v>
      </c>
      <c r="Y13" s="29" t="s">
        <v>263</v>
      </c>
      <c r="Z13" s="29" t="str">
        <f t="shared" si="1"/>
        <v>GH</v>
      </c>
      <c r="AB13" s="6"/>
      <c r="AD13" s="6"/>
      <c r="BB13" s="331" t="s">
        <v>1</v>
      </c>
      <c r="BX13" s="29">
        <f t="shared" si="3"/>
        <v>13</v>
      </c>
      <c r="CA13" s="330" t="s">
        <v>586</v>
      </c>
    </row>
    <row r="14" spans="2:79">
      <c r="B14" s="29" t="s">
        <v>360</v>
      </c>
      <c r="C14" s="29" t="s">
        <v>338</v>
      </c>
      <c r="E14" s="47"/>
      <c r="I14" s="48" t="s">
        <v>1025</v>
      </c>
      <c r="L14" s="31">
        <v>9</v>
      </c>
      <c r="M14" s="31">
        <v>40</v>
      </c>
      <c r="N14" s="31">
        <f t="shared" si="2"/>
        <v>48</v>
      </c>
      <c r="P14" s="68">
        <v>9</v>
      </c>
      <c r="Q14" s="68" t="s">
        <v>103</v>
      </c>
      <c r="R14" s="70"/>
      <c r="S14" s="29" t="s">
        <v>103</v>
      </c>
      <c r="T14" s="29" t="s">
        <v>127</v>
      </c>
      <c r="U14" s="29" t="s">
        <v>153</v>
      </c>
      <c r="V14" s="29" t="s">
        <v>179</v>
      </c>
      <c r="W14" s="29" t="s">
        <v>213</v>
      </c>
      <c r="X14" s="29" t="s">
        <v>214</v>
      </c>
      <c r="Y14" s="29" t="s">
        <v>265</v>
      </c>
      <c r="Z14" s="29" t="str">
        <f t="shared" si="1"/>
        <v>GI</v>
      </c>
      <c r="AB14" s="6"/>
      <c r="AC14" s="6"/>
      <c r="AD14" s="6"/>
      <c r="AU14"/>
      <c r="BB14" s="330" t="s">
        <v>586</v>
      </c>
      <c r="BX14" s="29">
        <f t="shared" si="3"/>
        <v>14</v>
      </c>
      <c r="CA14" s="330" t="s">
        <v>587</v>
      </c>
    </row>
    <row r="15" spans="2:79">
      <c r="B15" s="29" t="s">
        <v>361</v>
      </c>
      <c r="C15" s="29" t="s">
        <v>362</v>
      </c>
      <c r="I15" s="48"/>
      <c r="L15" s="31">
        <v>10</v>
      </c>
      <c r="M15" s="31">
        <v>50</v>
      </c>
      <c r="N15" s="31">
        <f t="shared" si="2"/>
        <v>58</v>
      </c>
      <c r="P15" s="68">
        <v>10</v>
      </c>
      <c r="Q15" s="68" t="s">
        <v>104</v>
      </c>
      <c r="R15" s="70"/>
      <c r="S15" s="29" t="s">
        <v>104</v>
      </c>
      <c r="T15" s="29" t="s">
        <v>128</v>
      </c>
      <c r="U15" s="29" t="s">
        <v>154</v>
      </c>
      <c r="V15" s="29" t="s">
        <v>180</v>
      </c>
      <c r="W15" s="29" t="s">
        <v>215</v>
      </c>
      <c r="X15" s="29" t="s">
        <v>216</v>
      </c>
      <c r="Y15" s="29" t="s">
        <v>267</v>
      </c>
      <c r="Z15" s="29" t="str">
        <f t="shared" si="1"/>
        <v>GJ</v>
      </c>
      <c r="AD15" s="6"/>
      <c r="BB15" s="330" t="s">
        <v>587</v>
      </c>
      <c r="BX15" s="29">
        <f t="shared" si="3"/>
        <v>15</v>
      </c>
      <c r="CA15" s="331" t="s">
        <v>1</v>
      </c>
    </row>
    <row r="16" spans="2:79">
      <c r="B16" s="29" t="s">
        <v>358</v>
      </c>
      <c r="C16" s="29" t="s">
        <v>356</v>
      </c>
      <c r="E16" s="220" t="s">
        <v>851</v>
      </c>
      <c r="G16" s="328" t="s">
        <v>1243</v>
      </c>
      <c r="I16" s="48"/>
      <c r="P16" s="68">
        <v>11</v>
      </c>
      <c r="Q16" s="68" t="s">
        <v>105</v>
      </c>
      <c r="R16" s="70"/>
      <c r="S16" s="29" t="s">
        <v>105</v>
      </c>
      <c r="T16" s="29" t="s">
        <v>129</v>
      </c>
      <c r="U16" s="29" t="s">
        <v>155</v>
      </c>
      <c r="V16" s="29" t="s">
        <v>181</v>
      </c>
      <c r="W16" s="29" t="s">
        <v>217</v>
      </c>
      <c r="X16" s="29" t="s">
        <v>218</v>
      </c>
      <c r="Y16" s="29" t="s">
        <v>269</v>
      </c>
      <c r="Z16" s="29" t="str">
        <f t="shared" si="1"/>
        <v>GK</v>
      </c>
      <c r="AB16" s="6"/>
      <c r="AD16" s="6"/>
      <c r="BB16" s="331" t="s">
        <v>1</v>
      </c>
      <c r="BX16" s="29">
        <f t="shared" si="3"/>
        <v>16</v>
      </c>
      <c r="CA16" s="330" t="s">
        <v>1298</v>
      </c>
    </row>
    <row r="17" spans="2:79">
      <c r="B17" s="29" t="s">
        <v>359</v>
      </c>
      <c r="C17" s="29" t="s">
        <v>357</v>
      </c>
      <c r="E17" s="48" t="s">
        <v>849</v>
      </c>
      <c r="G17" s="446" t="s">
        <v>367</v>
      </c>
      <c r="I17" s="48"/>
      <c r="L17" s="368" t="s">
        <v>40</v>
      </c>
      <c r="P17" s="68">
        <v>12</v>
      </c>
      <c r="Q17" s="68" t="s">
        <v>106</v>
      </c>
      <c r="R17" s="70"/>
      <c r="S17" s="29" t="s">
        <v>106</v>
      </c>
      <c r="T17" s="29" t="s">
        <v>130</v>
      </c>
      <c r="U17" s="29" t="s">
        <v>156</v>
      </c>
      <c r="V17" s="29" t="s">
        <v>182</v>
      </c>
      <c r="W17" s="29" t="s">
        <v>219</v>
      </c>
      <c r="X17" s="29" t="s">
        <v>220</v>
      </c>
      <c r="Y17" s="29" t="s">
        <v>271</v>
      </c>
      <c r="Z17" s="29" t="str">
        <f t="shared" si="1"/>
        <v>GL</v>
      </c>
      <c r="AB17" s="6"/>
      <c r="AD17" s="6"/>
      <c r="BB17" s="330" t="s">
        <v>1298</v>
      </c>
      <c r="BX17" s="29">
        <f t="shared" si="3"/>
        <v>17</v>
      </c>
      <c r="CA17" s="330" t="s">
        <v>1299</v>
      </c>
    </row>
    <row r="18" spans="2:79">
      <c r="B18" s="29" t="s">
        <v>425</v>
      </c>
      <c r="C18" s="29" t="s">
        <v>424</v>
      </c>
      <c r="E18" s="48" t="s">
        <v>852</v>
      </c>
      <c r="G18" s="447" t="s">
        <v>379</v>
      </c>
      <c r="I18" s="48"/>
      <c r="L18" s="365" t="s">
        <v>35</v>
      </c>
      <c r="P18" s="68">
        <v>13</v>
      </c>
      <c r="Q18" s="68" t="s">
        <v>107</v>
      </c>
      <c r="R18" s="70"/>
      <c r="S18" s="29" t="s">
        <v>107</v>
      </c>
      <c r="T18" s="29" t="s">
        <v>131</v>
      </c>
      <c r="U18" s="29" t="s">
        <v>157</v>
      </c>
      <c r="V18" s="29" t="s">
        <v>183</v>
      </c>
      <c r="W18" s="29" t="s">
        <v>221</v>
      </c>
      <c r="X18" s="29" t="s">
        <v>222</v>
      </c>
      <c r="Y18" s="29" t="s">
        <v>273</v>
      </c>
      <c r="Z18" s="29" t="str">
        <f t="shared" si="1"/>
        <v>GM</v>
      </c>
      <c r="AB18" s="6"/>
      <c r="AD18" s="6"/>
      <c r="BB18" s="330" t="s">
        <v>1299</v>
      </c>
      <c r="BX18" s="29">
        <f t="shared" si="3"/>
        <v>18</v>
      </c>
      <c r="CA18" s="330" t="s">
        <v>1300</v>
      </c>
    </row>
    <row r="19" spans="2:79">
      <c r="E19" s="48" t="s">
        <v>853</v>
      </c>
      <c r="G19" s="370" t="s">
        <v>1245</v>
      </c>
      <c r="I19" s="48"/>
      <c r="L19" s="367" t="s">
        <v>36</v>
      </c>
      <c r="P19" s="68">
        <v>14</v>
      </c>
      <c r="Q19" s="68" t="s">
        <v>65</v>
      </c>
      <c r="R19" s="70"/>
      <c r="S19" s="29" t="s">
        <v>65</v>
      </c>
      <c r="T19" s="29" t="s">
        <v>132</v>
      </c>
      <c r="U19" s="29" t="s">
        <v>158</v>
      </c>
      <c r="V19" s="29" t="s">
        <v>184</v>
      </c>
      <c r="W19" s="29" t="s">
        <v>223</v>
      </c>
      <c r="X19" s="29" t="s">
        <v>224</v>
      </c>
      <c r="Y19" s="29" t="s">
        <v>275</v>
      </c>
      <c r="Z19" s="29" t="str">
        <f t="shared" si="1"/>
        <v>GN</v>
      </c>
      <c r="AB19" s="6"/>
      <c r="AD19" s="6"/>
      <c r="BB19" s="330" t="s">
        <v>1300</v>
      </c>
      <c r="BX19" s="29">
        <f t="shared" si="3"/>
        <v>19</v>
      </c>
      <c r="CA19" s="330" t="s">
        <v>1301</v>
      </c>
    </row>
    <row r="20" spans="2:79">
      <c r="E20" s="48"/>
      <c r="G20" s="370" t="s">
        <v>1246</v>
      </c>
      <c r="I20" s="48"/>
      <c r="P20" s="68">
        <v>15</v>
      </c>
      <c r="Q20" s="68" t="s">
        <v>108</v>
      </c>
      <c r="R20" s="70"/>
      <c r="S20" s="29" t="s">
        <v>108</v>
      </c>
      <c r="T20" s="29" t="s">
        <v>133</v>
      </c>
      <c r="U20" s="29" t="s">
        <v>159</v>
      </c>
      <c r="V20" s="29" t="s">
        <v>185</v>
      </c>
      <c r="W20" s="29" t="s">
        <v>225</v>
      </c>
      <c r="X20" s="29" t="s">
        <v>226</v>
      </c>
      <c r="Y20" s="29" t="s">
        <v>277</v>
      </c>
      <c r="Z20" s="29" t="str">
        <f t="shared" si="1"/>
        <v>GO</v>
      </c>
      <c r="AD20" s="6"/>
      <c r="BB20" s="330" t="s">
        <v>1301</v>
      </c>
      <c r="BX20" s="29">
        <f t="shared" si="3"/>
        <v>20</v>
      </c>
      <c r="CA20" s="330" t="s">
        <v>1302</v>
      </c>
    </row>
    <row r="21" spans="2:79">
      <c r="B21" s="121" t="s">
        <v>850</v>
      </c>
      <c r="C21" s="121" t="s">
        <v>428</v>
      </c>
      <c r="E21" s="48"/>
      <c r="G21" s="370" t="s">
        <v>1244</v>
      </c>
      <c r="I21" s="48"/>
      <c r="P21" s="68">
        <v>16</v>
      </c>
      <c r="Q21" s="68" t="s">
        <v>109</v>
      </c>
      <c r="R21" s="70"/>
      <c r="S21" s="29" t="s">
        <v>109</v>
      </c>
      <c r="T21" s="29" t="s">
        <v>134</v>
      </c>
      <c r="U21" s="29" t="s">
        <v>160</v>
      </c>
      <c r="V21" s="29" t="s">
        <v>186</v>
      </c>
      <c r="W21" s="29" t="s">
        <v>227</v>
      </c>
      <c r="X21" s="29" t="s">
        <v>228</v>
      </c>
      <c r="Y21" s="29" t="s">
        <v>278</v>
      </c>
      <c r="Z21" s="29" t="str">
        <f t="shared" si="1"/>
        <v>GP</v>
      </c>
      <c r="AD21" s="6"/>
      <c r="BB21" s="330" t="s">
        <v>1302</v>
      </c>
      <c r="BX21" s="29">
        <f t="shared" si="3"/>
        <v>21</v>
      </c>
      <c r="CA21" s="330" t="s">
        <v>1303</v>
      </c>
    </row>
    <row r="22" spans="2:79">
      <c r="B22" s="29" t="s">
        <v>424</v>
      </c>
      <c r="C22" s="29" t="s">
        <v>357</v>
      </c>
      <c r="E22" s="47"/>
      <c r="G22" s="371"/>
      <c r="I22" s="47"/>
      <c r="P22" s="68">
        <v>17</v>
      </c>
      <c r="Q22" s="68" t="s">
        <v>110</v>
      </c>
      <c r="R22" s="70"/>
      <c r="S22" s="29" t="s">
        <v>110</v>
      </c>
      <c r="T22" s="29" t="s">
        <v>135</v>
      </c>
      <c r="U22" s="29" t="s">
        <v>161</v>
      </c>
      <c r="V22" s="29" t="s">
        <v>187</v>
      </c>
      <c r="W22" s="29" t="s">
        <v>229</v>
      </c>
      <c r="X22" s="29" t="s">
        <v>230</v>
      </c>
      <c r="Y22" s="29" t="s">
        <v>280</v>
      </c>
      <c r="Z22" s="29" t="str">
        <f t="shared" si="1"/>
        <v>GQ</v>
      </c>
      <c r="AD22" s="6"/>
      <c r="BB22" s="330" t="s">
        <v>1303</v>
      </c>
      <c r="BX22" s="29">
        <f t="shared" si="3"/>
        <v>22</v>
      </c>
      <c r="CA22" s="331" t="s">
        <v>1</v>
      </c>
    </row>
    <row r="23" spans="2:79">
      <c r="B23" s="29" t="s">
        <v>423</v>
      </c>
      <c r="C23" s="29" t="s">
        <v>427</v>
      </c>
      <c r="P23" s="68">
        <v>18</v>
      </c>
      <c r="Q23" s="68" t="s">
        <v>111</v>
      </c>
      <c r="R23" s="70"/>
      <c r="S23" s="29" t="s">
        <v>111</v>
      </c>
      <c r="T23" s="29" t="s">
        <v>136</v>
      </c>
      <c r="U23" s="29" t="s">
        <v>162</v>
      </c>
      <c r="V23" s="29" t="s">
        <v>188</v>
      </c>
      <c r="W23" s="29" t="s">
        <v>231</v>
      </c>
      <c r="X23" s="29" t="s">
        <v>232</v>
      </c>
      <c r="Y23" s="29" t="s">
        <v>282</v>
      </c>
      <c r="Z23" s="29" t="str">
        <f t="shared" si="1"/>
        <v>GR</v>
      </c>
      <c r="AD23" s="6"/>
      <c r="BB23" s="331" t="s">
        <v>1</v>
      </c>
      <c r="BX23" s="29">
        <f t="shared" si="3"/>
        <v>23</v>
      </c>
      <c r="CA23" s="330" t="s">
        <v>781</v>
      </c>
    </row>
    <row r="24" spans="2:79">
      <c r="B24" s="29"/>
      <c r="C24" s="29"/>
      <c r="P24" s="68">
        <v>19</v>
      </c>
      <c r="Q24" s="68" t="s">
        <v>112</v>
      </c>
      <c r="R24" s="70"/>
      <c r="S24" s="29" t="s">
        <v>112</v>
      </c>
      <c r="T24" s="29" t="s">
        <v>137</v>
      </c>
      <c r="U24" s="29" t="s">
        <v>163</v>
      </c>
      <c r="V24" s="29" t="s">
        <v>189</v>
      </c>
      <c r="W24" s="29" t="s">
        <v>233</v>
      </c>
      <c r="X24" s="29" t="s">
        <v>234</v>
      </c>
      <c r="Y24" s="29" t="s">
        <v>284</v>
      </c>
      <c r="Z24" s="29" t="str">
        <f t="shared" si="1"/>
        <v>GS</v>
      </c>
      <c r="AD24" s="6"/>
      <c r="AS24" s="289"/>
      <c r="BB24" s="330" t="s">
        <v>781</v>
      </c>
      <c r="BX24" s="29">
        <f t="shared" si="3"/>
        <v>24</v>
      </c>
      <c r="CA24" s="330" t="s">
        <v>588</v>
      </c>
    </row>
    <row r="25" spans="2:79">
      <c r="B25" s="29"/>
      <c r="C25" s="29"/>
      <c r="P25" s="68">
        <v>20</v>
      </c>
      <c r="Q25" s="68" t="s">
        <v>113</v>
      </c>
      <c r="R25" s="70"/>
      <c r="S25" s="29" t="s">
        <v>113</v>
      </c>
      <c r="T25" s="29" t="s">
        <v>138</v>
      </c>
      <c r="U25" s="29" t="s">
        <v>164</v>
      </c>
      <c r="V25" s="29" t="s">
        <v>190</v>
      </c>
      <c r="W25" s="29" t="s">
        <v>235</v>
      </c>
      <c r="X25" s="29" t="s">
        <v>236</v>
      </c>
      <c r="Y25" s="29" t="s">
        <v>286</v>
      </c>
      <c r="Z25" s="29" t="str">
        <f t="shared" si="1"/>
        <v>GT</v>
      </c>
      <c r="AC25" s="6"/>
      <c r="BB25" s="330" t="s">
        <v>588</v>
      </c>
      <c r="BX25" s="29">
        <f t="shared" si="3"/>
        <v>25</v>
      </c>
      <c r="CA25" s="330" t="s">
        <v>589</v>
      </c>
    </row>
    <row r="26" spans="2:79">
      <c r="P26" s="68">
        <v>21</v>
      </c>
      <c r="Q26" s="68" t="s">
        <v>114</v>
      </c>
      <c r="R26" s="70"/>
      <c r="S26" s="29" t="s">
        <v>114</v>
      </c>
      <c r="T26" s="29" t="s">
        <v>139</v>
      </c>
      <c r="U26" s="29" t="s">
        <v>165</v>
      </c>
      <c r="V26" s="29" t="s">
        <v>191</v>
      </c>
      <c r="W26" s="29" t="s">
        <v>237</v>
      </c>
      <c r="X26" s="29" t="s">
        <v>238</v>
      </c>
      <c r="Y26" s="29" t="s">
        <v>288</v>
      </c>
      <c r="Z26" s="29" t="str">
        <f t="shared" si="1"/>
        <v>GU</v>
      </c>
      <c r="BB26" s="330" t="s">
        <v>589</v>
      </c>
      <c r="BX26" s="29">
        <f t="shared" si="3"/>
        <v>26</v>
      </c>
      <c r="CA26" s="330" t="s">
        <v>590</v>
      </c>
    </row>
    <row r="27" spans="2:79">
      <c r="B27" s="68" t="s">
        <v>900</v>
      </c>
      <c r="C27" s="68">
        <v>6</v>
      </c>
      <c r="E27" s="364" t="s">
        <v>1029</v>
      </c>
      <c r="G27" s="109" t="s">
        <v>372</v>
      </c>
      <c r="I27" s="157" t="s">
        <v>513</v>
      </c>
      <c r="P27" s="68">
        <v>22</v>
      </c>
      <c r="Q27" s="68" t="s">
        <v>115</v>
      </c>
      <c r="R27" s="70"/>
      <c r="S27" s="29" t="s">
        <v>115</v>
      </c>
      <c r="T27" s="29" t="s">
        <v>140</v>
      </c>
      <c r="U27" s="29" t="s">
        <v>166</v>
      </c>
      <c r="V27" s="29" t="s">
        <v>192</v>
      </c>
      <c r="W27" s="29" t="s">
        <v>239</v>
      </c>
      <c r="X27" s="29" t="s">
        <v>240</v>
      </c>
      <c r="Y27" s="29" t="s">
        <v>290</v>
      </c>
      <c r="Z27" s="29" t="str">
        <f t="shared" si="1"/>
        <v>GV</v>
      </c>
      <c r="BB27" s="330" t="s">
        <v>590</v>
      </c>
      <c r="BX27" s="29">
        <f t="shared" si="3"/>
        <v>27</v>
      </c>
      <c r="CA27" s="330" t="s">
        <v>768</v>
      </c>
    </row>
    <row r="28" spans="2:79">
      <c r="B28" s="68" t="s">
        <v>899</v>
      </c>
      <c r="C28" s="68" t="str">
        <f>REPT(" ",6)</f>
        <v xml:space="preserve">      </v>
      </c>
      <c r="E28" s="46" t="s">
        <v>1028</v>
      </c>
      <c r="G28" s="110" t="s">
        <v>1060</v>
      </c>
      <c r="I28" s="48" t="s">
        <v>868</v>
      </c>
      <c r="P28" s="68">
        <v>23</v>
      </c>
      <c r="Q28" s="68" t="s">
        <v>116</v>
      </c>
      <c r="R28" s="70"/>
      <c r="S28" s="29" t="s">
        <v>116</v>
      </c>
      <c r="T28" s="29" t="s">
        <v>141</v>
      </c>
      <c r="U28" s="29" t="s">
        <v>167</v>
      </c>
      <c r="V28" s="29" t="s">
        <v>193</v>
      </c>
      <c r="W28" s="29" t="s">
        <v>241</v>
      </c>
      <c r="X28" s="29" t="s">
        <v>242</v>
      </c>
      <c r="Y28" s="29" t="s">
        <v>292</v>
      </c>
      <c r="Z28" s="29" t="str">
        <f t="shared" si="1"/>
        <v>GW</v>
      </c>
      <c r="BB28" s="330" t="s">
        <v>768</v>
      </c>
      <c r="BX28" s="29">
        <f t="shared" si="3"/>
        <v>28</v>
      </c>
      <c r="CA28" s="330" t="s">
        <v>767</v>
      </c>
    </row>
    <row r="29" spans="2:79">
      <c r="E29" s="48" t="s">
        <v>1030</v>
      </c>
      <c r="G29" s="110" t="s">
        <v>363</v>
      </c>
      <c r="I29" s="48" t="s">
        <v>869</v>
      </c>
      <c r="P29" s="68">
        <v>24</v>
      </c>
      <c r="Q29" s="68" t="s">
        <v>117</v>
      </c>
      <c r="R29" s="70"/>
      <c r="S29" s="29" t="s">
        <v>117</v>
      </c>
      <c r="T29" s="29" t="s">
        <v>142</v>
      </c>
      <c r="U29" s="29" t="s">
        <v>168</v>
      </c>
      <c r="V29" s="29" t="s">
        <v>194</v>
      </c>
      <c r="W29" s="29" t="s">
        <v>243</v>
      </c>
      <c r="X29" s="29" t="s">
        <v>244</v>
      </c>
      <c r="Y29" s="29" t="s">
        <v>294</v>
      </c>
      <c r="Z29" s="29" t="str">
        <f t="shared" si="1"/>
        <v>GX</v>
      </c>
      <c r="BB29" s="330" t="s">
        <v>767</v>
      </c>
      <c r="BX29" s="29">
        <f t="shared" si="3"/>
        <v>29</v>
      </c>
      <c r="CA29" s="330" t="s">
        <v>591</v>
      </c>
    </row>
    <row r="30" spans="2:79">
      <c r="E30" s="48" t="s">
        <v>1032</v>
      </c>
      <c r="G30" s="48" t="s">
        <v>373</v>
      </c>
      <c r="I30" s="48" t="s">
        <v>512</v>
      </c>
      <c r="P30" s="68">
        <v>25</v>
      </c>
      <c r="Q30" s="68" t="s">
        <v>61</v>
      </c>
      <c r="R30" s="70"/>
      <c r="S30" s="29" t="s">
        <v>61</v>
      </c>
      <c r="T30" s="29" t="s">
        <v>143</v>
      </c>
      <c r="U30" s="29" t="s">
        <v>169</v>
      </c>
      <c r="V30" s="29" t="s">
        <v>195</v>
      </c>
      <c r="W30" s="29" t="s">
        <v>245</v>
      </c>
      <c r="X30" s="29" t="s">
        <v>246</v>
      </c>
      <c r="Y30" s="29" t="s">
        <v>296</v>
      </c>
      <c r="Z30" s="29" t="str">
        <f t="shared" si="1"/>
        <v>GY</v>
      </c>
      <c r="BB30" s="330" t="s">
        <v>591</v>
      </c>
      <c r="BX30" s="29">
        <f t="shared" si="3"/>
        <v>30</v>
      </c>
      <c r="CA30" s="330" t="s">
        <v>764</v>
      </c>
    </row>
    <row r="31" spans="2:79">
      <c r="B31" s="281" t="s">
        <v>901</v>
      </c>
      <c r="C31" s="108" t="str">
        <f>DBTableList!G7</f>
        <v>C:\inetpub\wwwroot\UtilityWebApp\App_Data\</v>
      </c>
      <c r="E31" s="48" t="s">
        <v>1038</v>
      </c>
      <c r="G31" s="48" t="s">
        <v>524</v>
      </c>
      <c r="I31" s="48" t="s">
        <v>870</v>
      </c>
      <c r="P31" s="68">
        <v>26</v>
      </c>
      <c r="Q31" s="68" t="s">
        <v>118</v>
      </c>
      <c r="R31" s="70"/>
      <c r="S31" s="29" t="s">
        <v>118</v>
      </c>
      <c r="T31" s="29" t="s">
        <v>144</v>
      </c>
      <c r="U31" s="29" t="s">
        <v>170</v>
      </c>
      <c r="V31" s="29" t="s">
        <v>196</v>
      </c>
      <c r="W31" s="29" t="s">
        <v>247</v>
      </c>
      <c r="X31" s="29" t="s">
        <v>248</v>
      </c>
      <c r="Y31" s="29" t="s">
        <v>298</v>
      </c>
      <c r="Z31" s="29" t="str">
        <f t="shared" si="1"/>
        <v>GZ</v>
      </c>
      <c r="BB31" s="330" t="s">
        <v>764</v>
      </c>
      <c r="BX31" s="29">
        <f t="shared" si="3"/>
        <v>31</v>
      </c>
      <c r="CA31" s="330" t="s">
        <v>769</v>
      </c>
    </row>
    <row r="32" spans="2:79">
      <c r="B32" s="281" t="s">
        <v>902</v>
      </c>
      <c r="C32" s="108" t="str">
        <f>DBTableList!G8</f>
        <v>CBSModelCtl.json</v>
      </c>
      <c r="E32" s="48" t="s">
        <v>1062</v>
      </c>
      <c r="G32" s="48" t="s">
        <v>1061</v>
      </c>
      <c r="I32" s="48" t="s">
        <v>506</v>
      </c>
      <c r="P32" s="68">
        <v>27</v>
      </c>
      <c r="Q32" s="68" t="s">
        <v>119</v>
      </c>
      <c r="R32" s="70"/>
      <c r="BB32" s="330" t="s">
        <v>769</v>
      </c>
      <c r="BX32" s="29">
        <f t="shared" si="3"/>
        <v>32</v>
      </c>
      <c r="CA32" s="330" t="s">
        <v>770</v>
      </c>
    </row>
    <row r="33" spans="2:79">
      <c r="E33" s="48" t="s">
        <v>1063</v>
      </c>
      <c r="G33" s="48" t="s">
        <v>12</v>
      </c>
      <c r="I33" s="48"/>
      <c r="P33" s="68">
        <v>28</v>
      </c>
      <c r="Q33" s="68" t="s">
        <v>120</v>
      </c>
      <c r="R33" s="70"/>
      <c r="BB33" s="330" t="s">
        <v>770</v>
      </c>
      <c r="BX33" s="29">
        <f t="shared" si="3"/>
        <v>33</v>
      </c>
      <c r="CA33" s="330" t="s">
        <v>765</v>
      </c>
    </row>
    <row r="34" spans="2:79">
      <c r="B34" s="312" t="s">
        <v>662</v>
      </c>
      <c r="C34" s="313"/>
      <c r="E34" s="47"/>
      <c r="G34" s="47"/>
      <c r="I34" s="48"/>
      <c r="P34" s="68">
        <v>29</v>
      </c>
      <c r="Q34" s="68" t="s">
        <v>121</v>
      </c>
      <c r="R34" s="70"/>
      <c r="BB34" s="330" t="s">
        <v>765</v>
      </c>
      <c r="BX34" s="29">
        <f t="shared" si="3"/>
        <v>34</v>
      </c>
      <c r="CA34" s="330" t="s">
        <v>766</v>
      </c>
    </row>
    <row r="35" spans="2:79">
      <c r="B35" s="314" t="s">
        <v>663</v>
      </c>
      <c r="C35" s="315"/>
      <c r="I35" s="47"/>
      <c r="P35" s="68">
        <v>30</v>
      </c>
      <c r="Q35" s="68" t="s">
        <v>122</v>
      </c>
      <c r="R35" s="70"/>
      <c r="BB35" s="330" t="s">
        <v>766</v>
      </c>
      <c r="BX35" s="29">
        <f t="shared" si="3"/>
        <v>35</v>
      </c>
      <c r="CA35" s="330" t="s">
        <v>592</v>
      </c>
    </row>
    <row r="36" spans="2:79">
      <c r="B36" s="316" t="s">
        <v>664</v>
      </c>
      <c r="C36" s="317"/>
      <c r="P36" s="68">
        <v>31</v>
      </c>
      <c r="Q36" s="68" t="s">
        <v>123</v>
      </c>
      <c r="R36" s="70"/>
      <c r="BB36" s="330" t="s">
        <v>592</v>
      </c>
      <c r="BX36" s="29">
        <f t="shared" si="3"/>
        <v>36</v>
      </c>
      <c r="CA36" s="331" t="s">
        <v>1</v>
      </c>
    </row>
    <row r="37" spans="2:79">
      <c r="G37" s="157" t="s">
        <v>1437</v>
      </c>
      <c r="I37" s="157" t="s">
        <v>567</v>
      </c>
      <c r="P37" s="68">
        <v>32</v>
      </c>
      <c r="Q37" s="68" t="s">
        <v>124</v>
      </c>
      <c r="R37" s="70"/>
      <c r="BB37" s="331" t="s">
        <v>1</v>
      </c>
      <c r="BX37" s="29">
        <f t="shared" si="3"/>
        <v>37</v>
      </c>
      <c r="CA37" s="330" t="s">
        <v>697</v>
      </c>
    </row>
    <row r="38" spans="2:79">
      <c r="G38" s="370" t="s">
        <v>1435</v>
      </c>
      <c r="I38" s="48" t="s">
        <v>868</v>
      </c>
      <c r="P38" s="68">
        <v>33</v>
      </c>
      <c r="Q38" s="68" t="s">
        <v>125</v>
      </c>
      <c r="R38" s="70"/>
      <c r="BB38" s="330" t="s">
        <v>697</v>
      </c>
      <c r="BX38" s="29">
        <f t="shared" si="3"/>
        <v>38</v>
      </c>
      <c r="CA38" s="330" t="s">
        <v>594</v>
      </c>
    </row>
    <row r="39" spans="2:79">
      <c r="B39" s="109" t="s">
        <v>374</v>
      </c>
      <c r="C39" s="157" t="s">
        <v>376</v>
      </c>
      <c r="G39" s="370" t="s">
        <v>1438</v>
      </c>
      <c r="I39" s="48" t="s">
        <v>869</v>
      </c>
      <c r="P39" s="68">
        <v>34</v>
      </c>
      <c r="Q39" s="68" t="s">
        <v>126</v>
      </c>
      <c r="R39" s="70"/>
      <c r="BB39" s="330" t="s">
        <v>594</v>
      </c>
      <c r="BX39" s="29">
        <f t="shared" si="3"/>
        <v>39</v>
      </c>
      <c r="CA39" s="330" t="s">
        <v>595</v>
      </c>
    </row>
    <row r="40" spans="2:79">
      <c r="B40" s="48" t="s">
        <v>368</v>
      </c>
      <c r="C40" s="111" t="str">
        <f>" { type:"&amp;CHAR(34)&amp;"fixedPoint"&amp;CHAR(34)&amp;", precision: 2 }"</f>
        <v xml:space="preserve"> { type:"fixedPoint", precision: 2 }</v>
      </c>
      <c r="G40" s="370" t="s">
        <v>1439</v>
      </c>
      <c r="I40" s="48" t="s">
        <v>512</v>
      </c>
      <c r="P40" s="68">
        <v>35</v>
      </c>
      <c r="Q40" s="68" t="s">
        <v>127</v>
      </c>
      <c r="R40" s="70"/>
      <c r="BB40" s="330" t="s">
        <v>595</v>
      </c>
      <c r="BX40" s="29">
        <f t="shared" si="3"/>
        <v>40</v>
      </c>
      <c r="CA40" s="330" t="s">
        <v>596</v>
      </c>
    </row>
    <row r="41" spans="2:79">
      <c r="B41" s="48" t="s">
        <v>375</v>
      </c>
      <c r="C41" s="111" t="str">
        <f>" { type:"&amp;CHAR(34)&amp;"pattern"&amp;CHAR(34)&amp;", pattern: /^\(\d{3}\) \d{3}-\d{4}$/i  }"</f>
        <v xml:space="preserve"> { type:"pattern", pattern: /^\(\d{3}\) \d{3}-\d{4}$/i  }</v>
      </c>
      <c r="E41" s="363"/>
      <c r="G41" s="370"/>
      <c r="I41" s="48" t="s">
        <v>870</v>
      </c>
      <c r="P41" s="68">
        <v>36</v>
      </c>
      <c r="Q41" s="68" t="s">
        <v>128</v>
      </c>
      <c r="R41" s="70"/>
      <c r="BB41" s="330" t="s">
        <v>596</v>
      </c>
      <c r="BX41" s="29">
        <f t="shared" si="3"/>
        <v>41</v>
      </c>
      <c r="CA41" s="330" t="s">
        <v>593</v>
      </c>
    </row>
    <row r="42" spans="2:79">
      <c r="B42" s="48" t="s">
        <v>433</v>
      </c>
      <c r="C42" s="112"/>
      <c r="E42" s="363"/>
      <c r="G42" s="370"/>
      <c r="I42" s="48" t="s">
        <v>506</v>
      </c>
      <c r="P42" s="68">
        <v>37</v>
      </c>
      <c r="Q42" s="68" t="s">
        <v>129</v>
      </c>
      <c r="R42" s="70"/>
      <c r="BB42" s="330" t="s">
        <v>593</v>
      </c>
      <c r="BX42" s="29">
        <f t="shared" si="3"/>
        <v>42</v>
      </c>
      <c r="CA42" s="330" t="s">
        <v>597</v>
      </c>
    </row>
    <row r="43" spans="2:79">
      <c r="B43" s="48"/>
      <c r="C43" s="112"/>
      <c r="E43" s="363"/>
      <c r="G43" s="370"/>
      <c r="I43" s="48"/>
      <c r="P43" s="68">
        <v>38</v>
      </c>
      <c r="Q43" s="68" t="s">
        <v>130</v>
      </c>
      <c r="R43" s="70"/>
      <c r="BB43" s="330" t="s">
        <v>597</v>
      </c>
      <c r="BX43" s="29">
        <f t="shared" si="3"/>
        <v>43</v>
      </c>
      <c r="CA43" s="330" t="s">
        <v>598</v>
      </c>
    </row>
    <row r="44" spans="2:79">
      <c r="B44" s="48"/>
      <c r="C44" s="112"/>
      <c r="E44" s="363"/>
      <c r="G44" s="370"/>
      <c r="I44" s="48"/>
      <c r="P44" s="68">
        <v>39</v>
      </c>
      <c r="Q44" s="68" t="s">
        <v>131</v>
      </c>
      <c r="R44" s="70"/>
      <c r="BB44" s="330" t="s">
        <v>598</v>
      </c>
      <c r="BX44" s="29">
        <f t="shared" si="3"/>
        <v>44</v>
      </c>
      <c r="CA44" s="330" t="s">
        <v>599</v>
      </c>
    </row>
    <row r="45" spans="2:79">
      <c r="B45" s="48"/>
      <c r="C45" s="112"/>
      <c r="E45" s="363"/>
      <c r="G45" s="371"/>
      <c r="I45" s="47"/>
      <c r="P45" s="68">
        <v>40</v>
      </c>
      <c r="Q45" s="68" t="s">
        <v>132</v>
      </c>
      <c r="R45" s="70"/>
      <c r="BB45" s="330" t="s">
        <v>599</v>
      </c>
      <c r="BX45" s="29">
        <f t="shared" si="3"/>
        <v>45</v>
      </c>
      <c r="CA45" s="330" t="s">
        <v>1308</v>
      </c>
    </row>
    <row r="46" spans="2:79">
      <c r="B46" s="48"/>
      <c r="C46" s="112"/>
      <c r="E46" s="363"/>
      <c r="P46" s="68">
        <v>41</v>
      </c>
      <c r="Q46" s="68" t="s">
        <v>133</v>
      </c>
      <c r="R46" s="70"/>
      <c r="BB46" s="330" t="s">
        <v>1308</v>
      </c>
      <c r="BX46" s="29">
        <f t="shared" si="3"/>
        <v>46</v>
      </c>
      <c r="CA46" s="330" t="s">
        <v>1307</v>
      </c>
    </row>
    <row r="47" spans="2:79">
      <c r="B47" s="47"/>
      <c r="C47" s="113"/>
      <c r="E47" s="363"/>
      <c r="P47" s="68">
        <v>42</v>
      </c>
      <c r="Q47" s="68" t="s">
        <v>134</v>
      </c>
      <c r="R47" s="70"/>
      <c r="BB47" s="330" t="s">
        <v>1307</v>
      </c>
      <c r="BX47" s="29">
        <f t="shared" si="3"/>
        <v>47</v>
      </c>
      <c r="CA47" s="330" t="s">
        <v>1306</v>
      </c>
    </row>
    <row r="48" spans="2:79">
      <c r="E48" s="363"/>
      <c r="P48" s="68">
        <v>43</v>
      </c>
      <c r="Q48" s="68" t="s">
        <v>135</v>
      </c>
      <c r="R48" s="70"/>
      <c r="BB48" s="330" t="s">
        <v>1306</v>
      </c>
      <c r="BX48" s="29">
        <f t="shared" si="3"/>
        <v>48</v>
      </c>
      <c r="CA48" s="330" t="s">
        <v>1304</v>
      </c>
    </row>
    <row r="49" spans="2:79">
      <c r="E49" s="363"/>
      <c r="P49" s="68">
        <v>44</v>
      </c>
      <c r="Q49" s="68" t="s">
        <v>136</v>
      </c>
      <c r="R49" s="70"/>
      <c r="AR49"/>
      <c r="BB49" s="330" t="s">
        <v>1304</v>
      </c>
      <c r="BX49" s="29">
        <f t="shared" si="3"/>
        <v>49</v>
      </c>
      <c r="CA49" s="330" t="s">
        <v>1305</v>
      </c>
    </row>
    <row r="50" spans="2:79">
      <c r="P50" s="68">
        <v>45</v>
      </c>
      <c r="Q50" s="68" t="s">
        <v>137</v>
      </c>
      <c r="R50" s="70"/>
      <c r="AR50"/>
      <c r="AS50"/>
      <c r="AU50"/>
      <c r="BB50" s="330" t="s">
        <v>1305</v>
      </c>
      <c r="BX50" s="29">
        <f t="shared" si="3"/>
        <v>50</v>
      </c>
      <c r="CA50" s="273" t="s">
        <v>602</v>
      </c>
    </row>
    <row r="51" spans="2:79">
      <c r="B51" s="29" t="s">
        <v>779</v>
      </c>
      <c r="C51" s="29" t="s">
        <v>776</v>
      </c>
      <c r="P51" s="68">
        <v>46</v>
      </c>
      <c r="Q51" s="68" t="s">
        <v>138</v>
      </c>
      <c r="R51" s="70"/>
      <c r="BB51" s="273" t="s">
        <v>602</v>
      </c>
      <c r="BX51" s="29">
        <f t="shared" si="3"/>
        <v>51</v>
      </c>
      <c r="CA51" s="122" t="s">
        <v>782</v>
      </c>
    </row>
    <row r="52" spans="2:79">
      <c r="B52" s="29" t="s">
        <v>677</v>
      </c>
      <c r="C52" s="29" t="str" cm="1">
        <f t="array" ref="C52">INDEX(INDIRECT("Variables!"&amp;IF(MATCH(LEFT(B52,6),Variables!$B$54:$D$54,0)=1,"B55:B59","C55:C59")),IF(RIGHT(B52,1)="Q",1,2))&amp;TRIM(C51)</f>
        <v>DMP/CBS</v>
      </c>
      <c r="P52" s="68">
        <v>47</v>
      </c>
      <c r="Q52" s="68" t="s">
        <v>139</v>
      </c>
      <c r="R52" s="70"/>
      <c r="BB52" s="122" t="s">
        <v>782</v>
      </c>
      <c r="BX52" s="29">
        <f t="shared" si="3"/>
        <v>52</v>
      </c>
      <c r="CA52" s="122" t="s">
        <v>783</v>
      </c>
    </row>
    <row r="53" spans="2:79">
      <c r="B53" s="49" t="s">
        <v>673</v>
      </c>
      <c r="C53" s="29" t="str">
        <f>"Variables!"&amp;IF(MATCH(LEFT(B52,6),B54:D54,0)=1,"B55:B59","C55:C59")</f>
        <v>Variables!C55:C59</v>
      </c>
      <c r="P53" s="68">
        <v>48</v>
      </c>
      <c r="Q53" s="68" t="s">
        <v>140</v>
      </c>
      <c r="R53" s="70"/>
      <c r="BB53" s="122" t="s">
        <v>783</v>
      </c>
      <c r="BX53" s="29">
        <f t="shared" si="3"/>
        <v>53</v>
      </c>
      <c r="CA53" s="122" t="s">
        <v>784</v>
      </c>
    </row>
    <row r="54" spans="2:79">
      <c r="B54" s="175" t="s">
        <v>674</v>
      </c>
      <c r="C54" s="175" t="s">
        <v>675</v>
      </c>
      <c r="D54" s="175" t="s">
        <v>670</v>
      </c>
      <c r="P54" s="68">
        <v>49</v>
      </c>
      <c r="Q54" s="68" t="s">
        <v>141</v>
      </c>
      <c r="R54" s="70"/>
      <c r="BB54" s="122" t="s">
        <v>784</v>
      </c>
      <c r="BX54" s="29">
        <f t="shared" si="3"/>
        <v>54</v>
      </c>
      <c r="CA54" s="122" t="s">
        <v>617</v>
      </c>
    </row>
    <row r="55" spans="2:79">
      <c r="B55" s="29" t="s">
        <v>666</v>
      </c>
      <c r="C55" s="29" t="s">
        <v>777</v>
      </c>
      <c r="D55" s="29" t="s">
        <v>671</v>
      </c>
      <c r="P55" s="68">
        <v>50</v>
      </c>
      <c r="Q55" s="68" t="s">
        <v>142</v>
      </c>
      <c r="R55" s="70"/>
      <c r="BB55" s="122" t="s">
        <v>617</v>
      </c>
      <c r="BX55" s="29">
        <f t="shared" si="3"/>
        <v>55</v>
      </c>
      <c r="CA55" s="122" t="s">
        <v>653</v>
      </c>
    </row>
    <row r="56" spans="2:79">
      <c r="B56" s="29" t="s">
        <v>668</v>
      </c>
      <c r="C56" s="29" t="s">
        <v>778</v>
      </c>
      <c r="D56" s="29" t="s">
        <v>672</v>
      </c>
      <c r="P56" s="68">
        <v>51</v>
      </c>
      <c r="Q56" s="68" t="s">
        <v>143</v>
      </c>
      <c r="R56" s="70"/>
      <c r="BB56" s="122" t="s">
        <v>653</v>
      </c>
      <c r="BX56" s="29">
        <f t="shared" si="3"/>
        <v>56</v>
      </c>
      <c r="CA56" s="122" t="s">
        <v>654</v>
      </c>
    </row>
    <row r="57" spans="2:79">
      <c r="B57" s="29"/>
      <c r="C57" s="29"/>
      <c r="D57" s="29"/>
      <c r="P57" s="68">
        <v>52</v>
      </c>
      <c r="Q57" s="68" t="s">
        <v>144</v>
      </c>
      <c r="R57" s="70"/>
      <c r="BB57" s="122" t="s">
        <v>654</v>
      </c>
      <c r="BX57" s="29">
        <f t="shared" si="3"/>
        <v>57</v>
      </c>
      <c r="CA57" s="122" t="s">
        <v>655</v>
      </c>
    </row>
    <row r="58" spans="2:79">
      <c r="B58" s="29"/>
      <c r="C58" s="29"/>
      <c r="D58" s="29"/>
      <c r="P58" s="68">
        <v>53</v>
      </c>
      <c r="Q58" s="68" t="s">
        <v>145</v>
      </c>
      <c r="R58" s="70"/>
      <c r="BB58" s="122" t="s">
        <v>655</v>
      </c>
      <c r="BX58" s="29">
        <f t="shared" si="3"/>
        <v>58</v>
      </c>
      <c r="CA58" s="122" t="s">
        <v>656</v>
      </c>
    </row>
    <row r="59" spans="2:79">
      <c r="B59" s="29"/>
      <c r="C59" s="29"/>
      <c r="D59" s="29"/>
      <c r="P59" s="68">
        <v>54</v>
      </c>
      <c r="Q59" s="68" t="s">
        <v>146</v>
      </c>
      <c r="R59" s="70"/>
      <c r="BB59" s="122" t="s">
        <v>656</v>
      </c>
      <c r="BX59" s="29">
        <f t="shared" si="3"/>
        <v>59</v>
      </c>
      <c r="CA59" s="122" t="s">
        <v>657</v>
      </c>
    </row>
    <row r="60" spans="2:79">
      <c r="P60" s="68">
        <v>55</v>
      </c>
      <c r="Q60" s="68" t="s">
        <v>147</v>
      </c>
      <c r="R60" s="70"/>
      <c r="BB60" s="122" t="s">
        <v>657</v>
      </c>
      <c r="BX60" s="29">
        <f t="shared" si="3"/>
        <v>60</v>
      </c>
      <c r="CA60" s="122" t="s">
        <v>658</v>
      </c>
    </row>
    <row r="61" spans="2:79">
      <c r="B61" s="1" t="s">
        <v>669</v>
      </c>
      <c r="P61" s="68">
        <v>56</v>
      </c>
      <c r="Q61" s="68" t="s">
        <v>148</v>
      </c>
      <c r="R61" s="70"/>
      <c r="BB61" s="122" t="s">
        <v>658</v>
      </c>
      <c r="BX61" s="29">
        <f t="shared" si="3"/>
        <v>61</v>
      </c>
      <c r="CA61" s="122" t="s">
        <v>659</v>
      </c>
    </row>
    <row r="62" spans="2:79">
      <c r="P62" s="68">
        <v>57</v>
      </c>
      <c r="Q62" s="68" t="s">
        <v>149</v>
      </c>
      <c r="R62" s="70"/>
      <c r="BB62" s="122" t="s">
        <v>659</v>
      </c>
      <c r="BX62" s="29">
        <f t="shared" si="3"/>
        <v>62</v>
      </c>
      <c r="CA62" s="122" t="s">
        <v>660</v>
      </c>
    </row>
    <row r="63" spans="2:79">
      <c r="B63" s="175" t="s">
        <v>678</v>
      </c>
      <c r="C63" s="175" t="s">
        <v>679</v>
      </c>
      <c r="D63" s="175" t="s">
        <v>670</v>
      </c>
      <c r="P63" s="68">
        <v>58</v>
      </c>
      <c r="Q63" s="68" t="s">
        <v>150</v>
      </c>
      <c r="R63" s="70"/>
      <c r="BB63" s="122" t="s">
        <v>660</v>
      </c>
      <c r="BX63" s="29">
        <f t="shared" si="3"/>
        <v>63</v>
      </c>
      <c r="CA63" s="332" t="s">
        <v>683</v>
      </c>
    </row>
    <row r="64" spans="2:79">
      <c r="B64" s="29" t="s">
        <v>676</v>
      </c>
      <c r="C64" s="29" t="s">
        <v>665</v>
      </c>
      <c r="D64" s="29" t="s">
        <v>671</v>
      </c>
      <c r="P64" s="68">
        <v>59</v>
      </c>
      <c r="Q64" s="68" t="s">
        <v>151</v>
      </c>
      <c r="R64" s="70"/>
      <c r="BB64" s="332" t="s">
        <v>683</v>
      </c>
      <c r="BX64" s="29">
        <f t="shared" si="3"/>
        <v>64</v>
      </c>
      <c r="CA64" s="332" t="s">
        <v>682</v>
      </c>
    </row>
    <row r="65" spans="2:79">
      <c r="B65" s="29" t="s">
        <v>680</v>
      </c>
      <c r="C65" s="29" t="s">
        <v>666</v>
      </c>
      <c r="D65" s="29" t="s">
        <v>672</v>
      </c>
      <c r="P65" s="68">
        <v>60</v>
      </c>
      <c r="Q65" s="68" t="s">
        <v>152</v>
      </c>
      <c r="R65" s="70"/>
      <c r="BB65" s="332" t="s">
        <v>682</v>
      </c>
      <c r="BX65" s="29">
        <f t="shared" si="3"/>
        <v>65</v>
      </c>
      <c r="CA65" s="332" t="s">
        <v>711</v>
      </c>
    </row>
    <row r="66" spans="2:79">
      <c r="B66" s="29" t="s">
        <v>677</v>
      </c>
      <c r="C66" s="29" t="s">
        <v>667</v>
      </c>
      <c r="D66" s="29" t="s">
        <v>671</v>
      </c>
      <c r="P66" s="68">
        <v>61</v>
      </c>
      <c r="Q66" s="68" t="s">
        <v>153</v>
      </c>
      <c r="R66" s="70"/>
      <c r="BB66" s="332" t="s">
        <v>711</v>
      </c>
      <c r="BX66" s="29">
        <f t="shared" si="3"/>
        <v>66</v>
      </c>
      <c r="CA66" s="332" t="s">
        <v>685</v>
      </c>
    </row>
    <row r="67" spans="2:79">
      <c r="B67" s="29" t="s">
        <v>681</v>
      </c>
      <c r="C67" s="29" t="s">
        <v>668</v>
      </c>
      <c r="D67" s="29" t="s">
        <v>672</v>
      </c>
      <c r="P67" s="68">
        <v>62</v>
      </c>
      <c r="Q67" s="68" t="s">
        <v>154</v>
      </c>
      <c r="R67" s="70"/>
      <c r="BB67" s="332" t="s">
        <v>685</v>
      </c>
      <c r="BX67" s="29">
        <f t="shared" si="3"/>
        <v>67</v>
      </c>
      <c r="CA67" s="332" t="s">
        <v>686</v>
      </c>
    </row>
    <row r="68" spans="2:79">
      <c r="P68" s="68">
        <v>63</v>
      </c>
      <c r="Q68" s="68" t="s">
        <v>155</v>
      </c>
      <c r="R68" s="70"/>
      <c r="BB68" s="332" t="s">
        <v>686</v>
      </c>
      <c r="BX68" s="29">
        <f t="shared" si="3"/>
        <v>68</v>
      </c>
      <c r="CA68" s="332" t="s">
        <v>689</v>
      </c>
    </row>
    <row r="69" spans="2:79">
      <c r="P69" s="68">
        <v>64</v>
      </c>
      <c r="Q69" s="68" t="s">
        <v>156</v>
      </c>
      <c r="R69" s="70"/>
      <c r="BB69" s="332" t="s">
        <v>689</v>
      </c>
      <c r="BX69" s="29">
        <f t="shared" si="3"/>
        <v>69</v>
      </c>
      <c r="CA69" s="333" t="s">
        <v>690</v>
      </c>
    </row>
    <row r="70" spans="2:79">
      <c r="P70" s="68">
        <v>65</v>
      </c>
      <c r="Q70" s="68" t="s">
        <v>157</v>
      </c>
      <c r="R70" s="70"/>
      <c r="BB70" s="333" t="s">
        <v>690</v>
      </c>
      <c r="BX70" s="29">
        <f t="shared" si="3"/>
        <v>70</v>
      </c>
      <c r="CA70" s="333" t="s">
        <v>687</v>
      </c>
    </row>
    <row r="71" spans="2:79">
      <c r="P71" s="68">
        <v>66</v>
      </c>
      <c r="Q71" s="68" t="s">
        <v>158</v>
      </c>
      <c r="R71" s="70"/>
      <c r="BB71" s="333" t="s">
        <v>687</v>
      </c>
      <c r="BX71" s="29">
        <f t="shared" si="3"/>
        <v>71</v>
      </c>
      <c r="CA71" s="332" t="s">
        <v>688</v>
      </c>
    </row>
    <row r="72" spans="2:79">
      <c r="P72" s="68">
        <v>67</v>
      </c>
      <c r="Q72" s="68" t="s">
        <v>159</v>
      </c>
      <c r="R72" s="70"/>
      <c r="BB72" s="332" t="s">
        <v>688</v>
      </c>
      <c r="BX72" s="29">
        <f t="shared" ref="BX72:BX135" si="4">IF(CA72=0,"",ROW())</f>
        <v>72</v>
      </c>
      <c r="CA72" s="332" t="s">
        <v>682</v>
      </c>
    </row>
    <row r="73" spans="2:79">
      <c r="P73" s="68">
        <v>68</v>
      </c>
      <c r="Q73" s="68" t="s">
        <v>160</v>
      </c>
      <c r="R73" s="70"/>
      <c r="BB73" s="332" t="s">
        <v>682</v>
      </c>
      <c r="BX73" s="29">
        <f t="shared" si="4"/>
        <v>73</v>
      </c>
      <c r="CA73" s="332" t="s">
        <v>684</v>
      </c>
    </row>
    <row r="74" spans="2:79">
      <c r="C74" s="157" t="s">
        <v>580</v>
      </c>
      <c r="P74" s="68">
        <v>69</v>
      </c>
      <c r="Q74" s="68" t="s">
        <v>161</v>
      </c>
      <c r="R74" s="70"/>
      <c r="BB74" s="332" t="s">
        <v>684</v>
      </c>
      <c r="BX74" s="29">
        <f t="shared" si="4"/>
        <v>74</v>
      </c>
      <c r="CA74" s="332" t="s">
        <v>685</v>
      </c>
    </row>
    <row r="75" spans="2:79">
      <c r="C75" s="168" t="s">
        <v>578</v>
      </c>
      <c r="P75" s="68">
        <v>70</v>
      </c>
      <c r="Q75" s="68" t="s">
        <v>162</v>
      </c>
      <c r="R75" s="70"/>
      <c r="BB75" s="332" t="s">
        <v>685</v>
      </c>
      <c r="BX75" s="29">
        <f t="shared" si="4"/>
        <v>75</v>
      </c>
      <c r="CA75" s="332" t="s">
        <v>686</v>
      </c>
    </row>
    <row r="76" spans="2:79">
      <c r="C76" s="110" t="s">
        <v>579</v>
      </c>
      <c r="P76" s="68">
        <v>71</v>
      </c>
      <c r="Q76" s="68" t="s">
        <v>163</v>
      </c>
      <c r="R76" s="70"/>
      <c r="BB76" s="332" t="s">
        <v>686</v>
      </c>
      <c r="BX76" s="29">
        <f t="shared" si="4"/>
        <v>76</v>
      </c>
      <c r="CA76" s="332" t="s">
        <v>689</v>
      </c>
    </row>
    <row r="77" spans="2:79">
      <c r="C77" s="48"/>
      <c r="P77" s="68">
        <v>72</v>
      </c>
      <c r="Q77" s="68" t="s">
        <v>164</v>
      </c>
      <c r="R77" s="70"/>
      <c r="BB77" s="332" t="s">
        <v>689</v>
      </c>
      <c r="BX77" s="29">
        <f t="shared" si="4"/>
        <v>77</v>
      </c>
      <c r="CA77" s="333" t="s">
        <v>690</v>
      </c>
    </row>
    <row r="78" spans="2:79">
      <c r="C78" s="48"/>
      <c r="P78" s="68">
        <v>73</v>
      </c>
      <c r="Q78" s="68" t="s">
        <v>165</v>
      </c>
      <c r="R78" s="70"/>
      <c r="BB78" s="333" t="s">
        <v>690</v>
      </c>
      <c r="BX78" s="29">
        <f t="shared" si="4"/>
        <v>78</v>
      </c>
      <c r="CA78" s="333" t="s">
        <v>691</v>
      </c>
    </row>
    <row r="79" spans="2:79">
      <c r="C79" s="48"/>
      <c r="P79" s="68">
        <v>74</v>
      </c>
      <c r="Q79" s="68" t="s">
        <v>166</v>
      </c>
      <c r="R79" s="70"/>
      <c r="BB79" s="333" t="s">
        <v>691</v>
      </c>
      <c r="BX79" s="29">
        <f t="shared" si="4"/>
        <v>79</v>
      </c>
      <c r="CA79" s="334" t="s">
        <v>661</v>
      </c>
    </row>
    <row r="80" spans="2:79">
      <c r="C80" s="48"/>
      <c r="P80" s="68">
        <v>75</v>
      </c>
      <c r="Q80" s="68" t="s">
        <v>167</v>
      </c>
      <c r="R80" s="70"/>
      <c r="BB80" s="334" t="s">
        <v>661</v>
      </c>
      <c r="BX80" s="29">
        <f t="shared" si="4"/>
        <v>80</v>
      </c>
      <c r="CA80" s="333" t="s">
        <v>690</v>
      </c>
    </row>
    <row r="81" spans="3:79">
      <c r="C81" s="48"/>
      <c r="P81" s="68">
        <v>76</v>
      </c>
      <c r="Q81" s="68" t="s">
        <v>168</v>
      </c>
      <c r="R81" s="70"/>
      <c r="BB81" s="333" t="s">
        <v>690</v>
      </c>
      <c r="BX81" s="29">
        <f t="shared" si="4"/>
        <v>81</v>
      </c>
      <c r="CA81" s="333" t="s">
        <v>712</v>
      </c>
    </row>
    <row r="82" spans="3:79">
      <c r="C82" s="47"/>
      <c r="P82" s="68">
        <v>77</v>
      </c>
      <c r="Q82" s="68" t="s">
        <v>169</v>
      </c>
      <c r="R82" s="70"/>
      <c r="BB82" s="333" t="s">
        <v>712</v>
      </c>
      <c r="BX82" s="29">
        <f t="shared" si="4"/>
        <v>82</v>
      </c>
      <c r="CA82" s="332" t="s">
        <v>713</v>
      </c>
    </row>
    <row r="83" spans="3:79">
      <c r="P83" s="68">
        <v>78</v>
      </c>
      <c r="Q83" s="68" t="s">
        <v>170</v>
      </c>
      <c r="R83" s="70"/>
      <c r="BB83" s="332" t="s">
        <v>713</v>
      </c>
      <c r="BX83" s="29">
        <f t="shared" si="4"/>
        <v>83</v>
      </c>
      <c r="CA83" s="333" t="s">
        <v>692</v>
      </c>
    </row>
    <row r="84" spans="3:79">
      <c r="C84" s="157" t="s">
        <v>841</v>
      </c>
      <c r="P84" s="68">
        <v>79</v>
      </c>
      <c r="Q84" s="68" t="s">
        <v>171</v>
      </c>
      <c r="R84" s="70"/>
      <c r="BB84" s="333" t="s">
        <v>692</v>
      </c>
      <c r="BX84" s="29">
        <f t="shared" si="4"/>
        <v>84</v>
      </c>
      <c r="CA84" s="122" t="s">
        <v>693</v>
      </c>
    </row>
    <row r="85" spans="3:79">
      <c r="C85" s="168" t="s">
        <v>842</v>
      </c>
      <c r="P85" s="68">
        <v>80</v>
      </c>
      <c r="Q85" s="68" t="s">
        <v>172</v>
      </c>
      <c r="R85" s="70"/>
      <c r="BB85" s="122" t="s">
        <v>693</v>
      </c>
      <c r="BX85" s="29">
        <f t="shared" si="4"/>
        <v>85</v>
      </c>
      <c r="CA85" s="273" t="s">
        <v>600</v>
      </c>
    </row>
    <row r="86" spans="3:79">
      <c r="C86" s="110" t="s">
        <v>843</v>
      </c>
      <c r="P86" s="68">
        <v>81</v>
      </c>
      <c r="Q86" s="68" t="s">
        <v>173</v>
      </c>
      <c r="R86" s="70"/>
      <c r="BB86" s="273" t="s">
        <v>600</v>
      </c>
      <c r="BX86" s="29">
        <f t="shared" si="4"/>
        <v>86</v>
      </c>
      <c r="CA86" s="273" t="s">
        <v>601</v>
      </c>
    </row>
    <row r="87" spans="3:79">
      <c r="C87" s="48"/>
      <c r="P87" s="68">
        <v>82</v>
      </c>
      <c r="Q87" s="68" t="s">
        <v>174</v>
      </c>
      <c r="R87" s="70"/>
      <c r="BB87" s="273" t="s">
        <v>601</v>
      </c>
      <c r="BX87" s="29">
        <f t="shared" si="4"/>
        <v>87</v>
      </c>
      <c r="CA87" s="335" t="s">
        <v>694</v>
      </c>
    </row>
    <row r="88" spans="3:79">
      <c r="C88" s="48"/>
      <c r="P88" s="68">
        <v>83</v>
      </c>
      <c r="Q88" s="68" t="s">
        <v>175</v>
      </c>
      <c r="R88" s="70"/>
      <c r="BB88" s="335" t="s">
        <v>694</v>
      </c>
      <c r="BX88" s="29">
        <f t="shared" si="4"/>
        <v>88</v>
      </c>
      <c r="CA88" s="336" t="s">
        <v>695</v>
      </c>
    </row>
    <row r="89" spans="3:79">
      <c r="C89" s="48"/>
      <c r="P89" s="68">
        <v>84</v>
      </c>
      <c r="Q89" s="68" t="s">
        <v>176</v>
      </c>
      <c r="R89" s="70"/>
      <c r="BB89" s="336" t="s">
        <v>695</v>
      </c>
      <c r="BX89" s="29">
        <f t="shared" si="4"/>
        <v>89</v>
      </c>
      <c r="CA89" s="335" t="s">
        <v>696</v>
      </c>
    </row>
    <row r="90" spans="3:79">
      <c r="C90" s="48"/>
      <c r="P90" s="68">
        <v>85</v>
      </c>
      <c r="Q90" s="68" t="s">
        <v>177</v>
      </c>
      <c r="R90" s="70"/>
      <c r="BB90" s="335" t="s">
        <v>696</v>
      </c>
      <c r="BX90" s="29">
        <f t="shared" si="4"/>
        <v>90</v>
      </c>
      <c r="CA90" s="273" t="s">
        <v>602</v>
      </c>
    </row>
    <row r="91" spans="3:79">
      <c r="C91" s="48"/>
      <c r="P91" s="68">
        <v>86</v>
      </c>
      <c r="Q91" s="68" t="s">
        <v>178</v>
      </c>
      <c r="R91" s="70"/>
      <c r="BB91" s="273" t="s">
        <v>602</v>
      </c>
      <c r="BX91" s="29">
        <f t="shared" si="4"/>
        <v>91</v>
      </c>
      <c r="CA91" s="273" t="s">
        <v>698</v>
      </c>
    </row>
    <row r="92" spans="3:79">
      <c r="C92" s="47"/>
      <c r="P92" s="68">
        <v>87</v>
      </c>
      <c r="Q92" s="68" t="s">
        <v>179</v>
      </c>
      <c r="R92" s="70"/>
      <c r="BB92" s="273" t="s">
        <v>698</v>
      </c>
      <c r="BX92" s="29">
        <f t="shared" si="4"/>
        <v>92</v>
      </c>
      <c r="CA92" s="448" t="s">
        <v>699</v>
      </c>
    </row>
    <row r="93" spans="3:79">
      <c r="P93" s="68">
        <v>88</v>
      </c>
      <c r="Q93" s="68" t="s">
        <v>180</v>
      </c>
      <c r="R93" s="70"/>
      <c r="BB93" s="448" t="s">
        <v>699</v>
      </c>
      <c r="BX93" s="29">
        <f t="shared" si="4"/>
        <v>93</v>
      </c>
      <c r="CA93" s="448" t="s">
        <v>700</v>
      </c>
    </row>
    <row r="94" spans="3:79">
      <c r="P94" s="68">
        <v>89</v>
      </c>
      <c r="Q94" s="68" t="s">
        <v>181</v>
      </c>
      <c r="R94" s="70"/>
      <c r="BB94" s="448" t="s">
        <v>700</v>
      </c>
      <c r="BX94" s="29">
        <f t="shared" si="4"/>
        <v>94</v>
      </c>
      <c r="CA94" s="448" t="s">
        <v>701</v>
      </c>
    </row>
    <row r="95" spans="3:79">
      <c r="P95" s="68">
        <v>90</v>
      </c>
      <c r="Q95" s="68" t="s">
        <v>182</v>
      </c>
      <c r="R95" s="70"/>
      <c r="BB95" s="448" t="s">
        <v>701</v>
      </c>
      <c r="BX95" s="29">
        <f t="shared" si="4"/>
        <v>95</v>
      </c>
      <c r="CA95" s="448" t="s">
        <v>702</v>
      </c>
    </row>
    <row r="96" spans="3:79">
      <c r="P96" s="68">
        <v>91</v>
      </c>
      <c r="Q96" s="68" t="s">
        <v>183</v>
      </c>
      <c r="R96" s="70"/>
      <c r="BB96" s="448" t="s">
        <v>702</v>
      </c>
      <c r="BX96" s="29">
        <f t="shared" si="4"/>
        <v>96</v>
      </c>
      <c r="CA96" s="337" t="s">
        <v>1</v>
      </c>
    </row>
    <row r="97" spans="16:79">
      <c r="P97" s="68">
        <v>92</v>
      </c>
      <c r="Q97" s="68" t="s">
        <v>184</v>
      </c>
      <c r="R97" s="70"/>
      <c r="BB97" s="337" t="s">
        <v>1</v>
      </c>
      <c r="BX97" s="29">
        <f t="shared" si="4"/>
        <v>97</v>
      </c>
      <c r="CA97" s="330" t="s">
        <v>603</v>
      </c>
    </row>
    <row r="98" spans="16:79">
      <c r="P98" s="68">
        <v>93</v>
      </c>
      <c r="Q98" s="68" t="s">
        <v>185</v>
      </c>
      <c r="R98" s="70"/>
      <c r="BB98" s="330" t="s">
        <v>603</v>
      </c>
      <c r="BX98" s="29">
        <f t="shared" si="4"/>
        <v>98</v>
      </c>
      <c r="CA98" s="335" t="s">
        <v>1250</v>
      </c>
    </row>
    <row r="99" spans="16:79">
      <c r="P99" s="68">
        <v>94</v>
      </c>
      <c r="Q99" s="68" t="s">
        <v>186</v>
      </c>
      <c r="R99" s="70"/>
      <c r="BB99" s="335" t="s">
        <v>1250</v>
      </c>
      <c r="BX99" s="29">
        <f t="shared" si="4"/>
        <v>99</v>
      </c>
      <c r="CA99" s="335" t="s">
        <v>1251</v>
      </c>
    </row>
    <row r="100" spans="16:79">
      <c r="P100" s="68">
        <v>95</v>
      </c>
      <c r="Q100" s="68" t="s">
        <v>187</v>
      </c>
      <c r="R100" s="70"/>
      <c r="BB100" s="335" t="s">
        <v>1251</v>
      </c>
      <c r="BX100" s="29">
        <f t="shared" si="4"/>
        <v>100</v>
      </c>
      <c r="CA100" s="335" t="s">
        <v>1252</v>
      </c>
    </row>
    <row r="101" spans="16:79">
      <c r="P101" s="68">
        <v>96</v>
      </c>
      <c r="Q101" s="68" t="s">
        <v>188</v>
      </c>
      <c r="R101" s="70"/>
      <c r="BB101" s="335" t="s">
        <v>1252</v>
      </c>
      <c r="BX101" s="29">
        <f t="shared" si="4"/>
        <v>101</v>
      </c>
      <c r="CA101" s="335" t="s">
        <v>1253</v>
      </c>
    </row>
    <row r="102" spans="16:79">
      <c r="P102" s="68">
        <v>97</v>
      </c>
      <c r="Q102" s="68" t="s">
        <v>189</v>
      </c>
      <c r="R102" s="70"/>
      <c r="BB102" s="335" t="s">
        <v>1253</v>
      </c>
      <c r="BX102" s="29">
        <f t="shared" si="4"/>
        <v>102</v>
      </c>
      <c r="CA102" s="335" t="s">
        <v>1254</v>
      </c>
    </row>
    <row r="103" spans="16:79">
      <c r="P103" s="68">
        <v>98</v>
      </c>
      <c r="Q103" s="68" t="s">
        <v>190</v>
      </c>
      <c r="R103" s="70"/>
      <c r="BB103" s="335" t="s">
        <v>1254</v>
      </c>
      <c r="BX103" s="29">
        <f t="shared" si="4"/>
        <v>103</v>
      </c>
      <c r="CA103" s="335" t="s">
        <v>1255</v>
      </c>
    </row>
    <row r="104" spans="16:79">
      <c r="P104" s="68">
        <v>99</v>
      </c>
      <c r="Q104" s="68" t="s">
        <v>191</v>
      </c>
      <c r="R104" s="70"/>
      <c r="BB104" s="335" t="s">
        <v>1255</v>
      </c>
      <c r="BX104" s="29">
        <f t="shared" si="4"/>
        <v>104</v>
      </c>
      <c r="CA104" s="335" t="s">
        <v>342</v>
      </c>
    </row>
    <row r="105" spans="16:79">
      <c r="P105" s="68">
        <v>100</v>
      </c>
      <c r="Q105" s="68" t="s">
        <v>192</v>
      </c>
      <c r="R105" s="70"/>
      <c r="BB105" s="335" t="s">
        <v>342</v>
      </c>
      <c r="BX105" s="29">
        <f t="shared" si="4"/>
        <v>105</v>
      </c>
      <c r="CA105" s="335" t="s">
        <v>1256</v>
      </c>
    </row>
    <row r="106" spans="16:79">
      <c r="P106" s="68">
        <v>101</v>
      </c>
      <c r="Q106" s="68" t="s">
        <v>193</v>
      </c>
      <c r="R106" s="70"/>
      <c r="BB106" s="335" t="s">
        <v>1256</v>
      </c>
      <c r="BX106" s="29">
        <f t="shared" si="4"/>
        <v>106</v>
      </c>
      <c r="CA106" s="335" t="s">
        <v>1257</v>
      </c>
    </row>
    <row r="107" spans="16:79">
      <c r="P107" s="68">
        <v>102</v>
      </c>
      <c r="Q107" s="68" t="s">
        <v>194</v>
      </c>
      <c r="R107" s="70"/>
      <c r="BB107" s="335" t="s">
        <v>1257</v>
      </c>
      <c r="BX107" s="29">
        <f t="shared" si="4"/>
        <v>107</v>
      </c>
      <c r="CA107" s="335" t="s">
        <v>1258</v>
      </c>
    </row>
    <row r="108" spans="16:79">
      <c r="P108" s="68">
        <v>103</v>
      </c>
      <c r="Q108" s="68" t="s">
        <v>195</v>
      </c>
      <c r="R108" s="70"/>
      <c r="BB108" s="335" t="s">
        <v>1258</v>
      </c>
      <c r="BX108" s="29">
        <f t="shared" si="4"/>
        <v>108</v>
      </c>
      <c r="CA108" s="335" t="s">
        <v>1259</v>
      </c>
    </row>
    <row r="109" spans="16:79">
      <c r="P109" s="68">
        <v>104</v>
      </c>
      <c r="Q109" s="68" t="s">
        <v>196</v>
      </c>
      <c r="R109" s="70"/>
      <c r="BB109" s="335" t="s">
        <v>1259</v>
      </c>
      <c r="BX109" s="29">
        <f t="shared" si="4"/>
        <v>109</v>
      </c>
      <c r="CA109" s="335" t="s">
        <v>1260</v>
      </c>
    </row>
    <row r="110" spans="16:79">
      <c r="P110" s="68">
        <v>105</v>
      </c>
      <c r="Q110" s="68" t="s">
        <v>197</v>
      </c>
      <c r="R110" s="70"/>
      <c r="BB110" s="335" t="s">
        <v>1260</v>
      </c>
      <c r="BX110" s="29">
        <f t="shared" si="4"/>
        <v>110</v>
      </c>
      <c r="CA110" s="335" t="s">
        <v>1261</v>
      </c>
    </row>
    <row r="111" spans="16:79">
      <c r="P111" s="68">
        <v>106</v>
      </c>
      <c r="Q111" s="68" t="s">
        <v>199</v>
      </c>
      <c r="R111" s="70"/>
      <c r="BB111" s="335" t="s">
        <v>1261</v>
      </c>
      <c r="BX111" s="29">
        <f t="shared" si="4"/>
        <v>111</v>
      </c>
      <c r="CA111" s="449" t="s">
        <v>1262</v>
      </c>
    </row>
    <row r="112" spans="16:79">
      <c r="P112" s="68">
        <v>107</v>
      </c>
      <c r="Q112" s="68" t="s">
        <v>201</v>
      </c>
      <c r="R112" s="70"/>
      <c r="BB112" s="449" t="s">
        <v>1262</v>
      </c>
      <c r="BX112" s="29">
        <f t="shared" si="4"/>
        <v>112</v>
      </c>
      <c r="CA112" s="335" t="s">
        <v>1263</v>
      </c>
    </row>
    <row r="113" spans="16:79">
      <c r="P113" s="68">
        <v>108</v>
      </c>
      <c r="Q113" s="68" t="s">
        <v>203</v>
      </c>
      <c r="R113" s="70"/>
      <c r="BB113" s="335" t="s">
        <v>1263</v>
      </c>
      <c r="BX113" s="29">
        <f t="shared" si="4"/>
        <v>113</v>
      </c>
      <c r="CA113" s="335" t="s">
        <v>1271</v>
      </c>
    </row>
    <row r="114" spans="16:79">
      <c r="P114" s="68">
        <v>109</v>
      </c>
      <c r="Q114" s="68" t="s">
        <v>205</v>
      </c>
      <c r="R114" s="70"/>
      <c r="BB114" s="335" t="s">
        <v>1271</v>
      </c>
      <c r="BX114" s="29">
        <f t="shared" si="4"/>
        <v>114</v>
      </c>
      <c r="CA114" s="335" t="s">
        <v>1272</v>
      </c>
    </row>
    <row r="115" spans="16:79">
      <c r="P115" s="68">
        <v>110</v>
      </c>
      <c r="Q115" s="68" t="s">
        <v>207</v>
      </c>
      <c r="R115" s="70"/>
      <c r="BB115" s="335" t="s">
        <v>1272</v>
      </c>
      <c r="BX115" s="29">
        <f t="shared" si="4"/>
        <v>115</v>
      </c>
      <c r="CA115" s="335" t="s">
        <v>1273</v>
      </c>
    </row>
    <row r="116" spans="16:79">
      <c r="P116" s="68">
        <v>111</v>
      </c>
      <c r="Q116" s="68" t="s">
        <v>209</v>
      </c>
      <c r="R116" s="70"/>
      <c r="BB116" s="335" t="s">
        <v>1273</v>
      </c>
      <c r="BX116" s="29">
        <f t="shared" si="4"/>
        <v>116</v>
      </c>
      <c r="CA116" s="336" t="s">
        <v>1311</v>
      </c>
    </row>
    <row r="117" spans="16:79">
      <c r="P117" s="68">
        <v>112</v>
      </c>
      <c r="Q117" s="68" t="s">
        <v>211</v>
      </c>
      <c r="R117" s="70"/>
      <c r="BB117" s="336" t="s">
        <v>1311</v>
      </c>
      <c r="BX117" s="29">
        <f t="shared" si="4"/>
        <v>117</v>
      </c>
      <c r="CA117" s="335" t="s">
        <v>1249</v>
      </c>
    </row>
    <row r="118" spans="16:79">
      <c r="P118" s="68">
        <v>113</v>
      </c>
      <c r="Q118" s="68" t="s">
        <v>213</v>
      </c>
      <c r="R118" s="70"/>
      <c r="BB118" s="335" t="s">
        <v>1249</v>
      </c>
      <c r="BX118" s="29">
        <f t="shared" si="4"/>
        <v>118</v>
      </c>
      <c r="CA118" s="335" t="s">
        <v>1264</v>
      </c>
    </row>
    <row r="119" spans="16:79">
      <c r="P119" s="68">
        <v>114</v>
      </c>
      <c r="Q119" s="68" t="s">
        <v>215</v>
      </c>
      <c r="R119" s="70"/>
      <c r="BB119" s="335" t="s">
        <v>1264</v>
      </c>
      <c r="BX119" s="29">
        <f t="shared" si="4"/>
        <v>119</v>
      </c>
      <c r="CA119" s="335" t="s">
        <v>1274</v>
      </c>
    </row>
    <row r="120" spans="16:79">
      <c r="P120" s="68">
        <v>115</v>
      </c>
      <c r="Q120" s="68" t="s">
        <v>217</v>
      </c>
      <c r="R120" s="70"/>
      <c r="BB120" s="335" t="s">
        <v>1274</v>
      </c>
      <c r="BX120" s="29">
        <f t="shared" si="4"/>
        <v>120</v>
      </c>
      <c r="CA120" s="335" t="s">
        <v>1310</v>
      </c>
    </row>
    <row r="121" spans="16:79">
      <c r="P121" s="68">
        <v>116</v>
      </c>
      <c r="Q121" s="68" t="s">
        <v>219</v>
      </c>
      <c r="R121" s="70"/>
      <c r="BB121" s="335" t="s">
        <v>1310</v>
      </c>
      <c r="BX121" s="29">
        <f t="shared" si="4"/>
        <v>121</v>
      </c>
      <c r="CA121" s="335" t="s">
        <v>1317</v>
      </c>
    </row>
    <row r="122" spans="16:79">
      <c r="P122" s="68">
        <v>117</v>
      </c>
      <c r="Q122" s="68" t="s">
        <v>221</v>
      </c>
      <c r="R122" s="70"/>
      <c r="BB122" s="335" t="s">
        <v>1317</v>
      </c>
      <c r="BX122" s="29">
        <f t="shared" si="4"/>
        <v>122</v>
      </c>
      <c r="CA122" s="336" t="s">
        <v>1312</v>
      </c>
    </row>
    <row r="123" spans="16:79">
      <c r="P123" s="68">
        <v>118</v>
      </c>
      <c r="Q123" s="68" t="s">
        <v>223</v>
      </c>
      <c r="R123" s="70"/>
      <c r="BB123" s="336" t="s">
        <v>1312</v>
      </c>
      <c r="BX123" s="29">
        <f t="shared" si="4"/>
        <v>123</v>
      </c>
      <c r="CA123" s="335" t="s">
        <v>342</v>
      </c>
    </row>
    <row r="124" spans="16:79">
      <c r="P124" s="68">
        <v>119</v>
      </c>
      <c r="Q124" s="68" t="s">
        <v>225</v>
      </c>
      <c r="R124" s="70"/>
      <c r="BB124" s="335" t="s">
        <v>342</v>
      </c>
      <c r="BX124" s="29">
        <f t="shared" si="4"/>
        <v>124</v>
      </c>
      <c r="CA124" s="335" t="s">
        <v>1265</v>
      </c>
    </row>
    <row r="125" spans="16:79">
      <c r="P125" s="68">
        <v>120</v>
      </c>
      <c r="Q125" s="68" t="s">
        <v>227</v>
      </c>
      <c r="R125" s="70"/>
      <c r="BB125" s="335" t="s">
        <v>1265</v>
      </c>
      <c r="BX125" s="29">
        <f t="shared" si="4"/>
        <v>125</v>
      </c>
      <c r="CA125" s="449" t="s">
        <v>1266</v>
      </c>
    </row>
    <row r="126" spans="16:79">
      <c r="P126" s="68">
        <v>121</v>
      </c>
      <c r="Q126" s="68" t="s">
        <v>229</v>
      </c>
      <c r="R126" s="70"/>
      <c r="BB126" s="449" t="s">
        <v>1266</v>
      </c>
      <c r="BX126" s="29">
        <f t="shared" si="4"/>
        <v>126</v>
      </c>
      <c r="CA126" s="335" t="s">
        <v>1267</v>
      </c>
    </row>
    <row r="127" spans="16:79">
      <c r="P127" s="68">
        <v>122</v>
      </c>
      <c r="Q127" s="68" t="s">
        <v>231</v>
      </c>
      <c r="R127" s="70"/>
      <c r="BB127" s="335" t="s">
        <v>1267</v>
      </c>
      <c r="BX127" s="29">
        <f t="shared" si="4"/>
        <v>127</v>
      </c>
      <c r="CA127" s="331" t="s">
        <v>1</v>
      </c>
    </row>
    <row r="128" spans="16:79">
      <c r="P128" s="68">
        <v>123</v>
      </c>
      <c r="Q128" s="68" t="s">
        <v>233</v>
      </c>
      <c r="R128" s="70"/>
      <c r="BB128" s="331" t="s">
        <v>1</v>
      </c>
      <c r="BX128" s="29">
        <f t="shared" si="4"/>
        <v>128</v>
      </c>
      <c r="CA128" s="335" t="s">
        <v>703</v>
      </c>
    </row>
    <row r="129" spans="16:79">
      <c r="P129" s="68">
        <v>124</v>
      </c>
      <c r="Q129" s="68" t="s">
        <v>235</v>
      </c>
      <c r="R129" s="70"/>
      <c r="BB129" s="335" t="s">
        <v>703</v>
      </c>
      <c r="BX129" s="29">
        <f t="shared" si="4"/>
        <v>129</v>
      </c>
      <c r="CA129" s="338" t="s">
        <v>704</v>
      </c>
    </row>
    <row r="130" spans="16:79">
      <c r="P130" s="68">
        <v>125</v>
      </c>
      <c r="Q130" s="68" t="s">
        <v>237</v>
      </c>
      <c r="R130" s="70"/>
      <c r="BB130" s="338" t="s">
        <v>704</v>
      </c>
      <c r="BX130" s="29">
        <f t="shared" si="4"/>
        <v>130</v>
      </c>
      <c r="CA130" s="338" t="s">
        <v>705</v>
      </c>
    </row>
    <row r="131" spans="16:79">
      <c r="P131" s="68">
        <v>126</v>
      </c>
      <c r="Q131" s="68" t="s">
        <v>239</v>
      </c>
      <c r="R131" s="70"/>
      <c r="BB131" s="338" t="s">
        <v>705</v>
      </c>
      <c r="BX131" s="29">
        <f t="shared" si="4"/>
        <v>131</v>
      </c>
      <c r="CA131" s="338" t="s">
        <v>706</v>
      </c>
    </row>
    <row r="132" spans="16:79">
      <c r="P132" s="68">
        <v>127</v>
      </c>
      <c r="Q132" s="68" t="s">
        <v>241</v>
      </c>
      <c r="R132" s="70"/>
      <c r="BB132" s="338" t="s">
        <v>706</v>
      </c>
      <c r="BX132" s="29">
        <f t="shared" si="4"/>
        <v>132</v>
      </c>
      <c r="CA132" s="335" t="s">
        <v>342</v>
      </c>
    </row>
    <row r="133" spans="16:79">
      <c r="P133" s="68">
        <v>128</v>
      </c>
      <c r="Q133" s="68" t="s">
        <v>243</v>
      </c>
      <c r="R133" s="70"/>
      <c r="BB133" s="335" t="s">
        <v>342</v>
      </c>
      <c r="BX133" s="29">
        <f t="shared" si="4"/>
        <v>133</v>
      </c>
      <c r="CA133" s="337" t="s">
        <v>1</v>
      </c>
    </row>
    <row r="134" spans="16:79">
      <c r="P134" s="68">
        <v>129</v>
      </c>
      <c r="Q134" s="68" t="s">
        <v>245</v>
      </c>
      <c r="R134" s="70"/>
      <c r="BB134" s="337" t="s">
        <v>1</v>
      </c>
      <c r="BX134" s="29">
        <f t="shared" si="4"/>
        <v>134</v>
      </c>
      <c r="CA134" s="336" t="s">
        <v>621</v>
      </c>
    </row>
    <row r="135" spans="16:79">
      <c r="P135" s="68">
        <v>130</v>
      </c>
      <c r="Q135" s="68" t="s">
        <v>247</v>
      </c>
      <c r="R135" s="70"/>
      <c r="BB135" s="336" t="s">
        <v>621</v>
      </c>
      <c r="BX135" s="29">
        <f t="shared" si="4"/>
        <v>135</v>
      </c>
      <c r="CA135" s="337" t="s">
        <v>1</v>
      </c>
    </row>
    <row r="136" spans="16:79">
      <c r="P136" s="68">
        <v>131</v>
      </c>
      <c r="Q136" s="68" t="s">
        <v>198</v>
      </c>
      <c r="R136" s="70"/>
      <c r="BB136" s="337" t="s">
        <v>1</v>
      </c>
      <c r="BX136" s="29">
        <f t="shared" ref="BX136:BX199" si="5">IF(CA136=0,"",ROW())</f>
        <v>136</v>
      </c>
      <c r="CA136" s="333" t="s">
        <v>787</v>
      </c>
    </row>
    <row r="137" spans="16:79">
      <c r="P137" s="68">
        <v>132</v>
      </c>
      <c r="Q137" s="68" t="s">
        <v>200</v>
      </c>
      <c r="R137" s="70"/>
      <c r="BB137" s="333" t="s">
        <v>787</v>
      </c>
      <c r="BX137" s="29">
        <f t="shared" ca="1" si="5"/>
        <v>137</v>
      </c>
      <c r="CA137" s="333" t="str">
        <f ca="1">"key: "&amp;CHAR(34)&amp;MASTERCOLUMNLIST!$B$6&amp;CHAR(34)&amp;","</f>
        <v>key: "Code",</v>
      </c>
    </row>
    <row r="138" spans="16:79">
      <c r="P138" s="68">
        <v>133</v>
      </c>
      <c r="Q138" s="68" t="s">
        <v>202</v>
      </c>
      <c r="R138" s="70"/>
      <c r="BB138" s="333" t="str">
        <f ca="1">"key: "&amp;CHAR(34)&amp;MASTERCOLUMNLIST!$B$6&amp;CHAR(34)&amp;","</f>
        <v>key: "Code",</v>
      </c>
      <c r="BX138" s="29">
        <f t="shared" si="5"/>
        <v>138</v>
      </c>
      <c r="CA138" s="333" t="s">
        <v>788</v>
      </c>
    </row>
    <row r="139" spans="16:79">
      <c r="P139" s="68">
        <v>134</v>
      </c>
      <c r="Q139" s="68" t="s">
        <v>204</v>
      </c>
      <c r="R139" s="70"/>
      <c r="BB139" s="333" t="s">
        <v>788</v>
      </c>
      <c r="BX139" s="29">
        <f t="shared" si="5"/>
        <v>139</v>
      </c>
      <c r="CA139" s="333" t="s">
        <v>789</v>
      </c>
    </row>
    <row r="140" spans="16:79">
      <c r="P140" s="68">
        <v>135</v>
      </c>
      <c r="Q140" s="68" t="s">
        <v>206</v>
      </c>
      <c r="R140" s="70"/>
      <c r="BB140" s="333" t="s">
        <v>789</v>
      </c>
      <c r="BX140" s="29">
        <f t="shared" si="5"/>
        <v>140</v>
      </c>
      <c r="CA140" s="336" t="s">
        <v>714</v>
      </c>
    </row>
    <row r="141" spans="16:79">
      <c r="P141" s="68">
        <v>136</v>
      </c>
      <c r="Q141" s="68" t="s">
        <v>208</v>
      </c>
      <c r="R141" s="70"/>
      <c r="BB141" s="336" t="s">
        <v>714</v>
      </c>
      <c r="BX141" s="29">
        <f t="shared" si="5"/>
        <v>141</v>
      </c>
      <c r="CA141" s="336" t="s">
        <v>790</v>
      </c>
    </row>
    <row r="142" spans="16:79">
      <c r="P142" s="68">
        <v>137</v>
      </c>
      <c r="Q142" s="68" t="s">
        <v>210</v>
      </c>
      <c r="R142" s="70"/>
      <c r="BB142" s="336" t="s">
        <v>790</v>
      </c>
      <c r="BX142" s="29">
        <f t="shared" si="5"/>
        <v>142</v>
      </c>
      <c r="CA142" s="333" t="s">
        <v>343</v>
      </c>
    </row>
    <row r="143" spans="16:79">
      <c r="P143" s="68">
        <v>138</v>
      </c>
      <c r="Q143" s="68" t="s">
        <v>212</v>
      </c>
      <c r="R143" s="70"/>
      <c r="BB143" s="333" t="s">
        <v>343</v>
      </c>
      <c r="BX143" s="29">
        <f t="shared" si="5"/>
        <v>143</v>
      </c>
      <c r="CA143" s="333" t="s">
        <v>760</v>
      </c>
    </row>
    <row r="144" spans="16:79">
      <c r="P144" s="68">
        <v>139</v>
      </c>
      <c r="Q144" s="68" t="s">
        <v>214</v>
      </c>
      <c r="R144" s="70"/>
      <c r="BB144" s="333" t="s">
        <v>760</v>
      </c>
      <c r="BX144" s="29">
        <f t="shared" si="5"/>
        <v>144</v>
      </c>
      <c r="CA144" s="339" t="s">
        <v>1</v>
      </c>
    </row>
    <row r="145" spans="16:79">
      <c r="P145" s="68">
        <v>140</v>
      </c>
      <c r="Q145" s="68" t="s">
        <v>216</v>
      </c>
      <c r="R145" s="70"/>
      <c r="BB145" s="339" t="s">
        <v>1</v>
      </c>
      <c r="BX145" s="29">
        <f t="shared" si="5"/>
        <v>145</v>
      </c>
      <c r="CA145" s="336" t="s">
        <v>604</v>
      </c>
    </row>
    <row r="146" spans="16:79">
      <c r="P146" s="68">
        <v>141</v>
      </c>
      <c r="Q146" s="68" t="s">
        <v>218</v>
      </c>
      <c r="R146" s="70"/>
      <c r="BB146" s="336" t="s">
        <v>604</v>
      </c>
      <c r="BX146" s="29">
        <f t="shared" si="5"/>
        <v>146</v>
      </c>
      <c r="CA146" s="338" t="s">
        <v>761</v>
      </c>
    </row>
    <row r="147" spans="16:79">
      <c r="P147" s="68">
        <v>142</v>
      </c>
      <c r="Q147" s="68" t="s">
        <v>220</v>
      </c>
      <c r="R147" s="70"/>
      <c r="BB147" s="338" t="s">
        <v>761</v>
      </c>
      <c r="BX147" s="29">
        <f t="shared" si="5"/>
        <v>147</v>
      </c>
      <c r="CA147" s="338" t="s">
        <v>606</v>
      </c>
    </row>
    <row r="148" spans="16:79">
      <c r="P148" s="68">
        <v>143</v>
      </c>
      <c r="Q148" s="68" t="s">
        <v>222</v>
      </c>
      <c r="R148" s="70"/>
      <c r="BB148" s="338" t="s">
        <v>606</v>
      </c>
      <c r="BX148" s="29">
        <f t="shared" si="5"/>
        <v>148</v>
      </c>
      <c r="CA148" s="336" t="s">
        <v>342</v>
      </c>
    </row>
    <row r="149" spans="16:79">
      <c r="P149" s="68">
        <v>144</v>
      </c>
      <c r="Q149" s="68" t="s">
        <v>224</v>
      </c>
      <c r="R149" s="70"/>
      <c r="BB149" s="336" t="s">
        <v>342</v>
      </c>
      <c r="BX149" s="29">
        <f t="shared" si="5"/>
        <v>149</v>
      </c>
      <c r="CA149" s="336" t="s">
        <v>794</v>
      </c>
    </row>
    <row r="150" spans="16:79">
      <c r="P150" s="68">
        <v>145</v>
      </c>
      <c r="Q150" s="68" t="s">
        <v>226</v>
      </c>
      <c r="R150" s="70"/>
      <c r="BB150" s="336" t="s">
        <v>794</v>
      </c>
      <c r="BX150" s="29">
        <f t="shared" si="5"/>
        <v>150</v>
      </c>
      <c r="CA150" s="338" t="s">
        <v>795</v>
      </c>
    </row>
    <row r="151" spans="16:79">
      <c r="P151" s="68">
        <v>146</v>
      </c>
      <c r="Q151" s="68" t="s">
        <v>228</v>
      </c>
      <c r="R151" s="70"/>
      <c r="BB151" s="338" t="s">
        <v>795</v>
      </c>
      <c r="BX151" s="29">
        <f t="shared" si="5"/>
        <v>151</v>
      </c>
      <c r="CA151" s="336" t="s">
        <v>342</v>
      </c>
    </row>
    <row r="152" spans="16:79">
      <c r="P152" s="68">
        <v>147</v>
      </c>
      <c r="Q152" s="68" t="s">
        <v>230</v>
      </c>
      <c r="R152" s="70"/>
      <c r="BB152" s="336" t="s">
        <v>342</v>
      </c>
      <c r="BX152" s="29">
        <f t="shared" si="5"/>
        <v>152</v>
      </c>
      <c r="CA152" s="336" t="s">
        <v>762</v>
      </c>
    </row>
    <row r="153" spans="16:79">
      <c r="P153" s="68">
        <v>148</v>
      </c>
      <c r="Q153" s="68" t="s">
        <v>232</v>
      </c>
      <c r="R153" s="70"/>
      <c r="BB153" s="336" t="s">
        <v>762</v>
      </c>
      <c r="BX153" s="29">
        <f t="shared" si="5"/>
        <v>153</v>
      </c>
      <c r="CA153" s="333" t="s">
        <v>646</v>
      </c>
    </row>
    <row r="154" spans="16:79">
      <c r="P154" s="68">
        <v>149</v>
      </c>
      <c r="Q154" s="68" t="s">
        <v>234</v>
      </c>
      <c r="R154" s="70"/>
      <c r="BB154" s="333" t="s">
        <v>646</v>
      </c>
      <c r="BX154" s="29">
        <f t="shared" si="5"/>
        <v>154</v>
      </c>
      <c r="CA154" s="333" t="s">
        <v>605</v>
      </c>
    </row>
    <row r="155" spans="16:79">
      <c r="P155" s="68">
        <v>150</v>
      </c>
      <c r="Q155" s="68" t="s">
        <v>236</v>
      </c>
      <c r="R155" s="70"/>
      <c r="BB155" s="333" t="s">
        <v>605</v>
      </c>
      <c r="BX155" s="29">
        <f t="shared" si="5"/>
        <v>155</v>
      </c>
      <c r="CA155" s="336" t="s">
        <v>1078</v>
      </c>
    </row>
    <row r="156" spans="16:79">
      <c r="P156" s="68">
        <v>151</v>
      </c>
      <c r="Q156" s="68" t="s">
        <v>238</v>
      </c>
      <c r="R156" s="70"/>
      <c r="BB156" s="336" t="s">
        <v>1078</v>
      </c>
      <c r="BX156" s="29">
        <f t="shared" ca="1" si="5"/>
        <v>156</v>
      </c>
      <c r="CA156" s="336" t="str">
        <f ca="1">"var ObjKeyData = {"&amp;CHAR(34)&amp;MASTERCOLUMNLIST!$B$6&amp;CHAR(34)&amp;": $.trim(key)};   //[aaKeyField] key.trim"</f>
        <v>var ObjKeyData = {"Code": $.trim(key)};   //[aaKeyField] key.trim</v>
      </c>
    </row>
    <row r="157" spans="16:79">
      <c r="P157" s="68">
        <v>152</v>
      </c>
      <c r="Q157" s="68" t="s">
        <v>240</v>
      </c>
      <c r="R157" s="70"/>
      <c r="BB157" s="336" t="str">
        <f ca="1">"var ObjKeyData = {"&amp;CHAR(34)&amp;MASTERCOLUMNLIST!$B$6&amp;CHAR(34)&amp;": $.trim(key)};   //[aaKeyField] key.trim"</f>
        <v>var ObjKeyData = {"Code": $.trim(key)};   //[aaKeyField] key.trim</v>
      </c>
      <c r="BX157" s="29">
        <f t="shared" si="5"/>
        <v>157</v>
      </c>
      <c r="CA157" s="336" t="s">
        <v>606</v>
      </c>
    </row>
    <row r="158" spans="16:79">
      <c r="P158" s="68">
        <v>153</v>
      </c>
      <c r="Q158" s="68" t="s">
        <v>242</v>
      </c>
      <c r="R158" s="70"/>
      <c r="BB158" s="336" t="s">
        <v>606</v>
      </c>
      <c r="BX158" s="29">
        <f t="shared" si="5"/>
        <v>158</v>
      </c>
      <c r="CA158" s="336" t="s">
        <v>1242</v>
      </c>
    </row>
    <row r="159" spans="16:79">
      <c r="P159" s="68">
        <v>154</v>
      </c>
      <c r="Q159" s="68" t="s">
        <v>244</v>
      </c>
      <c r="R159" s="70"/>
      <c r="BB159" s="336" t="s">
        <v>1242</v>
      </c>
      <c r="BX159" s="29">
        <f t="shared" si="5"/>
        <v>159</v>
      </c>
      <c r="CA159" s="333" t="s">
        <v>343</v>
      </c>
    </row>
    <row r="160" spans="16:79">
      <c r="P160" s="68">
        <v>155</v>
      </c>
      <c r="Q160" s="68" t="s">
        <v>246</v>
      </c>
      <c r="R160" s="70"/>
      <c r="BB160" s="333" t="s">
        <v>343</v>
      </c>
      <c r="BX160" s="29">
        <f t="shared" si="5"/>
        <v>160</v>
      </c>
      <c r="CA160" s="333" t="s">
        <v>607</v>
      </c>
    </row>
    <row r="161" spans="16:79">
      <c r="P161" s="68">
        <v>156</v>
      </c>
      <c r="Q161" s="68" t="s">
        <v>248</v>
      </c>
      <c r="R161" s="70"/>
      <c r="BB161" s="333" t="s">
        <v>607</v>
      </c>
      <c r="BX161" s="29">
        <f t="shared" ca="1" si="5"/>
        <v>161</v>
      </c>
      <c r="CA161" s="336" t="str">
        <f ca="1">"var ObjKeyData = {"&amp;CHAR(34)&amp;MASTERCOLUMNLIST!$B$6&amp;CHAR(34)&amp;": $.trim(key)};   //[aaKeyField] key.trim"</f>
        <v>var ObjKeyData = {"Code": $.trim(key)};   //[aaKeyField] key.trim</v>
      </c>
    </row>
    <row r="162" spans="16:79">
      <c r="P162" s="68">
        <v>157</v>
      </c>
      <c r="Q162" s="68" t="s">
        <v>249</v>
      </c>
      <c r="R162" s="70"/>
      <c r="BB162" s="336" t="str">
        <f ca="1">"var ObjKeyData = {"&amp;CHAR(34)&amp;MASTERCOLUMNLIST!$B$6&amp;CHAR(34)&amp;": $.trim(key)};   //[aaKeyField] key.trim"</f>
        <v>var ObjKeyData = {"Code": $.trim(key)};   //[aaKeyField] key.trim</v>
      </c>
      <c r="BX162" s="29">
        <f t="shared" si="5"/>
        <v>162</v>
      </c>
      <c r="CA162" s="336" t="s">
        <v>608</v>
      </c>
    </row>
    <row r="163" spans="16:79">
      <c r="P163" s="68">
        <v>158</v>
      </c>
      <c r="Q163" s="68" t="s">
        <v>251</v>
      </c>
      <c r="R163" s="70"/>
      <c r="BB163" s="336" t="s">
        <v>608</v>
      </c>
      <c r="BX163" s="29">
        <f t="shared" si="5"/>
        <v>163</v>
      </c>
      <c r="CA163" s="336" t="s">
        <v>609</v>
      </c>
    </row>
    <row r="164" spans="16:79">
      <c r="P164" s="68">
        <v>159</v>
      </c>
      <c r="Q164" s="68" t="s">
        <v>253</v>
      </c>
      <c r="R164" s="70"/>
      <c r="BB164" s="336" t="s">
        <v>609</v>
      </c>
      <c r="BX164" s="29">
        <f t="shared" si="5"/>
        <v>164</v>
      </c>
      <c r="CA164" s="333" t="s">
        <v>342</v>
      </c>
    </row>
    <row r="165" spans="16:79">
      <c r="P165" s="68">
        <v>160</v>
      </c>
      <c r="Q165" s="68" t="s">
        <v>255</v>
      </c>
      <c r="R165" s="70"/>
      <c r="BB165" s="333" t="s">
        <v>342</v>
      </c>
      <c r="BX165" s="29">
        <f t="shared" si="5"/>
        <v>165</v>
      </c>
      <c r="CA165" s="333" t="s">
        <v>786</v>
      </c>
    </row>
    <row r="166" spans="16:79">
      <c r="P166" s="68">
        <v>161</v>
      </c>
      <c r="Q166" s="68" t="s">
        <v>257</v>
      </c>
      <c r="R166" s="70"/>
      <c r="BB166" s="333" t="s">
        <v>786</v>
      </c>
      <c r="BX166" s="29">
        <f t="shared" si="5"/>
        <v>166</v>
      </c>
      <c r="CA166" s="339" t="s">
        <v>1</v>
      </c>
    </row>
    <row r="167" spans="16:79">
      <c r="P167" s="68">
        <v>162</v>
      </c>
      <c r="Q167" s="68" t="s">
        <v>259</v>
      </c>
      <c r="R167" s="70"/>
      <c r="BB167" s="339" t="s">
        <v>1</v>
      </c>
      <c r="BX167" s="29">
        <f t="shared" si="5"/>
        <v>167</v>
      </c>
      <c r="CA167" s="333" t="s">
        <v>636</v>
      </c>
    </row>
    <row r="168" spans="16:79">
      <c r="P168" s="68">
        <v>163</v>
      </c>
      <c r="Q168" s="68" t="s">
        <v>261</v>
      </c>
      <c r="R168" s="70"/>
      <c r="BB168" s="333" t="s">
        <v>636</v>
      </c>
      <c r="BX168" s="29">
        <f t="shared" si="5"/>
        <v>168</v>
      </c>
      <c r="CA168" s="333" t="s">
        <v>610</v>
      </c>
    </row>
    <row r="169" spans="16:79">
      <c r="P169" s="68">
        <v>164</v>
      </c>
      <c r="Q169" s="68" t="s">
        <v>263</v>
      </c>
      <c r="R169" s="70"/>
      <c r="BB169" s="333" t="s">
        <v>610</v>
      </c>
      <c r="BX169" s="29">
        <f t="shared" si="5"/>
        <v>169</v>
      </c>
      <c r="CA169" s="333" t="s">
        <v>637</v>
      </c>
    </row>
    <row r="170" spans="16:79">
      <c r="P170" s="68">
        <v>165</v>
      </c>
      <c r="Q170" s="68" t="s">
        <v>265</v>
      </c>
      <c r="R170" s="70"/>
      <c r="BB170" s="333" t="s">
        <v>637</v>
      </c>
      <c r="BX170" s="29">
        <f t="shared" si="5"/>
        <v>170</v>
      </c>
      <c r="CA170" s="333" t="s">
        <v>640</v>
      </c>
    </row>
    <row r="171" spans="16:79">
      <c r="P171" s="68">
        <v>166</v>
      </c>
      <c r="Q171" s="68" t="s">
        <v>267</v>
      </c>
      <c r="R171" s="70"/>
      <c r="BB171" s="333" t="s">
        <v>640</v>
      </c>
      <c r="BC171" s="173"/>
      <c r="BX171" s="29">
        <f t="shared" si="5"/>
        <v>171</v>
      </c>
      <c r="CA171" s="336" t="s">
        <v>638</v>
      </c>
    </row>
    <row r="172" spans="16:79">
      <c r="P172" s="68">
        <v>167</v>
      </c>
      <c r="Q172" s="68" t="s">
        <v>269</v>
      </c>
      <c r="R172" s="70"/>
      <c r="BB172" s="336" t="s">
        <v>638</v>
      </c>
      <c r="BX172" s="29">
        <f t="shared" si="5"/>
        <v>172</v>
      </c>
      <c r="CA172" s="333" t="s">
        <v>639</v>
      </c>
    </row>
    <row r="173" spans="16:79">
      <c r="P173" s="68">
        <v>168</v>
      </c>
      <c r="Q173" s="68" t="s">
        <v>271</v>
      </c>
      <c r="R173" s="70"/>
      <c r="BB173" s="333" t="s">
        <v>639</v>
      </c>
      <c r="BX173" s="29">
        <f t="shared" si="5"/>
        <v>173</v>
      </c>
      <c r="CA173" s="333" t="s">
        <v>641</v>
      </c>
    </row>
    <row r="174" spans="16:79">
      <c r="P174" s="68">
        <v>169</v>
      </c>
      <c r="Q174" s="68" t="s">
        <v>273</v>
      </c>
      <c r="R174" s="70"/>
      <c r="BB174" s="333" t="s">
        <v>641</v>
      </c>
      <c r="BX174" s="29">
        <f t="shared" si="5"/>
        <v>174</v>
      </c>
      <c r="CA174" s="333" t="s">
        <v>1076</v>
      </c>
    </row>
    <row r="175" spans="16:79">
      <c r="P175" s="68">
        <v>170</v>
      </c>
      <c r="Q175" s="68" t="s">
        <v>275</v>
      </c>
      <c r="R175" s="70"/>
      <c r="BB175" s="333" t="s">
        <v>1076</v>
      </c>
      <c r="BX175" s="29">
        <f t="shared" si="5"/>
        <v>175</v>
      </c>
      <c r="CA175" s="336" t="s">
        <v>1077</v>
      </c>
    </row>
    <row r="176" spans="16:79">
      <c r="P176" s="68">
        <v>171</v>
      </c>
      <c r="Q176" s="68" t="s">
        <v>277</v>
      </c>
      <c r="R176" s="70"/>
      <c r="BB176" s="336" t="s">
        <v>1077</v>
      </c>
      <c r="BX176" s="29">
        <f t="shared" si="5"/>
        <v>176</v>
      </c>
      <c r="CA176" s="333" t="s">
        <v>343</v>
      </c>
    </row>
    <row r="177" spans="7:79">
      <c r="P177" s="68">
        <v>172</v>
      </c>
      <c r="Q177" s="68" t="s">
        <v>278</v>
      </c>
      <c r="R177" s="70"/>
      <c r="BB177" s="333" t="s">
        <v>343</v>
      </c>
      <c r="BX177" s="29">
        <f t="shared" si="5"/>
        <v>177</v>
      </c>
      <c r="CA177" s="333" t="s">
        <v>642</v>
      </c>
    </row>
    <row r="178" spans="7:79">
      <c r="P178" s="68">
        <v>173</v>
      </c>
      <c r="Q178" s="68" t="s">
        <v>280</v>
      </c>
      <c r="R178" s="70"/>
      <c r="BB178" s="333" t="s">
        <v>642</v>
      </c>
      <c r="BX178" s="29">
        <f t="shared" si="5"/>
        <v>178</v>
      </c>
      <c r="CA178" s="336" t="s">
        <v>643</v>
      </c>
    </row>
    <row r="179" spans="7:79">
      <c r="P179" s="68">
        <v>174</v>
      </c>
      <c r="Q179" s="68" t="s">
        <v>282</v>
      </c>
      <c r="R179" s="70"/>
      <c r="BB179" s="336" t="s">
        <v>643</v>
      </c>
      <c r="BX179" s="29">
        <f t="shared" si="5"/>
        <v>179</v>
      </c>
      <c r="CA179" s="333" t="s">
        <v>343</v>
      </c>
    </row>
    <row r="180" spans="7:79">
      <c r="P180" s="68">
        <v>175</v>
      </c>
      <c r="Q180" s="68" t="s">
        <v>284</v>
      </c>
      <c r="R180" s="70"/>
      <c r="BB180" s="333" t="s">
        <v>343</v>
      </c>
      <c r="BX180" s="29">
        <f t="shared" si="5"/>
        <v>180</v>
      </c>
      <c r="CA180" s="333" t="s">
        <v>793</v>
      </c>
    </row>
    <row r="181" spans="7:79">
      <c r="P181" s="68">
        <v>176</v>
      </c>
      <c r="Q181" s="68" t="s">
        <v>286</v>
      </c>
      <c r="R181" s="70"/>
      <c r="BB181" s="333" t="s">
        <v>793</v>
      </c>
      <c r="BX181" s="29">
        <f t="shared" si="5"/>
        <v>181</v>
      </c>
      <c r="CA181" s="333" t="s">
        <v>715</v>
      </c>
    </row>
    <row r="182" spans="7:79">
      <c r="P182" s="68">
        <v>177</v>
      </c>
      <c r="Q182" s="68" t="s">
        <v>288</v>
      </c>
      <c r="R182" s="70"/>
      <c r="BB182" s="333" t="s">
        <v>715</v>
      </c>
      <c r="BX182" s="29">
        <f t="shared" si="5"/>
        <v>182</v>
      </c>
      <c r="CA182" s="333" t="s">
        <v>343</v>
      </c>
    </row>
    <row r="183" spans="7:79">
      <c r="P183" s="68">
        <v>178</v>
      </c>
      <c r="Q183" s="68" t="s">
        <v>290</v>
      </c>
      <c r="R183" s="70"/>
      <c r="BB183" s="333" t="s">
        <v>343</v>
      </c>
      <c r="BX183" s="29">
        <f t="shared" si="5"/>
        <v>183</v>
      </c>
      <c r="CA183" s="332" t="s">
        <v>785</v>
      </c>
    </row>
    <row r="184" spans="7:79">
      <c r="P184" s="68">
        <v>179</v>
      </c>
      <c r="Q184" s="68" t="s">
        <v>292</v>
      </c>
      <c r="R184" s="70"/>
      <c r="BB184" s="332" t="s">
        <v>785</v>
      </c>
      <c r="BX184" s="29">
        <f t="shared" si="5"/>
        <v>184</v>
      </c>
      <c r="CA184" s="332" t="s">
        <v>716</v>
      </c>
    </row>
    <row r="185" spans="7:79">
      <c r="P185" s="68">
        <v>180</v>
      </c>
      <c r="Q185" s="68" t="s">
        <v>294</v>
      </c>
      <c r="R185" s="70"/>
      <c r="BB185" s="332" t="s">
        <v>716</v>
      </c>
      <c r="BX185" s="29">
        <f t="shared" si="5"/>
        <v>185</v>
      </c>
      <c r="CA185" s="332" t="s">
        <v>717</v>
      </c>
    </row>
    <row r="186" spans="7:79">
      <c r="P186" s="68">
        <v>181</v>
      </c>
      <c r="Q186" s="68" t="s">
        <v>296</v>
      </c>
      <c r="R186" s="70"/>
      <c r="BB186" s="332" t="s">
        <v>717</v>
      </c>
      <c r="BX186" s="29">
        <f t="shared" si="5"/>
        <v>186</v>
      </c>
      <c r="CA186" s="333" t="s">
        <v>343</v>
      </c>
    </row>
    <row r="187" spans="7:79">
      <c r="P187" s="68">
        <v>182</v>
      </c>
      <c r="Q187" s="68" t="s">
        <v>298</v>
      </c>
      <c r="R187" s="70"/>
      <c r="BB187" s="333" t="s">
        <v>343</v>
      </c>
      <c r="BX187" s="29">
        <f t="shared" si="5"/>
        <v>187</v>
      </c>
      <c r="CA187" s="333" t="s">
        <v>718</v>
      </c>
    </row>
    <row r="188" spans="7:79">
      <c r="G188" s="311"/>
      <c r="P188" s="68">
        <v>183</v>
      </c>
      <c r="Q188" s="68" t="s">
        <v>250</v>
      </c>
      <c r="R188" s="70"/>
      <c r="BB188" s="333" t="s">
        <v>718</v>
      </c>
      <c r="BX188" s="29">
        <f t="shared" si="5"/>
        <v>188</v>
      </c>
      <c r="CA188" s="332" t="s">
        <v>715</v>
      </c>
    </row>
    <row r="189" spans="7:79">
      <c r="G189" s="311"/>
      <c r="P189" s="68">
        <v>184</v>
      </c>
      <c r="Q189" s="68" t="s">
        <v>252</v>
      </c>
      <c r="R189" s="70"/>
      <c r="BB189" s="332" t="s">
        <v>715</v>
      </c>
      <c r="BX189" s="29">
        <f t="shared" si="5"/>
        <v>189</v>
      </c>
      <c r="CA189" s="333" t="s">
        <v>343</v>
      </c>
    </row>
    <row r="190" spans="7:79">
      <c r="G190" s="311"/>
      <c r="P190" s="68">
        <v>185</v>
      </c>
      <c r="Q190" s="68" t="s">
        <v>254</v>
      </c>
      <c r="R190" s="70"/>
      <c r="BB190" s="333" t="s">
        <v>343</v>
      </c>
      <c r="BX190" s="29">
        <f t="shared" si="5"/>
        <v>190</v>
      </c>
      <c r="CA190" s="333" t="s">
        <v>719</v>
      </c>
    </row>
    <row r="191" spans="7:79">
      <c r="G191" s="311"/>
      <c r="P191" s="68">
        <v>186</v>
      </c>
      <c r="Q191" s="68" t="s">
        <v>256</v>
      </c>
      <c r="R191" s="70"/>
      <c r="BB191" s="333" t="s">
        <v>719</v>
      </c>
      <c r="BX191" s="29">
        <f t="shared" ca="1" si="5"/>
        <v>191</v>
      </c>
      <c r="CA191" s="332" t="str">
        <f ca="1">"autoExpandAll: "&amp;MASTERCOLUMNLIST!$I$2&amp;","</f>
        <v>autoExpandAll: true,</v>
      </c>
    </row>
    <row r="192" spans="7:79">
      <c r="P192" s="68">
        <v>187</v>
      </c>
      <c r="Q192" s="68" t="s">
        <v>258</v>
      </c>
      <c r="R192" s="70"/>
      <c r="BB192" s="332" t="str">
        <f ca="1">"autoExpandAll: "&amp;MASTERCOLUMNLIST!$I$2&amp;","</f>
        <v>autoExpandAll: true,</v>
      </c>
      <c r="BX192" s="29">
        <f t="shared" si="5"/>
        <v>192</v>
      </c>
      <c r="CA192" s="333" t="s">
        <v>343</v>
      </c>
    </row>
    <row r="193" spans="2:79" s="6" customFormat="1">
      <c r="B193" s="1"/>
      <c r="C193" s="1"/>
      <c r="E193" s="1"/>
      <c r="G193" s="151"/>
      <c r="P193" s="68">
        <v>188</v>
      </c>
      <c r="Q193" s="68" t="s">
        <v>260</v>
      </c>
      <c r="R193" s="70"/>
      <c r="AY193" s="1"/>
      <c r="BB193" s="333" t="s">
        <v>343</v>
      </c>
      <c r="BX193" s="29">
        <f t="shared" si="5"/>
        <v>193</v>
      </c>
      <c r="BY193" s="67"/>
      <c r="BZ193" s="67"/>
      <c r="CA193" s="333" t="s">
        <v>720</v>
      </c>
    </row>
    <row r="194" spans="2:79" s="6" customFormat="1">
      <c r="B194" s="1"/>
      <c r="C194" s="1"/>
      <c r="E194" s="1"/>
      <c r="G194" s="151"/>
      <c r="P194" s="68">
        <v>189</v>
      </c>
      <c r="Q194" s="68" t="s">
        <v>262</v>
      </c>
      <c r="R194" s="70"/>
      <c r="AY194" s="1"/>
      <c r="BB194" s="333" t="s">
        <v>720</v>
      </c>
      <c r="BX194" s="29">
        <f t="shared" si="5"/>
        <v>194</v>
      </c>
      <c r="BY194" s="67"/>
      <c r="BZ194" s="67"/>
      <c r="CA194" s="332" t="s">
        <v>715</v>
      </c>
    </row>
    <row r="195" spans="2:79" s="6" customFormat="1">
      <c r="B195" s="1"/>
      <c r="C195" s="1"/>
      <c r="G195" s="151"/>
      <c r="P195" s="68">
        <v>190</v>
      </c>
      <c r="Q195" s="68" t="s">
        <v>264</v>
      </c>
      <c r="R195" s="70"/>
      <c r="AY195" s="1"/>
      <c r="BB195" s="332" t="s">
        <v>715</v>
      </c>
      <c r="BX195" s="29">
        <f t="shared" si="5"/>
        <v>195</v>
      </c>
      <c r="BY195" s="67"/>
      <c r="BZ195" s="67"/>
      <c r="CA195" s="333" t="s">
        <v>343</v>
      </c>
    </row>
    <row r="196" spans="2:79" s="6" customFormat="1">
      <c r="B196" s="1"/>
      <c r="C196" s="1"/>
      <c r="G196" s="151"/>
      <c r="P196" s="68">
        <v>191</v>
      </c>
      <c r="Q196" s="68" t="s">
        <v>266</v>
      </c>
      <c r="R196" s="70"/>
      <c r="AY196" s="1"/>
      <c r="BB196" s="333" t="s">
        <v>343</v>
      </c>
      <c r="BX196" s="29">
        <f t="shared" si="5"/>
        <v>196</v>
      </c>
      <c r="BY196" s="67"/>
      <c r="BZ196" s="67"/>
      <c r="CA196" s="333" t="s">
        <v>721</v>
      </c>
    </row>
    <row r="197" spans="2:79">
      <c r="E197" s="6"/>
      <c r="P197" s="68">
        <v>192</v>
      </c>
      <c r="Q197" s="68" t="s">
        <v>268</v>
      </c>
      <c r="R197" s="70"/>
      <c r="BB197" s="333" t="s">
        <v>721</v>
      </c>
      <c r="BX197" s="29">
        <f t="shared" si="5"/>
        <v>197</v>
      </c>
      <c r="CA197" s="332" t="s">
        <v>722</v>
      </c>
    </row>
    <row r="198" spans="2:79">
      <c r="E198" s="6"/>
      <c r="P198" s="68">
        <v>193</v>
      </c>
      <c r="Q198" s="68" t="s">
        <v>270</v>
      </c>
      <c r="R198" s="70"/>
      <c r="BB198" s="332" t="s">
        <v>722</v>
      </c>
      <c r="BX198" s="29">
        <f t="shared" si="5"/>
        <v>198</v>
      </c>
      <c r="CA198" s="333" t="s">
        <v>343</v>
      </c>
    </row>
    <row r="199" spans="2:79">
      <c r="P199" s="68">
        <v>194</v>
      </c>
      <c r="Q199" s="68" t="s">
        <v>272</v>
      </c>
      <c r="R199" s="70"/>
      <c r="BB199" s="333" t="s">
        <v>343</v>
      </c>
      <c r="BX199" s="29">
        <f t="shared" si="5"/>
        <v>199</v>
      </c>
      <c r="CA199" s="333" t="s">
        <v>723</v>
      </c>
    </row>
    <row r="200" spans="2:79">
      <c r="P200" s="68">
        <v>195</v>
      </c>
      <c r="Q200" s="68" t="s">
        <v>274</v>
      </c>
      <c r="R200" s="70"/>
      <c r="BB200" s="333" t="s">
        <v>723</v>
      </c>
      <c r="BX200" s="29">
        <f t="shared" ref="BX200:BX263" si="6">IF(CA200=0,"",ROW())</f>
        <v>200</v>
      </c>
      <c r="CA200" s="332" t="s">
        <v>644</v>
      </c>
    </row>
    <row r="201" spans="2:79">
      <c r="P201" s="68">
        <v>196</v>
      </c>
      <c r="Q201" s="68" t="s">
        <v>276</v>
      </c>
      <c r="R201" s="70"/>
      <c r="BB201" s="332" t="s">
        <v>644</v>
      </c>
      <c r="BX201" s="29">
        <f t="shared" si="6"/>
        <v>201</v>
      </c>
      <c r="CA201" s="332" t="s">
        <v>1309</v>
      </c>
    </row>
    <row r="202" spans="2:79">
      <c r="P202" s="68">
        <v>197</v>
      </c>
      <c r="Q202" s="68" t="s">
        <v>0</v>
      </c>
      <c r="R202" s="70"/>
      <c r="BB202" s="332" t="s">
        <v>1309</v>
      </c>
      <c r="BX202" s="29">
        <f t="shared" si="6"/>
        <v>202</v>
      </c>
      <c r="CA202" s="332" t="s">
        <v>645</v>
      </c>
    </row>
    <row r="203" spans="2:79">
      <c r="P203" s="68">
        <v>198</v>
      </c>
      <c r="Q203" s="68" t="s">
        <v>279</v>
      </c>
      <c r="R203" s="70"/>
      <c r="BB203" s="332" t="s">
        <v>645</v>
      </c>
      <c r="BX203" s="29">
        <f t="shared" si="6"/>
        <v>203</v>
      </c>
      <c r="CA203" s="333" t="s">
        <v>646</v>
      </c>
    </row>
    <row r="204" spans="2:79">
      <c r="P204" s="68">
        <v>199</v>
      </c>
      <c r="Q204" s="68" t="s">
        <v>281</v>
      </c>
      <c r="R204" s="70"/>
      <c r="BB204" s="333" t="s">
        <v>646</v>
      </c>
      <c r="BX204" s="29">
        <f t="shared" si="6"/>
        <v>204</v>
      </c>
      <c r="CA204" s="333" t="s">
        <v>647</v>
      </c>
    </row>
    <row r="205" spans="2:79">
      <c r="P205" s="68">
        <v>200</v>
      </c>
      <c r="Q205" s="68" t="s">
        <v>283</v>
      </c>
      <c r="R205" s="70"/>
      <c r="BB205" s="333" t="s">
        <v>647</v>
      </c>
      <c r="BX205" s="29">
        <f t="shared" si="6"/>
        <v>205</v>
      </c>
      <c r="CA205" s="333" t="s">
        <v>648</v>
      </c>
    </row>
    <row r="206" spans="2:79">
      <c r="P206" s="68">
        <v>201</v>
      </c>
      <c r="Q206" s="68" t="s">
        <v>285</v>
      </c>
      <c r="R206" s="70"/>
      <c r="BB206" s="333" t="s">
        <v>648</v>
      </c>
      <c r="BX206" s="29">
        <f t="shared" si="6"/>
        <v>206</v>
      </c>
      <c r="CA206" s="333" t="s">
        <v>649</v>
      </c>
    </row>
    <row r="207" spans="2:79">
      <c r="P207" s="68">
        <v>202</v>
      </c>
      <c r="Q207" s="68" t="s">
        <v>287</v>
      </c>
      <c r="R207" s="70"/>
      <c r="BB207" s="333" t="s">
        <v>649</v>
      </c>
      <c r="BX207" s="29">
        <f t="shared" si="6"/>
        <v>207</v>
      </c>
      <c r="CA207" s="333" t="s">
        <v>650</v>
      </c>
    </row>
    <row r="208" spans="2:79">
      <c r="P208" s="68">
        <v>203</v>
      </c>
      <c r="Q208" s="68" t="s">
        <v>289</v>
      </c>
      <c r="R208" s="70"/>
      <c r="BB208" s="333" t="s">
        <v>650</v>
      </c>
      <c r="BX208" s="29">
        <f t="shared" si="6"/>
        <v>208</v>
      </c>
      <c r="CA208" s="333" t="s">
        <v>651</v>
      </c>
    </row>
    <row r="209" spans="9:79">
      <c r="P209" s="68">
        <v>204</v>
      </c>
      <c r="Q209" s="68" t="s">
        <v>291</v>
      </c>
      <c r="R209" s="70"/>
      <c r="BB209" s="333" t="s">
        <v>651</v>
      </c>
      <c r="BX209" s="29">
        <f t="shared" si="6"/>
        <v>209</v>
      </c>
      <c r="CA209" s="333" t="s">
        <v>611</v>
      </c>
    </row>
    <row r="210" spans="9:79">
      <c r="P210" s="68">
        <v>205</v>
      </c>
      <c r="Q210" s="68" t="s">
        <v>293</v>
      </c>
      <c r="R210" s="70"/>
      <c r="BB210" s="333" t="s">
        <v>611</v>
      </c>
      <c r="BX210" s="29">
        <f t="shared" si="6"/>
        <v>210</v>
      </c>
      <c r="CA210" s="333" t="s">
        <v>763</v>
      </c>
    </row>
    <row r="211" spans="9:79">
      <c r="P211" s="68">
        <v>206</v>
      </c>
      <c r="Q211" s="68" t="s">
        <v>295</v>
      </c>
      <c r="R211" s="70"/>
      <c r="BB211" s="333" t="s">
        <v>763</v>
      </c>
      <c r="BX211" s="29">
        <f t="shared" si="6"/>
        <v>211</v>
      </c>
      <c r="CA211" s="333" t="s">
        <v>724</v>
      </c>
    </row>
    <row r="212" spans="9:79">
      <c r="P212" s="68">
        <v>207</v>
      </c>
      <c r="Q212" s="68" t="s">
        <v>297</v>
      </c>
      <c r="R212" s="70"/>
      <c r="BB212" s="333" t="s">
        <v>724</v>
      </c>
      <c r="BX212" s="29">
        <f t="shared" si="6"/>
        <v>212</v>
      </c>
      <c r="CA212" s="332" t="s">
        <v>1283</v>
      </c>
    </row>
    <row r="213" spans="9:79">
      <c r="P213" s="68">
        <v>208</v>
      </c>
      <c r="Q213" s="68" t="s">
        <v>299</v>
      </c>
      <c r="R213" s="70"/>
      <c r="BB213" s="332" t="s">
        <v>1283</v>
      </c>
      <c r="BX213" s="29">
        <f t="shared" si="6"/>
        <v>213</v>
      </c>
      <c r="CA213" s="332" t="s">
        <v>725</v>
      </c>
    </row>
    <row r="214" spans="9:79">
      <c r="AA214" s="78"/>
      <c r="AB214" s="78"/>
      <c r="AC214" s="78"/>
      <c r="AD214" s="78"/>
      <c r="AE214" s="78"/>
      <c r="AF214" s="78"/>
      <c r="AG214" s="78"/>
      <c r="AH214" s="78"/>
      <c r="AI214" s="78"/>
      <c r="AJ214" s="78"/>
      <c r="AK214" s="78"/>
      <c r="AL214" s="78"/>
      <c r="AM214" s="78"/>
      <c r="AN214" s="78"/>
      <c r="AO214" s="78"/>
      <c r="AP214" s="78"/>
      <c r="AQ214" s="78"/>
      <c r="AR214" s="78"/>
      <c r="AS214" s="78"/>
      <c r="AT214" s="78"/>
      <c r="AU214" s="78"/>
      <c r="BB214" s="332" t="s">
        <v>725</v>
      </c>
      <c r="BX214" s="29">
        <f t="shared" si="6"/>
        <v>214</v>
      </c>
      <c r="CA214" s="333" t="s">
        <v>343</v>
      </c>
    </row>
    <row r="215" spans="9:79">
      <c r="AA215" s="78"/>
      <c r="AB215" s="78"/>
      <c r="AC215" s="78"/>
      <c r="AD215" s="78"/>
      <c r="AE215" s="78"/>
      <c r="AF215" s="78"/>
      <c r="AG215" s="78"/>
      <c r="AH215" s="78"/>
      <c r="AI215" s="78"/>
      <c r="AJ215" s="78"/>
      <c r="AK215" s="78"/>
      <c r="AL215" s="78"/>
      <c r="AM215" s="78"/>
      <c r="AN215" s="78"/>
      <c r="AO215" s="78"/>
      <c r="AP215" s="78"/>
      <c r="AQ215" s="78"/>
      <c r="AR215" s="78"/>
      <c r="AS215" s="78"/>
      <c r="AT215" s="78"/>
      <c r="AU215" s="78"/>
      <c r="BB215" s="333" t="s">
        <v>343</v>
      </c>
      <c r="BX215" s="29">
        <f t="shared" si="6"/>
        <v>215</v>
      </c>
      <c r="CA215" s="333" t="s">
        <v>726</v>
      </c>
    </row>
    <row r="216" spans="9:79">
      <c r="AA216" s="78"/>
      <c r="AB216" s="78"/>
      <c r="AC216" s="78"/>
      <c r="AD216" s="78"/>
      <c r="AE216" s="78"/>
      <c r="AF216" s="78"/>
      <c r="AG216" s="78"/>
      <c r="AH216" s="78"/>
      <c r="AI216" s="78"/>
      <c r="AJ216" s="78"/>
      <c r="AK216" s="78"/>
      <c r="AL216" s="78"/>
      <c r="AM216" s="78"/>
      <c r="AN216" s="78"/>
      <c r="AO216" s="78"/>
      <c r="AP216" s="78"/>
      <c r="AQ216" s="78"/>
      <c r="AR216" s="78"/>
      <c r="AS216" s="78"/>
      <c r="AT216" s="78"/>
      <c r="AU216" s="78"/>
      <c r="BB216" s="333" t="s">
        <v>726</v>
      </c>
      <c r="BX216" s="29">
        <f t="shared" si="6"/>
        <v>216</v>
      </c>
      <c r="CA216" s="332" t="s">
        <v>727</v>
      </c>
    </row>
    <row r="217" spans="9:79">
      <c r="AA217" s="78"/>
      <c r="AB217" s="78"/>
      <c r="AC217" s="78"/>
      <c r="AD217" s="78"/>
      <c r="AE217" s="78"/>
      <c r="AF217" s="78"/>
      <c r="AG217" s="78"/>
      <c r="AH217" s="78"/>
      <c r="AI217" s="78"/>
      <c r="AJ217" s="78"/>
      <c r="AK217" s="78"/>
      <c r="AL217" s="78"/>
      <c r="AM217" s="78"/>
      <c r="AN217" s="78"/>
      <c r="AO217" s="78"/>
      <c r="AP217" s="78"/>
      <c r="AQ217" s="78"/>
      <c r="AR217" s="78"/>
      <c r="AS217" s="78"/>
      <c r="AT217" s="78"/>
      <c r="AU217" s="78"/>
      <c r="BB217" s="332" t="s">
        <v>727</v>
      </c>
      <c r="BX217" s="29">
        <f t="shared" si="6"/>
        <v>217</v>
      </c>
      <c r="CA217" s="332" t="s">
        <v>728</v>
      </c>
    </row>
    <row r="218" spans="9:79">
      <c r="AA218" s="78"/>
      <c r="AB218" s="78"/>
      <c r="AC218" s="78"/>
      <c r="AD218" s="78"/>
      <c r="AE218" s="78"/>
      <c r="AF218" s="78"/>
      <c r="AG218" s="78"/>
      <c r="AH218" s="78"/>
      <c r="AI218" s="78"/>
      <c r="AJ218" s="78"/>
      <c r="AK218" s="78"/>
      <c r="AL218" s="78"/>
      <c r="AM218" s="78"/>
      <c r="AN218" s="78"/>
      <c r="AO218" s="78"/>
      <c r="AP218" s="78"/>
      <c r="AQ218" s="78"/>
      <c r="AR218" s="78"/>
      <c r="AS218" s="78"/>
      <c r="AT218" s="78"/>
      <c r="AU218" s="78"/>
      <c r="BB218" s="332" t="s">
        <v>728</v>
      </c>
      <c r="BX218" s="29">
        <f t="shared" si="6"/>
        <v>218</v>
      </c>
      <c r="CA218" s="332" t="s">
        <v>729</v>
      </c>
    </row>
    <row r="219" spans="9:79">
      <c r="BB219" s="332" t="s">
        <v>729</v>
      </c>
      <c r="BX219" s="29">
        <f t="shared" si="6"/>
        <v>219</v>
      </c>
      <c r="CA219" s="332" t="s">
        <v>730</v>
      </c>
    </row>
    <row r="220" spans="9:79">
      <c r="I220" s="1"/>
      <c r="J220" s="1"/>
      <c r="P220" s="1"/>
      <c r="Q220" s="1"/>
      <c r="R220" s="1"/>
      <c r="BB220" s="332" t="s">
        <v>730</v>
      </c>
      <c r="BX220" s="29">
        <f t="shared" si="6"/>
        <v>220</v>
      </c>
      <c r="CA220" s="332" t="s">
        <v>731</v>
      </c>
    </row>
    <row r="221" spans="9:79">
      <c r="BB221" s="332" t="s">
        <v>731</v>
      </c>
      <c r="BX221" s="29">
        <f t="shared" si="6"/>
        <v>221</v>
      </c>
      <c r="CA221" s="332" t="s">
        <v>732</v>
      </c>
    </row>
    <row r="222" spans="9:79">
      <c r="BB222" s="332" t="s">
        <v>732</v>
      </c>
      <c r="BX222" s="29">
        <f t="shared" si="6"/>
        <v>222</v>
      </c>
      <c r="CA222" s="340" t="s">
        <v>733</v>
      </c>
    </row>
    <row r="223" spans="9:79">
      <c r="BB223" s="340" t="s">
        <v>733</v>
      </c>
      <c r="BX223" s="29">
        <f t="shared" ca="1" si="6"/>
        <v>223</v>
      </c>
      <c r="CA223" s="340" t="str">
        <f ca="1">"saveAs(new Blob([buffer], { type: 'application/octet-stream' }), '"&amp;MASTERCOLUMNLIST!$B$5&amp;"' + '.xlsx');"</f>
        <v>saveAs(new Blob([buffer], { type: 'application/octet-stream' }), 'NextNumber' + '.xlsx');</v>
      </c>
    </row>
    <row r="224" spans="9:79">
      <c r="BB224" s="340" t="str">
        <f ca="1">"saveAs(new Blob([buffer], { type: 'application/octet-stream' }), '"&amp;MASTERCOLUMNLIST!$B$5&amp;"' + '.xlsx');"</f>
        <v>saveAs(new Blob([buffer], { type: 'application/octet-stream' }), 'NextNumber' + '.xlsx');</v>
      </c>
      <c r="BX224" s="29">
        <f t="shared" si="6"/>
        <v>224</v>
      </c>
      <c r="CA224" s="340" t="s">
        <v>617</v>
      </c>
    </row>
    <row r="225" spans="5:79">
      <c r="BB225" s="340" t="s">
        <v>617</v>
      </c>
      <c r="BX225" s="29">
        <f t="shared" si="6"/>
        <v>225</v>
      </c>
      <c r="CA225" s="332" t="s">
        <v>617</v>
      </c>
    </row>
    <row r="226" spans="5:79">
      <c r="BB226" s="332" t="s">
        <v>617</v>
      </c>
      <c r="BX226" s="29">
        <f t="shared" si="6"/>
        <v>226</v>
      </c>
      <c r="CA226" s="340" t="s">
        <v>734</v>
      </c>
    </row>
    <row r="227" spans="5:79">
      <c r="BB227" s="340" t="s">
        <v>734</v>
      </c>
      <c r="BX227" s="29">
        <f t="shared" si="6"/>
        <v>227</v>
      </c>
      <c r="CA227" s="332" t="s">
        <v>343</v>
      </c>
    </row>
    <row r="228" spans="5:79">
      <c r="BB228" s="332" t="s">
        <v>343</v>
      </c>
      <c r="BX228" s="29">
        <f t="shared" si="6"/>
        <v>228</v>
      </c>
      <c r="CA228" s="332" t="s">
        <v>735</v>
      </c>
    </row>
    <row r="229" spans="5:79">
      <c r="BB229" s="332" t="s">
        <v>735</v>
      </c>
      <c r="BX229" s="29">
        <f t="shared" si="6"/>
        <v>229</v>
      </c>
      <c r="CA229" s="338" t="s">
        <v>1292</v>
      </c>
    </row>
    <row r="230" spans="5:79">
      <c r="BB230" s="338" t="s">
        <v>1292</v>
      </c>
      <c r="BX230" s="29">
        <f t="shared" si="6"/>
        <v>230</v>
      </c>
      <c r="CA230" s="338" t="s">
        <v>1293</v>
      </c>
    </row>
    <row r="231" spans="5:79">
      <c r="BB231" s="338" t="s">
        <v>1293</v>
      </c>
      <c r="BX231" s="29">
        <f t="shared" si="6"/>
        <v>231</v>
      </c>
      <c r="CA231" s="338" t="s">
        <v>1294</v>
      </c>
    </row>
    <row r="232" spans="5:79">
      <c r="BB232" s="338" t="s">
        <v>1294</v>
      </c>
      <c r="BX232" s="29">
        <f t="shared" si="6"/>
        <v>232</v>
      </c>
      <c r="CA232" s="338" t="s">
        <v>1295</v>
      </c>
    </row>
    <row r="233" spans="5:79">
      <c r="BB233" s="338" t="s">
        <v>1295</v>
      </c>
      <c r="BX233" s="29">
        <f t="shared" si="6"/>
        <v>233</v>
      </c>
      <c r="CA233" s="338" t="s">
        <v>1293</v>
      </c>
    </row>
    <row r="234" spans="5:79">
      <c r="BB234" s="338" t="s">
        <v>1293</v>
      </c>
      <c r="BX234" s="29">
        <f t="shared" si="6"/>
        <v>234</v>
      </c>
      <c r="CA234" s="338" t="s">
        <v>1296</v>
      </c>
    </row>
    <row r="235" spans="5:79">
      <c r="BB235" s="338" t="s">
        <v>1296</v>
      </c>
      <c r="BX235" s="29">
        <f t="shared" si="6"/>
        <v>235</v>
      </c>
      <c r="CA235" s="338" t="s">
        <v>1297</v>
      </c>
    </row>
    <row r="236" spans="5:79">
      <c r="BB236" s="338" t="s">
        <v>1297</v>
      </c>
      <c r="BX236" s="29">
        <f t="shared" si="6"/>
        <v>236</v>
      </c>
      <c r="CA236" s="333" t="s">
        <v>736</v>
      </c>
    </row>
    <row r="237" spans="5:79">
      <c r="BB237" s="333" t="s">
        <v>736</v>
      </c>
      <c r="BX237" s="29">
        <f t="shared" si="6"/>
        <v>237</v>
      </c>
      <c r="CA237" s="170" t="s">
        <v>505</v>
      </c>
    </row>
    <row r="238" spans="5:79">
      <c r="BB238" s="3" t="s">
        <v>1</v>
      </c>
      <c r="BX238" s="29">
        <f t="shared" si="6"/>
        <v>238</v>
      </c>
      <c r="CA238" s="170" t="s">
        <v>505</v>
      </c>
    </row>
    <row r="239" spans="5:79">
      <c r="E239" s="114"/>
      <c r="AH239" s="6"/>
      <c r="AI239" s="6"/>
      <c r="BB239" s="3" t="s">
        <v>1</v>
      </c>
      <c r="BX239" s="29">
        <f t="shared" si="6"/>
        <v>239</v>
      </c>
      <c r="CA239" s="170" t="s">
        <v>626</v>
      </c>
    </row>
    <row r="240" spans="5:79">
      <c r="AH240" s="6"/>
      <c r="AI240" s="6"/>
      <c r="BB240" s="342" t="s">
        <v>613</v>
      </c>
      <c r="BX240" s="29">
        <f t="shared" si="6"/>
        <v>240</v>
      </c>
      <c r="CA240" s="170" t="s">
        <v>628</v>
      </c>
    </row>
    <row r="241" spans="34:79">
      <c r="AH241" s="6"/>
      <c r="AI241" s="6"/>
      <c r="BB241" s="333" t="s">
        <v>737</v>
      </c>
      <c r="BX241" s="29">
        <f t="shared" si="6"/>
        <v>241</v>
      </c>
      <c r="CA241" s="170" t="s">
        <v>930</v>
      </c>
    </row>
    <row r="242" spans="34:79">
      <c r="BB242" s="333" t="s">
        <v>738</v>
      </c>
      <c r="BX242" s="29">
        <f t="shared" si="6"/>
        <v>242</v>
      </c>
      <c r="CA242" s="170" t="s">
        <v>623</v>
      </c>
    </row>
    <row r="243" spans="34:79">
      <c r="BB243" s="336" t="s">
        <v>739</v>
      </c>
      <c r="BX243" s="29">
        <f t="shared" si="6"/>
        <v>243</v>
      </c>
      <c r="CA243" s="170" t="s">
        <v>624</v>
      </c>
    </row>
    <row r="244" spans="34:79">
      <c r="BB244" s="336" t="s">
        <v>740</v>
      </c>
      <c r="BX244" s="29">
        <f t="shared" si="6"/>
        <v>244</v>
      </c>
      <c r="CA244" s="170" t="s">
        <v>1247</v>
      </c>
    </row>
    <row r="245" spans="34:79">
      <c r="BB245" s="336" t="s">
        <v>341</v>
      </c>
      <c r="BX245" s="29">
        <f t="shared" si="6"/>
        <v>245</v>
      </c>
      <c r="CA245" s="170" t="s">
        <v>1248</v>
      </c>
    </row>
    <row r="246" spans="34:79">
      <c r="BB246" s="332" t="s">
        <v>747</v>
      </c>
      <c r="BX246" s="29">
        <f t="shared" si="6"/>
        <v>246</v>
      </c>
      <c r="CA246" s="170" t="s">
        <v>1432</v>
      </c>
    </row>
    <row r="247" spans="34:79">
      <c r="BB247" s="332" t="s">
        <v>748</v>
      </c>
      <c r="BX247" s="29">
        <f t="shared" si="6"/>
        <v>247</v>
      </c>
      <c r="CA247" s="170" t="s">
        <v>1445</v>
      </c>
    </row>
    <row r="248" spans="34:79">
      <c r="BB248" s="332" t="s">
        <v>741</v>
      </c>
      <c r="BX248" s="29">
        <f t="shared" si="6"/>
        <v>248</v>
      </c>
      <c r="CA248" s="170" t="s">
        <v>1446</v>
      </c>
    </row>
    <row r="249" spans="34:79">
      <c r="BB249" s="332" t="s">
        <v>749</v>
      </c>
      <c r="BX249" s="29">
        <f t="shared" si="6"/>
        <v>249</v>
      </c>
      <c r="CA249" s="170" t="s">
        <v>1447</v>
      </c>
    </row>
    <row r="250" spans="34:79">
      <c r="BB250" s="341" t="str">
        <f ca="1">"icon: '"&amp;MASTERCOLUMNLIST!$I$3&amp;"',"</f>
        <v>icon: 'collapse',</v>
      </c>
      <c r="BX250" s="29">
        <f t="shared" si="6"/>
        <v>250</v>
      </c>
      <c r="CA250" s="170" t="s">
        <v>1433</v>
      </c>
    </row>
    <row r="251" spans="34:79">
      <c r="BB251" s="341" t="str">
        <f ca="1">"text: '"&amp;MASTERCOLUMNLIST!$I$4&amp;"',"</f>
        <v>text: 'Collapse All',</v>
      </c>
      <c r="BX251" s="29">
        <f t="shared" si="6"/>
        <v>251</v>
      </c>
      <c r="CA251" s="170" t="s">
        <v>1277</v>
      </c>
    </row>
    <row r="252" spans="34:79">
      <c r="BB252" s="341" t="s">
        <v>742</v>
      </c>
      <c r="BX252" s="29">
        <f t="shared" si="6"/>
        <v>252</v>
      </c>
      <c r="CA252" s="170" t="s">
        <v>1416</v>
      </c>
    </row>
    <row r="253" spans="34:79">
      <c r="BB253" s="341" t="s">
        <v>743</v>
      </c>
      <c r="BX253" s="29">
        <f t="shared" si="6"/>
        <v>253</v>
      </c>
      <c r="CA253" s="170" t="s">
        <v>931</v>
      </c>
    </row>
    <row r="254" spans="34:79">
      <c r="BB254" s="341" t="s">
        <v>744</v>
      </c>
      <c r="BX254" s="29">
        <f t="shared" si="6"/>
        <v>254</v>
      </c>
      <c r="CA254" s="170" t="s">
        <v>932</v>
      </c>
    </row>
    <row r="255" spans="34:79">
      <c r="BB255" s="341" t="s">
        <v>745</v>
      </c>
      <c r="BX255" s="29">
        <f t="shared" si="6"/>
        <v>255</v>
      </c>
      <c r="CA255" s="170" t="s">
        <v>933</v>
      </c>
    </row>
    <row r="256" spans="34:79">
      <c r="BB256" s="341" t="s">
        <v>746</v>
      </c>
      <c r="BX256" s="29">
        <f t="shared" si="6"/>
        <v>256</v>
      </c>
      <c r="CA256" s="170" t="s">
        <v>934</v>
      </c>
    </row>
    <row r="257" spans="54:79">
      <c r="BB257" s="343" t="s">
        <v>633</v>
      </c>
      <c r="BX257" s="29">
        <f t="shared" si="6"/>
        <v>257</v>
      </c>
      <c r="CA257" s="451" t="s">
        <v>1278</v>
      </c>
    </row>
    <row r="258" spans="54:79">
      <c r="BB258" s="341" t="s">
        <v>342</v>
      </c>
      <c r="BX258" s="29">
        <f t="shared" si="6"/>
        <v>258</v>
      </c>
      <c r="CA258" s="170" t="s">
        <v>935</v>
      </c>
    </row>
    <row r="259" spans="54:79">
      <c r="BB259" s="336" t="s">
        <v>342</v>
      </c>
      <c r="BX259" s="29">
        <f t="shared" si="6"/>
        <v>259</v>
      </c>
      <c r="CA259" s="170" t="s">
        <v>936</v>
      </c>
    </row>
    <row r="260" spans="54:79">
      <c r="BB260" s="333" t="s">
        <v>736</v>
      </c>
      <c r="BX260" s="29">
        <f t="shared" si="6"/>
        <v>260</v>
      </c>
      <c r="CA260" s="170" t="s">
        <v>937</v>
      </c>
    </row>
    <row r="261" spans="54:79">
      <c r="BB261" s="333" t="s">
        <v>341</v>
      </c>
      <c r="BX261" s="29">
        <f t="shared" si="6"/>
        <v>261</v>
      </c>
      <c r="CA261" s="170" t="s">
        <v>1282</v>
      </c>
    </row>
    <row r="262" spans="54:79">
      <c r="BB262" s="338" t="s">
        <v>747</v>
      </c>
      <c r="BX262" s="29">
        <f t="shared" si="6"/>
        <v>262</v>
      </c>
      <c r="CA262" s="170" t="s">
        <v>1279</v>
      </c>
    </row>
    <row r="263" spans="54:79">
      <c r="BB263" s="338" t="s">
        <v>748</v>
      </c>
      <c r="BX263" s="29">
        <f t="shared" si="6"/>
        <v>263</v>
      </c>
      <c r="CA263" s="170" t="s">
        <v>1280</v>
      </c>
    </row>
    <row r="264" spans="54:79">
      <c r="BB264" s="338" t="s">
        <v>1284</v>
      </c>
      <c r="BX264" s="29">
        <f t="shared" ref="BX264:BX327" si="7">IF(CA264=0,"",ROW())</f>
        <v>264</v>
      </c>
      <c r="CA264" s="170" t="s">
        <v>1287</v>
      </c>
    </row>
    <row r="265" spans="54:79">
      <c r="BB265" s="338" t="s">
        <v>749</v>
      </c>
      <c r="BX265" s="29">
        <f t="shared" si="7"/>
        <v>265</v>
      </c>
      <c r="CA265" s="170" t="s">
        <v>1316</v>
      </c>
    </row>
    <row r="266" spans="54:79">
      <c r="BB266" s="340" t="s">
        <v>750</v>
      </c>
      <c r="BX266" s="29">
        <f t="shared" si="7"/>
        <v>266</v>
      </c>
      <c r="CA266" s="170" t="s">
        <v>1281</v>
      </c>
    </row>
    <row r="267" spans="54:79">
      <c r="BB267" s="340" t="s">
        <v>751</v>
      </c>
      <c r="BX267" s="29">
        <f t="shared" si="7"/>
        <v>267</v>
      </c>
      <c r="CA267" s="170" t="s">
        <v>1288</v>
      </c>
    </row>
    <row r="268" spans="54:79">
      <c r="BB268" s="340" t="s">
        <v>752</v>
      </c>
      <c r="BX268" s="29">
        <f t="shared" si="7"/>
        <v>268</v>
      </c>
      <c r="CA268" s="452" t="s">
        <v>1314</v>
      </c>
    </row>
    <row r="269" spans="54:79">
      <c r="BB269" s="344" t="s">
        <v>753</v>
      </c>
      <c r="BX269" s="29">
        <f t="shared" si="7"/>
        <v>269</v>
      </c>
      <c r="CA269" s="170" t="s">
        <v>1289</v>
      </c>
    </row>
    <row r="270" spans="54:79">
      <c r="BB270" s="344" t="s">
        <v>754</v>
      </c>
      <c r="BX270" s="29">
        <f t="shared" si="7"/>
        <v>270</v>
      </c>
      <c r="CA270" s="170" t="s">
        <v>1290</v>
      </c>
    </row>
    <row r="271" spans="54:79">
      <c r="BB271" s="344" t="s">
        <v>755</v>
      </c>
      <c r="BX271" s="29">
        <f t="shared" si="7"/>
        <v>271</v>
      </c>
      <c r="CA271" s="170" t="s">
        <v>1291</v>
      </c>
    </row>
    <row r="272" spans="54:79">
      <c r="BB272" s="344" t="s">
        <v>756</v>
      </c>
      <c r="BX272" s="29">
        <f t="shared" si="7"/>
        <v>272</v>
      </c>
      <c r="CA272" s="171" t="s">
        <v>489</v>
      </c>
    </row>
    <row r="273" spans="10:79">
      <c r="BB273" s="340" t="s">
        <v>732</v>
      </c>
      <c r="BX273" s="29">
        <f t="shared" si="7"/>
        <v>273</v>
      </c>
      <c r="CA273" s="169" t="s">
        <v>627</v>
      </c>
    </row>
    <row r="274" spans="10:79">
      <c r="BB274" s="344" t="str">
        <f ca="1">"doc.save( '"&amp;MASTERCOLUMNLIST!$B$5&amp;"' + '.pdf');"</f>
        <v>doc.save( 'NextNumber' + '.pdf');</v>
      </c>
      <c r="BX274" s="29">
        <f t="shared" si="7"/>
        <v>274</v>
      </c>
      <c r="CA274" s="169" t="s">
        <v>1318</v>
      </c>
    </row>
    <row r="275" spans="10:79">
      <c r="BB275" s="340" t="s">
        <v>617</v>
      </c>
      <c r="BX275" s="29">
        <f t="shared" si="7"/>
        <v>275</v>
      </c>
      <c r="CA275" s="169" t="s">
        <v>1417</v>
      </c>
    </row>
    <row r="276" spans="10:79">
      <c r="BB276" s="338" t="s">
        <v>342</v>
      </c>
      <c r="BX276" s="29">
        <f t="shared" si="7"/>
        <v>276</v>
      </c>
      <c r="CA276" s="169" t="s">
        <v>625</v>
      </c>
    </row>
    <row r="277" spans="10:79">
      <c r="BB277" s="332" t="s">
        <v>342</v>
      </c>
      <c r="BX277" s="29">
        <f t="shared" si="7"/>
        <v>277</v>
      </c>
      <c r="CA277" s="169" t="s">
        <v>1448</v>
      </c>
    </row>
    <row r="278" spans="10:79">
      <c r="BB278" s="333" t="s">
        <v>343</v>
      </c>
      <c r="BX278" s="29">
        <f t="shared" si="7"/>
        <v>278</v>
      </c>
      <c r="CA278" s="169" t="s">
        <v>1449</v>
      </c>
    </row>
    <row r="279" spans="10:79">
      <c r="BB279" s="333" t="s">
        <v>341</v>
      </c>
      <c r="BX279" s="29">
        <f t="shared" si="7"/>
        <v>279</v>
      </c>
      <c r="CA279" s="169" t="s">
        <v>343</v>
      </c>
    </row>
    <row r="280" spans="10:79">
      <c r="BB280" s="332" t="s">
        <v>747</v>
      </c>
      <c r="BX280" s="29">
        <f t="shared" si="7"/>
        <v>280</v>
      </c>
      <c r="CA280" s="169" t="s">
        <v>1418</v>
      </c>
    </row>
    <row r="281" spans="10:79">
      <c r="BB281" s="332" t="s">
        <v>748</v>
      </c>
      <c r="BX281" s="29">
        <f t="shared" si="7"/>
        <v>281</v>
      </c>
      <c r="CA281" s="169" t="s">
        <v>1419</v>
      </c>
    </row>
    <row r="282" spans="10:79">
      <c r="BB282" s="332" t="s">
        <v>749</v>
      </c>
      <c r="BX282" s="29">
        <f t="shared" si="7"/>
        <v>282</v>
      </c>
      <c r="CA282" s="169" t="s">
        <v>1450</v>
      </c>
    </row>
    <row r="283" spans="10:79">
      <c r="BB283" s="340" t="s">
        <v>757</v>
      </c>
      <c r="BX283" s="29">
        <f t="shared" si="7"/>
        <v>283</v>
      </c>
      <c r="CA283" s="169" t="s">
        <v>343</v>
      </c>
    </row>
    <row r="284" spans="10:79">
      <c r="BB284" s="340" t="s">
        <v>752</v>
      </c>
      <c r="BX284" s="29">
        <f t="shared" si="7"/>
        <v>284</v>
      </c>
      <c r="CA284" s="169" t="s">
        <v>1420</v>
      </c>
    </row>
    <row r="285" spans="10:79">
      <c r="J285" s="1"/>
      <c r="BB285" s="344" t="s">
        <v>758</v>
      </c>
      <c r="BX285" s="29">
        <f t="shared" si="7"/>
        <v>285</v>
      </c>
      <c r="CA285" s="169" t="s">
        <v>1421</v>
      </c>
    </row>
    <row r="286" spans="10:79">
      <c r="J286" s="1"/>
      <c r="BB286" s="340" t="s">
        <v>342</v>
      </c>
      <c r="BX286" s="29">
        <f t="shared" si="7"/>
        <v>286</v>
      </c>
      <c r="CA286" s="169" t="s">
        <v>1451</v>
      </c>
    </row>
    <row r="287" spans="10:79">
      <c r="J287" s="1"/>
      <c r="BB287" s="338" t="s">
        <v>342</v>
      </c>
      <c r="BX287" s="29">
        <f t="shared" si="7"/>
        <v>287</v>
      </c>
      <c r="CA287" s="169" t="s">
        <v>1452</v>
      </c>
    </row>
    <row r="288" spans="10:79">
      <c r="J288" s="1"/>
      <c r="BB288" s="333" t="s">
        <v>614</v>
      </c>
      <c r="BX288" s="29">
        <f t="shared" si="7"/>
        <v>288</v>
      </c>
      <c r="CA288" s="169" t="s">
        <v>343</v>
      </c>
    </row>
    <row r="289" spans="10:79">
      <c r="J289" s="1"/>
      <c r="BB289" s="333" t="s">
        <v>615</v>
      </c>
      <c r="BX289" s="29">
        <f t="shared" si="7"/>
        <v>289</v>
      </c>
      <c r="CA289" s="169" t="s">
        <v>1422</v>
      </c>
    </row>
    <row r="290" spans="10:79">
      <c r="J290" s="1"/>
      <c r="BB290" s="333" t="s">
        <v>342</v>
      </c>
      <c r="BX290" s="29">
        <f t="shared" si="7"/>
        <v>290</v>
      </c>
      <c r="CA290" s="169" t="s">
        <v>1423</v>
      </c>
    </row>
    <row r="291" spans="10:79">
      <c r="J291" s="1"/>
      <c r="BB291" s="330" t="s">
        <v>759</v>
      </c>
      <c r="BX291" s="29">
        <f t="shared" si="7"/>
        <v>291</v>
      </c>
      <c r="CA291" s="126" t="s">
        <v>1424</v>
      </c>
    </row>
    <row r="292" spans="10:79">
      <c r="J292" s="1"/>
      <c r="BB292" s="331" t="s">
        <v>1</v>
      </c>
      <c r="BX292" s="29">
        <f t="shared" si="7"/>
        <v>292</v>
      </c>
      <c r="CA292" s="169" t="s">
        <v>343</v>
      </c>
    </row>
    <row r="293" spans="10:79">
      <c r="BB293" s="330" t="s">
        <v>616</v>
      </c>
      <c r="BX293" s="29">
        <f t="shared" si="7"/>
        <v>293</v>
      </c>
      <c r="CA293" s="169" t="s">
        <v>1425</v>
      </c>
    </row>
    <row r="294" spans="10:79">
      <c r="BB294" s="335" t="s">
        <v>707</v>
      </c>
      <c r="BX294" s="29">
        <f t="shared" si="7"/>
        <v>294</v>
      </c>
      <c r="CA294" s="169" t="s">
        <v>1426</v>
      </c>
    </row>
    <row r="295" spans="10:79">
      <c r="BB295" s="335" t="s">
        <v>708</v>
      </c>
      <c r="BX295" s="29">
        <f t="shared" si="7"/>
        <v>295</v>
      </c>
      <c r="CA295" s="169" t="s">
        <v>343</v>
      </c>
    </row>
    <row r="296" spans="10:79">
      <c r="BB296" s="335" t="s">
        <v>709</v>
      </c>
      <c r="BX296" s="29">
        <f t="shared" si="7"/>
        <v>296</v>
      </c>
      <c r="CA296" s="326" t="s">
        <v>1046</v>
      </c>
    </row>
    <row r="297" spans="10:79">
      <c r="BB297" s="340" t="s">
        <v>710</v>
      </c>
      <c r="BX297" s="29">
        <f t="shared" si="7"/>
        <v>297</v>
      </c>
      <c r="CA297" s="126" t="s">
        <v>1047</v>
      </c>
    </row>
    <row r="298" spans="10:79">
      <c r="BB298" s="335" t="s">
        <v>342</v>
      </c>
      <c r="BX298" s="29">
        <f t="shared" si="7"/>
        <v>298</v>
      </c>
      <c r="CA298" s="126" t="s">
        <v>1048</v>
      </c>
    </row>
    <row r="299" spans="10:79">
      <c r="BB299" s="330" t="s">
        <v>617</v>
      </c>
      <c r="BX299" s="29">
        <f t="shared" si="7"/>
        <v>299</v>
      </c>
      <c r="CA299" s="126" t="s">
        <v>1049</v>
      </c>
    </row>
    <row r="300" spans="10:79">
      <c r="BB300" s="337" t="s">
        <v>1</v>
      </c>
      <c r="BX300" s="29">
        <f t="shared" si="7"/>
        <v>300</v>
      </c>
      <c r="CA300" s="126" t="s">
        <v>652</v>
      </c>
    </row>
    <row r="301" spans="10:79">
      <c r="BB301" s="330" t="s">
        <v>618</v>
      </c>
      <c r="BX301" s="29">
        <f t="shared" si="7"/>
        <v>301</v>
      </c>
      <c r="CA301" s="126" t="s">
        <v>1026</v>
      </c>
    </row>
    <row r="302" spans="10:79">
      <c r="BB302" s="330" t="s">
        <v>619</v>
      </c>
      <c r="BX302" s="29">
        <f t="shared" si="7"/>
        <v>302</v>
      </c>
      <c r="CA302" s="126" t="s">
        <v>1050</v>
      </c>
    </row>
    <row r="303" spans="10:79">
      <c r="BB303" s="330" t="s">
        <v>620</v>
      </c>
      <c r="BX303" s="29">
        <f t="shared" si="7"/>
        <v>303</v>
      </c>
      <c r="CA303" s="126" t="s">
        <v>1051</v>
      </c>
    </row>
    <row r="304" spans="10:79">
      <c r="BX304" s="29">
        <f t="shared" si="7"/>
        <v>304</v>
      </c>
      <c r="CA304" s="126" t="s">
        <v>1052</v>
      </c>
    </row>
    <row r="305" spans="76:79">
      <c r="BX305" s="29">
        <f t="shared" si="7"/>
        <v>305</v>
      </c>
      <c r="CA305" s="126" t="s">
        <v>1053</v>
      </c>
    </row>
    <row r="306" spans="76:79">
      <c r="BX306" s="29">
        <f t="shared" si="7"/>
        <v>306</v>
      </c>
      <c r="CA306" s="126" t="s">
        <v>1319</v>
      </c>
    </row>
    <row r="307" spans="76:79">
      <c r="BX307" s="29">
        <f t="shared" si="7"/>
        <v>307</v>
      </c>
      <c r="CA307" s="126" t="s">
        <v>1054</v>
      </c>
    </row>
    <row r="308" spans="76:79">
      <c r="BX308" s="29">
        <f t="shared" si="7"/>
        <v>308</v>
      </c>
      <c r="CA308" s="126" t="s">
        <v>1055</v>
      </c>
    </row>
    <row r="309" spans="76:79">
      <c r="BX309" s="29">
        <f t="shared" si="7"/>
        <v>309</v>
      </c>
      <c r="CA309" s="126" t="s">
        <v>1056</v>
      </c>
    </row>
    <row r="310" spans="76:79">
      <c r="BX310" s="29">
        <f t="shared" si="7"/>
        <v>310</v>
      </c>
      <c r="CA310" s="126" t="s">
        <v>1057</v>
      </c>
    </row>
    <row r="311" spans="76:79">
      <c r="BX311" s="29">
        <f t="shared" si="7"/>
        <v>311</v>
      </c>
      <c r="CA311" s="126" t="s">
        <v>1058</v>
      </c>
    </row>
    <row r="312" spans="76:79">
      <c r="BX312" s="29">
        <f t="shared" si="7"/>
        <v>312</v>
      </c>
      <c r="CA312" s="333" t="s">
        <v>737</v>
      </c>
    </row>
    <row r="313" spans="76:79">
      <c r="BX313" s="29">
        <f t="shared" si="7"/>
        <v>313</v>
      </c>
      <c r="CA313" s="333" t="s">
        <v>738</v>
      </c>
    </row>
    <row r="314" spans="76:79">
      <c r="BX314" s="29">
        <f t="shared" si="7"/>
        <v>314</v>
      </c>
      <c r="CA314" s="336" t="s">
        <v>739</v>
      </c>
    </row>
    <row r="315" spans="76:79">
      <c r="BX315" s="29">
        <f t="shared" si="7"/>
        <v>315</v>
      </c>
      <c r="CA315" s="336" t="s">
        <v>740</v>
      </c>
    </row>
    <row r="316" spans="76:79">
      <c r="BX316" s="29">
        <f t="shared" si="7"/>
        <v>316</v>
      </c>
      <c r="CA316" s="336" t="s">
        <v>341</v>
      </c>
    </row>
    <row r="317" spans="76:79">
      <c r="BX317" s="29">
        <f t="shared" si="7"/>
        <v>317</v>
      </c>
      <c r="CA317" s="332" t="s">
        <v>747</v>
      </c>
    </row>
    <row r="318" spans="76:79">
      <c r="BX318" s="29">
        <f t="shared" si="7"/>
        <v>318</v>
      </c>
      <c r="CA318" s="332" t="s">
        <v>748</v>
      </c>
    </row>
    <row r="319" spans="76:79">
      <c r="BX319" s="29">
        <f t="shared" si="7"/>
        <v>319</v>
      </c>
      <c r="CA319" s="332" t="s">
        <v>741</v>
      </c>
    </row>
    <row r="320" spans="76:79">
      <c r="BX320" s="29">
        <f t="shared" si="7"/>
        <v>320</v>
      </c>
      <c r="CA320" s="332" t="s">
        <v>749</v>
      </c>
    </row>
    <row r="321" spans="76:79">
      <c r="BX321" s="29">
        <f t="shared" ca="1" si="7"/>
        <v>321</v>
      </c>
      <c r="CA321" s="341" t="str">
        <f ca="1">"icon: '"&amp;MASTERCOLUMNLIST!$I$3&amp;"',"</f>
        <v>icon: 'collapse',</v>
      </c>
    </row>
    <row r="322" spans="76:79">
      <c r="BX322" s="29">
        <f t="shared" ca="1" si="7"/>
        <v>322</v>
      </c>
      <c r="CA322" s="341" t="str">
        <f ca="1">"text: '"&amp;MASTERCOLUMNLIST!$I$4&amp;"',"</f>
        <v>text: 'Collapse All',</v>
      </c>
    </row>
    <row r="323" spans="76:79">
      <c r="BX323" s="29">
        <f t="shared" si="7"/>
        <v>323</v>
      </c>
      <c r="CA323" s="341" t="s">
        <v>742</v>
      </c>
    </row>
    <row r="324" spans="76:79">
      <c r="BX324" s="29">
        <f t="shared" si="7"/>
        <v>324</v>
      </c>
      <c r="CA324" s="341" t="s">
        <v>743</v>
      </c>
    </row>
    <row r="325" spans="76:79">
      <c r="BX325" s="29">
        <f t="shared" si="7"/>
        <v>325</v>
      </c>
      <c r="CA325" s="341" t="s">
        <v>744</v>
      </c>
    </row>
    <row r="326" spans="76:79">
      <c r="BX326" s="29">
        <f t="shared" si="7"/>
        <v>326</v>
      </c>
      <c r="CA326" s="341" t="s">
        <v>745</v>
      </c>
    </row>
    <row r="327" spans="76:79">
      <c r="BX327" s="29">
        <f t="shared" si="7"/>
        <v>327</v>
      </c>
      <c r="CA327" s="341" t="s">
        <v>746</v>
      </c>
    </row>
    <row r="328" spans="76:79">
      <c r="BX328" s="29">
        <f t="shared" ref="BX328:BX391" si="8">IF(CA328=0,"",ROW())</f>
        <v>328</v>
      </c>
      <c r="CA328" s="343" t="s">
        <v>633</v>
      </c>
    </row>
    <row r="329" spans="76:79">
      <c r="BX329" s="29">
        <f t="shared" si="8"/>
        <v>329</v>
      </c>
      <c r="CA329" s="341" t="s">
        <v>342</v>
      </c>
    </row>
    <row r="330" spans="76:79">
      <c r="BX330" s="29">
        <f t="shared" si="8"/>
        <v>330</v>
      </c>
      <c r="CA330" s="336" t="s">
        <v>342</v>
      </c>
    </row>
    <row r="331" spans="76:79">
      <c r="BX331" s="29">
        <f t="shared" si="8"/>
        <v>331</v>
      </c>
      <c r="CA331" s="333" t="s">
        <v>736</v>
      </c>
    </row>
    <row r="332" spans="76:79">
      <c r="BX332" s="29">
        <f t="shared" si="8"/>
        <v>332</v>
      </c>
      <c r="CA332" s="333" t="s">
        <v>341</v>
      </c>
    </row>
    <row r="333" spans="76:79">
      <c r="BX333" s="29">
        <f t="shared" si="8"/>
        <v>333</v>
      </c>
      <c r="CA333" s="338" t="s">
        <v>747</v>
      </c>
    </row>
    <row r="334" spans="76:79">
      <c r="BX334" s="29">
        <f t="shared" si="8"/>
        <v>334</v>
      </c>
      <c r="CA334" s="338" t="s">
        <v>748</v>
      </c>
    </row>
    <row r="335" spans="76:79">
      <c r="BX335" s="29">
        <f t="shared" si="8"/>
        <v>335</v>
      </c>
      <c r="CA335" s="338" t="s">
        <v>1284</v>
      </c>
    </row>
    <row r="336" spans="76:79">
      <c r="BX336" s="29">
        <f t="shared" si="8"/>
        <v>336</v>
      </c>
      <c r="CA336" s="338" t="s">
        <v>749</v>
      </c>
    </row>
    <row r="337" spans="76:79">
      <c r="BX337" s="29">
        <f t="shared" si="8"/>
        <v>337</v>
      </c>
      <c r="CA337" s="340" t="s">
        <v>750</v>
      </c>
    </row>
    <row r="338" spans="76:79">
      <c r="BX338" s="29">
        <f t="shared" si="8"/>
        <v>338</v>
      </c>
      <c r="CA338" s="340" t="s">
        <v>751</v>
      </c>
    </row>
    <row r="339" spans="76:79">
      <c r="BX339" s="29">
        <f t="shared" si="8"/>
        <v>339</v>
      </c>
      <c r="CA339" s="340" t="s">
        <v>752</v>
      </c>
    </row>
    <row r="340" spans="76:79">
      <c r="BX340" s="29">
        <f t="shared" si="8"/>
        <v>340</v>
      </c>
      <c r="CA340" s="344" t="s">
        <v>753</v>
      </c>
    </row>
    <row r="341" spans="76:79">
      <c r="BX341" s="29">
        <f t="shared" si="8"/>
        <v>341</v>
      </c>
      <c r="CA341" s="344" t="s">
        <v>754</v>
      </c>
    </row>
    <row r="342" spans="76:79">
      <c r="BX342" s="29">
        <f t="shared" si="8"/>
        <v>342</v>
      </c>
      <c r="CA342" s="344" t="s">
        <v>755</v>
      </c>
    </row>
    <row r="343" spans="76:79">
      <c r="BX343" s="29">
        <f t="shared" si="8"/>
        <v>343</v>
      </c>
      <c r="CA343" s="344" t="s">
        <v>756</v>
      </c>
    </row>
    <row r="344" spans="76:79">
      <c r="BX344" s="29">
        <f t="shared" si="8"/>
        <v>344</v>
      </c>
      <c r="CA344" s="340" t="s">
        <v>732</v>
      </c>
    </row>
    <row r="345" spans="76:79">
      <c r="BX345" s="29">
        <f t="shared" ca="1" si="8"/>
        <v>345</v>
      </c>
      <c r="CA345" s="344" t="str">
        <f ca="1">"doc.save( '"&amp;MASTERCOLUMNLIST!$B$5&amp;"' + '.pdf');"</f>
        <v>doc.save( 'NextNumber' + '.pdf');</v>
      </c>
    </row>
    <row r="346" spans="76:79">
      <c r="BX346" s="29">
        <f t="shared" si="8"/>
        <v>346</v>
      </c>
      <c r="CA346" s="340" t="s">
        <v>617</v>
      </c>
    </row>
    <row r="347" spans="76:79">
      <c r="BX347" s="29">
        <f t="shared" si="8"/>
        <v>347</v>
      </c>
      <c r="CA347" s="338" t="s">
        <v>342</v>
      </c>
    </row>
    <row r="348" spans="76:79">
      <c r="BX348" s="29">
        <f t="shared" si="8"/>
        <v>348</v>
      </c>
      <c r="CA348" s="332" t="s">
        <v>342</v>
      </c>
    </row>
    <row r="349" spans="76:79">
      <c r="BX349" s="29">
        <f t="shared" si="8"/>
        <v>349</v>
      </c>
      <c r="CA349" s="333" t="s">
        <v>343</v>
      </c>
    </row>
    <row r="350" spans="76:79">
      <c r="BX350" s="29">
        <f t="shared" si="8"/>
        <v>350</v>
      </c>
      <c r="CA350" s="333" t="s">
        <v>341</v>
      </c>
    </row>
    <row r="351" spans="76:79">
      <c r="BX351" s="29">
        <f t="shared" si="8"/>
        <v>351</v>
      </c>
      <c r="CA351" s="332" t="s">
        <v>747</v>
      </c>
    </row>
    <row r="352" spans="76:79">
      <c r="BX352" s="29">
        <f t="shared" si="8"/>
        <v>352</v>
      </c>
      <c r="CA352" s="332" t="s">
        <v>748</v>
      </c>
    </row>
    <row r="353" spans="76:79">
      <c r="BX353" s="29">
        <f t="shared" si="8"/>
        <v>353</v>
      </c>
      <c r="CA353" s="332" t="s">
        <v>749</v>
      </c>
    </row>
    <row r="354" spans="76:79">
      <c r="BX354" s="29">
        <f t="shared" si="8"/>
        <v>354</v>
      </c>
      <c r="CA354" s="340" t="s">
        <v>757</v>
      </c>
    </row>
    <row r="355" spans="76:79">
      <c r="BX355" s="29">
        <f t="shared" si="8"/>
        <v>355</v>
      </c>
      <c r="CA355" s="340" t="s">
        <v>752</v>
      </c>
    </row>
    <row r="356" spans="76:79">
      <c r="BX356" s="29">
        <f t="shared" si="8"/>
        <v>356</v>
      </c>
      <c r="CA356" s="344" t="s">
        <v>758</v>
      </c>
    </row>
    <row r="357" spans="76:79">
      <c r="BX357" s="29">
        <f t="shared" si="8"/>
        <v>357</v>
      </c>
      <c r="CA357" s="340" t="s">
        <v>342</v>
      </c>
    </row>
    <row r="358" spans="76:79">
      <c r="BX358" s="29">
        <f t="shared" si="8"/>
        <v>358</v>
      </c>
      <c r="CA358" s="338" t="s">
        <v>342</v>
      </c>
    </row>
    <row r="359" spans="76:79">
      <c r="BX359" s="29">
        <f t="shared" si="8"/>
        <v>359</v>
      </c>
      <c r="CA359" s="333" t="s">
        <v>614</v>
      </c>
    </row>
    <row r="360" spans="76:79">
      <c r="BX360" s="29">
        <f t="shared" si="8"/>
        <v>360</v>
      </c>
      <c r="CA360" s="333" t="s">
        <v>615</v>
      </c>
    </row>
    <row r="361" spans="76:79">
      <c r="BX361" s="29">
        <f t="shared" si="8"/>
        <v>361</v>
      </c>
      <c r="CA361" s="333" t="s">
        <v>342</v>
      </c>
    </row>
    <row r="362" spans="76:79">
      <c r="BX362" s="29">
        <f t="shared" si="8"/>
        <v>362</v>
      </c>
      <c r="CA362" s="330" t="s">
        <v>759</v>
      </c>
    </row>
    <row r="363" spans="76:79">
      <c r="BX363" s="29">
        <f t="shared" si="8"/>
        <v>363</v>
      </c>
      <c r="CA363" s="331" t="s">
        <v>1</v>
      </c>
    </row>
    <row r="364" spans="76:79">
      <c r="BX364" s="29">
        <f t="shared" si="8"/>
        <v>364</v>
      </c>
      <c r="CA364" s="330" t="s">
        <v>616</v>
      </c>
    </row>
    <row r="365" spans="76:79">
      <c r="BX365" s="29">
        <f t="shared" si="8"/>
        <v>365</v>
      </c>
      <c r="CA365" s="335" t="s">
        <v>707</v>
      </c>
    </row>
    <row r="366" spans="76:79">
      <c r="BX366" s="29">
        <f t="shared" si="8"/>
        <v>366</v>
      </c>
      <c r="CA366" s="335" t="s">
        <v>708</v>
      </c>
    </row>
    <row r="367" spans="76:79">
      <c r="BX367" s="29">
        <f t="shared" si="8"/>
        <v>367</v>
      </c>
      <c r="CA367" s="335" t="s">
        <v>709</v>
      </c>
    </row>
    <row r="368" spans="76:79">
      <c r="BX368" s="29">
        <f t="shared" si="8"/>
        <v>368</v>
      </c>
      <c r="CA368" s="340" t="s">
        <v>710</v>
      </c>
    </row>
    <row r="369" spans="76:79">
      <c r="BX369" s="29">
        <f t="shared" si="8"/>
        <v>369</v>
      </c>
      <c r="CA369" s="335" t="s">
        <v>342</v>
      </c>
    </row>
    <row r="370" spans="76:79">
      <c r="BX370" s="29">
        <f t="shared" si="8"/>
        <v>370</v>
      </c>
      <c r="CA370" s="330" t="s">
        <v>617</v>
      </c>
    </row>
    <row r="371" spans="76:79">
      <c r="BX371" s="29">
        <f t="shared" si="8"/>
        <v>371</v>
      </c>
      <c r="CA371" s="337" t="s">
        <v>1</v>
      </c>
    </row>
    <row r="372" spans="76:79">
      <c r="BX372" s="29">
        <f t="shared" si="8"/>
        <v>372</v>
      </c>
      <c r="CA372" s="330" t="s">
        <v>618</v>
      </c>
    </row>
    <row r="373" spans="76:79">
      <c r="BX373" s="29">
        <f t="shared" si="8"/>
        <v>373</v>
      </c>
      <c r="CA373" s="330" t="s">
        <v>619</v>
      </c>
    </row>
    <row r="374" spans="76:79">
      <c r="BX374" s="29">
        <f t="shared" si="8"/>
        <v>374</v>
      </c>
      <c r="CA374" s="330" t="s">
        <v>620</v>
      </c>
    </row>
    <row r="375" spans="76:79">
      <c r="BX375" s="29" t="str">
        <f t="shared" si="8"/>
        <v/>
      </c>
      <c r="CA375" s="172"/>
    </row>
    <row r="376" spans="76:79">
      <c r="BX376" s="29" t="str">
        <f t="shared" si="8"/>
        <v/>
      </c>
      <c r="CA376" s="172"/>
    </row>
    <row r="377" spans="76:79">
      <c r="BX377" s="29" t="str">
        <f t="shared" si="8"/>
        <v/>
      </c>
      <c r="CA377" s="172"/>
    </row>
    <row r="378" spans="76:79">
      <c r="BX378" s="29" t="str">
        <f t="shared" si="8"/>
        <v/>
      </c>
      <c r="CA378" s="172"/>
    </row>
    <row r="379" spans="76:79">
      <c r="BX379" s="29" t="str">
        <f t="shared" si="8"/>
        <v/>
      </c>
      <c r="CA379" s="172"/>
    </row>
    <row r="380" spans="76:79">
      <c r="BX380" s="29" t="str">
        <f t="shared" si="8"/>
        <v/>
      </c>
      <c r="CA380" s="172"/>
    </row>
    <row r="381" spans="76:79">
      <c r="BX381" s="29" t="str">
        <f t="shared" si="8"/>
        <v/>
      </c>
      <c r="CA381" s="172"/>
    </row>
    <row r="382" spans="76:79">
      <c r="BX382" s="29" t="str">
        <f t="shared" si="8"/>
        <v/>
      </c>
      <c r="CA382" s="172"/>
    </row>
    <row r="383" spans="76:79">
      <c r="BX383" s="29" t="str">
        <f t="shared" si="8"/>
        <v/>
      </c>
      <c r="CA383" s="172"/>
    </row>
    <row r="384" spans="76:79">
      <c r="BX384" s="29" t="str">
        <f t="shared" si="8"/>
        <v/>
      </c>
      <c r="CA384" s="172"/>
    </row>
    <row r="385" spans="76:79">
      <c r="BX385" s="29" t="str">
        <f t="shared" si="8"/>
        <v/>
      </c>
      <c r="CA385" s="172"/>
    </row>
    <row r="386" spans="76:79">
      <c r="BX386" s="29" t="str">
        <f t="shared" si="8"/>
        <v/>
      </c>
      <c r="CA386" s="172"/>
    </row>
    <row r="387" spans="76:79">
      <c r="BX387" s="29" t="str">
        <f t="shared" si="8"/>
        <v/>
      </c>
      <c r="CA387" s="172"/>
    </row>
    <row r="388" spans="76:79">
      <c r="BX388" s="29" t="str">
        <f t="shared" si="8"/>
        <v/>
      </c>
      <c r="CA388" s="172"/>
    </row>
    <row r="389" spans="76:79">
      <c r="BX389" s="29" t="str">
        <f t="shared" si="8"/>
        <v/>
      </c>
      <c r="CA389" s="172"/>
    </row>
    <row r="390" spans="76:79">
      <c r="BX390" s="29" t="str">
        <f t="shared" si="8"/>
        <v/>
      </c>
      <c r="CA390" s="172"/>
    </row>
    <row r="391" spans="76:79">
      <c r="BX391" s="29" t="str">
        <f t="shared" si="8"/>
        <v/>
      </c>
      <c r="CA391" s="172"/>
    </row>
    <row r="392" spans="76:79">
      <c r="BX392" s="29" t="str">
        <f t="shared" ref="BX392:BX455" si="9">IF(CA392=0,"",ROW())</f>
        <v/>
      </c>
      <c r="CA392" s="172"/>
    </row>
    <row r="393" spans="76:79">
      <c r="BX393" s="29" t="str">
        <f t="shared" si="9"/>
        <v/>
      </c>
      <c r="CA393" s="172"/>
    </row>
    <row r="394" spans="76:79">
      <c r="BX394" s="29" t="str">
        <f t="shared" si="9"/>
        <v/>
      </c>
      <c r="CA394" s="172"/>
    </row>
    <row r="395" spans="76:79">
      <c r="BX395" s="29" t="str">
        <f t="shared" si="9"/>
        <v/>
      </c>
      <c r="CA395" s="172"/>
    </row>
    <row r="396" spans="76:79">
      <c r="BX396" s="29" t="str">
        <f t="shared" si="9"/>
        <v/>
      </c>
      <c r="CA396" s="172"/>
    </row>
    <row r="397" spans="76:79">
      <c r="BX397" s="29" t="str">
        <f t="shared" si="9"/>
        <v/>
      </c>
      <c r="CA397" s="172"/>
    </row>
    <row r="398" spans="76:79">
      <c r="BX398" s="29" t="str">
        <f t="shared" si="9"/>
        <v/>
      </c>
      <c r="CA398" s="172"/>
    </row>
    <row r="399" spans="76:79">
      <c r="BX399" s="29" t="str">
        <f t="shared" si="9"/>
        <v/>
      </c>
      <c r="CA399" s="172"/>
    </row>
    <row r="400" spans="76:79">
      <c r="BX400" s="29" t="str">
        <f t="shared" si="9"/>
        <v/>
      </c>
      <c r="CA400" s="172"/>
    </row>
    <row r="401" spans="76:79">
      <c r="BX401" s="29" t="str">
        <f t="shared" si="9"/>
        <v/>
      </c>
      <c r="CA401" s="172"/>
    </row>
    <row r="402" spans="76:79">
      <c r="BX402" s="29" t="str">
        <f t="shared" si="9"/>
        <v/>
      </c>
      <c r="CA402" s="172"/>
    </row>
    <row r="403" spans="76:79">
      <c r="BX403" s="29" t="str">
        <f t="shared" si="9"/>
        <v/>
      </c>
      <c r="CA403" s="172"/>
    </row>
    <row r="404" spans="76:79">
      <c r="BX404" s="29" t="str">
        <f t="shared" si="9"/>
        <v/>
      </c>
      <c r="CA404" s="172"/>
    </row>
    <row r="405" spans="76:79">
      <c r="BX405" s="29" t="str">
        <f t="shared" si="9"/>
        <v/>
      </c>
      <c r="CA405" s="172"/>
    </row>
    <row r="406" spans="76:79">
      <c r="BX406" s="29" t="str">
        <f t="shared" si="9"/>
        <v/>
      </c>
      <c r="CA406" s="172"/>
    </row>
    <row r="407" spans="76:79">
      <c r="BX407" s="29" t="str">
        <f t="shared" si="9"/>
        <v/>
      </c>
      <c r="CA407" s="172"/>
    </row>
    <row r="408" spans="76:79">
      <c r="BX408" s="29" t="str">
        <f t="shared" si="9"/>
        <v/>
      </c>
      <c r="CA408" s="172"/>
    </row>
    <row r="409" spans="76:79">
      <c r="BX409" s="29" t="str">
        <f t="shared" si="9"/>
        <v/>
      </c>
      <c r="CA409" s="172"/>
    </row>
    <row r="410" spans="76:79">
      <c r="BX410" s="29" t="str">
        <f t="shared" si="9"/>
        <v/>
      </c>
      <c r="CA410" s="172"/>
    </row>
    <row r="411" spans="76:79">
      <c r="BX411" s="29" t="str">
        <f t="shared" si="9"/>
        <v/>
      </c>
      <c r="CA411" s="172"/>
    </row>
    <row r="412" spans="76:79">
      <c r="BX412" s="29" t="str">
        <f t="shared" si="9"/>
        <v/>
      </c>
      <c r="CA412" s="172"/>
    </row>
    <row r="413" spans="76:79">
      <c r="BX413" s="29" t="str">
        <f t="shared" si="9"/>
        <v/>
      </c>
      <c r="CA413" s="172"/>
    </row>
    <row r="414" spans="76:79">
      <c r="BX414" s="29" t="str">
        <f t="shared" si="9"/>
        <v/>
      </c>
      <c r="CA414" s="172"/>
    </row>
    <row r="415" spans="76:79">
      <c r="BX415" s="29" t="str">
        <f t="shared" si="9"/>
        <v/>
      </c>
      <c r="CA415" s="172"/>
    </row>
    <row r="416" spans="76:79">
      <c r="BX416" s="29" t="str">
        <f t="shared" si="9"/>
        <v/>
      </c>
      <c r="CA416" s="172"/>
    </row>
    <row r="417" spans="76:79">
      <c r="BX417" s="29" t="str">
        <f t="shared" si="9"/>
        <v/>
      </c>
      <c r="CA417" s="172"/>
    </row>
    <row r="418" spans="76:79">
      <c r="BX418" s="29" t="str">
        <f t="shared" si="9"/>
        <v/>
      </c>
      <c r="CA418" s="172"/>
    </row>
    <row r="419" spans="76:79">
      <c r="BX419" s="29" t="str">
        <f t="shared" si="9"/>
        <v/>
      </c>
      <c r="CA419" s="172"/>
    </row>
    <row r="420" spans="76:79">
      <c r="BX420" s="29" t="str">
        <f t="shared" si="9"/>
        <v/>
      </c>
      <c r="CA420" s="172"/>
    </row>
    <row r="421" spans="76:79">
      <c r="BX421" s="29" t="str">
        <f t="shared" si="9"/>
        <v/>
      </c>
      <c r="CA421" s="172"/>
    </row>
    <row r="422" spans="76:79">
      <c r="BX422" s="29" t="str">
        <f t="shared" si="9"/>
        <v/>
      </c>
      <c r="CA422" s="172"/>
    </row>
    <row r="423" spans="76:79">
      <c r="BX423" s="29" t="str">
        <f t="shared" si="9"/>
        <v/>
      </c>
      <c r="CA423" s="172"/>
    </row>
    <row r="424" spans="76:79">
      <c r="BX424" s="29" t="str">
        <f t="shared" si="9"/>
        <v/>
      </c>
      <c r="CA424" s="172"/>
    </row>
    <row r="425" spans="76:79">
      <c r="BX425" s="29" t="str">
        <f t="shared" si="9"/>
        <v/>
      </c>
      <c r="CA425" s="172"/>
    </row>
    <row r="426" spans="76:79">
      <c r="BX426" s="29" t="str">
        <f t="shared" si="9"/>
        <v/>
      </c>
      <c r="CA426" s="172"/>
    </row>
    <row r="427" spans="76:79">
      <c r="BX427" s="29" t="str">
        <f t="shared" si="9"/>
        <v/>
      </c>
      <c r="CA427" s="172"/>
    </row>
    <row r="428" spans="76:79">
      <c r="BX428" s="29" t="str">
        <f t="shared" si="9"/>
        <v/>
      </c>
      <c r="CA428" s="172"/>
    </row>
    <row r="429" spans="76:79">
      <c r="BX429" s="29" t="str">
        <f t="shared" si="9"/>
        <v/>
      </c>
      <c r="CA429" s="172"/>
    </row>
    <row r="430" spans="76:79">
      <c r="BX430" s="29" t="str">
        <f t="shared" si="9"/>
        <v/>
      </c>
      <c r="CA430" s="172"/>
    </row>
    <row r="431" spans="76:79">
      <c r="BX431" s="29" t="str">
        <f t="shared" si="9"/>
        <v/>
      </c>
      <c r="CA431" s="172"/>
    </row>
    <row r="432" spans="76:79">
      <c r="BX432" s="29" t="str">
        <f t="shared" si="9"/>
        <v/>
      </c>
      <c r="CA432" s="172"/>
    </row>
    <row r="433" spans="76:79">
      <c r="BX433" s="29" t="str">
        <f t="shared" si="9"/>
        <v/>
      </c>
      <c r="CA433" s="172"/>
    </row>
    <row r="434" spans="76:79">
      <c r="BX434" s="29" t="str">
        <f t="shared" si="9"/>
        <v/>
      </c>
      <c r="CA434" s="172"/>
    </row>
    <row r="435" spans="76:79">
      <c r="BX435" s="29" t="str">
        <f t="shared" si="9"/>
        <v/>
      </c>
      <c r="CA435" s="172"/>
    </row>
    <row r="436" spans="76:79">
      <c r="BX436" s="29" t="str">
        <f t="shared" si="9"/>
        <v/>
      </c>
      <c r="CA436" s="172"/>
    </row>
    <row r="437" spans="76:79">
      <c r="BX437" s="29" t="str">
        <f t="shared" si="9"/>
        <v/>
      </c>
      <c r="CA437" s="172"/>
    </row>
    <row r="438" spans="76:79">
      <c r="BX438" s="29" t="str">
        <f t="shared" si="9"/>
        <v/>
      </c>
      <c r="CA438" s="172"/>
    </row>
    <row r="439" spans="76:79">
      <c r="BX439" s="29" t="str">
        <f t="shared" si="9"/>
        <v/>
      </c>
      <c r="CA439" s="172"/>
    </row>
    <row r="440" spans="76:79">
      <c r="BX440" s="29" t="str">
        <f t="shared" si="9"/>
        <v/>
      </c>
      <c r="CA440" s="172"/>
    </row>
    <row r="441" spans="76:79">
      <c r="BX441" s="29" t="str">
        <f t="shared" si="9"/>
        <v/>
      </c>
      <c r="CA441" s="172"/>
    </row>
    <row r="442" spans="76:79">
      <c r="BX442" s="29" t="str">
        <f t="shared" si="9"/>
        <v/>
      </c>
      <c r="CA442" s="172"/>
    </row>
    <row r="443" spans="76:79">
      <c r="BX443" s="29" t="str">
        <f t="shared" si="9"/>
        <v/>
      </c>
      <c r="CA443" s="172"/>
    </row>
    <row r="444" spans="76:79">
      <c r="BX444" s="29" t="str">
        <f t="shared" si="9"/>
        <v/>
      </c>
      <c r="CA444" s="172"/>
    </row>
    <row r="445" spans="76:79">
      <c r="BX445" s="29" t="str">
        <f t="shared" si="9"/>
        <v/>
      </c>
      <c r="CA445" s="172"/>
    </row>
    <row r="446" spans="76:79">
      <c r="BX446" s="29" t="str">
        <f t="shared" si="9"/>
        <v/>
      </c>
      <c r="CA446" s="172"/>
    </row>
    <row r="447" spans="76:79">
      <c r="BX447" s="29" t="str">
        <f t="shared" si="9"/>
        <v/>
      </c>
      <c r="CA447" s="172"/>
    </row>
    <row r="448" spans="76:79">
      <c r="BX448" s="29" t="str">
        <f t="shared" si="9"/>
        <v/>
      </c>
      <c r="CA448" s="172"/>
    </row>
    <row r="449" spans="76:79">
      <c r="BX449" s="29" t="str">
        <f t="shared" si="9"/>
        <v/>
      </c>
      <c r="CA449" s="172"/>
    </row>
    <row r="450" spans="76:79">
      <c r="BX450" s="29" t="str">
        <f t="shared" si="9"/>
        <v/>
      </c>
      <c r="CA450" s="172"/>
    </row>
    <row r="451" spans="76:79">
      <c r="BX451" s="29" t="str">
        <f t="shared" si="9"/>
        <v/>
      </c>
      <c r="CA451" s="172"/>
    </row>
    <row r="452" spans="76:79">
      <c r="BX452" s="29" t="str">
        <f t="shared" si="9"/>
        <v/>
      </c>
      <c r="CA452" s="172"/>
    </row>
    <row r="453" spans="76:79">
      <c r="BX453" s="29" t="str">
        <f t="shared" si="9"/>
        <v/>
      </c>
      <c r="CA453" s="172"/>
    </row>
    <row r="454" spans="76:79">
      <c r="BX454" s="29" t="str">
        <f t="shared" si="9"/>
        <v/>
      </c>
      <c r="CA454" s="172"/>
    </row>
    <row r="455" spans="76:79">
      <c r="BX455" s="29" t="str">
        <f t="shared" si="9"/>
        <v/>
      </c>
      <c r="CA455" s="172"/>
    </row>
    <row r="456" spans="76:79">
      <c r="BX456" s="29" t="str">
        <f t="shared" ref="BX456:BX519" si="10">IF(CA456=0,"",ROW())</f>
        <v/>
      </c>
      <c r="CA456" s="172"/>
    </row>
    <row r="457" spans="76:79">
      <c r="BX457" s="29" t="str">
        <f t="shared" si="10"/>
        <v/>
      </c>
      <c r="CA457" s="172"/>
    </row>
    <row r="458" spans="76:79">
      <c r="BX458" s="29" t="str">
        <f t="shared" si="10"/>
        <v/>
      </c>
      <c r="CA458" s="172"/>
    </row>
    <row r="459" spans="76:79">
      <c r="BX459" s="29" t="str">
        <f t="shared" si="10"/>
        <v/>
      </c>
      <c r="CA459" s="172"/>
    </row>
    <row r="460" spans="76:79">
      <c r="BX460" s="29" t="str">
        <f t="shared" si="10"/>
        <v/>
      </c>
      <c r="CA460" s="172"/>
    </row>
    <row r="461" spans="76:79">
      <c r="BX461" s="29" t="str">
        <f t="shared" si="10"/>
        <v/>
      </c>
      <c r="CA461" s="172"/>
    </row>
    <row r="462" spans="76:79">
      <c r="BX462" s="29" t="str">
        <f t="shared" si="10"/>
        <v/>
      </c>
      <c r="CA462" s="335"/>
    </row>
    <row r="463" spans="76:79">
      <c r="BX463" s="29" t="str">
        <f t="shared" si="10"/>
        <v/>
      </c>
      <c r="CA463" s="340"/>
    </row>
    <row r="464" spans="76:79">
      <c r="BX464" s="29" t="str">
        <f t="shared" si="10"/>
        <v/>
      </c>
      <c r="CA464" s="335"/>
    </row>
    <row r="465" spans="76:79">
      <c r="BX465" s="29" t="str">
        <f t="shared" si="10"/>
        <v/>
      </c>
      <c r="CA465" s="330"/>
    </row>
    <row r="466" spans="76:79">
      <c r="BX466" s="29" t="str">
        <f t="shared" si="10"/>
        <v/>
      </c>
      <c r="CA466" s="337"/>
    </row>
    <row r="467" spans="76:79">
      <c r="BX467" s="29" t="str">
        <f t="shared" si="10"/>
        <v/>
      </c>
      <c r="CA467" s="330"/>
    </row>
    <row r="468" spans="76:79">
      <c r="BX468" s="29" t="str">
        <f t="shared" si="10"/>
        <v/>
      </c>
      <c r="CA468" s="330"/>
    </row>
    <row r="469" spans="76:79">
      <c r="BX469" s="29" t="str">
        <f t="shared" si="10"/>
        <v/>
      </c>
      <c r="CA469" s="330"/>
    </row>
    <row r="470" spans="76:79">
      <c r="BX470" s="29" t="str">
        <f t="shared" si="10"/>
        <v/>
      </c>
      <c r="CA470" s="172"/>
    </row>
    <row r="471" spans="76:79">
      <c r="BX471" s="29" t="str">
        <f t="shared" si="10"/>
        <v/>
      </c>
      <c r="CA471" s="172"/>
    </row>
    <row r="472" spans="76:79">
      <c r="BX472" s="29" t="str">
        <f t="shared" si="10"/>
        <v/>
      </c>
      <c r="CA472" s="172"/>
    </row>
    <row r="473" spans="76:79">
      <c r="BX473" s="29" t="str">
        <f t="shared" si="10"/>
        <v/>
      </c>
      <c r="CA473" s="172"/>
    </row>
    <row r="474" spans="76:79">
      <c r="BX474" s="29" t="str">
        <f t="shared" si="10"/>
        <v/>
      </c>
      <c r="CA474" s="172"/>
    </row>
    <row r="475" spans="76:79">
      <c r="BX475" s="29" t="str">
        <f t="shared" si="10"/>
        <v/>
      </c>
      <c r="CA475" s="172"/>
    </row>
    <row r="476" spans="76:79">
      <c r="BX476" s="29" t="str">
        <f t="shared" si="10"/>
        <v/>
      </c>
      <c r="CA476" s="172"/>
    </row>
    <row r="477" spans="76:79">
      <c r="BX477" s="29" t="str">
        <f t="shared" si="10"/>
        <v/>
      </c>
      <c r="CA477" s="172"/>
    </row>
    <row r="478" spans="76:79">
      <c r="BX478" s="29" t="str">
        <f t="shared" si="10"/>
        <v/>
      </c>
      <c r="CA478" s="172"/>
    </row>
    <row r="479" spans="76:79">
      <c r="BX479" s="29" t="str">
        <f t="shared" si="10"/>
        <v/>
      </c>
      <c r="CA479" s="172"/>
    </row>
    <row r="480" spans="76:79">
      <c r="BX480" s="29" t="str">
        <f t="shared" si="10"/>
        <v/>
      </c>
      <c r="CA480" s="172"/>
    </row>
    <row r="481" spans="76:79">
      <c r="BX481" s="29" t="str">
        <f t="shared" si="10"/>
        <v/>
      </c>
      <c r="CA481" s="172"/>
    </row>
    <row r="482" spans="76:79">
      <c r="BX482" s="29" t="str">
        <f t="shared" si="10"/>
        <v/>
      </c>
      <c r="CA482" s="172"/>
    </row>
    <row r="483" spans="76:79">
      <c r="BX483" s="29" t="str">
        <f t="shared" si="10"/>
        <v/>
      </c>
      <c r="CA483" s="172"/>
    </row>
    <row r="484" spans="76:79">
      <c r="BX484" s="29" t="str">
        <f t="shared" si="10"/>
        <v/>
      </c>
      <c r="CA484" s="172"/>
    </row>
    <row r="485" spans="76:79">
      <c r="BX485" s="29" t="str">
        <f t="shared" si="10"/>
        <v/>
      </c>
      <c r="CA485" s="172"/>
    </row>
    <row r="486" spans="76:79">
      <c r="BX486" s="29" t="str">
        <f t="shared" si="10"/>
        <v/>
      </c>
      <c r="CA486" s="172"/>
    </row>
    <row r="487" spans="76:79">
      <c r="BX487" s="29" t="str">
        <f t="shared" si="10"/>
        <v/>
      </c>
      <c r="CA487" s="172"/>
    </row>
    <row r="488" spans="76:79">
      <c r="BX488" s="29" t="str">
        <f t="shared" si="10"/>
        <v/>
      </c>
      <c r="CA488" s="172"/>
    </row>
    <row r="489" spans="76:79">
      <c r="BX489" s="29" t="str">
        <f t="shared" si="10"/>
        <v/>
      </c>
      <c r="CA489" s="172"/>
    </row>
    <row r="490" spans="76:79">
      <c r="BX490" s="29" t="str">
        <f t="shared" si="10"/>
        <v/>
      </c>
      <c r="CA490" s="172"/>
    </row>
    <row r="491" spans="76:79">
      <c r="BX491" s="29" t="str">
        <f t="shared" si="10"/>
        <v/>
      </c>
      <c r="CA491" s="172"/>
    </row>
    <row r="492" spans="76:79">
      <c r="BX492" s="29" t="str">
        <f t="shared" si="10"/>
        <v/>
      </c>
      <c r="CA492" s="172"/>
    </row>
    <row r="493" spans="76:79">
      <c r="BX493" s="29" t="str">
        <f t="shared" si="10"/>
        <v/>
      </c>
      <c r="CA493" s="172"/>
    </row>
    <row r="494" spans="76:79">
      <c r="BX494" s="29" t="str">
        <f t="shared" si="10"/>
        <v/>
      </c>
      <c r="CA494" s="172"/>
    </row>
    <row r="495" spans="76:79">
      <c r="BX495" s="29" t="str">
        <f t="shared" si="10"/>
        <v/>
      </c>
      <c r="CA495" s="172"/>
    </row>
    <row r="496" spans="76:79">
      <c r="BX496" s="29" t="str">
        <f t="shared" si="10"/>
        <v/>
      </c>
      <c r="CA496" s="172"/>
    </row>
    <row r="497" spans="76:79">
      <c r="BX497" s="29" t="str">
        <f t="shared" si="10"/>
        <v/>
      </c>
      <c r="CA497" s="172"/>
    </row>
    <row r="498" spans="76:79">
      <c r="BX498" s="29" t="str">
        <f t="shared" si="10"/>
        <v/>
      </c>
      <c r="CA498" s="172"/>
    </row>
    <row r="499" spans="76:79">
      <c r="BX499" s="29" t="str">
        <f t="shared" si="10"/>
        <v/>
      </c>
      <c r="CA499" s="172"/>
    </row>
    <row r="500" spans="76:79">
      <c r="BX500" s="29" t="str">
        <f t="shared" si="10"/>
        <v/>
      </c>
      <c r="CA500" s="172"/>
    </row>
    <row r="501" spans="76:79">
      <c r="BX501" s="29" t="str">
        <f t="shared" si="10"/>
        <v/>
      </c>
      <c r="CA501" s="172"/>
    </row>
    <row r="502" spans="76:79">
      <c r="BX502" s="29" t="str">
        <f t="shared" si="10"/>
        <v/>
      </c>
      <c r="CA502" s="172"/>
    </row>
    <row r="503" spans="76:79">
      <c r="BX503" s="29" t="str">
        <f t="shared" si="10"/>
        <v/>
      </c>
      <c r="CA503" s="172"/>
    </row>
    <row r="504" spans="76:79">
      <c r="BX504" s="29" t="str">
        <f t="shared" si="10"/>
        <v/>
      </c>
      <c r="CA504" s="172"/>
    </row>
    <row r="505" spans="76:79">
      <c r="BX505" s="29" t="str">
        <f t="shared" si="10"/>
        <v/>
      </c>
      <c r="CA505" s="172"/>
    </row>
    <row r="506" spans="76:79">
      <c r="BX506" s="29" t="str">
        <f t="shared" si="10"/>
        <v/>
      </c>
      <c r="CA506" s="172"/>
    </row>
    <row r="507" spans="76:79">
      <c r="BX507" s="29" t="str">
        <f t="shared" si="10"/>
        <v/>
      </c>
      <c r="CA507" s="172"/>
    </row>
    <row r="508" spans="76:79">
      <c r="BX508" s="29" t="str">
        <f t="shared" si="10"/>
        <v/>
      </c>
      <c r="CA508" s="172"/>
    </row>
    <row r="509" spans="76:79">
      <c r="BX509" s="29" t="str">
        <f t="shared" si="10"/>
        <v/>
      </c>
      <c r="CA509" s="172"/>
    </row>
    <row r="510" spans="76:79">
      <c r="BX510" s="29" t="str">
        <f t="shared" si="10"/>
        <v/>
      </c>
      <c r="CA510" s="172"/>
    </row>
    <row r="511" spans="76:79">
      <c r="BX511" s="29" t="str">
        <f t="shared" si="10"/>
        <v/>
      </c>
      <c r="CA511" s="172"/>
    </row>
    <row r="512" spans="76:79">
      <c r="BX512" s="29" t="str">
        <f t="shared" si="10"/>
        <v/>
      </c>
      <c r="CA512" s="172"/>
    </row>
    <row r="513" spans="76:79">
      <c r="BX513" s="29" t="str">
        <f t="shared" si="10"/>
        <v/>
      </c>
      <c r="CA513" s="172"/>
    </row>
    <row r="514" spans="76:79">
      <c r="BX514" s="29" t="str">
        <f t="shared" si="10"/>
        <v/>
      </c>
      <c r="CA514" s="172"/>
    </row>
    <row r="515" spans="76:79">
      <c r="BX515" s="29" t="str">
        <f t="shared" si="10"/>
        <v/>
      </c>
      <c r="CA515" s="172"/>
    </row>
    <row r="516" spans="76:79">
      <c r="BX516" s="29" t="str">
        <f t="shared" si="10"/>
        <v/>
      </c>
      <c r="CA516" s="172"/>
    </row>
    <row r="517" spans="76:79">
      <c r="BX517" s="29" t="str">
        <f t="shared" si="10"/>
        <v/>
      </c>
      <c r="CA517" s="172"/>
    </row>
    <row r="518" spans="76:79">
      <c r="BX518" s="29" t="str">
        <f t="shared" si="10"/>
        <v/>
      </c>
      <c r="CA518" s="172"/>
    </row>
    <row r="519" spans="76:79">
      <c r="BX519" s="29" t="str">
        <f t="shared" si="10"/>
        <v/>
      </c>
      <c r="CA519" s="172"/>
    </row>
    <row r="520" spans="76:79">
      <c r="BX520" s="29" t="str">
        <f t="shared" ref="BX520:BX583" si="11">IF(CA520=0,"",ROW())</f>
        <v/>
      </c>
      <c r="CA520" s="172"/>
    </row>
    <row r="521" spans="76:79">
      <c r="BX521" s="29" t="str">
        <f t="shared" si="11"/>
        <v/>
      </c>
      <c r="CA521" s="172"/>
    </row>
    <row r="522" spans="76:79">
      <c r="BX522" s="29" t="str">
        <f t="shared" si="11"/>
        <v/>
      </c>
      <c r="CA522" s="172"/>
    </row>
    <row r="523" spans="76:79">
      <c r="BX523" s="29" t="str">
        <f t="shared" si="11"/>
        <v/>
      </c>
      <c r="CA523" s="172"/>
    </row>
    <row r="524" spans="76:79">
      <c r="BX524" s="29" t="str">
        <f t="shared" si="11"/>
        <v/>
      </c>
      <c r="CA524" s="172"/>
    </row>
    <row r="525" spans="76:79">
      <c r="BX525" s="29" t="str">
        <f t="shared" si="11"/>
        <v/>
      </c>
      <c r="CA525" s="172"/>
    </row>
    <row r="526" spans="76:79">
      <c r="BX526" s="29" t="str">
        <f t="shared" si="11"/>
        <v/>
      </c>
      <c r="CA526" s="172"/>
    </row>
    <row r="527" spans="76:79">
      <c r="BX527" s="29" t="str">
        <f t="shared" si="11"/>
        <v/>
      </c>
      <c r="CA527" s="172"/>
    </row>
    <row r="528" spans="76:79">
      <c r="BX528" s="29" t="str">
        <f t="shared" si="11"/>
        <v/>
      </c>
      <c r="CA528" s="172"/>
    </row>
    <row r="529" spans="76:79">
      <c r="BX529" s="29" t="str">
        <f t="shared" si="11"/>
        <v/>
      </c>
      <c r="CA529" s="172"/>
    </row>
    <row r="530" spans="76:79">
      <c r="BX530" s="29" t="str">
        <f t="shared" si="11"/>
        <v/>
      </c>
      <c r="CA530" s="172"/>
    </row>
    <row r="531" spans="76:79">
      <c r="BX531" s="29" t="str">
        <f t="shared" si="11"/>
        <v/>
      </c>
      <c r="CA531" s="172"/>
    </row>
    <row r="532" spans="76:79">
      <c r="BX532" s="29" t="str">
        <f t="shared" si="11"/>
        <v/>
      </c>
      <c r="CA532" s="172"/>
    </row>
    <row r="533" spans="76:79">
      <c r="BX533" s="29" t="str">
        <f t="shared" si="11"/>
        <v/>
      </c>
      <c r="CA533" s="172"/>
    </row>
    <row r="534" spans="76:79">
      <c r="BX534" s="29" t="str">
        <f t="shared" si="11"/>
        <v/>
      </c>
      <c r="CA534" s="172"/>
    </row>
    <row r="535" spans="76:79">
      <c r="BX535" s="29" t="str">
        <f t="shared" si="11"/>
        <v/>
      </c>
      <c r="CA535" s="172"/>
    </row>
    <row r="536" spans="76:79">
      <c r="BX536" s="29" t="str">
        <f t="shared" si="11"/>
        <v/>
      </c>
      <c r="CA536" s="172"/>
    </row>
    <row r="537" spans="76:79">
      <c r="BX537" s="29" t="str">
        <f t="shared" si="11"/>
        <v/>
      </c>
      <c r="CA537" s="172"/>
    </row>
    <row r="538" spans="76:79">
      <c r="BX538" s="29" t="str">
        <f t="shared" si="11"/>
        <v/>
      </c>
      <c r="CA538" s="172"/>
    </row>
    <row r="539" spans="76:79">
      <c r="BX539" s="29" t="str">
        <f t="shared" si="11"/>
        <v/>
      </c>
      <c r="CA539" s="172"/>
    </row>
    <row r="540" spans="76:79">
      <c r="BX540" s="29" t="str">
        <f t="shared" si="11"/>
        <v/>
      </c>
      <c r="CA540" s="172"/>
    </row>
    <row r="541" spans="76:79">
      <c r="BX541" s="29" t="str">
        <f t="shared" si="11"/>
        <v/>
      </c>
      <c r="CA541" s="172"/>
    </row>
    <row r="542" spans="76:79">
      <c r="BX542" s="29" t="str">
        <f t="shared" si="11"/>
        <v/>
      </c>
      <c r="CA542" s="172"/>
    </row>
    <row r="543" spans="76:79">
      <c r="BX543" s="29" t="str">
        <f t="shared" si="11"/>
        <v/>
      </c>
      <c r="CA543" s="172"/>
    </row>
    <row r="544" spans="76:79">
      <c r="BX544" s="29" t="str">
        <f t="shared" si="11"/>
        <v/>
      </c>
      <c r="CA544" s="172"/>
    </row>
    <row r="545" spans="76:79">
      <c r="BX545" s="29" t="str">
        <f t="shared" si="11"/>
        <v/>
      </c>
      <c r="CA545" s="172"/>
    </row>
    <row r="546" spans="76:79">
      <c r="BX546" s="29" t="str">
        <f t="shared" si="11"/>
        <v/>
      </c>
      <c r="CA546" s="172"/>
    </row>
    <row r="547" spans="76:79">
      <c r="BX547" s="29" t="str">
        <f t="shared" si="11"/>
        <v/>
      </c>
      <c r="CA547" s="172"/>
    </row>
    <row r="548" spans="76:79">
      <c r="BX548" s="29" t="str">
        <f t="shared" si="11"/>
        <v/>
      </c>
      <c r="CA548" s="172"/>
    </row>
    <row r="549" spans="76:79">
      <c r="BX549" s="29" t="str">
        <f t="shared" si="11"/>
        <v/>
      </c>
      <c r="CA549" s="172"/>
    </row>
    <row r="550" spans="76:79">
      <c r="BX550" s="29" t="str">
        <f t="shared" si="11"/>
        <v/>
      </c>
      <c r="CA550" s="172"/>
    </row>
    <row r="551" spans="76:79">
      <c r="BX551" s="29" t="str">
        <f t="shared" si="11"/>
        <v/>
      </c>
      <c r="CA551" s="172"/>
    </row>
    <row r="552" spans="76:79">
      <c r="BX552" s="29" t="str">
        <f t="shared" si="11"/>
        <v/>
      </c>
      <c r="CA552" s="172"/>
    </row>
    <row r="553" spans="76:79">
      <c r="BX553" s="29" t="str">
        <f t="shared" si="11"/>
        <v/>
      </c>
      <c r="CA553" s="172"/>
    </row>
    <row r="554" spans="76:79">
      <c r="BX554" s="29" t="str">
        <f t="shared" si="11"/>
        <v/>
      </c>
      <c r="CA554" s="172"/>
    </row>
    <row r="555" spans="76:79">
      <c r="BX555" s="29" t="str">
        <f t="shared" si="11"/>
        <v/>
      </c>
      <c r="CA555" s="172"/>
    </row>
    <row r="556" spans="76:79">
      <c r="BX556" s="29" t="str">
        <f t="shared" si="11"/>
        <v/>
      </c>
      <c r="CA556" s="172"/>
    </row>
    <row r="557" spans="76:79">
      <c r="BX557" s="29" t="str">
        <f t="shared" si="11"/>
        <v/>
      </c>
      <c r="CA557" s="172"/>
    </row>
    <row r="558" spans="76:79">
      <c r="BX558" s="29" t="str">
        <f t="shared" si="11"/>
        <v/>
      </c>
      <c r="CA558" s="172"/>
    </row>
    <row r="559" spans="76:79">
      <c r="BX559" s="29" t="str">
        <f t="shared" si="11"/>
        <v/>
      </c>
      <c r="CA559" s="172"/>
    </row>
    <row r="560" spans="76:79">
      <c r="BX560" s="29" t="str">
        <f t="shared" si="11"/>
        <v/>
      </c>
      <c r="CA560" s="172"/>
    </row>
    <row r="561" spans="76:79">
      <c r="BX561" s="29" t="str">
        <f t="shared" si="11"/>
        <v/>
      </c>
      <c r="CA561" s="172"/>
    </row>
    <row r="562" spans="76:79">
      <c r="BX562" s="29" t="str">
        <f t="shared" si="11"/>
        <v/>
      </c>
      <c r="CA562" s="172"/>
    </row>
    <row r="563" spans="76:79">
      <c r="BX563" s="29" t="str">
        <f t="shared" si="11"/>
        <v/>
      </c>
      <c r="CA563" s="172"/>
    </row>
    <row r="564" spans="76:79">
      <c r="BX564" s="29" t="str">
        <f t="shared" si="11"/>
        <v/>
      </c>
      <c r="CA564" s="172"/>
    </row>
    <row r="565" spans="76:79">
      <c r="BX565" s="29" t="str">
        <f t="shared" si="11"/>
        <v/>
      </c>
      <c r="CA565" s="172"/>
    </row>
    <row r="566" spans="76:79">
      <c r="BX566" s="29" t="str">
        <f t="shared" si="11"/>
        <v/>
      </c>
      <c r="CA566" s="172"/>
    </row>
    <row r="567" spans="76:79">
      <c r="BX567" s="29" t="str">
        <f t="shared" si="11"/>
        <v/>
      </c>
      <c r="CA567" s="172"/>
    </row>
    <row r="568" spans="76:79">
      <c r="BX568" s="29" t="str">
        <f t="shared" si="11"/>
        <v/>
      </c>
      <c r="CA568" s="172"/>
    </row>
    <row r="569" spans="76:79">
      <c r="BX569" s="29" t="str">
        <f t="shared" si="11"/>
        <v/>
      </c>
      <c r="CA569" s="172"/>
    </row>
    <row r="570" spans="76:79">
      <c r="BX570" s="29" t="str">
        <f t="shared" si="11"/>
        <v/>
      </c>
      <c r="CA570" s="172"/>
    </row>
    <row r="571" spans="76:79">
      <c r="BX571" s="29" t="str">
        <f t="shared" si="11"/>
        <v/>
      </c>
      <c r="CA571" s="172"/>
    </row>
    <row r="572" spans="76:79">
      <c r="BX572" s="29" t="str">
        <f t="shared" si="11"/>
        <v/>
      </c>
      <c r="CA572" s="172"/>
    </row>
    <row r="573" spans="76:79">
      <c r="BX573" s="29" t="str">
        <f t="shared" si="11"/>
        <v/>
      </c>
      <c r="CA573" s="172"/>
    </row>
    <row r="574" spans="76:79">
      <c r="BX574" s="29" t="str">
        <f t="shared" si="11"/>
        <v/>
      </c>
      <c r="CA574" s="172"/>
    </row>
    <row r="575" spans="76:79">
      <c r="BX575" s="29" t="str">
        <f t="shared" si="11"/>
        <v/>
      </c>
      <c r="CA575" s="172"/>
    </row>
    <row r="576" spans="76:79">
      <c r="BX576" s="29" t="str">
        <f t="shared" si="11"/>
        <v/>
      </c>
      <c r="CA576" s="172"/>
    </row>
    <row r="577" spans="76:79">
      <c r="BX577" s="29" t="str">
        <f t="shared" si="11"/>
        <v/>
      </c>
      <c r="CA577" s="172"/>
    </row>
    <row r="578" spans="76:79">
      <c r="BX578" s="29" t="str">
        <f t="shared" si="11"/>
        <v/>
      </c>
      <c r="CA578" s="172"/>
    </row>
    <row r="579" spans="76:79">
      <c r="BX579" s="29" t="str">
        <f t="shared" si="11"/>
        <v/>
      </c>
      <c r="CA579" s="172"/>
    </row>
    <row r="580" spans="76:79">
      <c r="BX580" s="29" t="str">
        <f t="shared" si="11"/>
        <v/>
      </c>
      <c r="CA580" s="172"/>
    </row>
    <row r="581" spans="76:79">
      <c r="BX581" s="29" t="str">
        <f t="shared" si="11"/>
        <v/>
      </c>
      <c r="CA581" s="172"/>
    </row>
    <row r="582" spans="76:79">
      <c r="BX582" s="29" t="str">
        <f t="shared" si="11"/>
        <v/>
      </c>
      <c r="CA582" s="172"/>
    </row>
    <row r="583" spans="76:79">
      <c r="BX583" s="29" t="str">
        <f t="shared" si="11"/>
        <v/>
      </c>
      <c r="CA583" s="172"/>
    </row>
    <row r="584" spans="76:79">
      <c r="BX584" s="29" t="str">
        <f t="shared" ref="BX584:BX647" si="12">IF(CA584=0,"",ROW())</f>
        <v/>
      </c>
      <c r="CA584" s="172"/>
    </row>
    <row r="585" spans="76:79">
      <c r="BX585" s="29" t="str">
        <f t="shared" si="12"/>
        <v/>
      </c>
      <c r="CA585" s="172"/>
    </row>
    <row r="586" spans="76:79">
      <c r="BX586" s="29" t="str">
        <f t="shared" si="12"/>
        <v/>
      </c>
      <c r="CA586" s="172"/>
    </row>
    <row r="587" spans="76:79">
      <c r="BX587" s="29" t="str">
        <f t="shared" si="12"/>
        <v/>
      </c>
      <c r="CA587" s="172"/>
    </row>
    <row r="588" spans="76:79">
      <c r="BX588" s="29" t="str">
        <f t="shared" si="12"/>
        <v/>
      </c>
      <c r="CA588" s="172"/>
    </row>
    <row r="589" spans="76:79">
      <c r="BX589" s="29" t="str">
        <f t="shared" si="12"/>
        <v/>
      </c>
      <c r="CA589" s="172"/>
    </row>
    <row r="590" spans="76:79">
      <c r="BX590" s="29" t="str">
        <f t="shared" si="12"/>
        <v/>
      </c>
      <c r="CA590" s="172"/>
    </row>
    <row r="591" spans="76:79">
      <c r="BX591" s="29" t="str">
        <f t="shared" si="12"/>
        <v/>
      </c>
      <c r="CA591" s="172"/>
    </row>
    <row r="592" spans="76:79">
      <c r="BX592" s="29" t="str">
        <f t="shared" si="12"/>
        <v/>
      </c>
      <c r="CA592" s="172"/>
    </row>
    <row r="593" spans="76:79">
      <c r="BX593" s="29" t="str">
        <f t="shared" si="12"/>
        <v/>
      </c>
      <c r="CA593" s="172"/>
    </row>
    <row r="594" spans="76:79">
      <c r="BX594" s="29" t="str">
        <f t="shared" si="12"/>
        <v/>
      </c>
      <c r="CA594" s="172"/>
    </row>
    <row r="595" spans="76:79">
      <c r="BX595" s="29" t="str">
        <f t="shared" si="12"/>
        <v/>
      </c>
      <c r="CA595" s="172"/>
    </row>
    <row r="596" spans="76:79">
      <c r="BX596" s="29" t="str">
        <f t="shared" si="12"/>
        <v/>
      </c>
      <c r="CA596" s="172"/>
    </row>
    <row r="597" spans="76:79">
      <c r="BX597" s="29" t="str">
        <f t="shared" si="12"/>
        <v/>
      </c>
      <c r="CA597" s="172"/>
    </row>
    <row r="598" spans="76:79">
      <c r="BX598" s="29" t="str">
        <f t="shared" si="12"/>
        <v/>
      </c>
      <c r="CA598" s="172"/>
    </row>
    <row r="599" spans="76:79">
      <c r="BX599" s="29" t="str">
        <f t="shared" si="12"/>
        <v/>
      </c>
      <c r="CA599" s="172"/>
    </row>
    <row r="600" spans="76:79">
      <c r="BX600" s="29" t="str">
        <f t="shared" si="12"/>
        <v/>
      </c>
      <c r="CA600" s="172"/>
    </row>
    <row r="601" spans="76:79">
      <c r="BX601" s="29" t="str">
        <f t="shared" si="12"/>
        <v/>
      </c>
      <c r="CA601" s="172"/>
    </row>
    <row r="602" spans="76:79">
      <c r="BX602" s="29" t="str">
        <f t="shared" si="12"/>
        <v/>
      </c>
      <c r="CA602" s="172"/>
    </row>
    <row r="603" spans="76:79">
      <c r="BX603" s="29" t="str">
        <f t="shared" si="12"/>
        <v/>
      </c>
      <c r="CA603" s="172"/>
    </row>
    <row r="604" spans="76:79">
      <c r="BX604" s="29" t="str">
        <f t="shared" si="12"/>
        <v/>
      </c>
      <c r="CA604" s="172"/>
    </row>
    <row r="605" spans="76:79">
      <c r="BX605" s="29" t="str">
        <f t="shared" si="12"/>
        <v/>
      </c>
      <c r="CA605" s="172"/>
    </row>
    <row r="606" spans="76:79">
      <c r="BX606" s="29" t="str">
        <f t="shared" si="12"/>
        <v/>
      </c>
      <c r="CA606" s="172"/>
    </row>
    <row r="607" spans="76:79">
      <c r="BX607" s="29" t="str">
        <f t="shared" si="12"/>
        <v/>
      </c>
      <c r="CA607" s="172"/>
    </row>
    <row r="608" spans="76:79">
      <c r="BX608" s="29" t="str">
        <f t="shared" si="12"/>
        <v/>
      </c>
      <c r="CA608" s="172"/>
    </row>
    <row r="609" spans="76:79">
      <c r="BX609" s="29" t="str">
        <f t="shared" si="12"/>
        <v/>
      </c>
      <c r="CA609" s="172"/>
    </row>
    <row r="610" spans="76:79">
      <c r="BX610" s="29" t="str">
        <f t="shared" si="12"/>
        <v/>
      </c>
      <c r="CA610" s="172"/>
    </row>
    <row r="611" spans="76:79">
      <c r="BX611" s="29" t="str">
        <f t="shared" si="12"/>
        <v/>
      </c>
      <c r="CA611" s="172"/>
    </row>
    <row r="612" spans="76:79">
      <c r="BX612" s="29" t="str">
        <f t="shared" si="12"/>
        <v/>
      </c>
      <c r="CA612" s="172"/>
    </row>
    <row r="613" spans="76:79">
      <c r="BX613" s="29" t="str">
        <f t="shared" si="12"/>
        <v/>
      </c>
      <c r="CA613" s="172"/>
    </row>
    <row r="614" spans="76:79">
      <c r="BX614" s="29" t="str">
        <f t="shared" si="12"/>
        <v/>
      </c>
      <c r="CA614" s="172"/>
    </row>
    <row r="615" spans="76:79">
      <c r="BX615" s="29" t="str">
        <f t="shared" si="12"/>
        <v/>
      </c>
      <c r="CA615" s="172"/>
    </row>
    <row r="616" spans="76:79">
      <c r="BX616" s="29" t="str">
        <f t="shared" si="12"/>
        <v/>
      </c>
      <c r="CA616" s="172"/>
    </row>
    <row r="617" spans="76:79">
      <c r="BX617" s="29" t="str">
        <f t="shared" si="12"/>
        <v/>
      </c>
      <c r="CA617" s="172"/>
    </row>
    <row r="618" spans="76:79">
      <c r="BX618" s="29" t="str">
        <f t="shared" si="12"/>
        <v/>
      </c>
      <c r="CA618" s="172"/>
    </row>
    <row r="619" spans="76:79">
      <c r="BX619" s="29" t="str">
        <f t="shared" si="12"/>
        <v/>
      </c>
      <c r="CA619" s="172"/>
    </row>
    <row r="620" spans="76:79">
      <c r="BX620" s="29" t="str">
        <f t="shared" si="12"/>
        <v/>
      </c>
      <c r="CA620" s="172"/>
    </row>
    <row r="621" spans="76:79">
      <c r="BX621" s="29" t="str">
        <f t="shared" si="12"/>
        <v/>
      </c>
      <c r="CA621" s="172"/>
    </row>
    <row r="622" spans="76:79">
      <c r="BX622" s="29" t="str">
        <f t="shared" si="12"/>
        <v/>
      </c>
      <c r="CA622" s="172"/>
    </row>
    <row r="623" spans="76:79">
      <c r="BX623" s="29" t="str">
        <f t="shared" si="12"/>
        <v/>
      </c>
      <c r="CA623" s="172"/>
    </row>
    <row r="624" spans="76:79">
      <c r="BX624" s="29" t="str">
        <f t="shared" si="12"/>
        <v/>
      </c>
      <c r="CA624" s="172"/>
    </row>
    <row r="625" spans="76:79">
      <c r="BX625" s="29" t="str">
        <f t="shared" si="12"/>
        <v/>
      </c>
      <c r="CA625" s="172"/>
    </row>
    <row r="626" spans="76:79">
      <c r="BX626" s="29" t="str">
        <f t="shared" si="12"/>
        <v/>
      </c>
      <c r="CA626" s="172"/>
    </row>
    <row r="627" spans="76:79">
      <c r="BX627" s="29" t="str">
        <f t="shared" si="12"/>
        <v/>
      </c>
      <c r="CA627" s="172"/>
    </row>
    <row r="628" spans="76:79">
      <c r="BX628" s="29" t="str">
        <f t="shared" si="12"/>
        <v/>
      </c>
      <c r="CA628" s="172"/>
    </row>
    <row r="629" spans="76:79">
      <c r="BX629" s="29" t="str">
        <f t="shared" si="12"/>
        <v/>
      </c>
      <c r="CA629" s="172"/>
    </row>
    <row r="630" spans="76:79">
      <c r="BX630" s="29" t="str">
        <f t="shared" si="12"/>
        <v/>
      </c>
      <c r="CA630" s="172"/>
    </row>
    <row r="631" spans="76:79">
      <c r="BX631" s="29" t="str">
        <f t="shared" si="12"/>
        <v/>
      </c>
      <c r="CA631" s="172"/>
    </row>
    <row r="632" spans="76:79">
      <c r="BX632" s="29" t="str">
        <f t="shared" si="12"/>
        <v/>
      </c>
      <c r="CA632" s="172"/>
    </row>
    <row r="633" spans="76:79">
      <c r="BX633" s="29" t="str">
        <f t="shared" si="12"/>
        <v/>
      </c>
      <c r="CA633" s="172"/>
    </row>
    <row r="634" spans="76:79">
      <c r="BX634" s="29" t="str">
        <f t="shared" si="12"/>
        <v/>
      </c>
      <c r="CA634" s="172"/>
    </row>
    <row r="635" spans="76:79">
      <c r="BX635" s="29" t="str">
        <f t="shared" si="12"/>
        <v/>
      </c>
      <c r="CA635" s="172"/>
    </row>
    <row r="636" spans="76:79">
      <c r="BX636" s="29" t="str">
        <f t="shared" si="12"/>
        <v/>
      </c>
      <c r="CA636" s="345"/>
    </row>
    <row r="637" spans="76:79">
      <c r="BX637" s="29" t="str">
        <f t="shared" si="12"/>
        <v/>
      </c>
      <c r="CA637" s="345"/>
    </row>
    <row r="638" spans="76:79">
      <c r="BX638" s="29" t="str">
        <f t="shared" si="12"/>
        <v/>
      </c>
      <c r="CA638" s="345"/>
    </row>
    <row r="639" spans="76:79">
      <c r="BX639" s="29" t="str">
        <f t="shared" si="12"/>
        <v/>
      </c>
      <c r="CA639" s="345"/>
    </row>
    <row r="640" spans="76:79">
      <c r="BX640" s="29" t="str">
        <f t="shared" si="12"/>
        <v/>
      </c>
      <c r="CA640" s="345"/>
    </row>
    <row r="641" spans="76:79">
      <c r="BX641" s="29" t="str">
        <f t="shared" si="12"/>
        <v/>
      </c>
      <c r="CA641" s="345"/>
    </row>
    <row r="642" spans="76:79">
      <c r="BX642" s="29" t="str">
        <f t="shared" si="12"/>
        <v/>
      </c>
      <c r="CA642" s="345"/>
    </row>
    <row r="643" spans="76:79">
      <c r="BX643" s="29" t="str">
        <f t="shared" si="12"/>
        <v/>
      </c>
      <c r="CA643" s="345"/>
    </row>
    <row r="644" spans="76:79">
      <c r="BX644" s="29" t="str">
        <f t="shared" si="12"/>
        <v/>
      </c>
      <c r="CA644" s="345"/>
    </row>
    <row r="645" spans="76:79">
      <c r="BX645" s="29" t="str">
        <f t="shared" si="12"/>
        <v/>
      </c>
      <c r="CA645" s="345"/>
    </row>
    <row r="646" spans="76:79">
      <c r="BX646" s="29" t="str">
        <f t="shared" si="12"/>
        <v/>
      </c>
      <c r="CA646" s="345"/>
    </row>
    <row r="647" spans="76:79">
      <c r="BX647" s="29" t="str">
        <f t="shared" si="12"/>
        <v/>
      </c>
      <c r="CA647" s="345"/>
    </row>
    <row r="648" spans="76:79">
      <c r="BX648" s="29" t="str">
        <f t="shared" ref="BX648:BX711" si="13">IF(CA648=0,"",ROW())</f>
        <v/>
      </c>
      <c r="CA648" s="345"/>
    </row>
    <row r="649" spans="76:79">
      <c r="BX649" s="29" t="str">
        <f t="shared" si="13"/>
        <v/>
      </c>
      <c r="CA649" s="345"/>
    </row>
    <row r="650" spans="76:79">
      <c r="BX650" s="29" t="str">
        <f t="shared" si="13"/>
        <v/>
      </c>
      <c r="CA650" s="345"/>
    </row>
    <row r="651" spans="76:79">
      <c r="BX651" s="29" t="str">
        <f t="shared" si="13"/>
        <v/>
      </c>
      <c r="CA651" s="345"/>
    </row>
    <row r="652" spans="76:79">
      <c r="BX652" s="29" t="str">
        <f t="shared" si="13"/>
        <v/>
      </c>
      <c r="CA652" s="345"/>
    </row>
    <row r="653" spans="76:79">
      <c r="BX653" s="29" t="str">
        <f t="shared" si="13"/>
        <v/>
      </c>
      <c r="CA653" s="345"/>
    </row>
    <row r="654" spans="76:79">
      <c r="BX654" s="29" t="str">
        <f t="shared" si="13"/>
        <v/>
      </c>
      <c r="CA654" s="345"/>
    </row>
    <row r="655" spans="76:79">
      <c r="BX655" s="29" t="str">
        <f t="shared" si="13"/>
        <v/>
      </c>
      <c r="CA655" s="345"/>
    </row>
    <row r="656" spans="76:79">
      <c r="BX656" s="29" t="str">
        <f t="shared" si="13"/>
        <v/>
      </c>
      <c r="CA656" s="345"/>
    </row>
    <row r="657" spans="76:79">
      <c r="BX657" s="29" t="str">
        <f t="shared" si="13"/>
        <v/>
      </c>
      <c r="CA657" s="345"/>
    </row>
    <row r="658" spans="76:79">
      <c r="BX658" s="29" t="str">
        <f t="shared" si="13"/>
        <v/>
      </c>
      <c r="CA658" s="345"/>
    </row>
    <row r="659" spans="76:79">
      <c r="BX659" s="29" t="str">
        <f t="shared" si="13"/>
        <v/>
      </c>
      <c r="CA659" s="345"/>
    </row>
    <row r="660" spans="76:79">
      <c r="BX660" s="29" t="str">
        <f t="shared" si="13"/>
        <v/>
      </c>
      <c r="CA660" s="345"/>
    </row>
    <row r="661" spans="76:79">
      <c r="BX661" s="29" t="str">
        <f t="shared" si="13"/>
        <v/>
      </c>
      <c r="CA661" s="345"/>
    </row>
    <row r="662" spans="76:79">
      <c r="BX662" s="29" t="str">
        <f t="shared" si="13"/>
        <v/>
      </c>
      <c r="CA662" s="345"/>
    </row>
    <row r="663" spans="76:79">
      <c r="BX663" s="29" t="str">
        <f t="shared" si="13"/>
        <v/>
      </c>
      <c r="CA663" s="345"/>
    </row>
    <row r="664" spans="76:79">
      <c r="BX664" s="29" t="str">
        <f t="shared" si="13"/>
        <v/>
      </c>
      <c r="CA664" s="345"/>
    </row>
    <row r="665" spans="76:79">
      <c r="BX665" s="29" t="str">
        <f t="shared" si="13"/>
        <v/>
      </c>
      <c r="CA665" s="345"/>
    </row>
    <row r="666" spans="76:79">
      <c r="BX666" s="29" t="str">
        <f t="shared" si="13"/>
        <v/>
      </c>
      <c r="CA666" s="345"/>
    </row>
    <row r="667" spans="76:79">
      <c r="BX667" s="29" t="str">
        <f t="shared" si="13"/>
        <v/>
      </c>
      <c r="CA667" s="345"/>
    </row>
    <row r="668" spans="76:79">
      <c r="BX668" s="29" t="str">
        <f t="shared" si="13"/>
        <v/>
      </c>
      <c r="CA668" s="345"/>
    </row>
    <row r="669" spans="76:79">
      <c r="BX669" s="29" t="str">
        <f t="shared" si="13"/>
        <v/>
      </c>
      <c r="CA669" s="345"/>
    </row>
    <row r="670" spans="76:79">
      <c r="BX670" s="29" t="str">
        <f t="shared" si="13"/>
        <v/>
      </c>
      <c r="CA670" s="345"/>
    </row>
    <row r="671" spans="76:79">
      <c r="BX671" s="29" t="str">
        <f t="shared" si="13"/>
        <v/>
      </c>
      <c r="CA671" s="345"/>
    </row>
    <row r="672" spans="76:79">
      <c r="BX672" s="29" t="str">
        <f t="shared" si="13"/>
        <v/>
      </c>
      <c r="CA672" s="345"/>
    </row>
    <row r="673" spans="76:79">
      <c r="BX673" s="29" t="str">
        <f t="shared" si="13"/>
        <v/>
      </c>
      <c r="CA673" s="345"/>
    </row>
    <row r="674" spans="76:79">
      <c r="BX674" s="29" t="str">
        <f t="shared" si="13"/>
        <v/>
      </c>
      <c r="CA674" s="345"/>
    </row>
    <row r="675" spans="76:79">
      <c r="BX675" s="29" t="str">
        <f t="shared" si="13"/>
        <v/>
      </c>
      <c r="CA675" s="345"/>
    </row>
    <row r="676" spans="76:79">
      <c r="BX676" s="29" t="str">
        <f t="shared" si="13"/>
        <v/>
      </c>
      <c r="CA676" s="345"/>
    </row>
    <row r="677" spans="76:79">
      <c r="BX677" s="29" t="str">
        <f t="shared" si="13"/>
        <v/>
      </c>
      <c r="CA677" s="345"/>
    </row>
    <row r="678" spans="76:79">
      <c r="BX678" s="29" t="str">
        <f t="shared" si="13"/>
        <v/>
      </c>
      <c r="CA678" s="345"/>
    </row>
    <row r="679" spans="76:79">
      <c r="BX679" s="29" t="str">
        <f t="shared" si="13"/>
        <v/>
      </c>
      <c r="CA679" s="345"/>
    </row>
    <row r="680" spans="76:79">
      <c r="BX680" s="29" t="str">
        <f t="shared" si="13"/>
        <v/>
      </c>
      <c r="CA680" s="345"/>
    </row>
    <row r="681" spans="76:79">
      <c r="BX681" s="29" t="str">
        <f t="shared" si="13"/>
        <v/>
      </c>
      <c r="CA681" s="345"/>
    </row>
    <row r="682" spans="76:79">
      <c r="BX682" s="29" t="str">
        <f t="shared" si="13"/>
        <v/>
      </c>
      <c r="CA682" s="345"/>
    </row>
    <row r="683" spans="76:79">
      <c r="BX683" s="29" t="str">
        <f t="shared" si="13"/>
        <v/>
      </c>
      <c r="CA683" s="345"/>
    </row>
    <row r="684" spans="76:79">
      <c r="BX684" s="29" t="str">
        <f t="shared" si="13"/>
        <v/>
      </c>
      <c r="CA684" s="345"/>
    </row>
    <row r="685" spans="76:79">
      <c r="BX685" s="29" t="str">
        <f t="shared" si="13"/>
        <v/>
      </c>
      <c r="CA685" s="345"/>
    </row>
    <row r="686" spans="76:79">
      <c r="BX686" s="29" t="str">
        <f t="shared" si="13"/>
        <v/>
      </c>
      <c r="CA686" s="345"/>
    </row>
    <row r="687" spans="76:79">
      <c r="BX687" s="29" t="str">
        <f t="shared" si="13"/>
        <v/>
      </c>
      <c r="CA687" s="345"/>
    </row>
    <row r="688" spans="76:79">
      <c r="BX688" s="29" t="str">
        <f t="shared" si="13"/>
        <v/>
      </c>
      <c r="CA688" s="345"/>
    </row>
    <row r="689" spans="76:79">
      <c r="BX689" s="29" t="str">
        <f t="shared" si="13"/>
        <v/>
      </c>
      <c r="CA689" s="345"/>
    </row>
    <row r="690" spans="76:79">
      <c r="BX690" s="29" t="str">
        <f t="shared" si="13"/>
        <v/>
      </c>
      <c r="CA690" s="345"/>
    </row>
    <row r="691" spans="76:79">
      <c r="BX691" s="29" t="str">
        <f t="shared" si="13"/>
        <v/>
      </c>
      <c r="CA691" s="345"/>
    </row>
    <row r="692" spans="76:79">
      <c r="BX692" s="29" t="str">
        <f t="shared" si="13"/>
        <v/>
      </c>
      <c r="CA692" s="345"/>
    </row>
    <row r="693" spans="76:79">
      <c r="BX693" s="29" t="str">
        <f t="shared" si="13"/>
        <v/>
      </c>
      <c r="CA693" s="345"/>
    </row>
    <row r="694" spans="76:79">
      <c r="BX694" s="29" t="str">
        <f t="shared" si="13"/>
        <v/>
      </c>
      <c r="CA694" s="345"/>
    </row>
    <row r="695" spans="76:79">
      <c r="BX695" s="29" t="str">
        <f t="shared" si="13"/>
        <v/>
      </c>
      <c r="CA695" s="345"/>
    </row>
    <row r="696" spans="76:79">
      <c r="BX696" s="29" t="str">
        <f t="shared" si="13"/>
        <v/>
      </c>
      <c r="CA696" s="345"/>
    </row>
    <row r="697" spans="76:79">
      <c r="BX697" s="29" t="str">
        <f t="shared" si="13"/>
        <v/>
      </c>
      <c r="CA697" s="345"/>
    </row>
    <row r="698" spans="76:79">
      <c r="BX698" s="29" t="str">
        <f t="shared" si="13"/>
        <v/>
      </c>
      <c r="CA698" s="345"/>
    </row>
    <row r="699" spans="76:79">
      <c r="BX699" s="29" t="str">
        <f t="shared" si="13"/>
        <v/>
      </c>
      <c r="CA699" s="345"/>
    </row>
    <row r="700" spans="76:79">
      <c r="BX700" s="29" t="str">
        <f t="shared" si="13"/>
        <v/>
      </c>
      <c r="CA700" s="345"/>
    </row>
    <row r="701" spans="76:79">
      <c r="BX701" s="29" t="str">
        <f t="shared" si="13"/>
        <v/>
      </c>
      <c r="CA701" s="345"/>
    </row>
    <row r="702" spans="76:79">
      <c r="BX702" s="29" t="str">
        <f t="shared" si="13"/>
        <v/>
      </c>
      <c r="CA702" s="345"/>
    </row>
    <row r="703" spans="76:79">
      <c r="BX703" s="29" t="str">
        <f t="shared" si="13"/>
        <v/>
      </c>
      <c r="CA703" s="345"/>
    </row>
    <row r="704" spans="76:79">
      <c r="BX704" s="29" t="str">
        <f t="shared" si="13"/>
        <v/>
      </c>
      <c r="CA704" s="345"/>
    </row>
    <row r="705" spans="76:79">
      <c r="BX705" s="29" t="str">
        <f t="shared" si="13"/>
        <v/>
      </c>
      <c r="CA705" s="345"/>
    </row>
    <row r="706" spans="76:79">
      <c r="BX706" s="29" t="str">
        <f t="shared" si="13"/>
        <v/>
      </c>
      <c r="CA706" s="345"/>
    </row>
    <row r="707" spans="76:79">
      <c r="BX707" s="29" t="str">
        <f t="shared" si="13"/>
        <v/>
      </c>
      <c r="CA707" s="345"/>
    </row>
    <row r="708" spans="76:79">
      <c r="BX708" s="29" t="str">
        <f t="shared" si="13"/>
        <v/>
      </c>
      <c r="CA708" s="345"/>
    </row>
    <row r="709" spans="76:79">
      <c r="BX709" s="29" t="str">
        <f t="shared" si="13"/>
        <v/>
      </c>
      <c r="CA709" s="345"/>
    </row>
    <row r="710" spans="76:79">
      <c r="BX710" s="29" t="str">
        <f t="shared" si="13"/>
        <v/>
      </c>
      <c r="CA710" s="345"/>
    </row>
    <row r="711" spans="76:79">
      <c r="BX711" s="29" t="str">
        <f t="shared" si="13"/>
        <v/>
      </c>
      <c r="CA711" s="345"/>
    </row>
    <row r="712" spans="76:79">
      <c r="BX712" s="29" t="str">
        <f t="shared" ref="BX712:BX775" si="14">IF(CA712=0,"",ROW())</f>
        <v/>
      </c>
      <c r="CA712" s="345"/>
    </row>
    <row r="713" spans="76:79">
      <c r="BX713" s="29" t="str">
        <f t="shared" si="14"/>
        <v/>
      </c>
      <c r="CA713" s="345"/>
    </row>
    <row r="714" spans="76:79">
      <c r="BX714" s="29" t="str">
        <f t="shared" si="14"/>
        <v/>
      </c>
      <c r="CA714" s="345"/>
    </row>
    <row r="715" spans="76:79">
      <c r="BX715" s="29" t="str">
        <f t="shared" si="14"/>
        <v/>
      </c>
      <c r="CA715" s="345"/>
    </row>
    <row r="716" spans="76:79">
      <c r="BX716" s="29" t="str">
        <f t="shared" si="14"/>
        <v/>
      </c>
      <c r="CA716" s="345"/>
    </row>
    <row r="717" spans="76:79">
      <c r="BX717" s="29" t="str">
        <f t="shared" si="14"/>
        <v/>
      </c>
      <c r="CA717" s="345"/>
    </row>
    <row r="718" spans="76:79">
      <c r="BX718" s="29" t="str">
        <f t="shared" si="14"/>
        <v/>
      </c>
      <c r="CA718" s="345"/>
    </row>
    <row r="719" spans="76:79">
      <c r="BX719" s="29" t="str">
        <f t="shared" si="14"/>
        <v/>
      </c>
      <c r="CA719" s="345"/>
    </row>
    <row r="720" spans="76:79">
      <c r="BX720" s="29" t="str">
        <f t="shared" si="14"/>
        <v/>
      </c>
      <c r="CA720" s="345"/>
    </row>
    <row r="721" spans="76:79">
      <c r="BX721" s="29" t="str">
        <f t="shared" si="14"/>
        <v/>
      </c>
      <c r="CA721" s="345"/>
    </row>
    <row r="722" spans="76:79">
      <c r="BX722" s="29" t="str">
        <f t="shared" si="14"/>
        <v/>
      </c>
      <c r="CA722" s="345"/>
    </row>
    <row r="723" spans="76:79">
      <c r="BX723" s="29" t="str">
        <f t="shared" si="14"/>
        <v/>
      </c>
      <c r="CA723" s="345"/>
    </row>
    <row r="724" spans="76:79">
      <c r="BX724" s="29" t="str">
        <f t="shared" si="14"/>
        <v/>
      </c>
      <c r="CA724" s="345"/>
    </row>
    <row r="725" spans="76:79">
      <c r="BX725" s="29" t="str">
        <f t="shared" si="14"/>
        <v/>
      </c>
      <c r="CA725" s="345"/>
    </row>
    <row r="726" spans="76:79">
      <c r="BX726" s="29" t="str">
        <f t="shared" si="14"/>
        <v/>
      </c>
      <c r="CA726" s="345"/>
    </row>
    <row r="727" spans="76:79">
      <c r="BX727" s="29" t="str">
        <f t="shared" si="14"/>
        <v/>
      </c>
      <c r="CA727" s="345"/>
    </row>
    <row r="728" spans="76:79">
      <c r="BX728" s="29" t="str">
        <f t="shared" si="14"/>
        <v/>
      </c>
      <c r="CA728" s="345"/>
    </row>
    <row r="729" spans="76:79">
      <c r="BX729" s="29" t="str">
        <f t="shared" si="14"/>
        <v/>
      </c>
      <c r="CA729" s="345"/>
    </row>
    <row r="730" spans="76:79">
      <c r="BX730" s="29" t="str">
        <f t="shared" si="14"/>
        <v/>
      </c>
      <c r="CA730" s="345"/>
    </row>
    <row r="731" spans="76:79">
      <c r="BX731" s="29" t="str">
        <f t="shared" si="14"/>
        <v/>
      </c>
      <c r="CA731" s="345"/>
    </row>
    <row r="732" spans="76:79">
      <c r="BX732" s="29" t="str">
        <f t="shared" si="14"/>
        <v/>
      </c>
      <c r="CA732" s="345"/>
    </row>
    <row r="733" spans="76:79">
      <c r="BX733" s="29" t="str">
        <f t="shared" si="14"/>
        <v/>
      </c>
      <c r="CA733" s="345"/>
    </row>
    <row r="734" spans="76:79">
      <c r="BX734" s="29" t="str">
        <f t="shared" si="14"/>
        <v/>
      </c>
      <c r="CA734" s="345"/>
    </row>
    <row r="735" spans="76:79">
      <c r="BX735" s="29" t="str">
        <f t="shared" si="14"/>
        <v/>
      </c>
      <c r="CA735" s="345"/>
    </row>
    <row r="736" spans="76:79">
      <c r="BX736" s="29" t="str">
        <f t="shared" si="14"/>
        <v/>
      </c>
      <c r="CA736" s="345"/>
    </row>
    <row r="737" spans="76:79">
      <c r="BX737" s="29" t="str">
        <f t="shared" si="14"/>
        <v/>
      </c>
      <c r="CA737" s="345"/>
    </row>
    <row r="738" spans="76:79">
      <c r="BX738" s="29" t="str">
        <f t="shared" si="14"/>
        <v/>
      </c>
      <c r="CA738" s="345"/>
    </row>
    <row r="739" spans="76:79">
      <c r="BX739" s="29" t="str">
        <f t="shared" si="14"/>
        <v/>
      </c>
      <c r="CA739" s="345"/>
    </row>
    <row r="740" spans="76:79">
      <c r="BX740" s="29" t="str">
        <f t="shared" si="14"/>
        <v/>
      </c>
      <c r="CA740" s="345"/>
    </row>
    <row r="741" spans="76:79">
      <c r="BX741" s="29" t="str">
        <f t="shared" si="14"/>
        <v/>
      </c>
      <c r="CA741" s="345"/>
    </row>
    <row r="742" spans="76:79">
      <c r="BX742" s="29" t="str">
        <f t="shared" si="14"/>
        <v/>
      </c>
      <c r="CA742" s="345"/>
    </row>
    <row r="743" spans="76:79">
      <c r="BX743" s="29" t="str">
        <f t="shared" si="14"/>
        <v/>
      </c>
      <c r="CA743" s="345"/>
    </row>
    <row r="744" spans="76:79">
      <c r="BX744" s="29" t="str">
        <f t="shared" si="14"/>
        <v/>
      </c>
      <c r="CA744" s="345"/>
    </row>
    <row r="745" spans="76:79">
      <c r="BX745" s="29" t="str">
        <f t="shared" si="14"/>
        <v/>
      </c>
      <c r="CA745" s="345"/>
    </row>
    <row r="746" spans="76:79">
      <c r="BX746" s="29" t="str">
        <f t="shared" si="14"/>
        <v/>
      </c>
      <c r="CA746" s="345"/>
    </row>
    <row r="747" spans="76:79">
      <c r="BX747" s="29" t="str">
        <f t="shared" si="14"/>
        <v/>
      </c>
      <c r="CA747" s="345"/>
    </row>
    <row r="748" spans="76:79">
      <c r="BX748" s="29" t="str">
        <f t="shared" si="14"/>
        <v/>
      </c>
      <c r="CA748" s="345"/>
    </row>
    <row r="749" spans="76:79">
      <c r="BX749" s="29" t="str">
        <f t="shared" si="14"/>
        <v/>
      </c>
      <c r="CA749" s="345"/>
    </row>
    <row r="750" spans="76:79">
      <c r="BX750" s="29" t="str">
        <f t="shared" si="14"/>
        <v/>
      </c>
      <c r="CA750" s="345"/>
    </row>
    <row r="751" spans="76:79">
      <c r="BX751" s="29" t="str">
        <f t="shared" si="14"/>
        <v/>
      </c>
      <c r="CA751" s="345"/>
    </row>
    <row r="752" spans="76:79">
      <c r="BX752" s="29" t="str">
        <f t="shared" si="14"/>
        <v/>
      </c>
      <c r="CA752" s="345"/>
    </row>
    <row r="753" spans="76:79">
      <c r="BX753" s="29" t="str">
        <f t="shared" si="14"/>
        <v/>
      </c>
      <c r="CA753" s="345"/>
    </row>
    <row r="754" spans="76:79">
      <c r="BX754" s="29" t="str">
        <f t="shared" si="14"/>
        <v/>
      </c>
      <c r="CA754" s="345"/>
    </row>
    <row r="755" spans="76:79">
      <c r="BX755" s="29" t="str">
        <f t="shared" si="14"/>
        <v/>
      </c>
      <c r="CA755" s="345"/>
    </row>
    <row r="756" spans="76:79">
      <c r="BX756" s="29" t="str">
        <f t="shared" si="14"/>
        <v/>
      </c>
      <c r="CA756" s="345"/>
    </row>
    <row r="757" spans="76:79">
      <c r="BX757" s="29" t="str">
        <f t="shared" si="14"/>
        <v/>
      </c>
      <c r="CA757" s="345"/>
    </row>
    <row r="758" spans="76:79">
      <c r="BX758" s="29" t="str">
        <f t="shared" si="14"/>
        <v/>
      </c>
      <c r="CA758" s="345"/>
    </row>
    <row r="759" spans="76:79">
      <c r="BX759" s="29" t="str">
        <f t="shared" si="14"/>
        <v/>
      </c>
      <c r="CA759" s="345"/>
    </row>
    <row r="760" spans="76:79">
      <c r="BX760" s="29" t="str">
        <f t="shared" si="14"/>
        <v/>
      </c>
      <c r="CA760" s="345"/>
    </row>
    <row r="761" spans="76:79">
      <c r="BX761" s="29" t="str">
        <f t="shared" si="14"/>
        <v/>
      </c>
      <c r="CA761" s="345"/>
    </row>
    <row r="762" spans="76:79">
      <c r="BX762" s="29" t="str">
        <f t="shared" si="14"/>
        <v/>
      </c>
      <c r="CA762" s="345"/>
    </row>
    <row r="763" spans="76:79">
      <c r="BX763" s="29" t="str">
        <f t="shared" si="14"/>
        <v/>
      </c>
      <c r="CA763" s="345"/>
    </row>
    <row r="764" spans="76:79">
      <c r="BX764" s="29" t="str">
        <f t="shared" si="14"/>
        <v/>
      </c>
      <c r="CA764" s="345"/>
    </row>
    <row r="765" spans="76:79">
      <c r="BX765" s="29" t="str">
        <f t="shared" si="14"/>
        <v/>
      </c>
      <c r="CA765" s="345"/>
    </row>
    <row r="766" spans="76:79">
      <c r="BX766" s="29" t="str">
        <f t="shared" si="14"/>
        <v/>
      </c>
      <c r="CA766" s="345"/>
    </row>
    <row r="767" spans="76:79">
      <c r="BX767" s="29" t="str">
        <f t="shared" si="14"/>
        <v/>
      </c>
      <c r="CA767" s="345"/>
    </row>
    <row r="768" spans="76:79">
      <c r="BX768" s="29" t="str">
        <f t="shared" si="14"/>
        <v/>
      </c>
      <c r="CA768" s="345"/>
    </row>
    <row r="769" spans="76:79">
      <c r="BX769" s="29" t="str">
        <f t="shared" si="14"/>
        <v/>
      </c>
      <c r="CA769" s="345"/>
    </row>
    <row r="770" spans="76:79">
      <c r="BX770" s="29" t="str">
        <f t="shared" si="14"/>
        <v/>
      </c>
      <c r="CA770" s="345"/>
    </row>
    <row r="771" spans="76:79">
      <c r="BX771" s="29" t="str">
        <f t="shared" si="14"/>
        <v/>
      </c>
      <c r="CA771" s="345"/>
    </row>
    <row r="772" spans="76:79">
      <c r="BX772" s="29" t="str">
        <f t="shared" si="14"/>
        <v/>
      </c>
      <c r="CA772" s="345"/>
    </row>
    <row r="773" spans="76:79">
      <c r="BX773" s="29" t="str">
        <f t="shared" si="14"/>
        <v/>
      </c>
      <c r="CA773" s="345"/>
    </row>
    <row r="774" spans="76:79">
      <c r="BX774" s="29" t="str">
        <f t="shared" si="14"/>
        <v/>
      </c>
      <c r="CA774" s="345"/>
    </row>
    <row r="775" spans="76:79">
      <c r="BX775" s="29" t="str">
        <f t="shared" si="14"/>
        <v/>
      </c>
      <c r="CA775" s="345"/>
    </row>
    <row r="776" spans="76:79">
      <c r="BX776" s="29" t="str">
        <f t="shared" ref="BX776:BX839" si="15">IF(CA776=0,"",ROW())</f>
        <v/>
      </c>
      <c r="CA776" s="345"/>
    </row>
    <row r="777" spans="76:79">
      <c r="BX777" s="29" t="str">
        <f t="shared" si="15"/>
        <v/>
      </c>
      <c r="CA777" s="345"/>
    </row>
    <row r="778" spans="76:79">
      <c r="BX778" s="29" t="str">
        <f t="shared" si="15"/>
        <v/>
      </c>
      <c r="CA778" s="345"/>
    </row>
    <row r="779" spans="76:79">
      <c r="BX779" s="29" t="str">
        <f t="shared" si="15"/>
        <v/>
      </c>
      <c r="CA779" s="345"/>
    </row>
    <row r="780" spans="76:79">
      <c r="BX780" s="29" t="str">
        <f t="shared" si="15"/>
        <v/>
      </c>
      <c r="CA780" s="345"/>
    </row>
    <row r="781" spans="76:79">
      <c r="BX781" s="29" t="str">
        <f t="shared" si="15"/>
        <v/>
      </c>
      <c r="CA781" s="345"/>
    </row>
    <row r="782" spans="76:79">
      <c r="BX782" s="29" t="str">
        <f t="shared" si="15"/>
        <v/>
      </c>
      <c r="CA782" s="345"/>
    </row>
    <row r="783" spans="76:79">
      <c r="BX783" s="29" t="str">
        <f t="shared" si="15"/>
        <v/>
      </c>
      <c r="CA783" s="345"/>
    </row>
    <row r="784" spans="76:79">
      <c r="BX784" s="29" t="str">
        <f t="shared" si="15"/>
        <v/>
      </c>
      <c r="CA784" s="345"/>
    </row>
    <row r="785" spans="76:79">
      <c r="BX785" s="29" t="str">
        <f t="shared" si="15"/>
        <v/>
      </c>
      <c r="CA785" s="345"/>
    </row>
    <row r="786" spans="76:79">
      <c r="BX786" s="29" t="str">
        <f t="shared" si="15"/>
        <v/>
      </c>
      <c r="CA786" s="345"/>
    </row>
    <row r="787" spans="76:79">
      <c r="BX787" s="29" t="str">
        <f t="shared" si="15"/>
        <v/>
      </c>
      <c r="CA787" s="345"/>
    </row>
    <row r="788" spans="76:79">
      <c r="BX788" s="29" t="str">
        <f t="shared" si="15"/>
        <v/>
      </c>
      <c r="CA788" s="345"/>
    </row>
    <row r="789" spans="76:79">
      <c r="BX789" s="29" t="str">
        <f t="shared" si="15"/>
        <v/>
      </c>
      <c r="CA789" s="345"/>
    </row>
    <row r="790" spans="76:79">
      <c r="BX790" s="29" t="str">
        <f t="shared" si="15"/>
        <v/>
      </c>
      <c r="CA790" s="345"/>
    </row>
    <row r="791" spans="76:79">
      <c r="BX791" s="29" t="str">
        <f t="shared" si="15"/>
        <v/>
      </c>
      <c r="CA791" s="345"/>
    </row>
    <row r="792" spans="76:79">
      <c r="BX792" s="29" t="str">
        <f t="shared" si="15"/>
        <v/>
      </c>
      <c r="CA792" s="345"/>
    </row>
    <row r="793" spans="76:79">
      <c r="BX793" s="29" t="str">
        <f t="shared" si="15"/>
        <v/>
      </c>
      <c r="CA793" s="345"/>
    </row>
    <row r="794" spans="76:79">
      <c r="BX794" s="29" t="str">
        <f t="shared" si="15"/>
        <v/>
      </c>
      <c r="CA794" s="345"/>
    </row>
    <row r="795" spans="76:79">
      <c r="BX795" s="29" t="str">
        <f t="shared" si="15"/>
        <v/>
      </c>
      <c r="CA795" s="345"/>
    </row>
    <row r="796" spans="76:79">
      <c r="BX796" s="29" t="str">
        <f t="shared" si="15"/>
        <v/>
      </c>
      <c r="CA796" s="345"/>
    </row>
    <row r="797" spans="76:79">
      <c r="BX797" s="29" t="str">
        <f t="shared" si="15"/>
        <v/>
      </c>
      <c r="CA797" s="345"/>
    </row>
    <row r="798" spans="76:79">
      <c r="BX798" s="29" t="str">
        <f t="shared" si="15"/>
        <v/>
      </c>
      <c r="CA798" s="345"/>
    </row>
    <row r="799" spans="76:79">
      <c r="BX799" s="29" t="str">
        <f t="shared" si="15"/>
        <v/>
      </c>
      <c r="CA799" s="345"/>
    </row>
    <row r="800" spans="76:79">
      <c r="BX800" s="29" t="str">
        <f t="shared" si="15"/>
        <v/>
      </c>
      <c r="CA800" s="345"/>
    </row>
    <row r="801" spans="76:79">
      <c r="BX801" s="29" t="str">
        <f t="shared" si="15"/>
        <v/>
      </c>
      <c r="CA801" s="345"/>
    </row>
    <row r="802" spans="76:79">
      <c r="BX802" s="29" t="str">
        <f t="shared" si="15"/>
        <v/>
      </c>
      <c r="CA802" s="345"/>
    </row>
    <row r="803" spans="76:79">
      <c r="BX803" s="29" t="str">
        <f t="shared" si="15"/>
        <v/>
      </c>
      <c r="CA803" s="345"/>
    </row>
    <row r="804" spans="76:79">
      <c r="BX804" s="29" t="str">
        <f t="shared" si="15"/>
        <v/>
      </c>
      <c r="CA804" s="345"/>
    </row>
    <row r="805" spans="76:79">
      <c r="BX805" s="29" t="str">
        <f t="shared" si="15"/>
        <v/>
      </c>
      <c r="CA805" s="345"/>
    </row>
    <row r="806" spans="76:79">
      <c r="BX806" s="29" t="str">
        <f t="shared" si="15"/>
        <v/>
      </c>
      <c r="CA806" s="345"/>
    </row>
    <row r="807" spans="76:79">
      <c r="BX807" s="29" t="str">
        <f t="shared" si="15"/>
        <v/>
      </c>
      <c r="CA807" s="345"/>
    </row>
    <row r="808" spans="76:79">
      <c r="BX808" s="29" t="str">
        <f t="shared" si="15"/>
        <v/>
      </c>
      <c r="CA808" s="345"/>
    </row>
    <row r="809" spans="76:79">
      <c r="BX809" s="29" t="str">
        <f t="shared" si="15"/>
        <v/>
      </c>
      <c r="CA809" s="345"/>
    </row>
    <row r="810" spans="76:79">
      <c r="BX810" s="29" t="str">
        <f t="shared" si="15"/>
        <v/>
      </c>
      <c r="CA810" s="345"/>
    </row>
    <row r="811" spans="76:79">
      <c r="BX811" s="29" t="str">
        <f t="shared" si="15"/>
        <v/>
      </c>
      <c r="CA811" s="345"/>
    </row>
    <row r="812" spans="76:79">
      <c r="BX812" s="29" t="str">
        <f t="shared" si="15"/>
        <v/>
      </c>
      <c r="CA812" s="345"/>
    </row>
    <row r="813" spans="76:79">
      <c r="BX813" s="29" t="str">
        <f t="shared" si="15"/>
        <v/>
      </c>
      <c r="CA813" s="345"/>
    </row>
    <row r="814" spans="76:79">
      <c r="BX814" s="29" t="str">
        <f t="shared" si="15"/>
        <v/>
      </c>
      <c r="CA814" s="345"/>
    </row>
    <row r="815" spans="76:79">
      <c r="BX815" s="29" t="str">
        <f t="shared" si="15"/>
        <v/>
      </c>
      <c r="CA815" s="345"/>
    </row>
    <row r="816" spans="76:79">
      <c r="BX816" s="29" t="str">
        <f t="shared" si="15"/>
        <v/>
      </c>
      <c r="CA816" s="345"/>
    </row>
    <row r="817" spans="76:79">
      <c r="BX817" s="29" t="str">
        <f t="shared" si="15"/>
        <v/>
      </c>
      <c r="CA817" s="345"/>
    </row>
    <row r="818" spans="76:79">
      <c r="BX818" s="29" t="str">
        <f t="shared" si="15"/>
        <v/>
      </c>
      <c r="CA818" s="345"/>
    </row>
    <row r="819" spans="76:79">
      <c r="BX819" s="29" t="str">
        <f t="shared" si="15"/>
        <v/>
      </c>
      <c r="CA819" s="345"/>
    </row>
    <row r="820" spans="76:79">
      <c r="BX820" s="29" t="str">
        <f t="shared" si="15"/>
        <v/>
      </c>
      <c r="CA820" s="345"/>
    </row>
    <row r="821" spans="76:79">
      <c r="BX821" s="29" t="str">
        <f t="shared" si="15"/>
        <v/>
      </c>
      <c r="CA821" s="345"/>
    </row>
    <row r="822" spans="76:79">
      <c r="BX822" s="29" t="str">
        <f t="shared" si="15"/>
        <v/>
      </c>
      <c r="CA822" s="345"/>
    </row>
    <row r="823" spans="76:79">
      <c r="BX823" s="29" t="str">
        <f t="shared" si="15"/>
        <v/>
      </c>
      <c r="CA823" s="345"/>
    </row>
    <row r="824" spans="76:79">
      <c r="BX824" s="29" t="str">
        <f t="shared" si="15"/>
        <v/>
      </c>
      <c r="CA824" s="345"/>
    </row>
    <row r="825" spans="76:79">
      <c r="BX825" s="29" t="str">
        <f t="shared" si="15"/>
        <v/>
      </c>
      <c r="CA825" s="345"/>
    </row>
    <row r="826" spans="76:79">
      <c r="BX826" s="29" t="str">
        <f t="shared" si="15"/>
        <v/>
      </c>
      <c r="CA826" s="345"/>
    </row>
    <row r="827" spans="76:79">
      <c r="BX827" s="29" t="str">
        <f t="shared" si="15"/>
        <v/>
      </c>
      <c r="CA827" s="345"/>
    </row>
    <row r="828" spans="76:79">
      <c r="BX828" s="29" t="str">
        <f t="shared" si="15"/>
        <v/>
      </c>
      <c r="CA828" s="345"/>
    </row>
    <row r="829" spans="76:79">
      <c r="BX829" s="29" t="str">
        <f t="shared" si="15"/>
        <v/>
      </c>
      <c r="CA829" s="345"/>
    </row>
    <row r="830" spans="76:79">
      <c r="BX830" s="29" t="str">
        <f t="shared" si="15"/>
        <v/>
      </c>
      <c r="CA830" s="345"/>
    </row>
    <row r="831" spans="76:79">
      <c r="BX831" s="29" t="str">
        <f t="shared" si="15"/>
        <v/>
      </c>
      <c r="CA831" s="345"/>
    </row>
    <row r="832" spans="76:79">
      <c r="BX832" s="29" t="str">
        <f t="shared" si="15"/>
        <v/>
      </c>
      <c r="CA832" s="345"/>
    </row>
    <row r="833" spans="76:79">
      <c r="BX833" s="29" t="str">
        <f t="shared" si="15"/>
        <v/>
      </c>
      <c r="CA833" s="345"/>
    </row>
    <row r="834" spans="76:79">
      <c r="BX834" s="29" t="str">
        <f t="shared" si="15"/>
        <v/>
      </c>
      <c r="CA834" s="345"/>
    </row>
    <row r="835" spans="76:79">
      <c r="BX835" s="29" t="str">
        <f t="shared" si="15"/>
        <v/>
      </c>
      <c r="CA835" s="345"/>
    </row>
    <row r="836" spans="76:79">
      <c r="BX836" s="29" t="str">
        <f t="shared" si="15"/>
        <v/>
      </c>
      <c r="CA836" s="345"/>
    </row>
    <row r="837" spans="76:79">
      <c r="BX837" s="29" t="str">
        <f t="shared" si="15"/>
        <v/>
      </c>
      <c r="CA837" s="345"/>
    </row>
    <row r="838" spans="76:79">
      <c r="BX838" s="29" t="str">
        <f t="shared" si="15"/>
        <v/>
      </c>
      <c r="CA838" s="345"/>
    </row>
    <row r="839" spans="76:79">
      <c r="BX839" s="29" t="str">
        <f t="shared" si="15"/>
        <v/>
      </c>
      <c r="CA839" s="345"/>
    </row>
    <row r="840" spans="76:79">
      <c r="BX840" s="29" t="str">
        <f t="shared" ref="BX840:BX903" si="16">IF(CA840=0,"",ROW())</f>
        <v/>
      </c>
      <c r="CA840" s="345"/>
    </row>
    <row r="841" spans="76:79">
      <c r="BX841" s="29" t="str">
        <f t="shared" si="16"/>
        <v/>
      </c>
      <c r="CA841" s="345"/>
    </row>
    <row r="842" spans="76:79">
      <c r="BX842" s="29" t="str">
        <f t="shared" si="16"/>
        <v/>
      </c>
      <c r="CA842" s="345"/>
    </row>
    <row r="843" spans="76:79">
      <c r="BX843" s="29" t="str">
        <f t="shared" si="16"/>
        <v/>
      </c>
      <c r="CA843" s="345"/>
    </row>
    <row r="844" spans="76:79">
      <c r="BX844" s="29" t="str">
        <f t="shared" si="16"/>
        <v/>
      </c>
      <c r="CA844" s="345"/>
    </row>
    <row r="845" spans="76:79">
      <c r="BX845" s="29" t="str">
        <f t="shared" si="16"/>
        <v/>
      </c>
      <c r="CA845" s="345"/>
    </row>
    <row r="846" spans="76:79">
      <c r="BX846" s="29" t="str">
        <f t="shared" si="16"/>
        <v/>
      </c>
      <c r="CA846" s="345"/>
    </row>
    <row r="847" spans="76:79">
      <c r="BX847" s="29" t="str">
        <f t="shared" si="16"/>
        <v/>
      </c>
      <c r="CA847" s="345"/>
    </row>
    <row r="848" spans="76:79">
      <c r="BX848" s="29" t="str">
        <f t="shared" si="16"/>
        <v/>
      </c>
      <c r="CA848" s="345"/>
    </row>
    <row r="849" spans="76:79">
      <c r="BX849" s="29" t="str">
        <f t="shared" si="16"/>
        <v/>
      </c>
      <c r="CA849" s="345"/>
    </row>
    <row r="850" spans="76:79">
      <c r="BX850" s="29" t="str">
        <f t="shared" si="16"/>
        <v/>
      </c>
      <c r="CA850" s="345"/>
    </row>
    <row r="851" spans="76:79">
      <c r="BX851" s="29" t="str">
        <f t="shared" si="16"/>
        <v/>
      </c>
      <c r="CA851" s="345"/>
    </row>
    <row r="852" spans="76:79">
      <c r="BX852" s="29" t="str">
        <f t="shared" si="16"/>
        <v/>
      </c>
      <c r="CA852" s="345"/>
    </row>
    <row r="853" spans="76:79">
      <c r="BX853" s="29" t="str">
        <f t="shared" si="16"/>
        <v/>
      </c>
      <c r="CA853" s="345"/>
    </row>
    <row r="854" spans="76:79">
      <c r="BX854" s="29" t="str">
        <f t="shared" si="16"/>
        <v/>
      </c>
      <c r="CA854" s="345"/>
    </row>
    <row r="855" spans="76:79">
      <c r="BX855" s="29" t="str">
        <f t="shared" si="16"/>
        <v/>
      </c>
      <c r="CA855" s="345"/>
    </row>
    <row r="856" spans="76:79">
      <c r="BX856" s="29" t="str">
        <f t="shared" si="16"/>
        <v/>
      </c>
      <c r="CA856" s="345"/>
    </row>
    <row r="857" spans="76:79">
      <c r="BX857" s="29" t="str">
        <f t="shared" si="16"/>
        <v/>
      </c>
      <c r="CA857" s="345"/>
    </row>
    <row r="858" spans="76:79">
      <c r="BX858" s="29" t="str">
        <f t="shared" si="16"/>
        <v/>
      </c>
      <c r="CA858" s="345"/>
    </row>
    <row r="859" spans="76:79">
      <c r="BX859" s="29" t="str">
        <f t="shared" si="16"/>
        <v/>
      </c>
      <c r="CA859" s="345"/>
    </row>
    <row r="860" spans="76:79">
      <c r="BX860" s="29" t="str">
        <f t="shared" si="16"/>
        <v/>
      </c>
      <c r="CA860" s="345"/>
    </row>
    <row r="861" spans="76:79">
      <c r="BX861" s="29" t="str">
        <f t="shared" si="16"/>
        <v/>
      </c>
      <c r="CA861" s="345"/>
    </row>
    <row r="862" spans="76:79">
      <c r="BX862" s="29" t="str">
        <f t="shared" si="16"/>
        <v/>
      </c>
      <c r="CA862" s="345"/>
    </row>
    <row r="863" spans="76:79">
      <c r="BX863" s="29" t="str">
        <f t="shared" si="16"/>
        <v/>
      </c>
      <c r="CA863" s="345"/>
    </row>
    <row r="864" spans="76:79">
      <c r="BX864" s="29" t="str">
        <f t="shared" si="16"/>
        <v/>
      </c>
      <c r="CA864" s="345"/>
    </row>
    <row r="865" spans="76:79">
      <c r="BX865" s="29" t="str">
        <f t="shared" si="16"/>
        <v/>
      </c>
      <c r="CA865" s="345"/>
    </row>
    <row r="866" spans="76:79">
      <c r="BX866" s="29" t="str">
        <f t="shared" si="16"/>
        <v/>
      </c>
      <c r="CA866" s="345"/>
    </row>
    <row r="867" spans="76:79">
      <c r="BX867" s="29" t="str">
        <f t="shared" si="16"/>
        <v/>
      </c>
      <c r="CA867" s="345"/>
    </row>
    <row r="868" spans="76:79">
      <c r="BX868" s="29" t="str">
        <f t="shared" si="16"/>
        <v/>
      </c>
      <c r="CA868" s="345"/>
    </row>
    <row r="869" spans="76:79">
      <c r="BX869" s="29" t="str">
        <f t="shared" si="16"/>
        <v/>
      </c>
      <c r="CA869" s="345"/>
    </row>
    <row r="870" spans="76:79">
      <c r="BX870" s="29" t="str">
        <f t="shared" si="16"/>
        <v/>
      </c>
      <c r="CA870" s="345"/>
    </row>
    <row r="871" spans="76:79">
      <c r="BX871" s="29" t="str">
        <f t="shared" si="16"/>
        <v/>
      </c>
      <c r="CA871" s="345"/>
    </row>
    <row r="872" spans="76:79">
      <c r="BX872" s="29" t="str">
        <f t="shared" si="16"/>
        <v/>
      </c>
      <c r="CA872" s="345"/>
    </row>
    <row r="873" spans="76:79">
      <c r="BX873" s="29" t="str">
        <f t="shared" si="16"/>
        <v/>
      </c>
      <c r="CA873" s="345"/>
    </row>
    <row r="874" spans="76:79">
      <c r="BX874" s="29" t="str">
        <f t="shared" si="16"/>
        <v/>
      </c>
      <c r="CA874" s="345"/>
    </row>
    <row r="875" spans="76:79">
      <c r="BX875" s="29" t="str">
        <f t="shared" si="16"/>
        <v/>
      </c>
      <c r="CA875" s="345"/>
    </row>
    <row r="876" spans="76:79">
      <c r="BX876" s="29" t="str">
        <f t="shared" si="16"/>
        <v/>
      </c>
      <c r="CA876" s="345"/>
    </row>
    <row r="877" spans="76:79">
      <c r="BX877" s="29" t="str">
        <f t="shared" si="16"/>
        <v/>
      </c>
      <c r="CA877" s="345"/>
    </row>
    <row r="878" spans="76:79">
      <c r="BX878" s="29" t="str">
        <f t="shared" si="16"/>
        <v/>
      </c>
      <c r="CA878" s="345"/>
    </row>
    <row r="879" spans="76:79">
      <c r="BX879" s="29" t="str">
        <f t="shared" si="16"/>
        <v/>
      </c>
      <c r="CA879" s="345"/>
    </row>
    <row r="880" spans="76:79">
      <c r="BX880" s="29" t="str">
        <f t="shared" si="16"/>
        <v/>
      </c>
      <c r="CA880" s="345"/>
    </row>
    <row r="881" spans="76:79">
      <c r="BX881" s="29" t="str">
        <f t="shared" si="16"/>
        <v/>
      </c>
      <c r="CA881" s="345"/>
    </row>
    <row r="882" spans="76:79">
      <c r="BX882" s="29" t="str">
        <f t="shared" si="16"/>
        <v/>
      </c>
      <c r="CA882" s="345"/>
    </row>
    <row r="883" spans="76:79">
      <c r="BX883" s="29" t="str">
        <f t="shared" si="16"/>
        <v/>
      </c>
      <c r="CA883" s="345"/>
    </row>
    <row r="884" spans="76:79">
      <c r="BX884" s="29" t="str">
        <f t="shared" si="16"/>
        <v/>
      </c>
      <c r="CA884" s="345"/>
    </row>
    <row r="885" spans="76:79">
      <c r="BX885" s="29" t="str">
        <f t="shared" si="16"/>
        <v/>
      </c>
      <c r="CA885" s="345"/>
    </row>
    <row r="886" spans="76:79">
      <c r="BX886" s="29" t="str">
        <f t="shared" si="16"/>
        <v/>
      </c>
      <c r="CA886" s="345"/>
    </row>
    <row r="887" spans="76:79">
      <c r="BX887" s="29" t="str">
        <f t="shared" si="16"/>
        <v/>
      </c>
      <c r="CA887" s="345"/>
    </row>
    <row r="888" spans="76:79">
      <c r="BX888" s="29" t="str">
        <f t="shared" si="16"/>
        <v/>
      </c>
      <c r="CA888" s="345"/>
    </row>
    <row r="889" spans="76:79">
      <c r="BX889" s="29" t="str">
        <f t="shared" si="16"/>
        <v/>
      </c>
      <c r="CA889" s="345"/>
    </row>
    <row r="890" spans="76:79">
      <c r="BX890" s="29" t="str">
        <f t="shared" si="16"/>
        <v/>
      </c>
      <c r="CA890" s="345"/>
    </row>
    <row r="891" spans="76:79">
      <c r="BX891" s="29" t="str">
        <f t="shared" si="16"/>
        <v/>
      </c>
      <c r="CA891" s="345"/>
    </row>
    <row r="892" spans="76:79">
      <c r="BX892" s="29" t="str">
        <f t="shared" si="16"/>
        <v/>
      </c>
      <c r="CA892" s="345"/>
    </row>
    <row r="893" spans="76:79">
      <c r="BX893" s="29" t="str">
        <f t="shared" si="16"/>
        <v/>
      </c>
      <c r="CA893" s="345"/>
    </row>
    <row r="894" spans="76:79">
      <c r="BX894" s="29" t="str">
        <f t="shared" si="16"/>
        <v/>
      </c>
      <c r="CA894" s="345"/>
    </row>
    <row r="895" spans="76:79">
      <c r="BX895" s="29" t="str">
        <f t="shared" si="16"/>
        <v/>
      </c>
      <c r="CA895" s="345"/>
    </row>
    <row r="896" spans="76:79">
      <c r="BX896" s="29" t="str">
        <f t="shared" si="16"/>
        <v/>
      </c>
      <c r="CA896" s="345"/>
    </row>
    <row r="897" spans="76:79">
      <c r="BX897" s="29" t="str">
        <f t="shared" si="16"/>
        <v/>
      </c>
      <c r="CA897" s="345"/>
    </row>
    <row r="898" spans="76:79">
      <c r="BX898" s="29" t="str">
        <f t="shared" si="16"/>
        <v/>
      </c>
      <c r="CA898" s="345"/>
    </row>
    <row r="899" spans="76:79">
      <c r="BX899" s="29" t="str">
        <f t="shared" si="16"/>
        <v/>
      </c>
      <c r="CA899" s="345"/>
    </row>
    <row r="900" spans="76:79">
      <c r="BX900" s="29" t="str">
        <f t="shared" si="16"/>
        <v/>
      </c>
      <c r="CA900" s="345"/>
    </row>
    <row r="901" spans="76:79">
      <c r="BX901" s="29" t="str">
        <f t="shared" si="16"/>
        <v/>
      </c>
      <c r="CA901" s="345"/>
    </row>
    <row r="902" spans="76:79">
      <c r="BX902" s="29" t="str">
        <f t="shared" si="16"/>
        <v/>
      </c>
      <c r="CA902" s="345"/>
    </row>
    <row r="903" spans="76:79">
      <c r="BX903" s="29" t="str">
        <f t="shared" si="16"/>
        <v/>
      </c>
      <c r="CA903" s="345"/>
    </row>
    <row r="904" spans="76:79">
      <c r="BX904" s="29" t="str">
        <f t="shared" ref="BX904:BX967" si="17">IF(CA904=0,"",ROW())</f>
        <v/>
      </c>
      <c r="CA904" s="345"/>
    </row>
    <row r="905" spans="76:79">
      <c r="BX905" s="29" t="str">
        <f t="shared" si="17"/>
        <v/>
      </c>
      <c r="CA905" s="345"/>
    </row>
    <row r="906" spans="76:79">
      <c r="BX906" s="29" t="str">
        <f t="shared" si="17"/>
        <v/>
      </c>
      <c r="CA906" s="345"/>
    </row>
    <row r="907" spans="76:79">
      <c r="BX907" s="29" t="str">
        <f t="shared" si="17"/>
        <v/>
      </c>
      <c r="CA907" s="345"/>
    </row>
    <row r="908" spans="76:79">
      <c r="BX908" s="29" t="str">
        <f t="shared" si="17"/>
        <v/>
      </c>
      <c r="CA908" s="345"/>
    </row>
    <row r="909" spans="76:79">
      <c r="BX909" s="29" t="str">
        <f t="shared" si="17"/>
        <v/>
      </c>
      <c r="CA909" s="345"/>
    </row>
    <row r="910" spans="76:79">
      <c r="BX910" s="29" t="str">
        <f t="shared" si="17"/>
        <v/>
      </c>
      <c r="CA910" s="345"/>
    </row>
    <row r="911" spans="76:79">
      <c r="BX911" s="29" t="str">
        <f t="shared" si="17"/>
        <v/>
      </c>
      <c r="CA911" s="345"/>
    </row>
    <row r="912" spans="76:79">
      <c r="BX912" s="29" t="str">
        <f t="shared" si="17"/>
        <v/>
      </c>
      <c r="CA912" s="345"/>
    </row>
    <row r="913" spans="76:79">
      <c r="BX913" s="29" t="str">
        <f t="shared" si="17"/>
        <v/>
      </c>
      <c r="CA913" s="345"/>
    </row>
    <row r="914" spans="76:79">
      <c r="BX914" s="29" t="str">
        <f t="shared" si="17"/>
        <v/>
      </c>
      <c r="CA914" s="345"/>
    </row>
    <row r="915" spans="76:79">
      <c r="BX915" s="29" t="str">
        <f t="shared" si="17"/>
        <v/>
      </c>
      <c r="CA915" s="345"/>
    </row>
    <row r="916" spans="76:79">
      <c r="BX916" s="29" t="str">
        <f t="shared" si="17"/>
        <v/>
      </c>
      <c r="CA916" s="345"/>
    </row>
    <row r="917" spans="76:79">
      <c r="BX917" s="29" t="str">
        <f t="shared" si="17"/>
        <v/>
      </c>
      <c r="CA917" s="345"/>
    </row>
    <row r="918" spans="76:79">
      <c r="BX918" s="29" t="str">
        <f t="shared" si="17"/>
        <v/>
      </c>
      <c r="CA918" s="345"/>
    </row>
    <row r="919" spans="76:79">
      <c r="BX919" s="29" t="str">
        <f t="shared" si="17"/>
        <v/>
      </c>
      <c r="CA919" s="345"/>
    </row>
    <row r="920" spans="76:79">
      <c r="BX920" s="29" t="str">
        <f t="shared" si="17"/>
        <v/>
      </c>
      <c r="CA920" s="345"/>
    </row>
    <row r="921" spans="76:79">
      <c r="BX921" s="29" t="str">
        <f t="shared" si="17"/>
        <v/>
      </c>
      <c r="CA921" s="345"/>
    </row>
    <row r="922" spans="76:79">
      <c r="BX922" s="29" t="str">
        <f t="shared" si="17"/>
        <v/>
      </c>
      <c r="CA922" s="345"/>
    </row>
    <row r="923" spans="76:79">
      <c r="BX923" s="29" t="str">
        <f t="shared" si="17"/>
        <v/>
      </c>
      <c r="CA923" s="345"/>
    </row>
    <row r="924" spans="76:79">
      <c r="BX924" s="29" t="str">
        <f t="shared" si="17"/>
        <v/>
      </c>
      <c r="CA924" s="345"/>
    </row>
    <row r="925" spans="76:79">
      <c r="BX925" s="29" t="str">
        <f t="shared" si="17"/>
        <v/>
      </c>
      <c r="CA925" s="345"/>
    </row>
    <row r="926" spans="76:79">
      <c r="BX926" s="29" t="str">
        <f t="shared" si="17"/>
        <v/>
      </c>
      <c r="CA926" s="345"/>
    </row>
    <row r="927" spans="76:79">
      <c r="BX927" s="29" t="str">
        <f t="shared" si="17"/>
        <v/>
      </c>
      <c r="CA927" s="345"/>
    </row>
    <row r="928" spans="76:79">
      <c r="BX928" s="29" t="str">
        <f t="shared" si="17"/>
        <v/>
      </c>
      <c r="CA928" s="345"/>
    </row>
    <row r="929" spans="76:79">
      <c r="BX929" s="29" t="str">
        <f t="shared" si="17"/>
        <v/>
      </c>
      <c r="CA929" s="345"/>
    </row>
    <row r="930" spans="76:79">
      <c r="BX930" s="29" t="str">
        <f t="shared" si="17"/>
        <v/>
      </c>
      <c r="CA930" s="345"/>
    </row>
    <row r="931" spans="76:79">
      <c r="BX931" s="29" t="str">
        <f t="shared" si="17"/>
        <v/>
      </c>
      <c r="CA931" s="345"/>
    </row>
    <row r="932" spans="76:79">
      <c r="BX932" s="29" t="str">
        <f t="shared" si="17"/>
        <v/>
      </c>
      <c r="CA932" s="345"/>
    </row>
    <row r="933" spans="76:79">
      <c r="BX933" s="29" t="str">
        <f t="shared" si="17"/>
        <v/>
      </c>
      <c r="CA933" s="345"/>
    </row>
    <row r="934" spans="76:79">
      <c r="BX934" s="29" t="str">
        <f t="shared" si="17"/>
        <v/>
      </c>
      <c r="CA934" s="345"/>
    </row>
    <row r="935" spans="76:79">
      <c r="BX935" s="29" t="str">
        <f t="shared" si="17"/>
        <v/>
      </c>
      <c r="CA935" s="345"/>
    </row>
    <row r="936" spans="76:79">
      <c r="BX936" s="29" t="str">
        <f t="shared" si="17"/>
        <v/>
      </c>
      <c r="CA936" s="345"/>
    </row>
    <row r="937" spans="76:79">
      <c r="BX937" s="29" t="str">
        <f t="shared" si="17"/>
        <v/>
      </c>
      <c r="CA937" s="345"/>
    </row>
    <row r="938" spans="76:79">
      <c r="BX938" s="29" t="str">
        <f t="shared" si="17"/>
        <v/>
      </c>
      <c r="CA938" s="345"/>
    </row>
    <row r="939" spans="76:79">
      <c r="BX939" s="29" t="str">
        <f t="shared" si="17"/>
        <v/>
      </c>
      <c r="CA939" s="345"/>
    </row>
    <row r="940" spans="76:79">
      <c r="BX940" s="29" t="str">
        <f t="shared" si="17"/>
        <v/>
      </c>
      <c r="CA940" s="345"/>
    </row>
    <row r="941" spans="76:79">
      <c r="BX941" s="29" t="str">
        <f t="shared" si="17"/>
        <v/>
      </c>
      <c r="CA941" s="345"/>
    </row>
    <row r="942" spans="76:79">
      <c r="BX942" s="29" t="str">
        <f t="shared" si="17"/>
        <v/>
      </c>
      <c r="CA942" s="345"/>
    </row>
    <row r="943" spans="76:79">
      <c r="BX943" s="29" t="str">
        <f t="shared" si="17"/>
        <v/>
      </c>
      <c r="CA943" s="345"/>
    </row>
    <row r="944" spans="76:79">
      <c r="BX944" s="29" t="str">
        <f t="shared" si="17"/>
        <v/>
      </c>
      <c r="CA944" s="345"/>
    </row>
    <row r="945" spans="76:79">
      <c r="BX945" s="29" t="str">
        <f t="shared" si="17"/>
        <v/>
      </c>
      <c r="CA945" s="345"/>
    </row>
    <row r="946" spans="76:79">
      <c r="BX946" s="29" t="str">
        <f t="shared" si="17"/>
        <v/>
      </c>
      <c r="CA946" s="345"/>
    </row>
    <row r="947" spans="76:79">
      <c r="BX947" s="29" t="str">
        <f t="shared" si="17"/>
        <v/>
      </c>
      <c r="CA947" s="345"/>
    </row>
    <row r="948" spans="76:79">
      <c r="BX948" s="29" t="str">
        <f t="shared" si="17"/>
        <v/>
      </c>
      <c r="CA948" s="345"/>
    </row>
    <row r="949" spans="76:79">
      <c r="BX949" s="29" t="str">
        <f t="shared" si="17"/>
        <v/>
      </c>
      <c r="CA949" s="345"/>
    </row>
    <row r="950" spans="76:79">
      <c r="BX950" s="29" t="str">
        <f t="shared" si="17"/>
        <v/>
      </c>
      <c r="CA950" s="345"/>
    </row>
    <row r="951" spans="76:79">
      <c r="BX951" s="29" t="str">
        <f t="shared" si="17"/>
        <v/>
      </c>
      <c r="CA951" s="345"/>
    </row>
    <row r="952" spans="76:79">
      <c r="BX952" s="29" t="str">
        <f t="shared" si="17"/>
        <v/>
      </c>
      <c r="CA952" s="345"/>
    </row>
    <row r="953" spans="76:79">
      <c r="BX953" s="29" t="str">
        <f t="shared" si="17"/>
        <v/>
      </c>
      <c r="CA953" s="345"/>
    </row>
    <row r="954" spans="76:79">
      <c r="BX954" s="29" t="str">
        <f t="shared" si="17"/>
        <v/>
      </c>
      <c r="CA954" s="345"/>
    </row>
    <row r="955" spans="76:79">
      <c r="BX955" s="29" t="str">
        <f t="shared" si="17"/>
        <v/>
      </c>
      <c r="CA955" s="345"/>
    </row>
    <row r="956" spans="76:79">
      <c r="BX956" s="29" t="str">
        <f t="shared" si="17"/>
        <v/>
      </c>
      <c r="CA956" s="345"/>
    </row>
    <row r="957" spans="76:79">
      <c r="BX957" s="29" t="str">
        <f t="shared" si="17"/>
        <v/>
      </c>
      <c r="CA957" s="345"/>
    </row>
    <row r="958" spans="76:79">
      <c r="BX958" s="29" t="str">
        <f t="shared" si="17"/>
        <v/>
      </c>
      <c r="CA958" s="345"/>
    </row>
    <row r="959" spans="76:79">
      <c r="BX959" s="29" t="str">
        <f t="shared" si="17"/>
        <v/>
      </c>
      <c r="CA959" s="345"/>
    </row>
    <row r="960" spans="76:79">
      <c r="BX960" s="29" t="str">
        <f t="shared" si="17"/>
        <v/>
      </c>
      <c r="CA960" s="345"/>
    </row>
    <row r="961" spans="76:79">
      <c r="BX961" s="29" t="str">
        <f t="shared" si="17"/>
        <v/>
      </c>
      <c r="CA961" s="345"/>
    </row>
    <row r="962" spans="76:79">
      <c r="BX962" s="29" t="str">
        <f t="shared" si="17"/>
        <v/>
      </c>
      <c r="CA962" s="345"/>
    </row>
    <row r="963" spans="76:79">
      <c r="BX963" s="29" t="str">
        <f t="shared" si="17"/>
        <v/>
      </c>
      <c r="CA963" s="345"/>
    </row>
    <row r="964" spans="76:79">
      <c r="BX964" s="29" t="str">
        <f t="shared" si="17"/>
        <v/>
      </c>
      <c r="CA964" s="345"/>
    </row>
    <row r="965" spans="76:79">
      <c r="BX965" s="29" t="str">
        <f t="shared" si="17"/>
        <v/>
      </c>
      <c r="CA965" s="345"/>
    </row>
    <row r="966" spans="76:79">
      <c r="BX966" s="29" t="str">
        <f t="shared" si="17"/>
        <v/>
      </c>
      <c r="CA966" s="345"/>
    </row>
    <row r="967" spans="76:79">
      <c r="BX967" s="29" t="str">
        <f t="shared" si="17"/>
        <v/>
      </c>
      <c r="CA967" s="345"/>
    </row>
    <row r="968" spans="76:79">
      <c r="BX968" s="29" t="str">
        <f t="shared" ref="BX968:BX1000" si="18">IF(CA968=0,"",ROW())</f>
        <v/>
      </c>
      <c r="CA968" s="345"/>
    </row>
    <row r="969" spans="76:79">
      <c r="BX969" s="29" t="str">
        <f t="shared" si="18"/>
        <v/>
      </c>
      <c r="CA969" s="345"/>
    </row>
    <row r="970" spans="76:79">
      <c r="BX970" s="29" t="str">
        <f t="shared" si="18"/>
        <v/>
      </c>
      <c r="CA970" s="345"/>
    </row>
    <row r="971" spans="76:79">
      <c r="BX971" s="29" t="str">
        <f t="shared" si="18"/>
        <v/>
      </c>
      <c r="CA971" s="345"/>
    </row>
    <row r="972" spans="76:79">
      <c r="BX972" s="29" t="str">
        <f t="shared" si="18"/>
        <v/>
      </c>
      <c r="CA972" s="345"/>
    </row>
    <row r="973" spans="76:79">
      <c r="BX973" s="29" t="str">
        <f t="shared" si="18"/>
        <v/>
      </c>
      <c r="CA973" s="345"/>
    </row>
    <row r="974" spans="76:79">
      <c r="BX974" s="29" t="str">
        <f t="shared" si="18"/>
        <v/>
      </c>
      <c r="CA974" s="345"/>
    </row>
    <row r="975" spans="76:79">
      <c r="BX975" s="29" t="str">
        <f t="shared" si="18"/>
        <v/>
      </c>
      <c r="CA975" s="345"/>
    </row>
    <row r="976" spans="76:79">
      <c r="BX976" s="29" t="str">
        <f t="shared" si="18"/>
        <v/>
      </c>
      <c r="CA976" s="345"/>
    </row>
    <row r="977" spans="76:79">
      <c r="BX977" s="29" t="str">
        <f t="shared" si="18"/>
        <v/>
      </c>
      <c r="CA977" s="345"/>
    </row>
    <row r="978" spans="76:79">
      <c r="BX978" s="29" t="str">
        <f t="shared" si="18"/>
        <v/>
      </c>
      <c r="CA978" s="345"/>
    </row>
    <row r="979" spans="76:79">
      <c r="BX979" s="29" t="str">
        <f t="shared" si="18"/>
        <v/>
      </c>
      <c r="CA979" s="345"/>
    </row>
    <row r="980" spans="76:79">
      <c r="BX980" s="29" t="str">
        <f t="shared" si="18"/>
        <v/>
      </c>
      <c r="CA980" s="345"/>
    </row>
    <row r="981" spans="76:79">
      <c r="BX981" s="29" t="str">
        <f t="shared" si="18"/>
        <v/>
      </c>
      <c r="CA981" s="345"/>
    </row>
    <row r="982" spans="76:79">
      <c r="BX982" s="29" t="str">
        <f t="shared" si="18"/>
        <v/>
      </c>
      <c r="CA982" s="345"/>
    </row>
    <row r="983" spans="76:79">
      <c r="BX983" s="29" t="str">
        <f t="shared" si="18"/>
        <v/>
      </c>
      <c r="CA983" s="345"/>
    </row>
    <row r="984" spans="76:79">
      <c r="BX984" s="29" t="str">
        <f t="shared" si="18"/>
        <v/>
      </c>
      <c r="CA984" s="345"/>
    </row>
    <row r="985" spans="76:79">
      <c r="BX985" s="29" t="str">
        <f t="shared" si="18"/>
        <v/>
      </c>
      <c r="CA985" s="345"/>
    </row>
    <row r="986" spans="76:79">
      <c r="BX986" s="29" t="str">
        <f t="shared" si="18"/>
        <v/>
      </c>
      <c r="CA986" s="345"/>
    </row>
    <row r="987" spans="76:79">
      <c r="BX987" s="29" t="str">
        <f t="shared" si="18"/>
        <v/>
      </c>
      <c r="CA987" s="345"/>
    </row>
    <row r="988" spans="76:79">
      <c r="BX988" s="29" t="str">
        <f t="shared" si="18"/>
        <v/>
      </c>
      <c r="CA988" s="345"/>
    </row>
    <row r="989" spans="76:79">
      <c r="BX989" s="29" t="str">
        <f t="shared" si="18"/>
        <v/>
      </c>
      <c r="CA989" s="345"/>
    </row>
    <row r="990" spans="76:79">
      <c r="BX990" s="29" t="str">
        <f t="shared" si="18"/>
        <v/>
      </c>
      <c r="CA990" s="345"/>
    </row>
    <row r="991" spans="76:79">
      <c r="BX991" s="29" t="str">
        <f t="shared" si="18"/>
        <v/>
      </c>
      <c r="CA991" s="345"/>
    </row>
    <row r="992" spans="76:79">
      <c r="BX992" s="29" t="str">
        <f t="shared" si="18"/>
        <v/>
      </c>
      <c r="CA992" s="345"/>
    </row>
    <row r="993" spans="76:79">
      <c r="BX993" s="29" t="str">
        <f t="shared" si="18"/>
        <v/>
      </c>
      <c r="CA993" s="345"/>
    </row>
    <row r="994" spans="76:79">
      <c r="BX994" s="29" t="str">
        <f t="shared" si="18"/>
        <v/>
      </c>
      <c r="CA994" s="345"/>
    </row>
    <row r="995" spans="76:79">
      <c r="BX995" s="29" t="str">
        <f t="shared" si="18"/>
        <v/>
      </c>
      <c r="CA995" s="345"/>
    </row>
    <row r="996" spans="76:79">
      <c r="BX996" s="29" t="str">
        <f t="shared" si="18"/>
        <v/>
      </c>
      <c r="CA996" s="345"/>
    </row>
    <row r="997" spans="76:79">
      <c r="BX997" s="29" t="str">
        <f t="shared" si="18"/>
        <v/>
      </c>
      <c r="CA997" s="345"/>
    </row>
    <row r="998" spans="76:79">
      <c r="BX998" s="29" t="str">
        <f t="shared" si="18"/>
        <v/>
      </c>
      <c r="CA998" s="345"/>
    </row>
    <row r="999" spans="76:79">
      <c r="BX999" s="29" t="str">
        <f t="shared" si="18"/>
        <v/>
      </c>
      <c r="CA999" s="345"/>
    </row>
    <row r="1000" spans="76:79">
      <c r="BX1000" s="29" t="str">
        <f t="shared" si="18"/>
        <v/>
      </c>
      <c r="CA1000" s="345"/>
    </row>
  </sheetData>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3C6AE9-1446-43AB-B708-1DAA40CDEC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44</vt:i4>
      </vt:variant>
    </vt:vector>
  </HeadingPairs>
  <TitlesOfParts>
    <vt:vector size="67" baseType="lpstr">
      <vt:lpstr>Main</vt:lpstr>
      <vt:lpstr>Conceptual</vt:lpstr>
      <vt:lpstr>RightsAccess</vt:lpstr>
      <vt:lpstr>Workflow</vt:lpstr>
      <vt:lpstr>WorkFlowAction</vt:lpstr>
      <vt:lpstr>Function</vt:lpstr>
      <vt:lpstr>Mandays</vt:lpstr>
      <vt:lpstr>DBDiagram</vt:lpstr>
      <vt:lpstr>DBTableList</vt:lpstr>
      <vt:lpstr>MASTERCOLUMNLIST</vt:lpstr>
      <vt:lpstr>TBTemplate</vt:lpstr>
      <vt:lpstr>MENU</vt:lpstr>
      <vt:lpstr>MASTERPAGE</vt:lpstr>
      <vt:lpstr>CLASSOFRISK</vt:lpstr>
      <vt:lpstr>UNDERWRITER</vt:lpstr>
      <vt:lpstr>USERS</vt:lpstr>
      <vt:lpstr>CLIENTS</vt:lpstr>
      <vt:lpstr>AGENT</vt:lpstr>
      <vt:lpstr>CURRENCY</vt:lpstr>
      <vt:lpstr>ACCOUNTEXECUTIVE</vt:lpstr>
      <vt:lpstr>AGENTFULL</vt:lpstr>
      <vt:lpstr>NEXTNUMBER</vt:lpstr>
      <vt:lpstr>Variables</vt:lpstr>
      <vt:lpstr>aBoolean</vt:lpstr>
      <vt:lpstr>aDataType</vt:lpstr>
      <vt:lpstr>aDbServer</vt:lpstr>
      <vt:lpstr>aDbTokenKey</vt:lpstr>
      <vt:lpstr>aDBTYPE</vt:lpstr>
      <vt:lpstr>aDomainList</vt:lpstr>
      <vt:lpstr>aEditMode</vt:lpstr>
      <vt:lpstr>aEditorType</vt:lpstr>
      <vt:lpstr>aFormat</vt:lpstr>
      <vt:lpstr>aFValue</vt:lpstr>
      <vt:lpstr>aMasterCRUD</vt:lpstr>
      <vt:lpstr>aMasterCRUDII</vt:lpstr>
      <vt:lpstr>aMEditorList</vt:lpstr>
      <vt:lpstr>aMHtmlFile</vt:lpstr>
      <vt:lpstr>aMMode</vt:lpstr>
      <vt:lpstr>aModelFileName</vt:lpstr>
      <vt:lpstr>aModelFilePath</vt:lpstr>
      <vt:lpstr>aMSheetName</vt:lpstr>
      <vt:lpstr>aNext2C</vt:lpstr>
      <vt:lpstr>aNextTBLRow</vt:lpstr>
      <vt:lpstr>aNumOfSpace</vt:lpstr>
      <vt:lpstr>aPageDomainList</vt:lpstr>
      <vt:lpstr>APITYPE</vt:lpstr>
      <vt:lpstr>aSheetsName</vt:lpstr>
      <vt:lpstr>aSpaceT</vt:lpstr>
      <vt:lpstr>aUserID</vt:lpstr>
      <vt:lpstr>aUserTokenKey</vt:lpstr>
      <vt:lpstr>aWorWO</vt:lpstr>
      <vt:lpstr>cFileName</vt:lpstr>
      <vt:lpstr>cFNforLink</vt:lpstr>
      <vt:lpstr>cLangCol</vt:lpstr>
      <vt:lpstr>cLangList</vt:lpstr>
      <vt:lpstr>cLangSelect</vt:lpstr>
      <vt:lpstr>cProvider</vt:lpstr>
      <vt:lpstr>DBPROVIDOR</vt:lpstr>
      <vt:lpstr>EORT</vt:lpstr>
      <vt:lpstr>LSwitch</vt:lpstr>
      <vt:lpstr>nSampleSelect</vt:lpstr>
      <vt:lpstr>SampleNO</vt:lpstr>
      <vt:lpstr>tCalendar</vt:lpstr>
      <vt:lpstr>tColumnList</vt:lpstr>
      <vt:lpstr>tDB_PROVIDOR</vt:lpstr>
      <vt:lpstr>tMandays</vt:lpstr>
      <vt:lpstr>TotalRec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Wikran Intaraprajaks</dc:creator>
  <cp:lastModifiedBy>Wikran Intaraprajaks</cp:lastModifiedBy>
  <dcterms:created xsi:type="dcterms:W3CDTF">2020-06-03T00:34:45Z</dcterms:created>
  <dcterms:modified xsi:type="dcterms:W3CDTF">2021-12-26T23:51:24Z</dcterms:modified>
</cp:coreProperties>
</file>